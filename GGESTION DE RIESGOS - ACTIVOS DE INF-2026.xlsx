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drawings/drawing1.xml" ContentType="application/vnd.openxmlformats-officedocument.drawing+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Tables/pivotTable2.xml" ContentType="application/vnd.openxmlformats-officedocument.spreadsheetml.pivotTable+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ables/table4.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8835" yWindow="0" windowWidth="11655" windowHeight="10920" tabRatio="741" firstSheet="0" activeTab="1" autoFilterDateGrouping="1"/>
  </bookViews>
  <sheets>
    <sheet name="INVENTARIO" sheetId="1" state="visible" r:id="rId1"/>
    <sheet name="Metricas" sheetId="2" state="visible" r:id="rId2"/>
    <sheet name="INTERVALOS" sheetId="3" state="visible" r:id="rId3"/>
    <sheet name="EVALUACION DE RIESGO" sheetId="4" state="visible" r:id="rId4"/>
    <sheet name="PLANES DE ACCION" sheetId="5" state="visible" r:id="rId5"/>
    <sheet name="INDICADORES" sheetId="6" state="visible" r:id="rId6"/>
    <sheet name="CATALOGO VULNERABILIDADES" sheetId="7" state="visible" r:id="rId7"/>
    <sheet name="CATALOGO AMENAZA" sheetId="8" state="visible" r:id="rId8"/>
    <sheet name="TIPOS DE ACTIVOS" sheetId="9" state="visible" r:id="rId9"/>
    <sheet name="CATALOGO CONTROLES" sheetId="10" state="visible" r:id="rId10"/>
    <sheet name="ANEXO A" sheetId="11" state="visible" r:id="rId11"/>
    <sheet name="Declaración Aplicabilidad (SoA)" sheetId="12" state="visible" r:id="rId12"/>
    <sheet name="Documentación Aplicabilidad" sheetId="13" state="visible" r:id="rId13"/>
    <sheet name="Resumen Criticidad" sheetId="14" state="visible" r:id="rId14"/>
  </sheets>
  <definedNames>
    <definedName name="_xlnm._FilterDatabase" localSheetId="0" hidden="1">'INVENTARIO'!$Y$2:$AC$1406</definedName>
    <definedName name="_xlnm._FilterDatabase" localSheetId="7" hidden="1">'CATALOGO AMENAZA'!$A$2:$N$46</definedName>
    <definedName name="_xlnm._FilterDatabase" localSheetId="10" hidden="1">'ANEXO A'!$A$1:$L$94</definedName>
    <definedName name="_xlnm._FilterDatabase" localSheetId="11" hidden="1">'Declaración Aplicabilidad (SoA)'!$A$1:$N$94</definedName>
    <definedName name="_xlnm._FilterDatabase" localSheetId="12" hidden="1">'Documentación Aplicabilidad'!$A$1:$L$94</definedName>
  </definedNames>
  <calcPr calcId="191029" fullCalcOnLoad="1"/>
  <pivotCaches>
    <pivotCache cacheId="8" r:id="rId15"/>
    <pivotCache cacheId="9" r:id="rId16"/>
  </pivotCaches>
</workbook>
</file>

<file path=xl/styles.xml><?xml version="1.0" encoding="utf-8"?>
<styleSheet xmlns="http://schemas.openxmlformats.org/spreadsheetml/2006/main">
  <numFmts count="0"/>
  <fonts count="13">
    <font>
      <name val="Arial"/>
      <family val="2"/>
      <color theme="1"/>
      <sz val="8"/>
    </font>
    <font>
      <name val="Arial"/>
      <family val="2"/>
      <b val="1"/>
      <color theme="1"/>
      <sz val="8"/>
    </font>
    <font>
      <name val="Arial"/>
      <family val="2"/>
      <b val="1"/>
      <color rgb="FF000000"/>
      <sz val="8"/>
    </font>
    <font>
      <name val="Arial"/>
      <family val="2"/>
      <color rgb="FF000000"/>
      <sz val="8"/>
    </font>
    <font>
      <name val="Calibri"/>
      <family val="2"/>
      <color theme="1"/>
      <sz val="11"/>
      <scheme val="minor"/>
    </font>
    <font>
      <name val="Arial"/>
      <family val="2"/>
      <color theme="1"/>
      <sz val="8"/>
    </font>
    <font>
      <name val="Arial"/>
      <family val="2"/>
      <b val="1"/>
      <color theme="0"/>
      <sz val="8"/>
    </font>
    <font>
      <name val="Arial"/>
      <family val="2"/>
      <b val="1"/>
      <color rgb="FFFFFFFF"/>
      <sz val="8"/>
    </font>
    <font>
      <name val="Arial"/>
      <family val="2"/>
      <b val="1"/>
      <color rgb="FFFFFFFF"/>
      <sz val="8"/>
    </font>
    <font>
      <name val="Arial"/>
      <b val="1"/>
      <color rgb="FFFFFFFF"/>
      <sz val="8"/>
    </font>
    <font>
      <name val="Arial"/>
      <b val="1"/>
      <color rgb="FFFFFFFF"/>
      <sz val="8"/>
    </font>
    <font>
      <name val="Arial"/>
      <b val="1"/>
      <color rgb="FF000080"/>
      <sz val="14"/>
    </font>
    <font>
      <b val="1"/>
    </font>
  </fonts>
  <fills count="19">
    <fill>
      <patternFill/>
    </fill>
    <fill>
      <patternFill patternType="gray125"/>
    </fill>
    <fill>
      <patternFill patternType="solid">
        <fgColor rgb="FF92D050"/>
        <bgColor indexed="64"/>
      </patternFill>
    </fill>
    <fill>
      <patternFill patternType="solid">
        <fgColor rgb="FF00B050"/>
        <bgColor indexed="64"/>
      </patternFill>
    </fill>
    <fill>
      <patternFill patternType="solid">
        <fgColor rgb="FFFFFF00"/>
        <bgColor indexed="64"/>
      </patternFill>
    </fill>
    <fill>
      <patternFill patternType="solid">
        <fgColor rgb="FFFFC000"/>
        <bgColor indexed="64"/>
      </patternFill>
    </fill>
    <fill>
      <patternFill patternType="solid">
        <fgColor rgb="FFFF0000"/>
        <bgColor indexed="64"/>
      </patternFill>
    </fill>
    <fill>
      <patternFill patternType="solid">
        <fgColor rgb="FFEE0000"/>
        <bgColor indexed="64"/>
      </patternFill>
    </fill>
    <fill>
      <patternFill patternType="solid">
        <fgColor theme="8" tint="0.5999938962981048"/>
        <bgColor indexed="64"/>
      </patternFill>
    </fill>
    <fill>
      <patternFill patternType="solid">
        <fgColor theme="7"/>
        <bgColor indexed="64"/>
      </patternFill>
    </fill>
    <fill>
      <patternFill patternType="solid">
        <fgColor theme="8"/>
        <bgColor indexed="64"/>
      </patternFill>
    </fill>
    <fill>
      <patternFill patternType="solid">
        <fgColor theme="5" tint="0.3999755851924192"/>
        <bgColor indexed="64"/>
      </patternFill>
    </fill>
    <fill>
      <patternFill patternType="solid">
        <fgColor rgb="FF00B0F0"/>
        <bgColor indexed="64"/>
      </patternFill>
    </fill>
    <fill>
      <patternFill patternType="solid">
        <fgColor theme="1"/>
        <bgColor indexed="64"/>
      </patternFill>
    </fill>
    <fill>
      <patternFill patternType="solid">
        <fgColor theme="0"/>
        <bgColor indexed="64"/>
      </patternFill>
    </fill>
    <fill>
      <patternFill patternType="solid">
        <fgColor rgb="FF000080"/>
        <bgColor rgb="FF000080"/>
      </patternFill>
    </fill>
    <fill>
      <patternFill patternType="solid">
        <fgColor rgb="FF000080"/>
        <bgColor rgb="FF000080"/>
      </patternFill>
    </fill>
    <fill>
      <patternFill patternType="solid">
        <fgColor rgb="FF000080"/>
        <bgColor rgb="FF000080"/>
      </patternFill>
    </fill>
    <fill>
      <patternFill patternType="solid">
        <fgColor rgb="FF000080"/>
        <bgColor rgb="FF000080"/>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top style="thin">
        <color indexed="64"/>
      </top>
      <bottom/>
      <diagonal/>
    </border>
    <border>
      <left style="thin">
        <color indexed="64"/>
      </left>
      <right/>
      <top/>
      <bottom/>
      <diagonal/>
    </border>
  </borders>
  <cellStyleXfs count="3">
    <xf numFmtId="0" fontId="5" fillId="0" borderId="0"/>
    <xf numFmtId="0" fontId="4" fillId="0" borderId="0"/>
    <xf numFmtId="9" fontId="5" fillId="0" borderId="0"/>
  </cellStyleXfs>
  <cellXfs count="116">
    <xf numFmtId="0" fontId="0" fillId="0" borderId="0" pivotButton="0" quotePrefix="0" xfId="0"/>
    <xf numFmtId="0" fontId="2" fillId="0" borderId="1" applyAlignment="1" pivotButton="0" quotePrefix="0" xfId="0">
      <alignment horizontal="center" vertical="center"/>
    </xf>
    <xf numFmtId="0" fontId="3" fillId="2" borderId="1" applyAlignment="1" pivotButton="0" quotePrefix="0" xfId="0">
      <alignment horizontal="center" vertical="center"/>
    </xf>
    <xf numFmtId="0" fontId="3" fillId="0" borderId="1" applyAlignment="1" pivotButton="0" quotePrefix="0" xfId="0">
      <alignment horizontal="center" vertical="center"/>
    </xf>
    <xf numFmtId="0" fontId="0" fillId="0" borderId="1" applyAlignment="1" pivotButton="0" quotePrefix="0" xfId="0">
      <alignment vertical="center" wrapText="1"/>
    </xf>
    <xf numFmtId="0" fontId="3" fillId="3" borderId="1" applyAlignment="1" pivotButton="0" quotePrefix="0" xfId="0">
      <alignment horizontal="center" vertical="center"/>
    </xf>
    <xf numFmtId="0" fontId="3" fillId="4" borderId="1" applyAlignment="1" pivotButton="0" quotePrefix="0" xfId="0">
      <alignment horizontal="center" vertical="center"/>
    </xf>
    <xf numFmtId="0" fontId="3" fillId="5" borderId="1" applyAlignment="1" pivotButton="0" quotePrefix="0" xfId="0">
      <alignment horizontal="center" vertical="center"/>
    </xf>
    <xf numFmtId="0" fontId="3" fillId="6" borderId="1" applyAlignment="1" pivotButton="0" quotePrefix="0" xfId="0">
      <alignment horizontal="center" vertical="center"/>
    </xf>
    <xf numFmtId="0" fontId="2" fillId="0" borderId="1" applyAlignment="1" pivotButton="0" quotePrefix="0" xfId="0">
      <alignment horizontal="center" vertical="center" wrapText="1"/>
    </xf>
    <xf numFmtId="0" fontId="0" fillId="0" borderId="1" pivotButton="0" quotePrefix="0" xfId="0"/>
    <xf numFmtId="0" fontId="1" fillId="0" borderId="1" pivotButton="0" quotePrefix="0" xfId="0"/>
    <xf numFmtId="0" fontId="1" fillId="0" borderId="1" applyAlignment="1" pivotButton="0" quotePrefix="0" xfId="0">
      <alignment horizontal="center"/>
    </xf>
    <xf numFmtId="0" fontId="0" fillId="0" borderId="1" applyAlignment="1" pivotButton="0" quotePrefix="0" xfId="0">
      <alignment horizontal="center"/>
    </xf>
    <xf numFmtId="0" fontId="0" fillId="0" borderId="1" applyAlignment="1" pivotButton="0" quotePrefix="1" xfId="0">
      <alignment horizontal="center"/>
    </xf>
    <xf numFmtId="0" fontId="0" fillId="7" borderId="1" applyAlignment="1" pivotButton="0" quotePrefix="0" xfId="0">
      <alignment horizontal="center" vertical="center"/>
    </xf>
    <xf numFmtId="0" fontId="0" fillId="0" borderId="0" applyAlignment="1" pivotButton="0" quotePrefix="0" xfId="0">
      <alignment wrapText="1"/>
    </xf>
    <xf numFmtId="0" fontId="0" fillId="0" borderId="1" applyAlignment="1" pivotButton="0" quotePrefix="0" xfId="0">
      <alignment wrapText="1"/>
    </xf>
    <xf numFmtId="0" fontId="0" fillId="0" borderId="4" pivotButton="0" quotePrefix="0" xfId="0"/>
    <xf numFmtId="0" fontId="0" fillId="0" borderId="2" pivotButton="0" quotePrefix="0" xfId="0"/>
    <xf numFmtId="0" fontId="0" fillId="0" borderId="10" pivotButton="0" quotePrefix="0" xfId="0"/>
    <xf numFmtId="0" fontId="0" fillId="0" borderId="5" pivotButton="0" quotePrefix="0" xfId="0"/>
    <xf numFmtId="0" fontId="0" fillId="0" borderId="11" pivotButton="0" quotePrefix="0" xfId="0"/>
    <xf numFmtId="0" fontId="1" fillId="8" borderId="9" applyAlignment="1" pivotButton="0" quotePrefix="0" xfId="0">
      <alignment horizontal="center" wrapText="1"/>
    </xf>
    <xf numFmtId="14" fontId="0" fillId="0" borderId="1" pivotButton="0" quotePrefix="0" xfId="0"/>
    <xf numFmtId="14" fontId="0" fillId="0" borderId="5" pivotButton="0" quotePrefix="0" xfId="0"/>
    <xf numFmtId="0" fontId="1" fillId="8" borderId="1" applyAlignment="1" pivotButton="0" quotePrefix="0" xfId="0">
      <alignment horizontal="center" wrapText="1"/>
    </xf>
    <xf numFmtId="0" fontId="1" fillId="8" borderId="5" applyAlignment="1" pivotButton="0" quotePrefix="0" xfId="0">
      <alignment vertical="center" wrapText="1"/>
    </xf>
    <xf numFmtId="0" fontId="1" fillId="8" borderId="7" applyAlignment="1" pivotButton="0" quotePrefix="0" xfId="0">
      <alignment horizontal="center" wrapText="1"/>
    </xf>
    <xf numFmtId="0" fontId="1" fillId="8" borderId="8" applyAlignment="1" pivotButton="0" quotePrefix="0" xfId="0">
      <alignment horizontal="center" wrapText="1"/>
    </xf>
    <xf numFmtId="0" fontId="1" fillId="8" borderId="8" applyAlignment="1" pivotButton="0" quotePrefix="0" xfId="0">
      <alignment vertical="center" wrapText="1"/>
    </xf>
    <xf numFmtId="0" fontId="0" fillId="0" borderId="8" pivotButton="0" quotePrefix="0" xfId="0"/>
    <xf numFmtId="0" fontId="0" fillId="0" borderId="5" applyAlignment="1" pivotButton="0" quotePrefix="0" xfId="0">
      <alignment horizontal="center" vertical="center" wrapText="1"/>
    </xf>
    <xf numFmtId="0" fontId="0" fillId="0" borderId="0" applyAlignment="1" pivotButton="0" quotePrefix="0" xfId="0">
      <alignment horizontal="center" vertical="center"/>
    </xf>
    <xf numFmtId="0" fontId="0" fillId="0" borderId="1" applyAlignment="1" pivotButton="0" quotePrefix="0" xfId="0">
      <alignment horizontal="center" vertical="center" wrapText="1"/>
    </xf>
    <xf numFmtId="0" fontId="0" fillId="0" borderId="12" applyAlignment="1" pivotButton="0" quotePrefix="0" xfId="0">
      <alignment horizontal="center"/>
    </xf>
    <xf numFmtId="0" fontId="0" fillId="4" borderId="1" pivotButton="0" quotePrefix="0" xfId="0"/>
    <xf numFmtId="0" fontId="0" fillId="0" borderId="12" pivotButton="0" quotePrefix="0" xfId="0"/>
    <xf numFmtId="0" fontId="0" fillId="0" borderId="0" applyAlignment="1" pivotButton="0" quotePrefix="0" xfId="0">
      <alignment horizontal="center" vertical="center" wrapText="1"/>
    </xf>
    <xf numFmtId="0" fontId="0" fillId="0" borderId="0" applyAlignment="1" pivotButton="0" quotePrefix="0" xfId="0">
      <alignment horizontal="left" vertical="center" wrapText="1"/>
    </xf>
    <xf numFmtId="0" fontId="0" fillId="4" borderId="4" pivotButton="0" quotePrefix="0" xfId="0"/>
    <xf numFmtId="0" fontId="1" fillId="9" borderId="1" applyAlignment="1" pivotButton="0" quotePrefix="0" xfId="0">
      <alignment wrapText="1"/>
    </xf>
    <xf numFmtId="0" fontId="1" fillId="9" borderId="1" applyAlignment="1" pivotButton="0" quotePrefix="0" xfId="0">
      <alignment textRotation="90" wrapText="1"/>
    </xf>
    <xf numFmtId="0" fontId="1" fillId="9" borderId="1" applyAlignment="1" pivotButton="0" quotePrefix="0" xfId="0">
      <alignment horizontal="center" vertical="center" wrapText="1"/>
    </xf>
    <xf numFmtId="0" fontId="1" fillId="9" borderId="1" applyAlignment="1" pivotButton="0" quotePrefix="0" xfId="0">
      <alignment vertical="center" wrapText="1"/>
    </xf>
    <xf numFmtId="0" fontId="0" fillId="0" borderId="5" applyAlignment="1" pivotButton="0" quotePrefix="0" xfId="0">
      <alignment wrapText="1"/>
    </xf>
    <xf numFmtId="0" fontId="1" fillId="9" borderId="5" applyAlignment="1" pivotButton="0" quotePrefix="0" xfId="0">
      <alignment wrapText="1"/>
    </xf>
    <xf numFmtId="0" fontId="0" fillId="3" borderId="1" applyAlignment="1" pivotButton="0" quotePrefix="0" xfId="0">
      <alignment vertical="center" wrapText="1"/>
    </xf>
    <xf numFmtId="0" fontId="0" fillId="11" borderId="1" applyAlignment="1" pivotButton="0" quotePrefix="0" xfId="0">
      <alignment vertical="center" wrapText="1"/>
    </xf>
    <xf numFmtId="0" fontId="0" fillId="12" borderId="1" applyAlignment="1" pivotButton="0" quotePrefix="0" xfId="0">
      <alignment vertical="center" wrapText="1"/>
    </xf>
    <xf numFmtId="9" fontId="0" fillId="0" borderId="1" applyAlignment="1" pivotButton="0" quotePrefix="0" xfId="0">
      <alignment horizontal="center" vertical="center" wrapText="1"/>
    </xf>
    <xf numFmtId="0" fontId="0" fillId="0" borderId="5" applyAlignment="1" pivotButton="0" quotePrefix="0" xfId="0">
      <alignment vertical="center" wrapText="1"/>
    </xf>
    <xf numFmtId="9" fontId="0" fillId="0" borderId="1" applyAlignment="1" pivotButton="0" quotePrefix="0" xfId="2">
      <alignment horizontal="center" vertical="center" wrapText="1"/>
    </xf>
    <xf numFmtId="2" fontId="0" fillId="0" borderId="1" applyAlignment="1" pivotButton="0" quotePrefix="0" xfId="0">
      <alignment horizontal="center" vertical="center" wrapText="1"/>
    </xf>
    <xf numFmtId="0" fontId="0" fillId="0" borderId="1" applyAlignment="1" pivotButton="0" quotePrefix="0" xfId="0">
      <alignment horizontal="center" vertical="center"/>
    </xf>
    <xf numFmtId="0" fontId="1" fillId="0" borderId="1" applyAlignment="1" pivotButton="0" quotePrefix="0" xfId="0">
      <alignment wrapText="1"/>
    </xf>
    <xf numFmtId="0" fontId="0" fillId="0" borderId="4" applyAlignment="1" pivotButton="0" quotePrefix="0" xfId="0">
      <alignment vertical="center" wrapText="1"/>
    </xf>
    <xf numFmtId="0" fontId="0" fillId="0" borderId="4" applyAlignment="1" pivotButton="0" quotePrefix="0" xfId="0">
      <alignment wrapText="1"/>
    </xf>
    <xf numFmtId="0" fontId="1" fillId="0" borderId="5" applyAlignment="1" pivotButton="0" quotePrefix="0" xfId="0">
      <alignment horizontal="left" vertical="center" wrapText="1"/>
    </xf>
    <xf numFmtId="9" fontId="0" fillId="0" borderId="5" applyAlignment="1" pivotButton="0" quotePrefix="0" xfId="2">
      <alignment horizontal="center" vertical="center" wrapText="1"/>
    </xf>
    <xf numFmtId="2" fontId="0" fillId="0" borderId="5" applyAlignment="1" pivotButton="0" quotePrefix="0" xfId="0">
      <alignment horizontal="center" vertical="center" wrapText="1"/>
    </xf>
    <xf numFmtId="0" fontId="1" fillId="13" borderId="7" applyAlignment="1" pivotButton="0" quotePrefix="0" xfId="0">
      <alignment horizontal="center" vertical="center" wrapText="1"/>
    </xf>
    <xf numFmtId="0" fontId="1" fillId="13" borderId="8" applyAlignment="1" pivotButton="0" quotePrefix="0" xfId="0">
      <alignment horizontal="center" vertical="center" wrapText="1"/>
    </xf>
    <xf numFmtId="0" fontId="1" fillId="13" borderId="9" applyAlignment="1" pivotButton="0" quotePrefix="0" xfId="0">
      <alignment horizontal="center" vertical="center" wrapText="1"/>
    </xf>
    <xf numFmtId="0" fontId="1" fillId="0" borderId="1" applyAlignment="1" pivotButton="0" quotePrefix="0" xfId="0">
      <alignment vertical="center" wrapText="1"/>
    </xf>
    <xf numFmtId="0" fontId="0" fillId="0" borderId="2" applyAlignment="1" pivotButton="0" quotePrefix="0" xfId="0">
      <alignment horizontal="center" vertical="center"/>
    </xf>
    <xf numFmtId="2" fontId="0" fillId="0" borderId="11" applyAlignment="1" pivotButton="0" quotePrefix="0" xfId="0">
      <alignment horizontal="center" vertical="center" wrapText="1"/>
    </xf>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6" borderId="0" pivotButton="0" quotePrefix="0" xfId="0"/>
    <xf numFmtId="0" fontId="0" fillId="3" borderId="0" pivotButton="0" quotePrefix="0" xfId="0"/>
    <xf numFmtId="0" fontId="0" fillId="4" borderId="0" pivotButton="0" quotePrefix="0" xfId="0"/>
    <xf numFmtId="0" fontId="0" fillId="5" borderId="0" pivotButton="0" quotePrefix="0" xfId="0"/>
    <xf numFmtId="9" fontId="0" fillId="0" borderId="0" applyAlignment="1" pivotButton="0" quotePrefix="0" xfId="0">
      <alignment horizontal="left"/>
    </xf>
    <xf numFmtId="16" fontId="0" fillId="0" borderId="1" applyAlignment="1" pivotButton="0" quotePrefix="1" xfId="0">
      <alignment horizontal="center"/>
    </xf>
    <xf numFmtId="0" fontId="0" fillId="6" borderId="1" applyAlignment="1" pivotButton="0" quotePrefix="0" xfId="0">
      <alignment horizontal="center"/>
    </xf>
    <xf numFmtId="0" fontId="0" fillId="5" borderId="1" applyAlignment="1" pivotButton="0" quotePrefix="0" xfId="0">
      <alignment horizontal="center"/>
    </xf>
    <xf numFmtId="0" fontId="0" fillId="4" borderId="1" applyAlignment="1" pivotButton="0" quotePrefix="0" xfId="0">
      <alignment horizontal="center"/>
    </xf>
    <xf numFmtId="0" fontId="0" fillId="3" borderId="1" applyAlignment="1" pivotButton="0" quotePrefix="0" xfId="0">
      <alignment horizontal="center"/>
    </xf>
    <xf numFmtId="0" fontId="0" fillId="0" borderId="8" applyAlignment="1" pivotButton="0" quotePrefix="0" xfId="0">
      <alignment horizontal="center" vertical="center" wrapText="1"/>
    </xf>
    <xf numFmtId="0" fontId="6" fillId="13" borderId="0" applyAlignment="1" pivotButton="0" quotePrefix="0" xfId="0">
      <alignment horizontal="center" vertical="center" wrapText="1"/>
    </xf>
    <xf numFmtId="0" fontId="0" fillId="14" borderId="1" applyAlignment="1" pivotButton="0" quotePrefix="0" xfId="0">
      <alignment horizontal="center" vertical="center" wrapText="1"/>
    </xf>
    <xf numFmtId="0" fontId="6" fillId="13" borderId="10" applyAlignment="1" pivotButton="0" quotePrefix="0" xfId="0">
      <alignment horizontal="center" vertical="center" wrapText="1"/>
    </xf>
    <xf numFmtId="0" fontId="6" fillId="13" borderId="5" applyAlignment="1" pivotButton="0" quotePrefix="0" xfId="0">
      <alignment horizontal="center" vertical="center" wrapText="1"/>
    </xf>
    <xf numFmtId="0" fontId="0" fillId="14" borderId="8" applyAlignment="1" pivotButton="0" quotePrefix="0" xfId="0">
      <alignment horizontal="center" vertical="center" wrapText="1"/>
    </xf>
    <xf numFmtId="0" fontId="0" fillId="13" borderId="0" pivotButton="0" quotePrefix="0" xfId="0"/>
    <xf numFmtId="0" fontId="0" fillId="0" borderId="9" applyAlignment="1" pivotButton="0" quotePrefix="0" xfId="0">
      <alignment horizontal="center" vertical="center"/>
    </xf>
    <xf numFmtId="0" fontId="7" fillId="15" borderId="0" applyAlignment="1" pivotButton="0" quotePrefix="0" xfId="0">
      <alignment horizontal="center" vertical="center" wrapText="1"/>
    </xf>
    <xf numFmtId="0" fontId="8" fillId="16" borderId="0" applyAlignment="1" pivotButton="0" quotePrefix="0" xfId="0">
      <alignment horizontal="center" vertical="center" wrapText="1"/>
    </xf>
    <xf numFmtId="0" fontId="0" fillId="0" borderId="0" applyAlignment="1" pivotButton="0" quotePrefix="0" xfId="0">
      <alignment horizontal="center" wrapText="1"/>
    </xf>
    <xf numFmtId="0" fontId="0" fillId="0" borderId="0" applyAlignment="1" pivotButton="0" quotePrefix="0" xfId="0">
      <alignment vertical="center" wrapText="1"/>
    </xf>
    <xf numFmtId="0" fontId="7" fillId="16" borderId="0" applyAlignment="1" pivotButton="0" quotePrefix="0" xfId="0">
      <alignment horizontal="center" vertical="center" wrapText="1"/>
    </xf>
    <xf numFmtId="0" fontId="9" fillId="17" borderId="0" applyAlignment="1" pivotButton="0" quotePrefix="0" xfId="0">
      <alignment horizontal="center" vertical="center" wrapText="1"/>
    </xf>
    <xf numFmtId="0" fontId="9" fillId="17" borderId="0" applyAlignment="1" pivotButton="0" quotePrefix="0" xfId="0">
      <alignment horizontal="left" vertical="center" wrapText="1"/>
    </xf>
    <xf numFmtId="0" fontId="10" fillId="18" borderId="0" applyAlignment="1" pivotButton="0" quotePrefix="0" xfId="0">
      <alignment horizontal="center" vertical="center" wrapText="1"/>
    </xf>
    <xf numFmtId="0" fontId="11" fillId="0" borderId="0" pivotButton="0" quotePrefix="0" xfId="0"/>
    <xf numFmtId="0" fontId="1" fillId="8" borderId="1" applyAlignment="1" pivotButton="0" quotePrefix="0" xfId="0">
      <alignment horizontal="center" wrapText="1"/>
    </xf>
    <xf numFmtId="0" fontId="0" fillId="0" borderId="3" pivotButton="0" quotePrefix="0" xfId="0"/>
    <xf numFmtId="0" fontId="0" fillId="0" borderId="4" pivotButton="0" quotePrefix="0" xfId="0"/>
    <xf numFmtId="0" fontId="1" fillId="0" borderId="6" applyAlignment="1" pivotButton="0" quotePrefix="0" xfId="0">
      <alignment horizontal="center"/>
    </xf>
    <xf numFmtId="0" fontId="0" fillId="0" borderId="6" pivotButton="0" quotePrefix="0" xfId="0"/>
    <xf numFmtId="0" fontId="1" fillId="0" borderId="1" applyAlignment="1" pivotButton="0" quotePrefix="0" xfId="0">
      <alignment horizontal="center"/>
    </xf>
    <xf numFmtId="0" fontId="1" fillId="0" borderId="1" applyAlignment="1" pivotButton="0" quotePrefix="0" xfId="0">
      <alignment horizontal="center" vertical="center"/>
    </xf>
    <xf numFmtId="0" fontId="0" fillId="0" borderId="8" pivotButton="0" quotePrefix="0" xfId="0"/>
    <xf numFmtId="0" fontId="0" fillId="0" borderId="0" applyAlignment="1" pivotButton="0" quotePrefix="0" xfId="0">
      <alignment horizontal="center"/>
    </xf>
    <xf numFmtId="0" fontId="0" fillId="0" borderId="0" pivotButton="0" quotePrefix="0" xfId="0"/>
    <xf numFmtId="0" fontId="1" fillId="10" borderId="1" applyAlignment="1" pivotButton="0" quotePrefix="0" xfId="0">
      <alignment horizontal="center" wrapText="1"/>
    </xf>
    <xf numFmtId="0" fontId="0" fillId="0" borderId="0" applyAlignment="1" pivotButton="0" quotePrefix="0" xfId="0">
      <alignment vertical="center"/>
    </xf>
    <xf numFmtId="0" fontId="10" fillId="18" borderId="0" applyAlignment="1" pivotButton="0" quotePrefix="0" xfId="0">
      <alignment horizontal="left" vertical="center"/>
    </xf>
    <xf numFmtId="0" fontId="0" fillId="0" borderId="0" applyAlignment="1" pivotButton="0" quotePrefix="0" xfId="0">
      <alignment horizontal="left" vertical="center"/>
    </xf>
    <xf numFmtId="0" fontId="1" fillId="0" borderId="0" applyAlignment="1" pivotButton="0" quotePrefix="0" xfId="0">
      <alignment horizontal="center" vertical="center" wrapText="1"/>
    </xf>
    <xf numFmtId="0" fontId="0" fillId="0" borderId="0" applyAlignment="1" pivotButton="0" quotePrefix="0" xfId="0">
      <alignment horizontal="left" vertical="center" wrapText="1"/>
    </xf>
    <xf numFmtId="0" fontId="1" fillId="0" borderId="0" applyAlignment="1" pivotButton="0" quotePrefix="0" xfId="0">
      <alignment horizontal="center" vertical="center"/>
    </xf>
    <xf numFmtId="0" fontId="0" fillId="0" borderId="0" applyAlignment="1" pivotButton="0" quotePrefix="0" xfId="0">
      <alignment horizontal="left" vertical="center"/>
    </xf>
    <xf numFmtId="0" fontId="12" fillId="0" borderId="0" pivotButton="0" quotePrefix="0" xfId="0"/>
  </cellXfs>
  <cellStyles count="3">
    <cellStyle name="Normal" xfId="0" builtinId="0"/>
    <cellStyle name="Normal 2" xfId="1"/>
    <cellStyle name="Porcentaje" xfId="2" builtinId="5"/>
  </cellStyles>
  <dxfs count="83">
    <dxf>
      <fill>
        <patternFill patternType="solid">
          <fgColor rgb="FFFF0000"/>
          <bgColor rgb="FFFF0000"/>
        </patternFill>
      </fill>
    </dxf>
    <dxf>
      <fill>
        <patternFill patternType="solid">
          <fgColor rgb="FFFFFF00"/>
          <bgColor rgb="FFFFFF00"/>
        </patternFill>
      </fill>
    </dxf>
    <dxf>
      <fill>
        <patternFill patternType="solid">
          <fgColor rgb="FF00FF00"/>
          <bgColor rgb="FF00FF00"/>
        </patternFill>
      </fill>
    </dxf>
    <dxf>
      <fill>
        <patternFill>
          <bgColor rgb="FF00B050"/>
        </patternFill>
      </fill>
    </dxf>
    <dxf>
      <alignment horizontal="general" vertical="bottom" wrapText="1"/>
      <border>
        <left style="thin">
          <color indexed="64"/>
        </left>
        <right style="thin">
          <color indexed="64"/>
        </right>
        <top style="thin">
          <color indexed="64"/>
        </top>
        <bottom style="thin">
          <color indexed="64"/>
        </bottom>
        <vertical/>
        <horizontal/>
      </border>
    </dxf>
    <dxf>
      <font>
        <name val="Arial"/>
        <family val="2"/>
        <b val="1"/>
        <strike val="0"/>
        <outline val="0"/>
        <shadow val="0"/>
        <condense val="0"/>
        <color theme="1"/>
        <extend val="0"/>
        <sz val="8"/>
        <vertAlign val="baseline"/>
      </font>
      <fill>
        <patternFill patternType="solid">
          <fgColor indexed="64"/>
          <bgColor theme="7"/>
        </patternFill>
      </fill>
      <alignment horizontal="general" vertical="bottom" wrapText="1"/>
      <border>
        <left style="thin">
          <color indexed="64"/>
        </left>
        <right style="thin">
          <color indexed="64"/>
        </right>
        <top style="thin">
          <color indexed="64"/>
        </top>
        <bottom style="thin">
          <color indexed="64"/>
        </bottom>
        <vertical/>
        <horizontal/>
      </border>
    </dxf>
    <dxf>
      <border outline="0">
        <bottom style="thin">
          <color indexed="64"/>
        </bottom>
      </border>
    </dxf>
    <dxf>
      <fill>
        <patternFill>
          <bgColor rgb="FFFFC000"/>
        </patternFill>
      </fill>
    </dxf>
    <dxf>
      <fill>
        <patternFill patternType="solid">
          <bgColor rgb="FFFFFF00"/>
        </patternFill>
      </fill>
    </dxf>
    <dxf>
      <fill>
        <patternFill patternType="solid">
          <bgColor rgb="FFFF0000"/>
        </patternFill>
      </fill>
    </dxf>
    <dxf>
      <fill>
        <patternFill patternType="solid">
          <bgColor rgb="FF00B050"/>
        </patternFill>
      </fill>
    </dxf>
    <dxf>
      <fill>
        <patternFill patternType="solid">
          <bgColor rgb="FFFF0000"/>
        </patternFill>
      </fill>
    </dxf>
    <dxf>
      <fill>
        <patternFill patternType="solid">
          <fgColor indexed="64"/>
          <bgColor rgb="FFFFFF00"/>
        </patternFill>
      </fill>
    </dxf>
    <dxf>
      <fill>
        <patternFill patternType="solid">
          <fgColor indexed="64"/>
          <bgColor rgb="FF00B050"/>
        </patternFill>
      </fill>
    </dxf>
    <dxf>
      <fill>
        <patternFill patternType="solid">
          <fgColor indexed="64"/>
          <bgColor rgb="FFFFC000"/>
        </patternFill>
      </fill>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bottom style="thin">
          <color indexed="64"/>
        </bottom>
        <vertical/>
        <horizontal/>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outline="0">
        <left style="thin">
          <color indexed="64"/>
        </left>
        <right style="thin">
          <color indexed="64"/>
        </right>
        <top style="thin">
          <color indexed="64"/>
        </top>
        <bottom style="thin">
          <color indexed="64"/>
        </bottom>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border outline="0">
        <left style="thin">
          <color indexed="64"/>
        </left>
      </border>
    </dxf>
    <dxf>
      <fill>
        <patternFill patternType="solid">
          <fgColor indexed="64"/>
          <bgColor theme="0"/>
        </patternFill>
      </fill>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border>
        <left style="thin">
          <color indexed="64"/>
        </left>
        <right/>
        <top style="thin">
          <color indexed="64"/>
        </top>
        <bottom style="thin">
          <color indexed="64"/>
        </bottom>
        <vertical/>
        <horizontal/>
      </border>
    </dxf>
    <dxf>
      <border>
        <left style="thin">
          <color indexed="64"/>
        </left>
        <right/>
        <top style="thin">
          <color indexed="64"/>
        </top>
        <bottom style="thin">
          <color indexed="64"/>
        </bottom>
        <vertical style="thin">
          <color indexed="64"/>
        </vertical>
        <horizontal style="thin">
          <color indexed="64"/>
        </horizontal>
      </border>
    </dxf>
    <dxf>
      <alignment horizontal="center" vertical="center"/>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wrapText="1"/>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alignment horizontal="center" vertical="center" wrapText="1"/>
    </dxf>
    <dxf>
      <border>
        <bottom style="thin">
          <color indexed="64"/>
        </bottom>
      </border>
    </dxf>
    <dxf>
      <font>
        <name val="Arial"/>
        <family val="2"/>
        <b val="1"/>
        <strike val="0"/>
        <outline val="0"/>
        <shadow val="0"/>
        <condense val="0"/>
        <color theme="1"/>
        <extend val="0"/>
        <sz val="8"/>
        <vertAlign val="baseline"/>
      </font>
      <fill>
        <patternFill patternType="solid">
          <fgColor indexed="64"/>
          <bgColor theme="1"/>
        </patternFill>
      </fill>
      <alignment horizontal="center" vertical="center" wrapText="1"/>
      <border>
        <left style="thin">
          <color indexed="64"/>
        </left>
        <right style="thin">
          <color indexed="64"/>
        </right>
        <top/>
        <bottom/>
        <vertical style="thin">
          <color indexed="64"/>
        </vertical>
        <horizontal style="thin">
          <color indexed="64"/>
        </horizontal>
      </border>
    </dxf>
    <dxf>
      <numFmt numFmtId="0" formatCode="General"/>
      <border>
        <left style="thin">
          <color indexed="64"/>
        </left>
        <right style="thin">
          <color indexed="64"/>
        </right>
        <top style="thin">
          <color indexed="64"/>
        </top>
        <bottom style="thin">
          <color indexed="64"/>
        </bottom>
        <vertical/>
        <horizontal/>
      </border>
    </dxf>
    <dxf>
      <border>
        <left style="thin">
          <color indexed="64"/>
        </left>
        <right/>
        <top style="thin">
          <color indexed="64"/>
        </top>
        <bottom style="thin">
          <color indexed="64"/>
        </bottom>
        <vertical/>
        <horizontal/>
      </border>
    </dxf>
    <dxf>
      <numFmt numFmtId="19" formatCode="dd/mm/yyyy"/>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name val="Arial"/>
        <family val="2"/>
        <b val="1"/>
        <strike val="0"/>
        <outline val="0"/>
        <shadow val="0"/>
        <condense val="0"/>
        <color theme="1"/>
        <extend val="0"/>
        <sz val="8"/>
        <vertAlign val="baseline"/>
      </font>
      <fill>
        <patternFill patternType="solid">
          <fgColor indexed="64"/>
          <bgColor theme="8" tint="0.5999938962981048"/>
        </patternFill>
      </fill>
      <alignment horizontal="center" vertical="bottom" wrapText="1"/>
      <border outline="0">
        <left style="thin">
          <color indexed="64"/>
        </left>
        <right style="thin">
          <color indexed="64"/>
        </right>
        <top/>
        <bottom/>
      </border>
    </dxf>
    <dxf>
      <fill>
        <patternFill patternType="solid">
          <fgColor rgb="00FFC7CE"/>
          <bgColor rgb="00FFC7CE"/>
        </patternFill>
      </fill>
    </dxf>
    <dxf>
      <fill>
        <patternFill patternType="solid">
          <fgColor rgb="00C6EFCE"/>
          <bgColor rgb="00C6EFCE"/>
        </patternFill>
      </fill>
    </dxf>
    <dxf>
      <fill>
        <patternFill patternType="solid">
          <fgColor rgb="00FFEB9C"/>
          <bgColor rgb="00FFEB9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pivotCacheDefinition" Target="/xl/pivotCache/pivotCacheDefinition1.xml" Id="rId15" /><Relationship Type="http://schemas.openxmlformats.org/officeDocument/2006/relationships/pivotCacheDefinition" Target="/xl/pivotCache/pivotCacheDefinition2.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pivotSource>
    <name>[GGESTION DE RIESGOS - ACTIVOS DE INF-2026.xlsx]INDICADORES!TablaDinámica5</name>
    <fmtId val="0"/>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rgbClr val="FF0000"/>
          </a:solidFill>
          <a:ln>
            <a:noFill/>
            <a:prstDash val="solid"/>
          </a:ln>
          <a:sp3d prstMaterial="flat"/>
        </spPr>
      </pivotFmt>
      <pivotFmt>
        <idx val="2"/>
        <spPr>
          <a:solidFill>
            <a:schemeClr val="accent4"/>
          </a:solidFill>
          <a:ln>
            <a:noFill/>
            <a:prstDash val="solid"/>
          </a:ln>
          <a:sp3d prstMaterial="flat"/>
        </spPr>
      </pivotFmt>
      <pivotFmt>
        <idx val="3"/>
        <spPr>
          <a:solidFill>
            <a:schemeClr val="accent6">
              <a:lumMod val="75000"/>
            </a:schemeClr>
          </a:solidFill>
          <a:ln>
            <a:noFill/>
            <a:prstDash val="solid"/>
          </a:ln>
          <a:sp3d prstMaterial="flat"/>
        </spPr>
      </pivotFmt>
    </pivotFmts>
    <plotArea>
      <layout/>
      <pieChart>
        <varyColors val="1"/>
        <ser>
          <idx val="0"/>
          <order val="0"/>
          <tx>
            <strRef>
              <f>INDICADORES!$B$1</f>
              <strCache>
                <ptCount val="1"/>
                <pt idx="0">
                  <v>Total</v>
                </pt>
              </strCache>
            </strRef>
          </tx>
          <spPr>
            <a:ln>
              <a:prstDash val="solid"/>
            </a:ln>
          </spPr>
          <dPt>
            <idx val="0"/>
            <bubble3D val="0"/>
            <spPr>
              <a:solidFill>
                <a:srgbClr val="FF0000"/>
              </a:solidFill>
              <a:ln>
                <a:noFill/>
                <a:prstDash val="solid"/>
              </a:ln>
              <a:sp3d prstMaterial="flat"/>
            </spPr>
          </dPt>
          <dPt>
            <idx val="1"/>
            <bubble3D val="0"/>
            <spPr>
              <a:solidFill>
                <a:schemeClr val="accent4"/>
              </a:solidFill>
              <a:ln>
                <a:noFill/>
                <a:prstDash val="solid"/>
              </a:ln>
              <a:sp3d prstMaterial="flat"/>
            </spPr>
          </dPt>
          <dPt>
            <idx val="2"/>
            <bubble3D val="0"/>
            <spPr>
              <a:solidFill>
                <a:schemeClr val="accent6">
                  <a:lumMod val="75000"/>
                </a:schemeClr>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INDICADORES!$A$2:$A$5</f>
              <strCache>
                <ptCount val="3"/>
                <pt idx="0">
                  <v>ALTA</v>
                </pt>
                <pt idx="1">
                  <v>BAJA</v>
                </pt>
                <pt idx="2">
                  <v>MEDIA</v>
                </pt>
              </strCache>
            </strRef>
          </cat>
          <val>
            <numRef>
              <f>INDICADORES!$B$2:$B$5</f>
              <numCache>
                <formatCode>General</formatCode>
                <ptCount val="3"/>
                <pt idx="0">
                  <v>68</v>
                </pt>
                <pt idx="1">
                  <v>639</v>
                </pt>
                <pt idx="2">
                  <v>697</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pivotSource>
    <name>[GGESTION DE RIESGOS - ACTIVOS DE INF-2026.xlsx]INDICADORES!TablaDinámica6</name>
    <fmtId val="2"/>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
        <idx val="4"/>
        <spPr>
          <a:solidFill>
            <a:schemeClr val="accent4"/>
          </a:solidFill>
          <a:ln>
            <a:noFill/>
            <a:prstDash val="solid"/>
          </a:ln>
          <a:sp3d prstMaterial="flat"/>
        </spPr>
      </pivotFmt>
      <pivotFmt>
        <idx val="5"/>
        <spPr>
          <a:solidFill>
            <a:schemeClr val="accent5"/>
          </a:solidFill>
          <a:ln>
            <a:noFill/>
            <a:prstDash val="solid"/>
          </a:ln>
          <a:sp3d prstMaterial="flat"/>
        </spPr>
      </pivotFmt>
      <pivotFmt>
        <idx val="6"/>
        <spPr>
          <a:solidFill>
            <a:schemeClr val="accent6"/>
          </a:solidFill>
          <a:ln>
            <a:noFill/>
            <a:prstDash val="solid"/>
          </a:ln>
          <a:sp3d prstMaterial="flat"/>
        </spPr>
      </pivotFmt>
    </pivotFmts>
    <plotArea>
      <layout/>
      <pieChart>
        <varyColors val="1"/>
        <ser>
          <idx val="0"/>
          <order val="0"/>
          <tx>
            <strRef>
              <f>INDICADORES!$B$11</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Pt>
            <idx val="3"/>
            <bubble3D val="0"/>
            <spPr>
              <a:solidFill>
                <a:schemeClr val="accent4"/>
              </a:solidFill>
              <a:ln>
                <a:noFill/>
                <a:prstDash val="solid"/>
              </a:ln>
              <a:sp3d prstMaterial="flat"/>
            </spPr>
          </dPt>
          <dPt>
            <idx val="4"/>
            <bubble3D val="0"/>
            <spPr>
              <a:solidFill>
                <a:schemeClr val="accent5"/>
              </a:solidFill>
              <a:ln>
                <a:noFill/>
                <a:prstDash val="solid"/>
              </a:ln>
              <a:sp3d prstMaterial="flat"/>
            </spPr>
          </dPt>
          <dPt>
            <idx val="5"/>
            <bubble3D val="0"/>
            <spPr>
              <a:solidFill>
                <a:schemeClr val="accent6"/>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INDICADORES!$A$12:$A$18</f>
              <strCache>
                <ptCount val="6"/>
                <pt idx="0">
                  <v>[D] Datos / Información / datos de configuración</v>
                </pt>
                <pt idx="1">
                  <v>[HW] Equipamiento informático (hardware)</v>
                </pt>
                <pt idx="2">
                  <v>[Media] Soportes de información</v>
                </pt>
                <pt idx="3">
                  <v>[P] Personal</v>
                </pt>
                <pt idx="4">
                  <v>[S] Servicios</v>
                </pt>
                <pt idx="5">
                  <v>[SW] Software - Aplicaciones informáticas</v>
                </pt>
              </strCache>
            </strRef>
          </cat>
          <val>
            <numRef>
              <f>INDICADORES!$B$12:$B$18</f>
              <numCache>
                <formatCode>General</formatCode>
                <ptCount val="6"/>
                <pt idx="0">
                  <v>59</v>
                </pt>
                <pt idx="1">
                  <v>103</v>
                </pt>
                <pt idx="2">
                  <v>4</v>
                </pt>
                <pt idx="3">
                  <v>4</v>
                </pt>
                <pt idx="4">
                  <v>10</v>
                </pt>
                <pt idx="5">
                  <v>29</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pivotSource>
    <name>[GGESTION DE RIESGOS - ACTIVOS DE INF-2026.xlsx]INDICADORES!TablaDinámica7</name>
    <fmtId val="37"/>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
        <idx val="4"/>
        <spPr>
          <a:solidFill>
            <a:schemeClr val="accent4"/>
          </a:solidFill>
          <a:ln>
            <a:noFill/>
            <a:prstDash val="solid"/>
          </a:ln>
          <a:sp3d prstMaterial="flat"/>
        </spPr>
      </pivotFmt>
    </pivotFmts>
    <plotArea>
      <layout/>
      <pieChart>
        <varyColors val="1"/>
        <ser>
          <idx val="0"/>
          <order val="0"/>
          <tx>
            <strRef>
              <f>INDICADORES!$B$32</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Pt>
            <idx val="3"/>
            <bubble3D val="0"/>
            <spPr>
              <a:solidFill>
                <a:schemeClr val="accent4"/>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INDICADORES!$A$33:$A$37</f>
              <strCache>
                <ptCount val="4"/>
                <pt idx="0">
                  <v>ALTO</v>
                </pt>
                <pt idx="1">
                  <v>BAJO</v>
                </pt>
                <pt idx="2">
                  <v>CRITICO</v>
                </pt>
                <pt idx="3">
                  <v>MEDIO</v>
                </pt>
              </strCache>
            </strRef>
          </cat>
          <val>
            <numRef>
              <f>INDICADORES!$B$33:$B$37</f>
              <numCache>
                <formatCode>General</formatCode>
                <ptCount val="4"/>
                <pt idx="0">
                  <v>33</v>
                </pt>
                <pt idx="1">
                  <v>25</v>
                </pt>
                <pt idx="2">
                  <v>3</v>
                </pt>
                <pt idx="3">
                  <v>148</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pivotSource>
    <name>[GGESTION DE RIESGOS - ACTIVOS DE INF-2026.xlsx]INDICADORES!TablaDinámica8</name>
    <fmtId val="46"/>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s>
    <plotArea>
      <layout/>
      <pieChart>
        <varyColors val="1"/>
        <ser>
          <idx val="0"/>
          <order val="0"/>
          <tx>
            <strRef>
              <f>INDICADORES!$B$52</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INDICADORES!$A$53:$A$56</f>
              <strCache>
                <ptCount val="3"/>
                <pt idx="0">
                  <v>ALTO</v>
                </pt>
                <pt idx="1">
                  <v>BAJO</v>
                </pt>
                <pt idx="2">
                  <v>MEDIO</v>
                </pt>
              </strCache>
            </strRef>
          </cat>
          <val>
            <numRef>
              <f>INDICADORES!$B$53:$B$56</f>
              <numCache>
                <formatCode>General</formatCode>
                <ptCount val="3"/>
                <pt idx="0">
                  <v>9</v>
                </pt>
                <pt idx="1">
                  <v>89</v>
                </pt>
                <pt idx="2">
                  <v>111</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col>
      <colOff>671593</colOff>
      <row>0</row>
      <rowOff>45721</rowOff>
    </from>
    <to>
      <col>3</col>
      <colOff>1853339</colOff>
      <row>8</row>
      <rowOff>6459</rowOff>
    </to>
    <graphicFrame>
      <nvGraphicFramePr>
        <cNvPr id="1" name="Chart 1"/>
        <cNvGraphicFramePr/>
      </nvGraphicFramePr>
      <xfrm/>
      <a:graphic>
        <a:graphicData uri="http://schemas.openxmlformats.org/drawingml/2006/chart">
          <c:chart r:id="rId1"/>
        </a:graphicData>
      </a:graphic>
    </graphicFrame>
    <clientData/>
  </twoCellAnchor>
  <twoCellAnchor>
    <from>
      <col>2</col>
      <colOff>684509</colOff>
      <row>9</row>
      <rowOff>646</rowOff>
    </from>
    <to>
      <col>4</col>
      <colOff>1394846</colOff>
      <row>18</row>
      <rowOff>103322</rowOff>
    </to>
    <graphicFrame>
      <nvGraphicFramePr>
        <cNvPr id="2" name="Chart 2"/>
        <cNvGraphicFramePr/>
      </nvGraphicFramePr>
      <xfrm/>
      <a:graphic>
        <a:graphicData uri="http://schemas.openxmlformats.org/drawingml/2006/chart">
          <c:chart r:id="rId2"/>
        </a:graphicData>
      </a:graphic>
    </graphicFrame>
    <clientData/>
  </twoCellAnchor>
  <twoCellAnchor>
    <from>
      <col>6</col>
      <colOff>242956</colOff>
      <row>21</row>
      <rowOff>5521</rowOff>
    </from>
    <to>
      <col>7</col>
      <colOff>306455</colOff>
      <row>35</row>
      <rowOff>68469</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33130</colOff>
      <row>40</row>
      <rowOff>66260</rowOff>
    </from>
    <to>
      <col>6</col>
      <colOff>3406913</colOff>
      <row>58</row>
      <rowOff>38651</rowOff>
    </to>
    <graphicFrame>
      <nvGraphicFramePr>
        <cNvPr id="4" name="Chart 4"/>
        <cNvGraphicFramePr/>
      </nvGraphicFramePr>
      <xfrm/>
      <a:graphic>
        <a:graphicData uri="http://schemas.openxmlformats.org/drawingml/2006/chart">
          <c:chart r:id="rId4"/>
        </a:graphicData>
      </a:graphic>
    </graphicFrame>
    <clientData/>
  </twoCellAnchor>
</wsDr>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2.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ANDRADE PIJUANGO JEFFERSON ESTEBAN" refreshedDate="46118.32009398149" createdVersion="8" refreshedVersion="8" minRefreshableVersion="3" recordCount="209" r:id="rId1">
  <cacheSource type="worksheet">
    <worksheetSource name="Tabla5"/>
  </cacheSource>
  <cacheFields count="23">
    <cacheField name="ACTIVO" uniqueList="1" numFmtId="0" sqlType="0" hierarchy="0" level="0" databaseField="1">
      <sharedItems count="68">
        <s v="16-GTI"/>
        <s v="21-GTI"/>
        <s v="63-GTI"/>
        <s v="64-GTI"/>
        <s v="65-GTI"/>
        <s v="66-GTI"/>
        <s v="67-GTI"/>
        <s v="68-GTI"/>
        <s v="69-GTI"/>
        <s v="70-GTI"/>
        <s v="71-GTI"/>
        <s v="72-GTI"/>
        <s v="73-GTI"/>
        <s v="74-GTI"/>
        <s v="75-GTI"/>
        <s v="77-GTI"/>
        <s v="78-GTI"/>
        <s v="80-GTI"/>
        <s v="81-GTI"/>
        <s v="85-GTI"/>
        <s v="86-GTI"/>
        <s v="87-GTI"/>
        <s v="88-GTI"/>
        <s v="89-GTI"/>
        <s v="90-GTI"/>
        <s v="91-GTI"/>
        <s v="92-GTI"/>
        <s v="93-GTI"/>
        <s v="94-GTI"/>
        <s v="115-GTI"/>
        <s v="116-GTI"/>
        <s v="117-GTI"/>
        <s v="118-GTI"/>
        <s v="119-GTI"/>
        <s v="120-GTI"/>
        <s v="9-GFI"/>
        <s v="10-GFI"/>
        <s v="48-GFI"/>
        <s v="11-GSO"/>
        <s v="56-GSO"/>
        <s v="71-GAD"/>
        <s v="23-GCO"/>
        <s v="28-GCO"/>
        <s v="32-GCO"/>
        <s v="39-GCO"/>
        <s v="40-GCO"/>
        <s v="42-GCO"/>
        <s v="44-GCO"/>
        <s v="45-GCO"/>
        <s v="46-GCO"/>
        <s v="52-GCO"/>
        <s v="30-GNE"/>
        <s v="32-GNE"/>
        <s v="37-GNE"/>
        <s v="40-GNE"/>
        <s v="43-GNE"/>
        <s v="44-GNE"/>
        <s v="46-GNE"/>
        <s v="58-GOP"/>
        <s v="67-GOP"/>
        <s v="75-GOP"/>
        <s v="86-GOP"/>
        <s v="19-GRE "/>
        <s v="23-GRE "/>
        <s v="26-GRE "/>
        <s v="27-GRE "/>
        <s v="30-GRE "/>
        <s v="38-GRE "/>
      </sharedItems>
    </cacheField>
    <cacheField name="NOMBRE" uniqueList="1" numFmtId="0" sqlType="0" hierarchy="0" level="0" databaseField="1">
      <sharedItems count="63">
        <s v="Respaldo de información"/>
        <s v="Registro control de respaldos"/>
        <s v="Home Banking"/>
        <s v="Cooperativa Virtual"/>
        <s v="Sendmail"/>
        <s v="correo electronico"/>
        <s v="Check Point"/>
        <s v="FortiAnalyzer"/>
        <s v="UTM Fortinet"/>
        <s v="Eset Endpoint Security"/>
        <s v="FortiMail"/>
        <s v="Informe de gestión"/>
        <s v="Consola ESET"/>
        <s v="Consola AntiSpam"/>
        <s v="Consola Firewall"/>
        <s v="Consola FortiAnalizer"/>
        <s v="FortiGate"/>
        <s v="Administrador de Seguridad Informática"/>
        <s v="Administrador de Base de Datos"/>
        <s v="Ruteador CISCO 1900 Series (02)"/>
        <s v="Ruteador CISCO 1900 Series (03)"/>
        <s v="Ruteador CISCO 1900 Series (04)"/>
        <s v="ATUNPRODU"/>
        <s v="Ruteador CISCO 880 Series (05)"/>
        <s v="Ruteador CISCO 1800 Series (06)"/>
        <s v="Ruteador CISCO 1800 Series (07)"/>
        <s v="Ruteador CISCO 1800 Series (09)"/>
        <s v="Ruteador CISCO 1800 Series (08)"/>
        <s v="Ruteador CISCO 1800 Series (SERVIPAGOS)"/>
        <s v="SERVIDOR VM ESXI (Sistemas Externos, WS/APP Públicos)"/>
        <s v="SERVIDOR VM ESXI (SW Cajeros)(VMSRVINTERNOS2)"/>
        <s v="SERVIDOR VM ESXI (Sistemas, WS Internos) (VMSRVINTERNOS)"/>
        <s v="SERVIDOR VM ESXI (Sistemas, WS Internos)(VMSREXTERNOS3)"/>
        <s v="Administrador de Comunicación e Infrestructura"/>
        <s v="Escrituras del Bien inmueble/ Autorizaciones de Gerencia"/>
        <s v="Cheque"/>
        <s v="Certificado de Depósito a Plazo"/>
        <s v="Sobres sellados con claves de contingencia"/>
        <s v="Formulario activación o desactivación de la auditoria"/>
        <s v="Contrato"/>
        <s v="Cartera transferida"/>
        <s v="Minuta de levantamiento de hipoteca o prenda"/>
        <s v="Convenio de compra de cartera"/>
        <s v="Expedientes físicos"/>
        <s v="Expedientes digitales"/>
        <s v="Pagarés endosados"/>
        <s v="Pólizas de seguro endosadas"/>
        <s v="Pagaré"/>
        <s v="Póliza de seguro vehicular"/>
        <s v="Operaciones de crédito vendidas"/>
        <s v="Grabaciones Sistema Issabel"/>
        <s v="Reportes del módulo de_x000a_Cooperativa Virtual"/>
        <s v="Equipos de computación de Analista de Contact Center"/>
        <s v="Cheques / Depósito"/>
        <s v="Comprobante de ingreso y egreso de caja"/>
        <s v="Cheques"/>
        <s v="Cheques / Retiro"/>
        <s v="Equipos de computación del Jefe de Cobranza"/>
        <s v="Documentos para el inicio de tramites judiciales"/>
        <s v="Documentos habilitantes para la demanda"/>
        <s v="Registro de cartera asignada a abogados externos"/>
        <s v="Escritura de adjudicación del bien"/>
        <s v="Equipos de computación del Gerente Jurídico"/>
      </sharedItems>
    </cacheField>
    <cacheField name="DESCRIPCION" uniqueList="1" numFmtId="0" sqlType="0" hierarchy="0" level="0" databaseField="1">
      <sharedItems count="0"/>
    </cacheField>
    <cacheField name="TIPO DE ACTIVO" uniqueList="1" numFmtId="0" sqlType="0" hierarchy="0" level="0" databaseField="1">
      <sharedItems count="0" containsBlank="1"/>
    </cacheField>
    <cacheField name="TIPO DE ACTIVO MAGGERIT" uniqueList="1" numFmtId="0" sqlType="0" hierarchy="0" level="0" databaseField="1">
      <sharedItems count="6">
        <s v="[Media] Soportes de información"/>
        <s v="[D] Datos / Información / datos de configuración"/>
        <s v="[SW] Software - Aplicaciones informáticas"/>
        <s v="[HW] Equipamiento informático (hardware)"/>
        <s v="[S] Servicios"/>
        <s v="[P] Personal"/>
      </sharedItems>
    </cacheField>
    <cacheField name="EVENTO DE AMENAZA" uniqueList="1" numFmtId="0" sqlType="0" hierarchy="0" level="0" databaseField="1">
      <sharedItems count="17">
        <s v="[E.2] Errores del administrador"/>
        <s v="[E.18] Destrucción de información"/>
        <s v="[N.1] Fuego"/>
        <s v="[E.19] Fugas de información"/>
        <s v="[A.11] Acceso no autorizado"/>
        <s v="[A.5] Suplantación de la identidad del usuario"/>
        <s v="[A.6] Abuso de privilegios de acceso"/>
        <s v="[E.20] Vulnerabilidades de los programas (software)"/>
        <s v="[E.21] Errores de mantenimiento / actualización de programas (software)"/>
        <s v="[E.24] Caída del sistema por agotamiento de recursos"/>
        <s v="[A.23] Manipulación de los equipos"/>
        <s v="[A.24] Denegación de servicio"/>
        <s v="[E.23] Errores de mantenimiento / actualización de equipos (hardware)"/>
        <s v="[A.19] Divulgación de información"/>
        <s v="[E.28] Indisponibilidad del personal"/>
        <s v="[A.7] Uso no previsto"/>
        <s v="[E.25] Pérdida de equipos"/>
      </sharedItems>
    </cacheField>
    <cacheField name="CID" uniqueList="1" numFmtId="0" sqlType="0" hierarchy="0" level="0" databaseField="1">
      <sharedItems count="8">
        <s v="[I] integridad _x000a_[C] confidencialidad _x000a_[D] disponibilidad"/>
        <s v="[D] disponibilidad"/>
        <s v="[C] confidencialidad"/>
        <s v="[I] integridad _x000a_[C] confidencialidad"/>
        <s v="[I] integridad _x000a_[C] confidencialidad _x000a_[A] Autenticidad"/>
        <s v="[I] integridad _x000a_[D] disponibilidad"/>
        <s v="[C] confidencialidad _x000a_[D] disponibilidad"/>
        <s v="_x000a_[C] confidencialidad _x000a_[D] disponibilidad"/>
      </sharedItems>
    </cacheField>
    <cacheField name="CONFIDENCIALIDAD" uniqueList="1" numFmtId="0" sqlType="0" hierarchy="0" level="0" databaseField="1">
      <sharedItems count="0" containsBlank="1"/>
    </cacheField>
    <cacheField name="INTEGRIDAD" uniqueList="1" numFmtId="0" sqlType="0" hierarchy="0" level="0" databaseField="1">
      <sharedItems count="0" containsBlank="1"/>
    </cacheField>
    <cacheField name="DISPONIBILIDAD" uniqueList="1" numFmtId="0" sqlType="0" hierarchy="0" level="0" databaseField="1">
      <sharedItems count="0" containsBlank="1"/>
    </cacheField>
    <cacheField name="PROBABILIDAD" uniqueList="1" numFmtId="0" sqlType="0" hierarchy="0" level="0" databaseField="1">
      <sharedItems count="0" containsInteger="1" containsNumber="1" containsSemiMixedTypes="0" containsString="0" minValue="1" maxValue="4"/>
    </cacheField>
    <cacheField name="IMPACTO" uniqueList="1" numFmtId="0" sqlType="0" hierarchy="0" level="0" databaseField="1">
      <sharedItems count="0" containsInteger="1" containsNumber="1" containsSemiMixedTypes="0" containsString="0" minValue="2" maxValue="5"/>
    </cacheField>
    <cacheField name="RIESGO INHERENTE" uniqueList="1" numFmtId="0" sqlType="0" hierarchy="0" level="0" databaseField="1">
      <sharedItems count="11" containsInteger="1" containsNumber="1" containsSemiMixedTypes="0" containsString="0" minValue="2" maxValue="20">
        <n v="8"/>
        <n v="4"/>
        <n v="2"/>
        <n v="20"/>
        <n v="16"/>
        <n v="12"/>
        <n v="6"/>
        <n v="9"/>
        <n v="3"/>
        <n v="15"/>
        <n v="10"/>
      </sharedItems>
    </cacheField>
    <cacheField name="DETERMINACION RIESGO ACUMULADO O INHERENTE" uniqueList="1" numFmtId="0" sqlType="0" hierarchy="0" level="0" databaseField="1">
      <sharedItems count="4">
        <s v="MEDIO"/>
        <s v="BAJO"/>
        <s v="CRITICO"/>
        <s v="ALTO"/>
      </sharedItems>
    </cacheField>
    <cacheField name="CONTROLES EXISTENTES" uniqueList="1" numFmtId="0" sqlType="0" hierarchy="0" level="0" databaseField="1">
      <sharedItems count="0"/>
    </cacheField>
    <cacheField name="TIPO DE PROTECCION" uniqueList="1" numFmtId="0" sqlType="0" hierarchy="0" level="0" databaseField="1">
      <sharedItems count="0"/>
    </cacheField>
    <cacheField name="MADUREZ DEL CONTROL" uniqueList="1" numFmtId="0" sqlType="0" hierarchy="0" level="0" databaseField="1">
      <sharedItems count="2">
        <s v="Control Implementado sin evidencia de efectividad (Inefectivo prueba)"/>
        <s v="Control implementado formalizado y probado"/>
      </sharedItems>
    </cacheField>
    <cacheField name="VALOR DE EFICACIA" uniqueList="1" numFmtId="9" sqlType="0" hierarchy="0" level="0" databaseField="1">
      <sharedItems count="3" containsNumber="1" containsSemiMixedTypes="0" containsString="0" minValue="0.3" maxValue="0.8">
        <n v="0.3"/>
        <n v="0.8"/>
        <n v="0.4"/>
      </sharedItems>
    </cacheField>
    <cacheField name="VULNERABILIDADES" uniqueList="1" numFmtId="0" sqlType="0" hierarchy="0" level="0" databaseField="1">
      <sharedItems count="0"/>
    </cacheField>
    <cacheField name="PROBABILIDAD RESIDUAL" uniqueList="1" numFmtId="2" sqlType="0" hierarchy="0" level="0" databaseField="1">
      <sharedItems count="0" containsNumber="1" containsSemiMixedTypes="0" containsString="0" minValue="0.3999999999999999" maxValue="3"/>
    </cacheField>
    <cacheField name="IMPACTO RESIDUAL" uniqueList="1" numFmtId="2" sqlType="0" hierarchy="0" level="0" databaseField="1">
      <sharedItems count="0" containsNumber="1" containsSemiMixedTypes="0" containsString="0" minValue="1.4" maxValue="5"/>
    </cacheField>
    <cacheField name="RIESGO RESIDUAL" uniqueList="1" numFmtId="0" sqlType="0" hierarchy="0" level="0" databaseField="1">
      <sharedItems count="0" containsNumber="1" containsSemiMixedTypes="0" containsString="0" minValue="1.2" maxValue="14"/>
    </cacheField>
    <cacheField name="DETERMINACION RIESGO RESIDUAL" uniqueList="1" numFmtId="0" sqlType="0" hierarchy="0" level="0" databaseField="1">
      <sharedItems count="3">
        <s v="MEDIO"/>
        <s v="BAJO"/>
        <s v="ALTO"/>
      </sharedItems>
    </cacheField>
  </cacheFields>
</pivotCacheDefinition>
</file>

<file path=xl/pivotCache/pivotCacheDefinition2.xml><?xml version="1.0" encoding="utf-8"?>
<pivotCacheDefinition xmlns:r="http://schemas.openxmlformats.org/officeDocument/2006/relationships" xmlns="http://schemas.openxmlformats.org/spreadsheetml/2006/main" refreshedBy="ANDRADE PIJUANGO JEFFERSON ESTEBAN" refreshedDate="46118.50282824074" createdVersion="8" refreshedVersion="8" minRefreshableVersion="3" recordCount="1404" r:id="rId1">
  <cacheSource type="worksheet">
    <worksheetSource name="Tabla2"/>
  </cacheSource>
  <cacheFields count="24">
    <cacheField name="ID" uniqueList="1" numFmtId="0" sqlType="0" hierarchy="0" level="0" databaseField="1">
      <sharedItems count="0"/>
    </cacheField>
    <cacheField name="TIPO DE PROCESO" uniqueList="1" numFmtId="0" sqlType="0" hierarchy="0" level="0" databaseField="1">
      <sharedItems count="0"/>
    </cacheField>
    <cacheField name="TIPO DE MACROPROCESO" uniqueList="1" numFmtId="0" sqlType="0" hierarchy="0" level="0" databaseField="1">
      <sharedItems count="0"/>
    </cacheField>
    <cacheField name="CODIGO MACROPROCESO" uniqueList="1" numFmtId="0" sqlType="0" hierarchy="0" level="0" databaseField="1">
      <sharedItems count="0"/>
    </cacheField>
    <cacheField name="PROCESO" uniqueList="1" numFmtId="0" sqlType="0" hierarchy="0" level="0" databaseField="1">
      <sharedItems count="0"/>
    </cacheField>
    <cacheField name="SUBPROCESO" uniqueList="1" numFmtId="0" sqlType="0" hierarchy="0" level="0" databaseField="1">
      <sharedItems count="0"/>
    </cacheField>
    <cacheField name="PROCEDIMIENTO" uniqueList="1" numFmtId="0" sqlType="0" hierarchy="0" level="0" databaseField="1">
      <sharedItems count="0" longText="1"/>
    </cacheField>
    <cacheField name="NOMBRE" uniqueList="1" numFmtId="0" sqlType="0" hierarchy="0" level="0" databaseField="1">
      <sharedItems count="0"/>
    </cacheField>
    <cacheField name="DESCRIPCIÓN" uniqueList="1" numFmtId="0" sqlType="0" hierarchy="0" level="0" databaseField="1">
      <sharedItems count="0" longText="1"/>
    </cacheField>
    <cacheField name="RESPONSABLE" uniqueList="1" numFmtId="0" sqlType="0" hierarchy="0" level="0" databaseField="1">
      <sharedItems count="0"/>
    </cacheField>
    <cacheField name="CUSTODIO" uniqueList="1" numFmtId="0" sqlType="0" hierarchy="0" level="0" databaseField="1">
      <sharedItems count="0"/>
    </cacheField>
    <cacheField name="UBICACIÓN" uniqueList="1" numFmtId="0" sqlType="0" hierarchy="0" level="0" databaseField="1">
      <sharedItems count="0"/>
    </cacheField>
    <cacheField name="MEDIO DE CONSERVACIÓN" uniqueList="1" numFmtId="0" sqlType="0" hierarchy="0" level="0" databaseField="1">
      <sharedItems count="0"/>
    </cacheField>
    <cacheField name="TIPO DE ACTIVO" uniqueList="1" numFmtId="0" sqlType="0" hierarchy="0" level="0" databaseField="1">
      <sharedItems count="0"/>
    </cacheField>
    <cacheField name="CATEGORÍA" uniqueList="1" numFmtId="0" sqlType="0" hierarchy="0" level="0" databaseField="1">
      <sharedItems count="0"/>
    </cacheField>
    <cacheField name="CONFIDENCIALIDAD" uniqueList="1" numFmtId="0" sqlType="0" hierarchy="0" level="0" databaseField="1">
      <sharedItems count="0"/>
    </cacheField>
    <cacheField name="INTEGRIDAD" uniqueList="1" numFmtId="0" sqlType="0" hierarchy="0" level="0" databaseField="1">
      <sharedItems count="0"/>
    </cacheField>
    <cacheField name="DISPONIBILIDAD" uniqueList="1" numFmtId="0" sqlType="0" hierarchy="0" level="0" databaseField="1">
      <sharedItems count="0"/>
    </cacheField>
    <cacheField name="VALORACION" uniqueList="1" numFmtId="0" sqlType="0" hierarchy="0" level="0" databaseField="1">
      <sharedItems count="0" containsInteger="1" containsNumber="1" containsSemiMixedTypes="0" containsString="0" minValue="3" maxValue="9"/>
    </cacheField>
    <cacheField name="CRITICIDAD" uniqueList="1" numFmtId="0" sqlType="0" hierarchy="0" level="0" databaseField="1">
      <sharedItems count="3">
        <s v="BAJA"/>
        <s v="MEDIA"/>
        <s v="ALTA"/>
      </sharedItems>
    </cacheField>
    <cacheField name="ACCESO EXTERNO" uniqueList="1" numFmtId="0" sqlType="0" hierarchy="0" level="0" databaseField="1">
      <sharedItems count="0"/>
    </cacheField>
    <cacheField name="FECHA DE REGISTRO" uniqueList="1" numFmtId="14" sqlType="0" hierarchy="0" level="0" databaseField="1">
      <sharedItems count="0" containsDate="1" containsMixedTypes="1" minDate="2019-12-16T00:00:00" maxDate="2025-02-27T00:00:00"/>
    </cacheField>
    <cacheField name="FECHA DE SALIDA" uniqueList="1" numFmtId="0" sqlType="0" hierarchy="0" level="0" databaseField="1">
      <sharedItems count="0"/>
    </cacheField>
    <cacheField name="RIESGO EVALUADO" uniqueList="1" numFmtId="0" sqlType="0" hierarchy="0" level="0" databaseField="1">
      <sharedItems count="0"/>
    </cacheField>
  </cacheFields>
</pivotCacheDefinition>
</file>

<file path=xl/pivotCache/pivotCacheRecords1.xml><?xml version="1.0" encoding="utf-8"?>
<pivotCacheRecords xmlns="http://schemas.openxmlformats.org/spreadsheetml/2006/main" count="209">
  <r>
    <x v="0"/>
    <x v="0"/>
    <s v="Respaldo de Base de Datos (diario) "/>
    <m/>
    <x v="0"/>
    <x v="0"/>
    <x v="0"/>
    <s v="X"/>
    <s v="X"/>
    <s v="X"/>
    <n v="2"/>
    <n v="4"/>
    <x v="0"/>
    <x v="0"/>
    <s v="Procedimientos operativos documentados"/>
    <s v="PREVENTIVO"/>
    <x v="0"/>
    <x v="0"/>
    <s v="Dependencia del administrador (error humano)"/>
    <n v="1.4"/>
    <n v="4"/>
    <n v="5.6"/>
    <x v="0"/>
  </r>
  <r>
    <x v="0"/>
    <x v="0"/>
    <s v="Respaldo de Base de Datos (diario) "/>
    <m/>
    <x v="0"/>
    <x v="1"/>
    <x v="1"/>
    <m/>
    <m/>
    <s v="X"/>
    <n v="2"/>
    <n v="4"/>
    <x v="0"/>
    <x v="0"/>
    <s v="Respaldo digital de información"/>
    <s v="PREVENTIVO"/>
    <x v="0"/>
    <x v="0"/>
    <s v="Almacenamiento manual en medio extraible"/>
    <n v="1.4"/>
    <n v="4"/>
    <n v="5.6"/>
    <x v="0"/>
  </r>
  <r>
    <x v="0"/>
    <x v="0"/>
    <s v="Respaldo de Base de Datos (diario) "/>
    <m/>
    <x v="0"/>
    <x v="2"/>
    <x v="1"/>
    <m/>
    <m/>
    <s v="X"/>
    <n v="1"/>
    <n v="4"/>
    <x v="1"/>
    <x v="1"/>
    <s v="Sistema contra incendios"/>
    <s v="PREVENTIVO"/>
    <x v="0"/>
    <x v="0"/>
    <s v="-"/>
    <n v="0.7"/>
    <n v="4"/>
    <n v="2.8"/>
    <x v="1"/>
  </r>
  <r>
    <x v="0"/>
    <x v="0"/>
    <s v="Respaldo de Base de Datos (diario) "/>
    <m/>
    <x v="0"/>
    <x v="3"/>
    <x v="2"/>
    <s v="X"/>
    <m/>
    <m/>
    <n v="2"/>
    <n v="4"/>
    <x v="0"/>
    <x v="0"/>
    <s v="Politicas de manejo de información"/>
    <s v="PREVENTIVO"/>
    <x v="0"/>
    <x v="0"/>
    <s v="Dispositivos no encriptados"/>
    <n v="1.4"/>
    <n v="4"/>
    <n v="5.6"/>
    <x v="0"/>
  </r>
  <r>
    <x v="1"/>
    <x v="1"/>
    <s v="Matriz de registro de respaldos realizados por fechas, tipo de respaldo y responsable"/>
    <m/>
    <x v="1"/>
    <x v="0"/>
    <x v="0"/>
    <s v="X"/>
    <s v="X"/>
    <s v="X"/>
    <n v="1"/>
    <n v="2"/>
    <x v="2"/>
    <x v="1"/>
    <s v="Procedimientos operativos documentados"/>
    <s v="PREVENTIVO"/>
    <x v="0"/>
    <x v="0"/>
    <s v="Dependencia del administrador (error humano)"/>
    <n v="0.7"/>
    <n v="2"/>
    <n v="1.4"/>
    <x v="1"/>
  </r>
  <r>
    <x v="2"/>
    <x v="2"/>
    <s v="Aplicación Banca Virtual"/>
    <m/>
    <x v="2"/>
    <x v="4"/>
    <x v="3"/>
    <s v="X"/>
    <s v="X"/>
    <m/>
    <n v="4"/>
    <n v="5"/>
    <x v="3"/>
    <x v="2"/>
    <s v="Control de accesos"/>
    <s v="PREVENTIVO"/>
    <x v="0"/>
    <x v="0"/>
    <s v="Usuarios genéricos"/>
    <n v="2.8"/>
    <n v="5"/>
    <n v="14"/>
    <x v="2"/>
  </r>
  <r>
    <x v="2"/>
    <x v="2"/>
    <s v="Aplicación Banca Virtual"/>
    <m/>
    <x v="2"/>
    <x v="5"/>
    <x v="4"/>
    <s v="X"/>
    <s v="X"/>
    <m/>
    <n v="4"/>
    <n v="5"/>
    <x v="3"/>
    <x v="2"/>
    <s v="Doble autenticación"/>
    <s v="ELIMINACION"/>
    <x v="0"/>
    <x v="1"/>
    <s v="-"/>
    <n v="0.7999999999999998"/>
    <n v="5"/>
    <n v="3.999999999999999"/>
    <x v="1"/>
  </r>
  <r>
    <x v="2"/>
    <x v="2"/>
    <s v="Aplicación Banca Virtual"/>
    <m/>
    <x v="2"/>
    <x v="6"/>
    <x v="0"/>
    <s v="X"/>
    <s v="X"/>
    <s v="X"/>
    <n v="2"/>
    <n v="4"/>
    <x v="0"/>
    <x v="0"/>
    <s v="Registro de logs"/>
    <s v="DETECTIVO"/>
    <x v="0"/>
    <x v="0"/>
    <s v="Falta de revisión de perfiles de acceso"/>
    <n v="2"/>
    <n v="2.8"/>
    <n v="5.6"/>
    <x v="0"/>
  </r>
  <r>
    <x v="2"/>
    <x v="2"/>
    <s v="Aplicación Banca Virtual"/>
    <m/>
    <x v="2"/>
    <x v="7"/>
    <x v="0"/>
    <s v="X"/>
    <s v="X"/>
    <s v="X"/>
    <n v="4"/>
    <n v="4"/>
    <x v="4"/>
    <x v="3"/>
    <s v="Gestión de vulnerabilidades"/>
    <s v="PREVENTIVO"/>
    <x v="0"/>
    <x v="2"/>
    <s v="Recursos tecnológicos insuficientes para remediación"/>
    <n v="2.4"/>
    <n v="4"/>
    <n v="9.6"/>
    <x v="0"/>
  </r>
  <r>
    <x v="2"/>
    <x v="2"/>
    <s v="Aplicación Banca Virtual"/>
    <m/>
    <x v="2"/>
    <x v="8"/>
    <x v="5"/>
    <m/>
    <s v="X"/>
    <s v="X"/>
    <n v="3"/>
    <n v="4"/>
    <x v="5"/>
    <x v="3"/>
    <s v="Gestión de vulnerabilidades"/>
    <s v="PREVENTIVO"/>
    <x v="0"/>
    <x v="2"/>
    <s v="Recursos tecnológicos insuficientes para remediación"/>
    <n v="1.8"/>
    <n v="4"/>
    <n v="7.199999999999999"/>
    <x v="0"/>
  </r>
  <r>
    <x v="3"/>
    <x v="3"/>
    <s v="Servidor que aloja la Banca Electronica  _x000a_192.168.23.11"/>
    <m/>
    <x v="3"/>
    <x v="0"/>
    <x v="0"/>
    <s v="X"/>
    <s v="X"/>
    <s v="X"/>
    <n v="2"/>
    <n v="4"/>
    <x v="0"/>
    <x v="0"/>
    <s v="Control de cambios en los sistemas_x000a_Verificación posterior (informe)"/>
    <s v="ADMINISTRACION"/>
    <x v="0"/>
    <x v="0"/>
    <s v="No existe procedimiento formal de gestión de cambios"/>
    <n v="1.4"/>
    <n v="4"/>
    <n v="5.6"/>
    <x v="0"/>
  </r>
  <r>
    <x v="3"/>
    <x v="3"/>
    <s v="Servidor que aloja la Banca Electronica  _x000a_192.168.23.11"/>
    <m/>
    <x v="3"/>
    <x v="9"/>
    <x v="1"/>
    <m/>
    <m/>
    <s v="X"/>
    <n v="4"/>
    <n v="4"/>
    <x v="4"/>
    <x v="3"/>
    <s v="Monitoreo de Servidores presenta en el procedimiento operativo  Administración de Servidores en el Manua de Gestión de las Operaciones de TI"/>
    <s v="PREVENTIVO"/>
    <x v="0"/>
    <x v="2"/>
    <s v="Falta de alertas automáticas"/>
    <n v="2.4"/>
    <n v="4"/>
    <n v="9.6"/>
    <x v="0"/>
  </r>
  <r>
    <x v="3"/>
    <x v="3"/>
    <s v="Servidor que aloja la Banca Electronica  _x000a_192.168.23.11"/>
    <m/>
    <x v="3"/>
    <x v="4"/>
    <x v="3"/>
    <s v="X"/>
    <s v="X"/>
    <m/>
    <n v="3"/>
    <n v="4"/>
    <x v="5"/>
    <x v="3"/>
    <s v="Control de accesos / VPN"/>
    <s v="PREVENTIVO"/>
    <x v="0"/>
    <x v="0"/>
    <s v="Contreaseñas de VPN no expiran"/>
    <n v="2.1"/>
    <n v="4"/>
    <n v="8.399999999999999"/>
    <x v="0"/>
  </r>
  <r>
    <x v="3"/>
    <x v="3"/>
    <s v="Servidor que aloja la Banca Electronica  _x000a_192.168.23.11"/>
    <m/>
    <x v="3"/>
    <x v="10"/>
    <x v="6"/>
    <s v="X"/>
    <m/>
    <s v="X"/>
    <n v="3"/>
    <n v="4"/>
    <x v="5"/>
    <x v="3"/>
    <s v="Control de accesos"/>
    <s v="PREVENTIVO"/>
    <x v="0"/>
    <x v="0"/>
    <s v="Usuarios genéricos"/>
    <n v="2.1"/>
    <n v="4"/>
    <n v="8.399999999999999"/>
    <x v="0"/>
  </r>
  <r>
    <x v="3"/>
    <x v="3"/>
    <s v="Servidor que aloja la Banca Electronica  _x000a_192.168.23.11"/>
    <m/>
    <x v="3"/>
    <x v="11"/>
    <x v="1"/>
    <m/>
    <m/>
    <s v="X"/>
    <n v="4"/>
    <n v="5"/>
    <x v="3"/>
    <x v="2"/>
    <s v="Configuración segura de firewall"/>
    <s v="PREVENTIVO"/>
    <x v="0"/>
    <x v="0"/>
    <s v="Evidencia de validación de las configuraciones"/>
    <n v="2.8"/>
    <n v="5"/>
    <n v="14"/>
    <x v="2"/>
  </r>
  <r>
    <x v="3"/>
    <x v="3"/>
    <s v="Servidor que aloja la Banca Electronica  _x000a_192.168.23.11"/>
    <m/>
    <x v="3"/>
    <x v="12"/>
    <x v="1"/>
    <m/>
    <m/>
    <s v="X"/>
    <n v="3"/>
    <n v="4"/>
    <x v="5"/>
    <x v="3"/>
    <s v="Gestión de vulnerabilidades"/>
    <s v="PREVENTIVO"/>
    <x v="0"/>
    <x v="2"/>
    <s v="Recursos tecnológicos insuficientes para remediación"/>
    <n v="1.8"/>
    <n v="4"/>
    <n v="7.199999999999999"/>
    <x v="0"/>
  </r>
  <r>
    <x v="4"/>
    <x v="4"/>
    <s v="Administracion Contenidos y Correo electrónico"/>
    <m/>
    <x v="4"/>
    <x v="4"/>
    <x v="3"/>
    <s v="X"/>
    <s v="X"/>
    <m/>
    <n v="2"/>
    <n v="3"/>
    <x v="6"/>
    <x v="0"/>
    <s v="Control de accesos"/>
    <s v="PREVENTIVO"/>
    <x v="0"/>
    <x v="0"/>
    <s v="Usuarios genéricos"/>
    <n v="1.4"/>
    <n v="3"/>
    <n v="4.199999999999999"/>
    <x v="1"/>
  </r>
  <r>
    <x v="4"/>
    <x v="4"/>
    <s v="Administracion Contenidos y Correo electrónico"/>
    <m/>
    <x v="4"/>
    <x v="5"/>
    <x v="4"/>
    <s v="X"/>
    <s v="X"/>
    <m/>
    <n v="2"/>
    <n v="3"/>
    <x v="6"/>
    <x v="0"/>
    <s v="Politicas de contraseñas robustas"/>
    <s v="PREVENTIVO"/>
    <x v="0"/>
    <x v="0"/>
    <s v="Usuarios genéricos / claves compartidas y almacenadas en navegadores"/>
    <n v="1.4"/>
    <n v="3"/>
    <n v="4.199999999999999"/>
    <x v="1"/>
  </r>
  <r>
    <x v="4"/>
    <x v="4"/>
    <s v="Administracion Contenidos y Correo electrónico"/>
    <m/>
    <x v="4"/>
    <x v="13"/>
    <x v="2"/>
    <s v="X"/>
    <m/>
    <m/>
    <n v="2"/>
    <n v="3"/>
    <x v="6"/>
    <x v="0"/>
    <s v="Validación de destinatarios"/>
    <s v="PREVENTIVO"/>
    <x v="0"/>
    <x v="0"/>
    <s v="Politicas sin restricción para jefaturas"/>
    <n v="1.4"/>
    <n v="3"/>
    <n v="4.199999999999999"/>
    <x v="1"/>
  </r>
  <r>
    <x v="4"/>
    <x v="4"/>
    <s v="Administracion Contenidos y Correo electrónico"/>
    <m/>
    <x v="4"/>
    <x v="11"/>
    <x v="1"/>
    <m/>
    <m/>
    <s v="X"/>
    <n v="3"/>
    <n v="4"/>
    <x v="5"/>
    <x v="3"/>
    <s v="Software Antispam Fortimail"/>
    <s v="PREVENTIVO"/>
    <x v="0"/>
    <x v="0"/>
    <s v="No se realiza pruebas de carga"/>
    <n v="2.1"/>
    <n v="4"/>
    <n v="8.399999999999999"/>
    <x v="0"/>
  </r>
  <r>
    <x v="4"/>
    <x v="4"/>
    <s v="Administracion Contenidos y Correo electrónico"/>
    <m/>
    <x v="4"/>
    <x v="9"/>
    <x v="1"/>
    <m/>
    <m/>
    <s v="X"/>
    <n v="2"/>
    <n v="3"/>
    <x v="6"/>
    <x v="0"/>
    <s v="Monitoreo de Servidores presenta en el procedimiento operativo  Administración de Servidores en el Manua de Gestión de las Operaciones de TI"/>
    <s v="PREVENTIVO"/>
    <x v="0"/>
    <x v="2"/>
    <s v="Falta de alertas automáticas"/>
    <n v="1.2"/>
    <n v="3"/>
    <n v="3.6"/>
    <x v="1"/>
  </r>
  <r>
    <x v="5"/>
    <x v="5"/>
    <s v="Servidor web administracion correo electronico_x000a_192.168.23.2"/>
    <m/>
    <x v="4"/>
    <x v="4"/>
    <x v="3"/>
    <s v="X"/>
    <s v="X"/>
    <m/>
    <n v="3"/>
    <n v="3"/>
    <x v="7"/>
    <x v="0"/>
    <s v="Control de accesos"/>
    <s v="PREVENTIVO"/>
    <x v="0"/>
    <x v="0"/>
    <s v="Usuarios genéricos"/>
    <n v="2.1"/>
    <n v="3"/>
    <n v="6.299999999999999"/>
    <x v="0"/>
  </r>
  <r>
    <x v="5"/>
    <x v="5"/>
    <s v="Servidor web administracion correo electronico_x000a_192.168.23.2"/>
    <m/>
    <x v="4"/>
    <x v="5"/>
    <x v="4"/>
    <s v="X"/>
    <s v="X"/>
    <m/>
    <n v="3"/>
    <n v="3"/>
    <x v="7"/>
    <x v="0"/>
    <s v="Politicas de contraseñas robustas"/>
    <s v="PREVENTIVO"/>
    <x v="0"/>
    <x v="0"/>
    <s v="Usuarios genéricos / claves compartidas y almacenadas en navegadores"/>
    <n v="2.1"/>
    <n v="3"/>
    <n v="6.299999999999999"/>
    <x v="0"/>
  </r>
  <r>
    <x v="5"/>
    <x v="5"/>
    <s v="Servidor web administracion correo electronico_x000a_192.168.23.2"/>
    <m/>
    <x v="4"/>
    <x v="13"/>
    <x v="2"/>
    <s v="X"/>
    <m/>
    <m/>
    <n v="3"/>
    <n v="3"/>
    <x v="7"/>
    <x v="0"/>
    <s v="Validación de destinatarios"/>
    <s v="PREVENTIVO"/>
    <x v="0"/>
    <x v="0"/>
    <s v="Politicas sin restricción para jefaturas"/>
    <n v="2.1"/>
    <n v="3"/>
    <n v="6.299999999999999"/>
    <x v="0"/>
  </r>
  <r>
    <x v="5"/>
    <x v="5"/>
    <s v="Servidor web administracion correo electronico_x000a_192.168.23.2"/>
    <m/>
    <x v="4"/>
    <x v="11"/>
    <x v="1"/>
    <m/>
    <m/>
    <s v="X"/>
    <n v="3"/>
    <n v="3"/>
    <x v="7"/>
    <x v="0"/>
    <s v="Configuración segura de firewall"/>
    <s v="PREVENTIVO"/>
    <x v="0"/>
    <x v="0"/>
    <s v="Evidencia de validación de las configuraciones"/>
    <n v="2.1"/>
    <n v="3"/>
    <n v="6.299999999999999"/>
    <x v="0"/>
  </r>
  <r>
    <x v="5"/>
    <x v="5"/>
    <s v="Servidor web administracion correo electronico_x000a_192.168.23.2"/>
    <m/>
    <x v="4"/>
    <x v="9"/>
    <x v="1"/>
    <m/>
    <m/>
    <s v="X"/>
    <n v="2"/>
    <n v="4"/>
    <x v="0"/>
    <x v="0"/>
    <s v="Monitoreo de Servidores presenta en el procedimiento operativo  Administración de Servidores en el Manua de Gestión de las Operaciones de TI"/>
    <s v="PREVENTIVO"/>
    <x v="0"/>
    <x v="2"/>
    <s v="Falta de alertas automáticas"/>
    <n v="1.2"/>
    <n v="4"/>
    <n v="4.8"/>
    <x v="1"/>
  </r>
  <r>
    <x v="6"/>
    <x v="6"/>
    <s v="Proteccion perimetral, Analiza todas las conexiones, eventos inusuales"/>
    <m/>
    <x v="3"/>
    <x v="4"/>
    <x v="3"/>
    <s v="X"/>
    <s v="X"/>
    <m/>
    <n v="2"/>
    <n v="4"/>
    <x v="0"/>
    <x v="0"/>
    <s v="Control de accesos / VPN"/>
    <s v="PREVENTIVO"/>
    <x v="0"/>
    <x v="0"/>
    <s v="Contreaseñas de VPN no expiran"/>
    <n v="1.4"/>
    <n v="4"/>
    <n v="5.6"/>
    <x v="0"/>
  </r>
  <r>
    <x v="6"/>
    <x v="6"/>
    <s v="Proteccion perimetral, Analiza todas las conexiones, eventos inusuales"/>
    <m/>
    <x v="3"/>
    <x v="10"/>
    <x v="6"/>
    <s v="X"/>
    <m/>
    <s v="X"/>
    <n v="2"/>
    <n v="3"/>
    <x v="6"/>
    <x v="0"/>
    <s v="Control de accesos"/>
    <s v="PREVENTIVO"/>
    <x v="0"/>
    <x v="0"/>
    <s v="Usuarios genéricos"/>
    <n v="1.4"/>
    <n v="3"/>
    <n v="4.199999999999999"/>
    <x v="1"/>
  </r>
  <r>
    <x v="6"/>
    <x v="6"/>
    <s v="Proteccion perimetral, Analiza todas las conexiones, eventos inusuales"/>
    <m/>
    <x v="3"/>
    <x v="11"/>
    <x v="1"/>
    <m/>
    <m/>
    <s v="X"/>
    <n v="3"/>
    <n v="4"/>
    <x v="5"/>
    <x v="3"/>
    <s v="Configuración segura de firewall"/>
    <s v="PREVENTIVO"/>
    <x v="0"/>
    <x v="0"/>
    <s v="Evidencia de validación de las configuraciones"/>
    <n v="2.1"/>
    <n v="4"/>
    <n v="8.399999999999999"/>
    <x v="0"/>
  </r>
  <r>
    <x v="6"/>
    <x v="6"/>
    <s v="Proteccion perimetral, Analiza todas las conexiones, eventos inusuales"/>
    <m/>
    <x v="3"/>
    <x v="0"/>
    <x v="0"/>
    <s v="X"/>
    <s v="X"/>
    <s v="X"/>
    <n v="2"/>
    <n v="4"/>
    <x v="0"/>
    <x v="0"/>
    <s v="Control de cambios en los sistemas_x000a_Verificación posterior (informe)"/>
    <s v="ADMINISTRACION"/>
    <x v="0"/>
    <x v="0"/>
    <s v="No existe procedimiento formal de gestión de cambios"/>
    <n v="1.4"/>
    <n v="4"/>
    <n v="5.6"/>
    <x v="0"/>
  </r>
  <r>
    <x v="6"/>
    <x v="6"/>
    <s v="Proteccion perimetral, Analiza todas las conexiones, eventos inusuales"/>
    <m/>
    <x v="3"/>
    <x v="6"/>
    <x v="0"/>
    <s v="X"/>
    <s v="X"/>
    <s v="X"/>
    <n v="2"/>
    <n v="3"/>
    <x v="6"/>
    <x v="0"/>
    <s v="Registro de logs (FortiAnalyzer)"/>
    <s v="DETECTIVO"/>
    <x v="0"/>
    <x v="0"/>
    <s v="Falta de revisión de perfiles de acceso"/>
    <n v="2"/>
    <n v="2.1"/>
    <n v="4.199999999999999"/>
    <x v="1"/>
  </r>
  <r>
    <x v="7"/>
    <x v="7"/>
    <s v="Analizador de logs"/>
    <m/>
    <x v="2"/>
    <x v="4"/>
    <x v="3"/>
    <s v="X"/>
    <s v="X"/>
    <m/>
    <n v="2"/>
    <n v="2"/>
    <x v="1"/>
    <x v="1"/>
    <s v="Control de accesos"/>
    <s v="PREVENTIVO"/>
    <x v="0"/>
    <x v="0"/>
    <s v="Usuarios genéricos"/>
    <n v="1.4"/>
    <n v="2"/>
    <n v="2.8"/>
    <x v="1"/>
  </r>
  <r>
    <x v="7"/>
    <x v="7"/>
    <s v="Analizador de logs"/>
    <m/>
    <x v="2"/>
    <x v="10"/>
    <x v="6"/>
    <s v="X"/>
    <m/>
    <s v="X"/>
    <n v="2"/>
    <n v="2"/>
    <x v="1"/>
    <x v="1"/>
    <s v="Control de accesos"/>
    <s v="PREVENTIVO"/>
    <x v="0"/>
    <x v="0"/>
    <s v="Usuarios genéricos"/>
    <n v="1.4"/>
    <n v="2"/>
    <n v="2.8"/>
    <x v="1"/>
  </r>
  <r>
    <x v="7"/>
    <x v="7"/>
    <s v="Analizador de logs"/>
    <m/>
    <x v="2"/>
    <x v="6"/>
    <x v="0"/>
    <s v="X"/>
    <s v="X"/>
    <s v="X"/>
    <n v="2"/>
    <n v="2"/>
    <x v="1"/>
    <x v="1"/>
    <s v="Registro de logs"/>
    <s v="DETECTIVO"/>
    <x v="0"/>
    <x v="0"/>
    <s v="Falta de revisión de perfiles de acceso"/>
    <n v="2"/>
    <n v="1.4"/>
    <n v="2.8"/>
    <x v="1"/>
  </r>
  <r>
    <x v="7"/>
    <x v="7"/>
    <s v="Analizador de logs"/>
    <m/>
    <x v="2"/>
    <x v="11"/>
    <x v="1"/>
    <m/>
    <m/>
    <s v="X"/>
    <n v="2"/>
    <n v="2"/>
    <x v="1"/>
    <x v="1"/>
    <s v="Configuración segura de firewall"/>
    <s v="PREVENTIVO"/>
    <x v="0"/>
    <x v="0"/>
    <s v="Evidencia de validación de las configuraciones"/>
    <n v="1.4"/>
    <n v="2"/>
    <n v="2.8"/>
    <x v="1"/>
  </r>
  <r>
    <x v="7"/>
    <x v="7"/>
    <s v="Analizador de logs"/>
    <m/>
    <x v="2"/>
    <x v="9"/>
    <x v="1"/>
    <m/>
    <m/>
    <s v="X"/>
    <n v="2"/>
    <n v="2"/>
    <x v="1"/>
    <x v="1"/>
    <s v="Monitoreo de Servidores presenta en el procedimiento operativo  Administración de Servidores en el Manua de Gestión de las Operaciones de TI"/>
    <s v="PREVENTIVO"/>
    <x v="0"/>
    <x v="2"/>
    <s v="Falta de alertas automáticas"/>
    <n v="1.2"/>
    <n v="2"/>
    <n v="2.4"/>
    <x v="1"/>
  </r>
  <r>
    <x v="7"/>
    <x v="7"/>
    <s v="Analizador de logs"/>
    <m/>
    <x v="2"/>
    <x v="0"/>
    <x v="0"/>
    <s v="X"/>
    <s v="X"/>
    <s v="X"/>
    <n v="2"/>
    <n v="2"/>
    <x v="1"/>
    <x v="1"/>
    <s v="Control de cambios en los sistemas_x000a_Verificación posterior (informe)"/>
    <s v="ADMINISTRACION"/>
    <x v="0"/>
    <x v="0"/>
    <s v="No existe procedimiento formal de gestión de cambios"/>
    <n v="1.4"/>
    <n v="2"/>
    <n v="2.8"/>
    <x v="1"/>
  </r>
  <r>
    <x v="8"/>
    <x v="8"/>
    <s v="Revision y categorizacion urls y sitios peligrosos"/>
    <m/>
    <x v="2"/>
    <x v="4"/>
    <x v="3"/>
    <s v="X"/>
    <s v="X"/>
    <m/>
    <n v="2"/>
    <n v="4"/>
    <x v="0"/>
    <x v="0"/>
    <s v="Control de accesos"/>
    <s v="PREVENTIVO"/>
    <x v="0"/>
    <x v="0"/>
    <s v="Usuarios genéricos"/>
    <n v="1.4"/>
    <n v="4"/>
    <n v="5.6"/>
    <x v="0"/>
  </r>
  <r>
    <x v="8"/>
    <x v="8"/>
    <s v="Revision y categorizacion urls y sitios peligrosos"/>
    <m/>
    <x v="2"/>
    <x v="10"/>
    <x v="6"/>
    <s v="X"/>
    <m/>
    <s v="X"/>
    <n v="2"/>
    <n v="2"/>
    <x v="1"/>
    <x v="1"/>
    <s v="Control de accesos"/>
    <s v="PREVENTIVO"/>
    <x v="0"/>
    <x v="0"/>
    <s v="Usuarios genéricos"/>
    <n v="1.4"/>
    <n v="2"/>
    <n v="2.8"/>
    <x v="1"/>
  </r>
  <r>
    <x v="8"/>
    <x v="8"/>
    <s v="Revision y categorizacion urls y sitios peligrosos"/>
    <m/>
    <x v="2"/>
    <x v="6"/>
    <x v="0"/>
    <s v="X"/>
    <s v="X"/>
    <s v="X"/>
    <n v="2"/>
    <n v="2"/>
    <x v="1"/>
    <x v="1"/>
    <s v="Registro de logs (FortiAnalyzer)"/>
    <s v="DETECTIVO"/>
    <x v="0"/>
    <x v="0"/>
    <s v="Falta de revisión de perfiles de acceso"/>
    <n v="2"/>
    <n v="1.4"/>
    <n v="2.8"/>
    <x v="1"/>
  </r>
  <r>
    <x v="8"/>
    <x v="8"/>
    <s v="Revision y categorizacion urls y sitios peligrosos"/>
    <m/>
    <x v="2"/>
    <x v="11"/>
    <x v="1"/>
    <m/>
    <m/>
    <s v="X"/>
    <n v="3"/>
    <n v="2"/>
    <x v="6"/>
    <x v="0"/>
    <s v="Configuración segura de firewall"/>
    <s v="PREVENTIVO"/>
    <x v="0"/>
    <x v="0"/>
    <s v="Evidencia de validación de las configuraciones"/>
    <n v="2.1"/>
    <n v="2"/>
    <n v="4.199999999999999"/>
    <x v="1"/>
  </r>
  <r>
    <x v="8"/>
    <x v="8"/>
    <s v="Revision y categorizacion urls y sitios peligrosos"/>
    <m/>
    <x v="2"/>
    <x v="0"/>
    <x v="0"/>
    <s v="X"/>
    <s v="X"/>
    <s v="X"/>
    <n v="2"/>
    <n v="3"/>
    <x v="6"/>
    <x v="0"/>
    <s v="Control de cambios en los sistemas_x000a_Verificación posterior (informe)"/>
    <s v="ADMINISTRACION"/>
    <x v="0"/>
    <x v="0"/>
    <s v="No existe procedimiento formal de gestión de cambios"/>
    <n v="1.4"/>
    <n v="3"/>
    <n v="4.199999999999999"/>
    <x v="1"/>
  </r>
  <r>
    <x v="8"/>
    <x v="8"/>
    <s v="Revision y categorizacion urls y sitios peligrosos"/>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9"/>
    <x v="9"/>
    <s v="Herramienta de control de software malicioso"/>
    <m/>
    <x v="2"/>
    <x v="4"/>
    <x v="3"/>
    <s v="X"/>
    <s v="X"/>
    <m/>
    <n v="1"/>
    <n v="4"/>
    <x v="1"/>
    <x v="1"/>
    <s v="Control de accesos"/>
    <s v="PREVENTIVO"/>
    <x v="0"/>
    <x v="0"/>
    <s v="Usuarios genéricos"/>
    <n v="0.7"/>
    <n v="4"/>
    <n v="2.8"/>
    <x v="1"/>
  </r>
  <r>
    <x v="9"/>
    <x v="9"/>
    <s v="Herramienta de control de software malicioso"/>
    <m/>
    <x v="2"/>
    <x v="10"/>
    <x v="6"/>
    <s v="X"/>
    <m/>
    <s v="X"/>
    <n v="3"/>
    <n v="3"/>
    <x v="7"/>
    <x v="0"/>
    <s v="Control de accesos"/>
    <s v="PREVENTIVO"/>
    <x v="0"/>
    <x v="0"/>
    <s v="Usuarios genéricos"/>
    <n v="2.1"/>
    <n v="3"/>
    <n v="6.299999999999999"/>
    <x v="0"/>
  </r>
  <r>
    <x v="9"/>
    <x v="9"/>
    <s v="Herramienta de control de software malicioso"/>
    <m/>
    <x v="2"/>
    <x v="6"/>
    <x v="0"/>
    <s v="X"/>
    <s v="X"/>
    <s v="X"/>
    <n v="2"/>
    <n v="4"/>
    <x v="0"/>
    <x v="0"/>
    <s v="Registro de logs (FortiAnalyzer)"/>
    <s v="DETECTIVO"/>
    <x v="0"/>
    <x v="0"/>
    <s v="Falta de revisión de perfiles de acceso"/>
    <n v="2"/>
    <n v="2.8"/>
    <n v="5.6"/>
    <x v="0"/>
  </r>
  <r>
    <x v="9"/>
    <x v="9"/>
    <s v="Herramienta de control de software malicioso"/>
    <m/>
    <x v="2"/>
    <x v="11"/>
    <x v="1"/>
    <m/>
    <m/>
    <s v="X"/>
    <n v="3"/>
    <n v="4"/>
    <x v="5"/>
    <x v="3"/>
    <s v="Configuración segura de firewall"/>
    <s v="PREVENTIVO"/>
    <x v="0"/>
    <x v="0"/>
    <s v="Evidencia de validación de las configuraciones"/>
    <n v="2.1"/>
    <n v="4"/>
    <n v="8.399999999999999"/>
    <x v="0"/>
  </r>
  <r>
    <x v="9"/>
    <x v="9"/>
    <s v="Herramienta de control de software malicioso"/>
    <m/>
    <x v="2"/>
    <x v="0"/>
    <x v="0"/>
    <s v="X"/>
    <s v="X"/>
    <s v="X"/>
    <n v="2"/>
    <n v="3"/>
    <x v="6"/>
    <x v="0"/>
    <s v="Control de cambios en los sistemas_x000a_Verificación posterior (informe)"/>
    <s v="ADMINISTRACION"/>
    <x v="0"/>
    <x v="0"/>
    <s v="No existe procedimiento formal de gestión de cambios"/>
    <n v="1.4"/>
    <n v="3"/>
    <n v="4.199999999999999"/>
    <x v="1"/>
  </r>
  <r>
    <x v="9"/>
    <x v="9"/>
    <s v="Herramienta de control de software malicioso"/>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10"/>
    <x v="10"/>
    <s v="Control de correo no deseado Antispam"/>
    <m/>
    <x v="2"/>
    <x v="4"/>
    <x v="3"/>
    <s v="X"/>
    <s v="X"/>
    <m/>
    <n v="3"/>
    <n v="4"/>
    <x v="5"/>
    <x v="3"/>
    <s v="Control de accesos"/>
    <s v="PREVENTIVO"/>
    <x v="0"/>
    <x v="0"/>
    <s v="Usuarios genéricos"/>
    <n v="2.1"/>
    <n v="4"/>
    <n v="8.399999999999999"/>
    <x v="0"/>
  </r>
  <r>
    <x v="10"/>
    <x v="10"/>
    <s v="Control de correo no deseado Antispam"/>
    <m/>
    <x v="2"/>
    <x v="10"/>
    <x v="6"/>
    <s v="X"/>
    <m/>
    <s v="X"/>
    <n v="1"/>
    <n v="3"/>
    <x v="8"/>
    <x v="1"/>
    <s v="Control de accesos"/>
    <s v="PREVENTIVO"/>
    <x v="0"/>
    <x v="0"/>
    <s v="Usuarios genéricos"/>
    <n v="0.7"/>
    <n v="3"/>
    <n v="2.1"/>
    <x v="1"/>
  </r>
  <r>
    <x v="10"/>
    <x v="10"/>
    <s v="Control de correo no deseado Antispam"/>
    <m/>
    <x v="2"/>
    <x v="6"/>
    <x v="0"/>
    <s v="X"/>
    <s v="X"/>
    <s v="X"/>
    <n v="2"/>
    <n v="3"/>
    <x v="6"/>
    <x v="0"/>
    <s v="Registro de logs (FortiAnalyzer)"/>
    <s v="DETECTIVO"/>
    <x v="0"/>
    <x v="0"/>
    <s v="Falta de revisión de perfiles de acceso"/>
    <n v="2"/>
    <n v="2.1"/>
    <n v="4.199999999999999"/>
    <x v="1"/>
  </r>
  <r>
    <x v="10"/>
    <x v="10"/>
    <s v="Control de correo no deseado Antispam"/>
    <m/>
    <x v="2"/>
    <x v="11"/>
    <x v="1"/>
    <m/>
    <m/>
    <s v="X"/>
    <n v="3"/>
    <n v="3"/>
    <x v="7"/>
    <x v="0"/>
    <s v="Configuración segura de firewall"/>
    <s v="PREVENTIVO"/>
    <x v="0"/>
    <x v="0"/>
    <s v="Evidencia de validación de las configuraciones"/>
    <n v="2.1"/>
    <n v="3"/>
    <n v="6.299999999999999"/>
    <x v="0"/>
  </r>
  <r>
    <x v="10"/>
    <x v="10"/>
    <s v="Control de correo no deseado Antispam"/>
    <m/>
    <x v="2"/>
    <x v="0"/>
    <x v="0"/>
    <s v="X"/>
    <s v="X"/>
    <s v="X"/>
    <n v="2"/>
    <n v="3"/>
    <x v="6"/>
    <x v="0"/>
    <s v="Control de cambios en los sistemas_x000a_Verificación posterior (informe)"/>
    <s v="ADMINISTRACION"/>
    <x v="0"/>
    <x v="0"/>
    <s v="No existe procedimiento formal de gestión de cambios"/>
    <n v="1.4"/>
    <n v="3"/>
    <n v="4.199999999999999"/>
    <x v="1"/>
  </r>
  <r>
    <x v="10"/>
    <x v="10"/>
    <s v="Control de correo no deseado Antispam"/>
    <m/>
    <x v="2"/>
    <x v="9"/>
    <x v="1"/>
    <m/>
    <m/>
    <s v="X"/>
    <n v="2"/>
    <n v="4"/>
    <x v="0"/>
    <x v="0"/>
    <s v="Monitoreo de Servidores presenta en el procedimiento operativo  Administración de Servidores en el Manua de Gestión de las Operaciones de TI"/>
    <s v="PREVENTIVO"/>
    <x v="0"/>
    <x v="2"/>
    <s v="Falta de alertas automáticas"/>
    <n v="1.2"/>
    <n v="4"/>
    <n v="4.8"/>
    <x v="1"/>
  </r>
  <r>
    <x v="11"/>
    <x v="11"/>
    <s v="Informe eventos de seguridad"/>
    <m/>
    <x v="1"/>
    <x v="3"/>
    <x v="2"/>
    <s v="X"/>
    <m/>
    <m/>
    <n v="3"/>
    <n v="4"/>
    <x v="5"/>
    <x v="3"/>
    <s v="Software DLP"/>
    <s v="PREVENTIVO"/>
    <x v="0"/>
    <x v="0"/>
    <s v="Politicas sin restricción para jefaturas"/>
    <n v="2.1"/>
    <n v="4"/>
    <n v="8.399999999999999"/>
    <x v="0"/>
  </r>
  <r>
    <x v="11"/>
    <x v="11"/>
    <s v="Informe eventos de seguridad"/>
    <m/>
    <x v="1"/>
    <x v="1"/>
    <x v="1"/>
    <m/>
    <m/>
    <s v="X"/>
    <n v="3"/>
    <n v="3"/>
    <x v="7"/>
    <x v="0"/>
    <s v="Respaldo digital de información"/>
    <s v="PREVENTIVO"/>
    <x v="0"/>
    <x v="0"/>
    <s v="Almacenamiento manual en medio extraible"/>
    <n v="2.1"/>
    <n v="3"/>
    <n v="6.299999999999999"/>
    <x v="0"/>
  </r>
  <r>
    <x v="12"/>
    <x v="12"/>
    <s v="Servidor control software malicioso _x000a_192.168.100.235"/>
    <m/>
    <x v="3"/>
    <x v="4"/>
    <x v="3"/>
    <s v="X"/>
    <s v="X"/>
    <m/>
    <n v="2"/>
    <n v="3"/>
    <x v="6"/>
    <x v="0"/>
    <s v="Control de accesos / VPN"/>
    <s v="PREVENTIVO"/>
    <x v="0"/>
    <x v="0"/>
    <s v="Contreaseñas de VPN no expiran"/>
    <n v="1.4"/>
    <n v="3"/>
    <n v="4.199999999999999"/>
    <x v="1"/>
  </r>
  <r>
    <x v="12"/>
    <x v="12"/>
    <s v="Servidor control software malicioso _x000a_192.168.100.235"/>
    <m/>
    <x v="3"/>
    <x v="10"/>
    <x v="6"/>
    <s v="X"/>
    <m/>
    <s v="X"/>
    <n v="2"/>
    <n v="3"/>
    <x v="6"/>
    <x v="0"/>
    <s v="Control de accesos"/>
    <s v="PREVENTIVO"/>
    <x v="0"/>
    <x v="0"/>
    <s v="Usuarios genéricos"/>
    <n v="1.4"/>
    <n v="3"/>
    <n v="4.199999999999999"/>
    <x v="1"/>
  </r>
  <r>
    <x v="12"/>
    <x v="12"/>
    <s v="Servidor control software malicioso _x000a_192.168.100.235"/>
    <m/>
    <x v="3"/>
    <x v="6"/>
    <x v="0"/>
    <s v="X"/>
    <s v="X"/>
    <s v="X"/>
    <n v="2"/>
    <n v="3"/>
    <x v="6"/>
    <x v="0"/>
    <s v="Registro de logs (FortiAnalyzer)"/>
    <s v="DETECTIVO"/>
    <x v="0"/>
    <x v="0"/>
    <s v="Falta de revisión de perfiles de acceso"/>
    <n v="2"/>
    <n v="2.1"/>
    <n v="4.199999999999999"/>
    <x v="1"/>
  </r>
  <r>
    <x v="12"/>
    <x v="12"/>
    <s v="Servidor control software malicioso _x000a_192.168.100.235"/>
    <m/>
    <x v="3"/>
    <x v="11"/>
    <x v="1"/>
    <m/>
    <m/>
    <s v="X"/>
    <n v="3"/>
    <n v="4"/>
    <x v="5"/>
    <x v="3"/>
    <s v="Configuración segura de firewall"/>
    <s v="PREVENTIVO"/>
    <x v="0"/>
    <x v="0"/>
    <s v="Evidencia de validación de las configuraciones"/>
    <n v="2.1"/>
    <n v="4"/>
    <n v="8.399999999999999"/>
    <x v="0"/>
  </r>
  <r>
    <x v="12"/>
    <x v="12"/>
    <s v="Servidor control software malicioso _x000a_192.168.100.235"/>
    <m/>
    <x v="3"/>
    <x v="0"/>
    <x v="0"/>
    <s v="X"/>
    <s v="X"/>
    <s v="X"/>
    <n v="2"/>
    <n v="3"/>
    <x v="6"/>
    <x v="0"/>
    <s v="Control de cambios en los sistemas_x000a_Verificación posterior (informe)"/>
    <s v="ADMINISTRACION"/>
    <x v="0"/>
    <x v="0"/>
    <s v="No existe procedimiento formal de gestión de cambios"/>
    <n v="1.4"/>
    <n v="3"/>
    <n v="4.199999999999999"/>
    <x v="1"/>
  </r>
  <r>
    <x v="12"/>
    <x v="12"/>
    <s v="Servidor control software malicioso _x000a_192.168.100.235"/>
    <m/>
    <x v="3"/>
    <x v="9"/>
    <x v="1"/>
    <m/>
    <m/>
    <s v="X"/>
    <n v="2"/>
    <n v="3"/>
    <x v="6"/>
    <x v="0"/>
    <s v="Procedimiento de Gestión de la capacidad y desempeño de la Infraestructura"/>
    <s v="PREVENTIVO"/>
    <x v="0"/>
    <x v="0"/>
    <s v="Notificación automática de alertas"/>
    <n v="1.4"/>
    <n v="3"/>
    <n v="4.199999999999999"/>
    <x v="1"/>
  </r>
  <r>
    <x v="13"/>
    <x v="13"/>
    <s v="Servidor prevencion correo no deseado  _x000a_192.168.23.6"/>
    <m/>
    <x v="3"/>
    <x v="4"/>
    <x v="3"/>
    <s v="X"/>
    <s v="X"/>
    <m/>
    <n v="3"/>
    <n v="4"/>
    <x v="5"/>
    <x v="3"/>
    <s v="Control de accesos / VPN"/>
    <s v="PREVENTIVO"/>
    <x v="0"/>
    <x v="0"/>
    <s v="Contreaseñas de VPN no expiran"/>
    <n v="2.1"/>
    <n v="4"/>
    <n v="8.399999999999999"/>
    <x v="0"/>
  </r>
  <r>
    <x v="13"/>
    <x v="13"/>
    <s v="Servidor prevencion correo no deseado  _x000a_192.168.23.6"/>
    <m/>
    <x v="3"/>
    <x v="10"/>
    <x v="6"/>
    <s v="X"/>
    <m/>
    <s v="X"/>
    <n v="3"/>
    <n v="3"/>
    <x v="7"/>
    <x v="0"/>
    <s v="Control de accesos"/>
    <s v="PREVENTIVO"/>
    <x v="0"/>
    <x v="0"/>
    <s v="Usuarios genéricos"/>
    <n v="2.1"/>
    <n v="3"/>
    <n v="6.299999999999999"/>
    <x v="0"/>
  </r>
  <r>
    <x v="13"/>
    <x v="13"/>
    <s v="Servidor prevencion correo no deseado  _x000a_192.168.23.6"/>
    <m/>
    <x v="3"/>
    <x v="6"/>
    <x v="0"/>
    <s v="X"/>
    <s v="X"/>
    <s v="X"/>
    <n v="2"/>
    <n v="3"/>
    <x v="6"/>
    <x v="0"/>
    <s v="Registro de logs (FortiAnalyzer)"/>
    <s v="DETECTIVO"/>
    <x v="0"/>
    <x v="0"/>
    <s v="Falta de revisión de perfiles de acceso"/>
    <n v="2"/>
    <n v="2.1"/>
    <n v="4.199999999999999"/>
    <x v="1"/>
  </r>
  <r>
    <x v="13"/>
    <x v="13"/>
    <s v="Servidor prevencion correo no deseado  _x000a_192.168.23.6"/>
    <m/>
    <x v="3"/>
    <x v="11"/>
    <x v="1"/>
    <m/>
    <m/>
    <s v="X"/>
    <n v="3"/>
    <n v="4"/>
    <x v="5"/>
    <x v="3"/>
    <s v="Configuración segura de firewall"/>
    <s v="PREVENTIVO"/>
    <x v="0"/>
    <x v="0"/>
    <s v="Evidencia de validación de las configuraciones"/>
    <n v="2.1"/>
    <n v="4"/>
    <n v="8.399999999999999"/>
    <x v="0"/>
  </r>
  <r>
    <x v="13"/>
    <x v="13"/>
    <s v="Servidor prevencion correo no deseado  _x000a_192.168.23.6"/>
    <m/>
    <x v="3"/>
    <x v="0"/>
    <x v="0"/>
    <s v="X"/>
    <s v="X"/>
    <s v="X"/>
    <n v="2"/>
    <n v="4"/>
    <x v="0"/>
    <x v="0"/>
    <s v="Control de cambios en los sistemas_x000a_Verificación posterior (informe)"/>
    <s v="ADMINISTRACION"/>
    <x v="0"/>
    <x v="0"/>
    <s v="No existe procedimiento formal de gestión de cambios"/>
    <n v="1.4"/>
    <n v="4"/>
    <n v="5.6"/>
    <x v="0"/>
  </r>
  <r>
    <x v="13"/>
    <x v="13"/>
    <s v="Servidor prevencion correo no deseado  _x000a_192.168.23.6"/>
    <m/>
    <x v="3"/>
    <x v="9"/>
    <x v="1"/>
    <m/>
    <m/>
    <s v="X"/>
    <n v="2"/>
    <n v="3"/>
    <x v="6"/>
    <x v="0"/>
    <s v="Procedimiento de Gestión de la capacidad y desempeño de la Infraestructura"/>
    <s v="PREVENTIVO"/>
    <x v="0"/>
    <x v="0"/>
    <s v="Notificación automática de alertas"/>
    <n v="1.4"/>
    <n v="3"/>
    <n v="4.199999999999999"/>
    <x v="1"/>
  </r>
  <r>
    <x v="14"/>
    <x v="14"/>
    <s v="Consola de administracion firewall_x000a_192.168.21.2"/>
    <m/>
    <x v="3"/>
    <x v="4"/>
    <x v="3"/>
    <s v="X"/>
    <s v="X"/>
    <m/>
    <n v="3"/>
    <n v="4"/>
    <x v="5"/>
    <x v="3"/>
    <s v="Control de accesos / VPN"/>
    <s v="PREVENTIVO"/>
    <x v="0"/>
    <x v="0"/>
    <s v="Contreaseñas de VPN no expiran"/>
    <n v="2.1"/>
    <n v="4"/>
    <n v="8.399999999999999"/>
    <x v="0"/>
  </r>
  <r>
    <x v="14"/>
    <x v="14"/>
    <s v="Consola de administracion firewall_x000a_192.168.21.2"/>
    <m/>
    <x v="3"/>
    <x v="10"/>
    <x v="6"/>
    <s v="X"/>
    <m/>
    <s v="X"/>
    <n v="2"/>
    <n v="4"/>
    <x v="0"/>
    <x v="0"/>
    <s v="Control de accesos"/>
    <s v="PREVENTIVO"/>
    <x v="0"/>
    <x v="0"/>
    <s v="Usuarios genéricos"/>
    <n v="1.4"/>
    <n v="4"/>
    <n v="5.6"/>
    <x v="0"/>
  </r>
  <r>
    <x v="14"/>
    <x v="14"/>
    <s v="Consola de administracion firewall_x000a_192.168.21.2"/>
    <m/>
    <x v="3"/>
    <x v="6"/>
    <x v="0"/>
    <s v="X"/>
    <s v="X"/>
    <s v="X"/>
    <n v="2"/>
    <n v="4"/>
    <x v="0"/>
    <x v="0"/>
    <s v="Registro de logs (FortiAnalyzer)"/>
    <s v="DETECTIVO"/>
    <x v="0"/>
    <x v="0"/>
    <s v="Falta de revisión de perfiles de acceso"/>
    <n v="2"/>
    <n v="2.8"/>
    <n v="5.6"/>
    <x v="0"/>
  </r>
  <r>
    <x v="14"/>
    <x v="14"/>
    <s v="Consola de administracion firewall_x000a_192.168.21.2"/>
    <m/>
    <x v="3"/>
    <x v="11"/>
    <x v="1"/>
    <m/>
    <m/>
    <s v="X"/>
    <n v="3"/>
    <n v="5"/>
    <x v="9"/>
    <x v="3"/>
    <s v="Configuración segura de firewall"/>
    <s v="PREVENTIVO"/>
    <x v="0"/>
    <x v="0"/>
    <s v="Evidencia de validación de las configuraciones"/>
    <n v="2.1"/>
    <n v="5"/>
    <n v="10.5"/>
    <x v="2"/>
  </r>
  <r>
    <x v="14"/>
    <x v="14"/>
    <s v="Consola de administracion firewall_x000a_192.168.21.2"/>
    <m/>
    <x v="3"/>
    <x v="0"/>
    <x v="0"/>
    <s v="X"/>
    <s v="X"/>
    <s v="X"/>
    <n v="2"/>
    <n v="4"/>
    <x v="0"/>
    <x v="0"/>
    <s v="Control de cambios en los sistemas_x000a_Verificación posterior (informe)"/>
    <s v="ADMINISTRACION"/>
    <x v="0"/>
    <x v="0"/>
    <s v="No existe procedimiento formal de gestión de cambios"/>
    <n v="1.4"/>
    <n v="4"/>
    <n v="5.6"/>
    <x v="0"/>
  </r>
  <r>
    <x v="14"/>
    <x v="14"/>
    <s v="Consola de administracion firewall_x000a_192.168.21.2"/>
    <m/>
    <x v="3"/>
    <x v="9"/>
    <x v="1"/>
    <m/>
    <m/>
    <s v="X"/>
    <n v="2"/>
    <n v="3"/>
    <x v="6"/>
    <x v="0"/>
    <s v="Procedimiento de Gestión de la capacidad y desempeño de la Infraestructura"/>
    <s v="PREVENTIVO"/>
    <x v="0"/>
    <x v="0"/>
    <s v="Notificación automática de alertas"/>
    <n v="1.4"/>
    <n v="3"/>
    <n v="4.199999999999999"/>
    <x v="1"/>
  </r>
  <r>
    <x v="15"/>
    <x v="15"/>
    <s v="Analizador de logs_x000a_192.168.100.232"/>
    <m/>
    <x v="3"/>
    <x v="4"/>
    <x v="3"/>
    <s v="X"/>
    <s v="X"/>
    <m/>
    <n v="2"/>
    <n v="3"/>
    <x v="6"/>
    <x v="0"/>
    <s v="Control de accesos / VPN"/>
    <s v="PREVENTIVO"/>
    <x v="0"/>
    <x v="0"/>
    <s v="Contreaseñas de VPN no expiran"/>
    <n v="1.4"/>
    <n v="3"/>
    <n v="4.199999999999999"/>
    <x v="1"/>
  </r>
  <r>
    <x v="15"/>
    <x v="15"/>
    <s v="Analizador de logs_x000a_192.168.100.232"/>
    <m/>
    <x v="3"/>
    <x v="10"/>
    <x v="6"/>
    <s v="X"/>
    <m/>
    <s v="X"/>
    <n v="2"/>
    <n v="3"/>
    <x v="6"/>
    <x v="0"/>
    <s v="Control de accesos"/>
    <s v="PREVENTIVO"/>
    <x v="0"/>
    <x v="0"/>
    <s v="Usuarios genéricos"/>
    <n v="1.4"/>
    <n v="3"/>
    <n v="4.199999999999999"/>
    <x v="1"/>
  </r>
  <r>
    <x v="15"/>
    <x v="15"/>
    <s v="Analizador de logs_x000a_192.168.100.232"/>
    <m/>
    <x v="3"/>
    <x v="6"/>
    <x v="0"/>
    <s v="X"/>
    <s v="X"/>
    <s v="X"/>
    <n v="2"/>
    <n v="3"/>
    <x v="6"/>
    <x v="0"/>
    <s v="Registro de logs (FortiAnalyzer)"/>
    <s v="DETECTIVO"/>
    <x v="0"/>
    <x v="0"/>
    <s v="Falta de revisión de perfiles de acceso"/>
    <n v="2"/>
    <n v="2.1"/>
    <n v="4.199999999999999"/>
    <x v="1"/>
  </r>
  <r>
    <x v="15"/>
    <x v="15"/>
    <s v="Analizador de logs_x000a_192.168.100.232"/>
    <m/>
    <x v="3"/>
    <x v="11"/>
    <x v="1"/>
    <m/>
    <m/>
    <s v="X"/>
    <n v="3"/>
    <n v="3"/>
    <x v="7"/>
    <x v="0"/>
    <s v="Configuración segura de firewall"/>
    <s v="PREVENTIVO"/>
    <x v="0"/>
    <x v="0"/>
    <s v="Evidencia de validación de las configuraciones"/>
    <n v="2.1"/>
    <n v="3"/>
    <n v="6.299999999999999"/>
    <x v="0"/>
  </r>
  <r>
    <x v="15"/>
    <x v="15"/>
    <s v="Analizador de logs_x000a_192.168.100.232"/>
    <m/>
    <x v="3"/>
    <x v="0"/>
    <x v="0"/>
    <s v="X"/>
    <s v="X"/>
    <s v="X"/>
    <n v="2"/>
    <n v="3"/>
    <x v="6"/>
    <x v="0"/>
    <s v="Control de cambios en los sistemas_x000a_Verificación posterior (informe)"/>
    <s v="ADMINISTRACION"/>
    <x v="0"/>
    <x v="0"/>
    <s v="No existe procedimiento formal de gestión de cambios"/>
    <n v="1.4"/>
    <n v="3"/>
    <n v="4.199999999999999"/>
    <x v="1"/>
  </r>
  <r>
    <x v="15"/>
    <x v="15"/>
    <s v="Analizador de logs_x000a_192.168.100.232"/>
    <m/>
    <x v="3"/>
    <x v="9"/>
    <x v="1"/>
    <m/>
    <m/>
    <s v="X"/>
    <n v="3"/>
    <n v="3"/>
    <x v="7"/>
    <x v="0"/>
    <s v="Procedimiento de Gestión de la capacidad y desempeño de la Infraestructura"/>
    <s v="PREVENTIVO"/>
    <x v="0"/>
    <x v="0"/>
    <s v="Notificación automática de alertas"/>
    <n v="2.1"/>
    <n v="3"/>
    <n v="6.299999999999999"/>
    <x v="0"/>
  </r>
  <r>
    <x v="16"/>
    <x v="16"/>
    <s v="Consola de administracion  _x000a_192.168.100.238"/>
    <m/>
    <x v="3"/>
    <x v="4"/>
    <x v="3"/>
    <s v="X"/>
    <s v="X"/>
    <m/>
    <n v="3"/>
    <n v="4"/>
    <x v="5"/>
    <x v="3"/>
    <s v="Control de accesos / VPN"/>
    <s v="PREVENTIVO"/>
    <x v="0"/>
    <x v="0"/>
    <s v="Contreaseñas de VPN no expiran"/>
    <n v="2.1"/>
    <n v="4"/>
    <n v="8.399999999999999"/>
    <x v="0"/>
  </r>
  <r>
    <x v="16"/>
    <x v="16"/>
    <s v="Consola de administracion  _x000a_192.168.100.238"/>
    <m/>
    <x v="3"/>
    <x v="10"/>
    <x v="6"/>
    <s v="X"/>
    <m/>
    <s v="X"/>
    <n v="2"/>
    <n v="3"/>
    <x v="6"/>
    <x v="0"/>
    <s v="Control de accesos"/>
    <s v="PREVENTIVO"/>
    <x v="0"/>
    <x v="0"/>
    <s v="Usuarios genéricos"/>
    <n v="1.4"/>
    <n v="3"/>
    <n v="4.199999999999999"/>
    <x v="1"/>
  </r>
  <r>
    <x v="16"/>
    <x v="16"/>
    <s v="Consola de administracion  _x000a_192.168.100.238"/>
    <m/>
    <x v="3"/>
    <x v="6"/>
    <x v="0"/>
    <s v="X"/>
    <s v="X"/>
    <s v="X"/>
    <n v="2"/>
    <n v="4"/>
    <x v="0"/>
    <x v="0"/>
    <s v="Registro de logs (FortiAnalyzer)"/>
    <s v="DETECTIVO"/>
    <x v="0"/>
    <x v="0"/>
    <s v="Falta de revisión de perfiles de acceso"/>
    <n v="2"/>
    <n v="2.8"/>
    <n v="5.6"/>
    <x v="0"/>
  </r>
  <r>
    <x v="16"/>
    <x v="16"/>
    <s v="Consola de administracion  _x000a_192.168.100.238"/>
    <m/>
    <x v="3"/>
    <x v="11"/>
    <x v="1"/>
    <m/>
    <m/>
    <s v="X"/>
    <n v="3"/>
    <n v="4"/>
    <x v="5"/>
    <x v="3"/>
    <s v="Configuración segura de firewall"/>
    <s v="PREVENTIVO"/>
    <x v="0"/>
    <x v="0"/>
    <s v="Evidencia de validación de las configuraciones"/>
    <n v="2.1"/>
    <n v="4"/>
    <n v="8.399999999999999"/>
    <x v="0"/>
  </r>
  <r>
    <x v="16"/>
    <x v="16"/>
    <s v="Consola de administracion  _x000a_192.168.100.238"/>
    <m/>
    <x v="3"/>
    <x v="0"/>
    <x v="0"/>
    <s v="X"/>
    <s v="X"/>
    <s v="X"/>
    <n v="2"/>
    <n v="3"/>
    <x v="6"/>
    <x v="0"/>
    <s v="Control de cambios en los sistemas_x000a_Verificación posterior (informe)"/>
    <s v="ADMINISTRACION"/>
    <x v="0"/>
    <x v="0"/>
    <s v="No existe procedimiento formal de gestión de cambios"/>
    <n v="1.4"/>
    <n v="3"/>
    <n v="4.199999999999999"/>
    <x v="1"/>
  </r>
  <r>
    <x v="16"/>
    <x v="16"/>
    <s v="Consola de administracion  _x000a_192.168.100.238"/>
    <m/>
    <x v="3"/>
    <x v="9"/>
    <x v="1"/>
    <m/>
    <m/>
    <s v="X"/>
    <n v="2"/>
    <n v="4"/>
    <x v="0"/>
    <x v="0"/>
    <s v="Procedimiento de Gestión de la capacidad y desempeño de la Infraestructura"/>
    <s v="PREVENTIVO"/>
    <x v="0"/>
    <x v="0"/>
    <s v="Notificación automática de alertas"/>
    <n v="1.4"/>
    <n v="4"/>
    <n v="5.6"/>
    <x v="0"/>
  </r>
  <r>
    <x v="17"/>
    <x v="17"/>
    <s v="Funcionarios con el cargo de Administrador de Seguridad Informática"/>
    <m/>
    <x v="5"/>
    <x v="14"/>
    <x v="1"/>
    <m/>
    <m/>
    <s v="X"/>
    <n v="2"/>
    <n v="3"/>
    <x v="6"/>
    <x v="0"/>
    <s v="Plan de continuidad documentado"/>
    <s v="RECUPERACION"/>
    <x v="0"/>
    <x v="0"/>
    <s v="Dependencia de personal clave"/>
    <n v="2"/>
    <n v="2.1"/>
    <n v="4.199999999999999"/>
    <x v="1"/>
  </r>
  <r>
    <x v="18"/>
    <x v="18"/>
    <s v="Funcionarios con el cargo de Administrador de Base de Datos"/>
    <m/>
    <x v="5"/>
    <x v="14"/>
    <x v="1"/>
    <m/>
    <m/>
    <s v="X"/>
    <n v="2"/>
    <n v="3"/>
    <x v="6"/>
    <x v="0"/>
    <s v="Plan de continuidad documentado"/>
    <s v="RECUPERACION"/>
    <x v="0"/>
    <x v="0"/>
    <s v="Dependencia de personal clave"/>
    <n v="2"/>
    <n v="2.1"/>
    <n v="4.199999999999999"/>
    <x v="1"/>
  </r>
  <r>
    <x v="19"/>
    <x v="19"/>
    <s v="Ruteador para enlaces de comunicación / 192.168.100.253"/>
    <m/>
    <x v="3"/>
    <x v="0"/>
    <x v="0"/>
    <s v="X"/>
    <s v="X"/>
    <s v="X"/>
    <n v="2"/>
    <n v="3"/>
    <x v="6"/>
    <x v="0"/>
    <s v="Control de cambios en los sistemas_x000a_Verificación posterior (informe)"/>
    <s v="ADMINISTRACION"/>
    <x v="0"/>
    <x v="0"/>
    <s v="No existe procedimiento formal de gestión de cambios"/>
    <n v="1.4"/>
    <n v="3"/>
    <n v="4.199999999999999"/>
    <x v="1"/>
  </r>
  <r>
    <x v="19"/>
    <x v="19"/>
    <s v="Ruteador para enlaces de comunicación / 192.168.100.253"/>
    <m/>
    <x v="3"/>
    <x v="4"/>
    <x v="3"/>
    <s v="X"/>
    <s v="X"/>
    <m/>
    <n v="3"/>
    <n v="4"/>
    <x v="5"/>
    <x v="3"/>
    <s v="Control de accesos / VPN"/>
    <s v="PREVENTIVO"/>
    <x v="0"/>
    <x v="0"/>
    <s v="Contreaseñas de VPN no expiran"/>
    <n v="2.1"/>
    <n v="4"/>
    <n v="8.399999999999999"/>
    <x v="0"/>
  </r>
  <r>
    <x v="19"/>
    <x v="19"/>
    <s v="Ruteador para enlaces de comunicación / 192.168.100.253"/>
    <m/>
    <x v="3"/>
    <x v="6"/>
    <x v="0"/>
    <s v="X"/>
    <s v="X"/>
    <s v="X"/>
    <n v="2"/>
    <n v="4"/>
    <x v="0"/>
    <x v="0"/>
    <s v="Registro de logs"/>
    <s v="DETECTIVO"/>
    <x v="0"/>
    <x v="0"/>
    <s v="Falta de revisión de perfiles de acceso"/>
    <n v="2"/>
    <n v="2.8"/>
    <n v="5.6"/>
    <x v="0"/>
  </r>
  <r>
    <x v="19"/>
    <x v="19"/>
    <s v="Ruteador para enlaces de comunicación / 192.168.100.253"/>
    <m/>
    <x v="3"/>
    <x v="12"/>
    <x v="1"/>
    <m/>
    <m/>
    <s v="X"/>
    <n v="3"/>
    <n v="4"/>
    <x v="5"/>
    <x v="3"/>
    <s v="Gestión de vulnerabilidades"/>
    <s v="PREVENTIVO"/>
    <x v="0"/>
    <x v="2"/>
    <s v="Recursos tecnológicos insuficientes para remediación"/>
    <n v="1.8"/>
    <n v="4"/>
    <n v="7.199999999999999"/>
    <x v="0"/>
  </r>
  <r>
    <x v="20"/>
    <x v="20"/>
    <s v="Ruteador para enlaces de comunicación / 192.168.40.253"/>
    <m/>
    <x v="3"/>
    <x v="0"/>
    <x v="0"/>
    <s v="X"/>
    <s v="X"/>
    <s v="X"/>
    <n v="2"/>
    <n v="3"/>
    <x v="6"/>
    <x v="0"/>
    <s v="Control de cambios en los sistemas_x000a_Verificación posterior (informe)"/>
    <s v="ADMINISTRACION"/>
    <x v="0"/>
    <x v="0"/>
    <s v="No existe procedimiento formal de gestión de cambios"/>
    <n v="1.4"/>
    <n v="3"/>
    <n v="4.199999999999999"/>
    <x v="1"/>
  </r>
  <r>
    <x v="20"/>
    <x v="20"/>
    <s v="Ruteador para enlaces de comunicación / 192.168.40.253"/>
    <m/>
    <x v="3"/>
    <x v="4"/>
    <x v="3"/>
    <s v="X"/>
    <s v="X"/>
    <m/>
    <n v="2"/>
    <n v="4"/>
    <x v="0"/>
    <x v="0"/>
    <s v="Control de accesos / VPN"/>
    <s v="PREVENTIVO"/>
    <x v="0"/>
    <x v="0"/>
    <s v="Contreaseñas de VPN no expiran"/>
    <n v="1.4"/>
    <n v="4"/>
    <n v="5.6"/>
    <x v="0"/>
  </r>
  <r>
    <x v="20"/>
    <x v="20"/>
    <s v="Ruteador para enlaces de comunicación / 192.168.40.253"/>
    <m/>
    <x v="3"/>
    <x v="6"/>
    <x v="0"/>
    <s v="X"/>
    <s v="X"/>
    <s v="X"/>
    <n v="2"/>
    <n v="4"/>
    <x v="0"/>
    <x v="0"/>
    <s v="Registro de logs"/>
    <s v="DETECTIVO"/>
    <x v="0"/>
    <x v="0"/>
    <s v="Falta de revisión de perfiles de acceso"/>
    <n v="2"/>
    <n v="2.8"/>
    <n v="5.6"/>
    <x v="0"/>
  </r>
  <r>
    <x v="20"/>
    <x v="20"/>
    <s v="Ruteador para enlaces de comunicación / 192.168.40.253"/>
    <m/>
    <x v="3"/>
    <x v="12"/>
    <x v="1"/>
    <m/>
    <m/>
    <s v="X"/>
    <n v="3"/>
    <n v="3"/>
    <x v="7"/>
    <x v="0"/>
    <s v="Gestión de vulnerabilidades"/>
    <s v="PREVENTIVO"/>
    <x v="0"/>
    <x v="2"/>
    <s v="Recursos tecnológicos insuficientes para remediación"/>
    <n v="1.8"/>
    <n v="3"/>
    <n v="5.399999999999999"/>
    <x v="0"/>
  </r>
  <r>
    <x v="21"/>
    <x v="21"/>
    <s v="Ruteador para enlaces de comunicación / 192.168.50.253"/>
    <m/>
    <x v="3"/>
    <x v="0"/>
    <x v="0"/>
    <s v="X"/>
    <s v="X"/>
    <s v="X"/>
    <n v="2"/>
    <n v="3"/>
    <x v="6"/>
    <x v="0"/>
    <s v="Control de cambios en los sistemas_x000a_Verificación posterior (informe)"/>
    <s v="ADMINISTRACION"/>
    <x v="0"/>
    <x v="0"/>
    <s v="No existe procedimiento formal de gestión de cambios"/>
    <n v="1.4"/>
    <n v="3"/>
    <n v="4.199999999999999"/>
    <x v="1"/>
  </r>
  <r>
    <x v="21"/>
    <x v="21"/>
    <s v="Ruteador para enlaces de comunicación / 192.168.50.253"/>
    <m/>
    <x v="3"/>
    <x v="4"/>
    <x v="3"/>
    <s v="X"/>
    <s v="X"/>
    <m/>
    <n v="2"/>
    <n v="4"/>
    <x v="0"/>
    <x v="0"/>
    <s v="Control de accesos / VPN"/>
    <s v="PREVENTIVO"/>
    <x v="0"/>
    <x v="0"/>
    <s v="Contreaseñas de VPN no expiran"/>
    <n v="1.4"/>
    <n v="4"/>
    <n v="5.6"/>
    <x v="0"/>
  </r>
  <r>
    <x v="21"/>
    <x v="21"/>
    <s v="Ruteador para enlaces de comunicación / 192.168.50.253"/>
    <m/>
    <x v="3"/>
    <x v="6"/>
    <x v="0"/>
    <s v="X"/>
    <s v="X"/>
    <s v="X"/>
    <n v="2"/>
    <n v="4"/>
    <x v="0"/>
    <x v="0"/>
    <s v="Registro de logs"/>
    <s v="DETECTIVO"/>
    <x v="0"/>
    <x v="0"/>
    <s v="Falta de revisión de perfiles de acceso"/>
    <n v="2"/>
    <n v="2.8"/>
    <n v="5.6"/>
    <x v="0"/>
  </r>
  <r>
    <x v="21"/>
    <x v="21"/>
    <s v="Ruteador para enlaces de comunicación / 192.168.50.253"/>
    <m/>
    <x v="3"/>
    <x v="12"/>
    <x v="1"/>
    <m/>
    <m/>
    <s v="X"/>
    <n v="3"/>
    <n v="3"/>
    <x v="7"/>
    <x v="0"/>
    <s v="Gestión de vulnerabilidades"/>
    <s v="PREVENTIVO"/>
    <x v="0"/>
    <x v="2"/>
    <s v="Recursos tecnológicos insuficientes para remediación"/>
    <n v="1.8"/>
    <n v="3"/>
    <n v="5.399999999999999"/>
    <x v="0"/>
  </r>
  <r>
    <x v="22"/>
    <x v="22"/>
    <s v="Servidor que contiene el servidor BDD Oracle / SERVIDOR APARK 192.168.10.72"/>
    <m/>
    <x v="3"/>
    <x v="0"/>
    <x v="0"/>
    <s v="X"/>
    <s v="X"/>
    <s v="X"/>
    <n v="2"/>
    <n v="4"/>
    <x v="0"/>
    <x v="0"/>
    <s v="Control de cambios en los sistemas_x000a_Verificación posterior (informe)"/>
    <s v="ADMINISTRACION"/>
    <x v="0"/>
    <x v="0"/>
    <s v="No existe procedimiento formal de gestión de cambios"/>
    <n v="1.4"/>
    <n v="4"/>
    <n v="5.6"/>
    <x v="0"/>
  </r>
  <r>
    <x v="22"/>
    <x v="22"/>
    <s v="Servidor que contiene el servidor BDD Oracle / SERVIDOR APARK 192.168.10.72"/>
    <m/>
    <x v="3"/>
    <x v="4"/>
    <x v="3"/>
    <s v="X"/>
    <s v="X"/>
    <m/>
    <n v="3"/>
    <n v="5"/>
    <x v="9"/>
    <x v="3"/>
    <s v="Control de accesos / VPN"/>
    <s v="PREVENTIVO"/>
    <x v="0"/>
    <x v="0"/>
    <s v="Contreaseñas de VPN no expiran"/>
    <n v="2.1"/>
    <n v="5"/>
    <n v="10.5"/>
    <x v="2"/>
  </r>
  <r>
    <x v="22"/>
    <x v="22"/>
    <s v="Servidor que contiene el servidor BDD Oracle / SERVIDOR APARK 192.168.10.72"/>
    <m/>
    <x v="3"/>
    <x v="6"/>
    <x v="0"/>
    <s v="X"/>
    <s v="X"/>
    <s v="X"/>
    <n v="3"/>
    <n v="4"/>
    <x v="5"/>
    <x v="3"/>
    <s v="Registro de logs (FortiAnalyzer)"/>
    <s v="DETECTIVO"/>
    <x v="0"/>
    <x v="0"/>
    <s v="Falta de revisión de perfiles de acceso"/>
    <n v="3"/>
    <n v="2.8"/>
    <n v="8.399999999999999"/>
    <x v="0"/>
  </r>
  <r>
    <x v="22"/>
    <x v="22"/>
    <s v="Servidor que contiene el servidor BDD Oracle / SERVIDOR APARK 192.168.10.72"/>
    <m/>
    <x v="3"/>
    <x v="12"/>
    <x v="1"/>
    <m/>
    <m/>
    <s v="X"/>
    <n v="3"/>
    <n v="4"/>
    <x v="5"/>
    <x v="3"/>
    <s v="Gestión de vulnerabilidades"/>
    <s v="PREVENTIVO"/>
    <x v="0"/>
    <x v="2"/>
    <s v="Recursos tecnológicos insuficientes para remediación"/>
    <n v="1.8"/>
    <n v="4"/>
    <n v="7.199999999999999"/>
    <x v="0"/>
  </r>
  <r>
    <x v="23"/>
    <x v="23"/>
    <s v="Ruteador para enlaces de comunicación / 192.168.60.253"/>
    <m/>
    <x v="3"/>
    <x v="0"/>
    <x v="0"/>
    <s v="X"/>
    <s v="X"/>
    <s v="X"/>
    <n v="2"/>
    <n v="3"/>
    <x v="6"/>
    <x v="0"/>
    <s v="Control de cambios en los sistemas_x000a_Verificación posterior (informe)"/>
    <s v="ADMINISTRACION"/>
    <x v="0"/>
    <x v="0"/>
    <s v="No existe procedimiento formal de gestión de cambios"/>
    <n v="1.4"/>
    <n v="3"/>
    <n v="4.199999999999999"/>
    <x v="1"/>
  </r>
  <r>
    <x v="23"/>
    <x v="23"/>
    <s v="Ruteador para enlaces de comunicación / 192.168.60.253"/>
    <m/>
    <x v="3"/>
    <x v="4"/>
    <x v="3"/>
    <s v="X"/>
    <s v="X"/>
    <m/>
    <n v="2"/>
    <n v="4"/>
    <x v="0"/>
    <x v="0"/>
    <s v="Control de accesos / VPN"/>
    <s v="PREVENTIVO"/>
    <x v="0"/>
    <x v="0"/>
    <s v="Contreaseñas de VPN no expiran"/>
    <n v="1.4"/>
    <n v="4"/>
    <n v="5.6"/>
    <x v="0"/>
  </r>
  <r>
    <x v="23"/>
    <x v="23"/>
    <s v="Ruteador para enlaces de comunicación / 192.168.60.253"/>
    <m/>
    <x v="3"/>
    <x v="6"/>
    <x v="0"/>
    <s v="X"/>
    <s v="X"/>
    <s v="X"/>
    <n v="2"/>
    <n v="4"/>
    <x v="0"/>
    <x v="0"/>
    <s v="Registro de logs"/>
    <s v="DETECTIVO"/>
    <x v="0"/>
    <x v="0"/>
    <s v="Falta de revisión de perfiles de acceso"/>
    <n v="2"/>
    <n v="2.8"/>
    <n v="5.6"/>
    <x v="0"/>
  </r>
  <r>
    <x v="23"/>
    <x v="23"/>
    <s v="Ruteador para enlaces de comunicación / 192.168.60.253"/>
    <m/>
    <x v="3"/>
    <x v="12"/>
    <x v="1"/>
    <m/>
    <m/>
    <s v="X"/>
    <n v="3"/>
    <n v="3"/>
    <x v="7"/>
    <x v="0"/>
    <s v="Gestión de vulnerabilidades"/>
    <s v="PREVENTIVO"/>
    <x v="0"/>
    <x v="2"/>
    <s v="Recursos tecnológicos insuficientes para remediación"/>
    <n v="1.8"/>
    <n v="3"/>
    <n v="5.399999999999999"/>
    <x v="0"/>
  </r>
  <r>
    <x v="24"/>
    <x v="24"/>
    <s v="Ruteador para enlaces de comunicación / 192.168.31.253"/>
    <m/>
    <x v="3"/>
    <x v="0"/>
    <x v="0"/>
    <s v="X"/>
    <s v="X"/>
    <s v="X"/>
    <n v="2"/>
    <n v="3"/>
    <x v="6"/>
    <x v="0"/>
    <s v="Control de cambios en los sistemas_x000a_Verificación posterior (informe)"/>
    <s v="ADMINISTRACION"/>
    <x v="0"/>
    <x v="0"/>
    <s v="No existe procedimiento formal de gestión de cambios"/>
    <n v="1.4"/>
    <n v="3"/>
    <n v="4.199999999999999"/>
    <x v="1"/>
  </r>
  <r>
    <x v="24"/>
    <x v="24"/>
    <s v="Ruteador para enlaces de comunicación / 192.168.31.253"/>
    <m/>
    <x v="3"/>
    <x v="4"/>
    <x v="3"/>
    <s v="X"/>
    <s v="X"/>
    <m/>
    <n v="2"/>
    <n v="4"/>
    <x v="0"/>
    <x v="0"/>
    <s v="Control de accesos / VPN"/>
    <s v="PREVENTIVO"/>
    <x v="0"/>
    <x v="0"/>
    <s v="Contreaseñas de VPN no expiran"/>
    <n v="1.4"/>
    <n v="4"/>
    <n v="5.6"/>
    <x v="0"/>
  </r>
  <r>
    <x v="24"/>
    <x v="24"/>
    <s v="Ruteador para enlaces de comunicación / 192.168.31.253"/>
    <m/>
    <x v="3"/>
    <x v="6"/>
    <x v="0"/>
    <s v="X"/>
    <s v="X"/>
    <s v="X"/>
    <n v="2"/>
    <n v="4"/>
    <x v="0"/>
    <x v="0"/>
    <s v="Registro de logs"/>
    <s v="DETECTIVO"/>
    <x v="0"/>
    <x v="0"/>
    <s v="Falta de revisión de perfiles de acceso"/>
    <n v="2"/>
    <n v="2.8"/>
    <n v="5.6"/>
    <x v="0"/>
  </r>
  <r>
    <x v="24"/>
    <x v="24"/>
    <s v="Ruteador para enlaces de comunicación / 192.168.31.253"/>
    <m/>
    <x v="3"/>
    <x v="12"/>
    <x v="1"/>
    <m/>
    <m/>
    <s v="X"/>
    <n v="3"/>
    <n v="3"/>
    <x v="7"/>
    <x v="0"/>
    <s v="Gestión de vulnerabilidades"/>
    <s v="PREVENTIVO"/>
    <x v="0"/>
    <x v="2"/>
    <s v="Recursos tecnológicos insuficientes para remediación"/>
    <n v="1.8"/>
    <n v="3"/>
    <n v="5.399999999999999"/>
    <x v="0"/>
  </r>
  <r>
    <x v="25"/>
    <x v="25"/>
    <s v="Ruteador para enlaces de comunicación / 192.168.80.253"/>
    <m/>
    <x v="3"/>
    <x v="0"/>
    <x v="0"/>
    <s v="X"/>
    <s v="X"/>
    <s v="X"/>
    <n v="2"/>
    <n v="3"/>
    <x v="6"/>
    <x v="0"/>
    <s v="Control de cambios en los sistemas_x000a_Verificación posterior (informe)"/>
    <s v="ADMINISTRACION"/>
    <x v="0"/>
    <x v="0"/>
    <s v="No existe procedimiento formal de gestión de cambios"/>
    <n v="1.4"/>
    <n v="3"/>
    <n v="4.199999999999999"/>
    <x v="1"/>
  </r>
  <r>
    <x v="25"/>
    <x v="25"/>
    <s v="Ruteador para enlaces de comunicación / 192.168.80.253"/>
    <m/>
    <x v="3"/>
    <x v="4"/>
    <x v="3"/>
    <s v="X"/>
    <s v="X"/>
    <m/>
    <n v="2"/>
    <n v="4"/>
    <x v="0"/>
    <x v="0"/>
    <s v="Control de accesos / VPN"/>
    <s v="PREVENTIVO"/>
    <x v="0"/>
    <x v="0"/>
    <s v="Contreaseñas de VPN no expiran"/>
    <n v="1.4"/>
    <n v="4"/>
    <n v="5.6"/>
    <x v="0"/>
  </r>
  <r>
    <x v="25"/>
    <x v="25"/>
    <s v="Ruteador para enlaces de comunicación / 192.168.80.253"/>
    <m/>
    <x v="3"/>
    <x v="6"/>
    <x v="0"/>
    <s v="X"/>
    <s v="X"/>
    <s v="X"/>
    <n v="2"/>
    <n v="4"/>
    <x v="0"/>
    <x v="0"/>
    <s v="Registro de logs"/>
    <s v="DETECTIVO"/>
    <x v="0"/>
    <x v="0"/>
    <s v="Falta de revisión de perfiles de acceso"/>
    <n v="2"/>
    <n v="2.8"/>
    <n v="5.6"/>
    <x v="0"/>
  </r>
  <r>
    <x v="25"/>
    <x v="25"/>
    <s v="Ruteador para enlaces de comunicación / 192.168.80.253"/>
    <m/>
    <x v="3"/>
    <x v="12"/>
    <x v="1"/>
    <m/>
    <m/>
    <s v="X"/>
    <n v="3"/>
    <n v="3"/>
    <x v="7"/>
    <x v="0"/>
    <s v="Gestión de vulnerabilidades"/>
    <s v="PREVENTIVO"/>
    <x v="0"/>
    <x v="2"/>
    <s v="Recursos tecnológicos insuficientes para remediación"/>
    <n v="1.8"/>
    <n v="3"/>
    <n v="5.399999999999999"/>
    <x v="0"/>
  </r>
  <r>
    <x v="26"/>
    <x v="26"/>
    <s v="Ruteador para enlaces de comunicación / 192.168.82.253"/>
    <m/>
    <x v="3"/>
    <x v="0"/>
    <x v="0"/>
    <s v="X"/>
    <s v="X"/>
    <s v="X"/>
    <n v="2"/>
    <n v="3"/>
    <x v="6"/>
    <x v="0"/>
    <s v="Control de cambios en los sistemas_x000a_Verificación posterior (informe)"/>
    <s v="ADMINISTRACION"/>
    <x v="0"/>
    <x v="0"/>
    <s v="No existe procedimiento formal de gestión de cambios"/>
    <n v="1.4"/>
    <n v="3"/>
    <n v="4.199999999999999"/>
    <x v="1"/>
  </r>
  <r>
    <x v="26"/>
    <x v="26"/>
    <s v="Ruteador para enlaces de comunicación / 192.168.82.253"/>
    <m/>
    <x v="3"/>
    <x v="4"/>
    <x v="3"/>
    <s v="X"/>
    <s v="X"/>
    <m/>
    <n v="2"/>
    <n v="4"/>
    <x v="0"/>
    <x v="0"/>
    <s v="Control de accesos / VPN"/>
    <s v="PREVENTIVO"/>
    <x v="0"/>
    <x v="0"/>
    <s v="Contreaseñas de VPN no expiran"/>
    <n v="1.4"/>
    <n v="4"/>
    <n v="5.6"/>
    <x v="0"/>
  </r>
  <r>
    <x v="26"/>
    <x v="26"/>
    <s v="Ruteador para enlaces de comunicación / 192.168.82.253"/>
    <m/>
    <x v="3"/>
    <x v="6"/>
    <x v="0"/>
    <s v="X"/>
    <s v="X"/>
    <s v="X"/>
    <n v="2"/>
    <n v="4"/>
    <x v="0"/>
    <x v="0"/>
    <s v="Registro de logs"/>
    <s v="DETECTIVO"/>
    <x v="0"/>
    <x v="0"/>
    <s v="Falta de revisión de perfiles de acceso"/>
    <n v="2"/>
    <n v="2.8"/>
    <n v="5.6"/>
    <x v="0"/>
  </r>
  <r>
    <x v="26"/>
    <x v="26"/>
    <s v="Ruteador para enlaces de comunicación / 192.168.82.253"/>
    <m/>
    <x v="3"/>
    <x v="12"/>
    <x v="1"/>
    <m/>
    <m/>
    <s v="X"/>
    <n v="3"/>
    <n v="3"/>
    <x v="7"/>
    <x v="0"/>
    <s v="Gestión de vulnerabilidades"/>
    <s v="PREVENTIVO"/>
    <x v="0"/>
    <x v="2"/>
    <s v="Recursos tecnológicos insuficientes para remediación"/>
    <n v="1.8"/>
    <n v="3"/>
    <n v="5.399999999999999"/>
    <x v="0"/>
  </r>
  <r>
    <x v="27"/>
    <x v="27"/>
    <s v="Ruteador para enlaces de comunicación / 192.168.81.253"/>
    <m/>
    <x v="3"/>
    <x v="0"/>
    <x v="0"/>
    <s v="X"/>
    <s v="X"/>
    <s v="X"/>
    <n v="2"/>
    <n v="3"/>
    <x v="6"/>
    <x v="0"/>
    <s v="Control de cambios en los sistemas_x000a_Verificación posterior (informe)"/>
    <s v="ADMINISTRACION"/>
    <x v="0"/>
    <x v="0"/>
    <s v="No existe procedimiento formal de gestión de cambios"/>
    <n v="1.4"/>
    <n v="3"/>
    <n v="4.199999999999999"/>
    <x v="1"/>
  </r>
  <r>
    <x v="27"/>
    <x v="27"/>
    <s v="Ruteador para enlaces de comunicación / 192.168.81.253"/>
    <m/>
    <x v="3"/>
    <x v="4"/>
    <x v="3"/>
    <s v="X"/>
    <s v="X"/>
    <m/>
    <n v="2"/>
    <n v="4"/>
    <x v="0"/>
    <x v="0"/>
    <s v="Control de accesos / VPN"/>
    <s v="PREVENTIVO"/>
    <x v="0"/>
    <x v="0"/>
    <s v="Contreaseñas de VPN no expiran"/>
    <n v="1.4"/>
    <n v="4"/>
    <n v="5.6"/>
    <x v="0"/>
  </r>
  <r>
    <x v="27"/>
    <x v="27"/>
    <s v="Ruteador para enlaces de comunicación / 192.168.81.253"/>
    <m/>
    <x v="3"/>
    <x v="6"/>
    <x v="0"/>
    <s v="X"/>
    <s v="X"/>
    <s v="X"/>
    <n v="2"/>
    <n v="4"/>
    <x v="0"/>
    <x v="0"/>
    <s v="Registro de logs"/>
    <s v="DETECTIVO"/>
    <x v="0"/>
    <x v="0"/>
    <s v="Falta de revisión de perfiles de acceso"/>
    <n v="2"/>
    <n v="2.8"/>
    <n v="5.6"/>
    <x v="0"/>
  </r>
  <r>
    <x v="27"/>
    <x v="27"/>
    <s v="Ruteador para enlaces de comunicación / 192.168.81.253"/>
    <m/>
    <x v="3"/>
    <x v="12"/>
    <x v="1"/>
    <m/>
    <m/>
    <s v="X"/>
    <n v="3"/>
    <n v="3"/>
    <x v="7"/>
    <x v="0"/>
    <s v="Gestión de vulnerabilidades"/>
    <s v="PREVENTIVO"/>
    <x v="0"/>
    <x v="2"/>
    <s v="Recursos tecnológicos insuficientes para remediación"/>
    <n v="1.8"/>
    <n v="3"/>
    <n v="5.399999999999999"/>
    <x v="0"/>
  </r>
  <r>
    <x v="28"/>
    <x v="28"/>
    <s v="Ruteador para enlaces de comunicación"/>
    <m/>
    <x v="3"/>
    <x v="0"/>
    <x v="0"/>
    <s v="X"/>
    <s v="X"/>
    <s v="X"/>
    <n v="2"/>
    <n v="3"/>
    <x v="6"/>
    <x v="0"/>
    <s v="Control de cambios en los sistemas_x000a_Verificación posterior (informe)"/>
    <s v="ADMINISTRACION"/>
    <x v="0"/>
    <x v="0"/>
    <s v="No existe procedimiento formal de gestión de cambios"/>
    <n v="1.4"/>
    <n v="3"/>
    <n v="4.199999999999999"/>
    <x v="1"/>
  </r>
  <r>
    <x v="28"/>
    <x v="28"/>
    <s v="Ruteador para enlaces de comunicación"/>
    <m/>
    <x v="3"/>
    <x v="4"/>
    <x v="3"/>
    <s v="X"/>
    <s v="X"/>
    <m/>
    <n v="2"/>
    <n v="4"/>
    <x v="0"/>
    <x v="0"/>
    <s v="Control de accesos / VPN"/>
    <s v="PREVENTIVO"/>
    <x v="0"/>
    <x v="0"/>
    <s v="Contreaseñas de VPN no expiran"/>
    <n v="1.4"/>
    <n v="4"/>
    <n v="5.6"/>
    <x v="0"/>
  </r>
  <r>
    <x v="28"/>
    <x v="28"/>
    <s v="Ruteador para enlaces de comunicación"/>
    <m/>
    <x v="3"/>
    <x v="6"/>
    <x v="0"/>
    <s v="X"/>
    <s v="X"/>
    <s v="X"/>
    <n v="2"/>
    <n v="4"/>
    <x v="0"/>
    <x v="0"/>
    <s v="Registro de logs"/>
    <s v="DETECTIVO"/>
    <x v="0"/>
    <x v="0"/>
    <s v="Falta de revisión de perfiles de acceso"/>
    <n v="2"/>
    <n v="2.8"/>
    <n v="5.6"/>
    <x v="0"/>
  </r>
  <r>
    <x v="28"/>
    <x v="28"/>
    <s v="Ruteador para enlaces de comunicación"/>
    <m/>
    <x v="3"/>
    <x v="12"/>
    <x v="1"/>
    <m/>
    <m/>
    <s v="X"/>
    <n v="3"/>
    <n v="3"/>
    <x v="7"/>
    <x v="0"/>
    <s v="Gestión de vulnerabilidades"/>
    <s v="PREVENTIVO"/>
    <x v="0"/>
    <x v="2"/>
    <s v="Recursos tecnológicos insuficientes para remediación"/>
    <n v="1.8"/>
    <n v="3"/>
    <n v="5.399999999999999"/>
    <x v="0"/>
  </r>
  <r>
    <x v="29"/>
    <x v="29"/>
    <s v="SVR 192.168.100.145 que contiene Virtualizados: Servidor de Riesgos-Servidor PANDORA FMS Enterprise 7.0NG 760-Sistemas, WS Acceso Público"/>
    <m/>
    <x v="3"/>
    <x v="0"/>
    <x v="0"/>
    <s v="X"/>
    <s v="X"/>
    <s v="X"/>
    <n v="2"/>
    <n v="4"/>
    <x v="0"/>
    <x v="0"/>
    <s v="Control de cambios en los sistemas_x000a_Verificación posterior (informe)"/>
    <s v="ADMINISTRACION"/>
    <x v="0"/>
    <x v="0"/>
    <s v="No existe procedimiento formal de gestión de cambios"/>
    <n v="1.4"/>
    <n v="4"/>
    <n v="5.6"/>
    <x v="0"/>
  </r>
  <r>
    <x v="29"/>
    <x v="29"/>
    <s v="SVR 192.168.100.145 que contiene Virtualizados: Servidor de Riesgos-Servidor PANDORA FMS Enterprise 7.0NG 760-Sistemas, WS Acceso Público"/>
    <m/>
    <x v="3"/>
    <x v="9"/>
    <x v="1"/>
    <m/>
    <m/>
    <s v="X"/>
    <n v="3"/>
    <n v="5"/>
    <x v="9"/>
    <x v="3"/>
    <s v="Procedimiento de Gestión de la capacidad y desempeño de la Infraestructura"/>
    <s v="PREVENTIVO"/>
    <x v="0"/>
    <x v="0"/>
    <s v="Notificación automática de alertas"/>
    <n v="2.1"/>
    <n v="5"/>
    <n v="10.5"/>
    <x v="2"/>
  </r>
  <r>
    <x v="29"/>
    <x v="29"/>
    <s v="SVR 192.168.100.145 que contiene Virtualizados: Servidor de Riesgos-Servidor PANDORA FMS Enterprise 7.0NG 760-Sistemas, WS Acceso Público"/>
    <m/>
    <x v="3"/>
    <x v="4"/>
    <x v="3"/>
    <s v="X"/>
    <s v="X"/>
    <m/>
    <n v="2"/>
    <n v="4"/>
    <x v="0"/>
    <x v="0"/>
    <s v="Control de accesos / VPN"/>
    <s v="PREVENTIVO"/>
    <x v="0"/>
    <x v="0"/>
    <s v="Contreaseñas de VPN no expiran"/>
    <n v="1.4"/>
    <n v="4"/>
    <n v="5.6"/>
    <x v="0"/>
  </r>
  <r>
    <x v="29"/>
    <x v="29"/>
    <s v="SVR 192.168.100.145 que contiene Virtualizados: Servidor de Riesgos-Servidor PANDORA FMS Enterprise 7.0NG 760-Sistemas, WS Acceso Público"/>
    <m/>
    <x v="3"/>
    <x v="10"/>
    <x v="6"/>
    <s v="X"/>
    <m/>
    <s v="X"/>
    <n v="3"/>
    <n v="3"/>
    <x v="7"/>
    <x v="0"/>
    <s v="Control de accesos"/>
    <s v="PREVENTIVO"/>
    <x v="0"/>
    <x v="0"/>
    <s v="Usuarios genéricos"/>
    <n v="2.1"/>
    <n v="3"/>
    <n v="6.299999999999999"/>
    <x v="0"/>
  </r>
  <r>
    <x v="30"/>
    <x v="30"/>
    <s v="SVR 192.168.100.149 que contiene Virtualizados: Switch Transaccional Cajeros Automaticos PROSUPLY - Consola para Administracion Remota de Cajeros Automaticos- Consola para Administracion Remota de Cajeros Automaticos"/>
    <m/>
    <x v="3"/>
    <x v="0"/>
    <x v="0"/>
    <s v="X"/>
    <s v="X"/>
    <s v="X"/>
    <n v="2"/>
    <n v="4"/>
    <x v="0"/>
    <x v="0"/>
    <s v="Control de cambios en los sistemas_x000a_Verificación posterior (informe)"/>
    <s v="ADMINISTRACION"/>
    <x v="0"/>
    <x v="0"/>
    <s v="No existe procedimiento formal de gestión de cambios"/>
    <n v="1.4"/>
    <n v="4"/>
    <n v="5.6"/>
    <x v="0"/>
  </r>
  <r>
    <x v="30"/>
    <x v="30"/>
    <s v="SVR 192.168.100.149 que contiene Virtualizados: Switch Transaccional Cajeros Automaticos PROSUPLY - Consola para Administracion Remota de Cajeros Automaticos- Consola para Administracion Remota de Cajeros Automaticos"/>
    <m/>
    <x v="3"/>
    <x v="9"/>
    <x v="1"/>
    <m/>
    <m/>
    <s v="X"/>
    <n v="3"/>
    <n v="5"/>
    <x v="9"/>
    <x v="3"/>
    <s v="Procedimiento de Gestión de la capacidad y desempeño de la Infraestructura"/>
    <s v="PREVENTIVO"/>
    <x v="0"/>
    <x v="0"/>
    <s v="Notificación automática de alertas"/>
    <n v="2.1"/>
    <n v="5"/>
    <n v="10.5"/>
    <x v="2"/>
  </r>
  <r>
    <x v="30"/>
    <x v="30"/>
    <s v="SVR 192.168.100.149 que contiene Virtualizados: Switch Transaccional Cajeros Automaticos PROSUPLY - Consola para Administracion Remota de Cajeros Automaticos- Consola para Administracion Remota de Cajeros Automaticos"/>
    <m/>
    <x v="3"/>
    <x v="4"/>
    <x v="3"/>
    <s v="X"/>
    <s v="X"/>
    <m/>
    <n v="2"/>
    <n v="4"/>
    <x v="0"/>
    <x v="0"/>
    <s v="Control de accesos / VPN"/>
    <s v="PREVENTIVO"/>
    <x v="0"/>
    <x v="0"/>
    <s v="Contreaseñas de VPN no expiran"/>
    <n v="1.4"/>
    <n v="4"/>
    <n v="5.6"/>
    <x v="0"/>
  </r>
  <r>
    <x v="30"/>
    <x v="30"/>
    <s v="SVR 192.168.100.149 que contiene Virtualizados: Switch Transaccional Cajeros Automaticos PROSUPLY - Consola para Administracion Remota de Cajeros Automaticos- Consola para Administracion Remota de Cajeros Automaticos"/>
    <m/>
    <x v="3"/>
    <x v="10"/>
    <x v="6"/>
    <s v="X"/>
    <m/>
    <s v="X"/>
    <n v="3"/>
    <n v="3"/>
    <x v="7"/>
    <x v="0"/>
    <s v="Control de accesos"/>
    <s v="PREVENTIVO"/>
    <x v="0"/>
    <x v="0"/>
    <s v="Usuarios genéricos"/>
    <n v="2.1"/>
    <n v="3"/>
    <n v="6.299999999999999"/>
    <x v="0"/>
  </r>
  <r>
    <x v="31"/>
    <x v="31"/>
    <s v="AVR 192.168.100.146 que contiene virtualizados :  Servidor de Dominio (Active Directory) y DNS - Servidor Webcoop/Dynacoop/ Alertas SMS OTP Correo - Web Service Equifax, Bdd Sybase Riesgos - Servidor de Veeam Backup/ Servidor Impresión RICOH"/>
    <m/>
    <x v="3"/>
    <x v="0"/>
    <x v="0"/>
    <s v="X"/>
    <s v="X"/>
    <s v="X"/>
    <n v="2"/>
    <n v="4"/>
    <x v="0"/>
    <x v="0"/>
    <s v="Control de cambios en los sistemas_x000a_Verificación posterior (informe)"/>
    <s v="ADMINISTRACION"/>
    <x v="0"/>
    <x v="0"/>
    <s v="No existe procedimiento formal de gestión de cambios"/>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9"/>
    <x v="1"/>
    <m/>
    <m/>
    <s v="X"/>
    <n v="3"/>
    <n v="5"/>
    <x v="9"/>
    <x v="3"/>
    <s v="Procedimiento de Gestión de la capacidad y desempeño de la Infraestructura"/>
    <s v="PREVENTIVO"/>
    <x v="0"/>
    <x v="0"/>
    <s v="Notificación automática de alertas"/>
    <n v="2.1"/>
    <n v="5"/>
    <n v="10.5"/>
    <x v="2"/>
  </r>
  <r>
    <x v="31"/>
    <x v="31"/>
    <s v="AVR 192.168.100.146 que contiene virtualizados :  Servidor de Dominio (Active Directory) y DNS - Servidor Webcoop/Dynacoop/ Alertas SMS OTP Correo - Web Service Equifax, Bdd Sybase Riesgos - Servidor de Veeam Backup/ Servidor Impresión RICOH"/>
    <m/>
    <x v="3"/>
    <x v="4"/>
    <x v="3"/>
    <s v="X"/>
    <s v="X"/>
    <m/>
    <n v="2"/>
    <n v="4"/>
    <x v="0"/>
    <x v="0"/>
    <s v="Control de accesos / VPN"/>
    <s v="PREVENTIVO"/>
    <x v="0"/>
    <x v="0"/>
    <s v="Contreaseñas de VPN no expiran"/>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10"/>
    <x v="6"/>
    <s v="X"/>
    <m/>
    <s v="X"/>
    <n v="3"/>
    <n v="3"/>
    <x v="7"/>
    <x v="0"/>
    <s v="Control de accesos"/>
    <s v="PREVENTIVO"/>
    <x v="0"/>
    <x v="0"/>
    <s v="Usuarios genéricos"/>
    <n v="2.1"/>
    <n v="3"/>
    <n v="6.299999999999999"/>
    <x v="0"/>
  </r>
  <r>
    <x v="32"/>
    <x v="32"/>
    <s v="SVR 192.168.100.242 que contiene virtualizados : Oracle VM Manager"/>
    <m/>
    <x v="3"/>
    <x v="0"/>
    <x v="0"/>
    <s v="X"/>
    <s v="X"/>
    <s v="X"/>
    <n v="2"/>
    <n v="4"/>
    <x v="0"/>
    <x v="0"/>
    <s v="Control de cambios en los sistemas_x000a_Verificación posterior (informe)"/>
    <s v="ADMINISTRACION"/>
    <x v="0"/>
    <x v="0"/>
    <s v="No existe procedimiento formal de gestión de cambios"/>
    <n v="1.4"/>
    <n v="4"/>
    <n v="5.6"/>
    <x v="0"/>
  </r>
  <r>
    <x v="32"/>
    <x v="32"/>
    <s v="SVR 192.168.100.242 que contiene virtualizados : Oracle VM Manager"/>
    <m/>
    <x v="3"/>
    <x v="9"/>
    <x v="1"/>
    <m/>
    <m/>
    <s v="X"/>
    <n v="3"/>
    <n v="5"/>
    <x v="9"/>
    <x v="3"/>
    <s v="Procedimiento de Gestión de la capacidad y desempeño de la Infraestructura"/>
    <s v="PREVENTIVO"/>
    <x v="0"/>
    <x v="0"/>
    <s v="Notificación automática de alertas"/>
    <n v="2.1"/>
    <n v="5"/>
    <n v="10.5"/>
    <x v="2"/>
  </r>
  <r>
    <x v="32"/>
    <x v="32"/>
    <s v="SVR 192.168.100.242 que contiene virtualizados : Oracle VM Manager"/>
    <m/>
    <x v="3"/>
    <x v="4"/>
    <x v="3"/>
    <s v="X"/>
    <s v="X"/>
    <m/>
    <n v="2"/>
    <n v="4"/>
    <x v="0"/>
    <x v="0"/>
    <s v="Control de accesos / VPN"/>
    <s v="PREVENTIVO"/>
    <x v="0"/>
    <x v="0"/>
    <s v="Contreaseñas de VPN no expiran"/>
    <n v="1.4"/>
    <n v="4"/>
    <n v="5.6"/>
    <x v="0"/>
  </r>
  <r>
    <x v="32"/>
    <x v="32"/>
    <s v="SVR 192.168.100.242 que contiene virtualizados : Oracle VM Manager"/>
    <m/>
    <x v="3"/>
    <x v="10"/>
    <x v="6"/>
    <s v="X"/>
    <m/>
    <s v="X"/>
    <n v="3"/>
    <n v="3"/>
    <x v="7"/>
    <x v="0"/>
    <s v="Control de accesos"/>
    <s v="PREVENTIVO"/>
    <x v="0"/>
    <x v="0"/>
    <s v="Usuarios genéricos"/>
    <n v="2.1"/>
    <n v="3"/>
    <n v="6.299999999999999"/>
    <x v="0"/>
  </r>
  <r>
    <x v="33"/>
    <x v="33"/>
    <s v="Funcionarios con el cargo de Administrador de Comunicación e Infraestructura - Consolas Operador Oracle VM - Web Service SERVIPAGOS"/>
    <m/>
    <x v="5"/>
    <x v="14"/>
    <x v="1"/>
    <m/>
    <m/>
    <s v="X"/>
    <n v="2"/>
    <n v="3"/>
    <x v="6"/>
    <x v="0"/>
    <s v="Plan de continuidad documentado"/>
    <s v="RECUPERACION"/>
    <x v="0"/>
    <x v="0"/>
    <s v="Dependencia de personal clave"/>
    <n v="2"/>
    <n v="2.1"/>
    <n v="4.199999999999999"/>
    <x v="1"/>
  </r>
  <r>
    <x v="34"/>
    <x v="18"/>
    <s v="Funcionarios con el cargo de Administrador de Base de Datos"/>
    <m/>
    <x v="5"/>
    <x v="14"/>
    <x v="1"/>
    <m/>
    <m/>
    <s v="X"/>
    <n v="2"/>
    <n v="3"/>
    <x v="6"/>
    <x v="0"/>
    <s v="Plan de continuidad documentado"/>
    <s v="RECUPERACION"/>
    <x v="0"/>
    <x v="0"/>
    <s v="Dependencia de personal clave"/>
    <n v="2"/>
    <n v="2.1"/>
    <n v="4.199999999999999"/>
    <x v="1"/>
  </r>
  <r>
    <x v="35"/>
    <x v="34"/>
    <s v="Escritura del bien inmueble que se va adjudicar con autorización del Gerente. G"/>
    <m/>
    <x v="1"/>
    <x v="3"/>
    <x v="2"/>
    <s v="X"/>
    <m/>
    <m/>
    <n v="3"/>
    <n v="4"/>
    <x v="5"/>
    <x v="3"/>
    <s v="Software DLP"/>
    <s v="PREVENTIVO"/>
    <x v="0"/>
    <x v="0"/>
    <s v="Politicas sin restricción para jefaturas"/>
    <n v="2.1"/>
    <n v="4"/>
    <n v="8.399999999999999"/>
    <x v="0"/>
  </r>
  <r>
    <x v="35"/>
    <x v="34"/>
    <s v="Escritura del bien inmueble que se va adjudicar con autorización del Gerente. G"/>
    <m/>
    <x v="1"/>
    <x v="1"/>
    <x v="1"/>
    <m/>
    <m/>
    <s v="X"/>
    <n v="3"/>
    <n v="3"/>
    <x v="7"/>
    <x v="0"/>
    <s v="Respaldo digital de información"/>
    <s v="PREVENTIVO"/>
    <x v="0"/>
    <x v="0"/>
    <s v="Almacenamiento manual en medio extraible"/>
    <n v="2.1"/>
    <n v="3"/>
    <n v="6.299999999999999"/>
    <x v="0"/>
  </r>
  <r>
    <x v="36"/>
    <x v="35"/>
    <s v="Pagos que se realiza a los proveedores en cheques"/>
    <m/>
    <x v="1"/>
    <x v="1"/>
    <x v="1"/>
    <m/>
    <m/>
    <s v="X"/>
    <n v="3"/>
    <n v="3"/>
    <x v="7"/>
    <x v="0"/>
    <s v="Respaldo digital de información"/>
    <s v="PREVENTIVO"/>
    <x v="0"/>
    <x v="0"/>
    <s v="Almacenamiento manual en medio extraible"/>
    <n v="2.1"/>
    <n v="3"/>
    <n v="6.299999999999999"/>
    <x v="0"/>
  </r>
  <r>
    <x v="37"/>
    <x v="36"/>
    <s v="Pre cancelación de inversiones Cancelación de inversiones Renovación de inversiones"/>
    <m/>
    <x v="1"/>
    <x v="1"/>
    <x v="1"/>
    <m/>
    <m/>
    <s v="X"/>
    <n v="3"/>
    <n v="3"/>
    <x v="7"/>
    <x v="0"/>
    <s v="Respaldo digital de información"/>
    <s v="PREVENTIVO"/>
    <x v="0"/>
    <x v="0"/>
    <s v="Almacenamiento manual en medio extraible"/>
    <n v="2.1"/>
    <n v="3"/>
    <n v="6.299999999999999"/>
    <x v="0"/>
  </r>
  <r>
    <x v="38"/>
    <x v="37"/>
    <s v="Sobres que contienen las claves de contingencia"/>
    <m/>
    <x v="1"/>
    <x v="1"/>
    <x v="1"/>
    <m/>
    <m/>
    <s v="X"/>
    <n v="2"/>
    <n v="5"/>
    <x v="10"/>
    <x v="3"/>
    <s v="Respaldo digital de información"/>
    <s v="PREVENTIVO"/>
    <x v="0"/>
    <x v="0"/>
    <s v="Almacenamiento manual en medio extraible"/>
    <n v="1.4"/>
    <n v="5"/>
    <n v="7"/>
    <x v="0"/>
  </r>
  <r>
    <x v="39"/>
    <x v="38"/>
    <s v="Formulario de registro de activación y desactivación, responsables y justificación"/>
    <m/>
    <x v="1"/>
    <x v="3"/>
    <x v="2"/>
    <s v="X"/>
    <m/>
    <m/>
    <n v="3"/>
    <n v="2"/>
    <x v="6"/>
    <x v="0"/>
    <s v="Software DLP"/>
    <s v="PREVENTIVO"/>
    <x v="0"/>
    <x v="0"/>
    <s v="Politicas sin restricción para jefaturas"/>
    <n v="2.1"/>
    <n v="2"/>
    <n v="4.199999999999999"/>
    <x v="1"/>
  </r>
  <r>
    <x v="40"/>
    <x v="39"/>
    <s v="Contrato receptado por Jurídico Físico o digital con sumilla legalizado por los responsables, y se entrega jurídico el físico y el digital se sube a SARA."/>
    <s v="SISTEMAS DE INFORMACIÓN CORPORATIVOS"/>
    <x v="1"/>
    <x v="15"/>
    <x v="0"/>
    <s v="X"/>
    <s v="X"/>
    <s v="X"/>
    <n v="3"/>
    <n v="3"/>
    <x v="7"/>
    <x v="0"/>
    <s v="Sortware DLP /Políticas de uso de información contractual"/>
    <s v="PREVENTIVO"/>
    <x v="0"/>
    <x v="0"/>
    <s v="Documentación sencible sin cifrar"/>
    <n v="2.1"/>
    <n v="3"/>
    <n v="6.299999999999999"/>
    <x v="0"/>
  </r>
  <r>
    <x v="40"/>
    <x v="39"/>
    <s v="Contrato receptado por Jurídico Físico o digital con sumilla legalizado por los responsables, y se entrega jurídico el físico y el digital se sube a SARA."/>
    <s v="SISTEMAS DE INFORMACIÓN CORPORATIVOS"/>
    <x v="1"/>
    <x v="1"/>
    <x v="1"/>
    <m/>
    <m/>
    <s v="X"/>
    <n v="2"/>
    <n v="4"/>
    <x v="0"/>
    <x v="0"/>
    <s v="Respaldo digital de información"/>
    <s v="PREVENTIVO"/>
    <x v="0"/>
    <x v="0"/>
    <s v="-"/>
    <n v="1.4"/>
    <n v="4"/>
    <n v="5.6"/>
    <x v="0"/>
  </r>
  <r>
    <x v="41"/>
    <x v="40"/>
    <s v="Archivo de registro que cuenta con el detalle de la cartera a transferir"/>
    <s v="DISCOS DUROS, SERVIDORES, DISCOS O MEDIOS PORTÁTILES, CINTAS O MEDIOS DE VIDEO Y AUDIO, ETC."/>
    <x v="1"/>
    <x v="3"/>
    <x v="2"/>
    <s v="X"/>
    <m/>
    <m/>
    <n v="3"/>
    <n v="4"/>
    <x v="5"/>
    <x v="3"/>
    <s v="Software DLP"/>
    <s v="PREVENTIVO"/>
    <x v="0"/>
    <x v="0"/>
    <s v="Politicas sin restricción para jefaturas"/>
    <n v="2.1"/>
    <n v="4"/>
    <n v="8.399999999999999"/>
    <x v="0"/>
  </r>
  <r>
    <x v="41"/>
    <x v="40"/>
    <s v="Archivo de registro que cuenta con el detalle de la cartera a transferir"/>
    <s v="DISCOS DUROS, SERVIDORES, DISCOS O MEDIOS PORTÁTILES, CINTAS O MEDIOS DE VIDEO Y AUDIO, ETC."/>
    <x v="1"/>
    <x v="1"/>
    <x v="1"/>
    <m/>
    <m/>
    <s v="X"/>
    <n v="2"/>
    <n v="2"/>
    <x v="1"/>
    <x v="1"/>
    <s v="Respaldo digital de información"/>
    <s v="PREVENTIVO"/>
    <x v="0"/>
    <x v="0"/>
    <s v="Almacenamiento sin prueba de efectividad"/>
    <n v="1.4"/>
    <n v="2"/>
    <n v="2.8"/>
    <x v="1"/>
  </r>
  <r>
    <x v="42"/>
    <x v="41"/>
    <s v="Escritura de hipoteca que realiza el socio y se recepta el físico"/>
    <s v="DOCUMENTO DE ARCHIVO-FÍSICO"/>
    <x v="1"/>
    <x v="15"/>
    <x v="0"/>
    <s v="X"/>
    <s v="X"/>
    <s v="X"/>
    <n v="3"/>
    <n v="3"/>
    <x v="7"/>
    <x v="0"/>
    <s v="Sortware DLP /Políticas de uso de información contractual"/>
    <s v="PREVENTIVO"/>
    <x v="0"/>
    <x v="0"/>
    <s v="Documentación sencible sin cifrar"/>
    <n v="2.1"/>
    <n v="3"/>
    <n v="6.299999999999999"/>
    <x v="0"/>
  </r>
  <r>
    <x v="42"/>
    <x v="41"/>
    <s v="Escritura de hipoteca que realiza el socio y se recepta el físico"/>
    <s v="DOCUMENTO DE ARCHIVO-FÍSICO"/>
    <x v="1"/>
    <x v="1"/>
    <x v="1"/>
    <m/>
    <m/>
    <s v="X"/>
    <n v="2"/>
    <n v="3"/>
    <x v="6"/>
    <x v="0"/>
    <s v="Respaldo digital de información"/>
    <s v="PREVENTIVO"/>
    <x v="0"/>
    <x v="0"/>
    <s v="Almacenamiento sin prueba de efectividad"/>
    <n v="1.4"/>
    <n v="3"/>
    <n v="4.199999999999999"/>
    <x v="1"/>
  </r>
  <r>
    <x v="43"/>
    <x v="42"/>
    <s v="Convenio de compra de cartera aprobado por GG y certificado por el CAD"/>
    <s v="DOCUMENTO DE ARCHIVO-FÍSICO"/>
    <x v="1"/>
    <x v="15"/>
    <x v="0"/>
    <s v="X"/>
    <s v="X"/>
    <s v="X"/>
    <n v="3"/>
    <n v="3"/>
    <x v="7"/>
    <x v="0"/>
    <s v="Sortware DLP /Políticas de uso de información contractual"/>
    <s v="PREVENTIVO"/>
    <x v="0"/>
    <x v="0"/>
    <s v="Documentación sencible sin cifrar"/>
    <n v="2.1"/>
    <n v="3"/>
    <n v="6.299999999999999"/>
    <x v="0"/>
  </r>
  <r>
    <x v="43"/>
    <x v="42"/>
    <s v="Convenio de compra de cartera aprobado por GG y certificado por el CAD"/>
    <s v="DOCUMENTO DE ARCHIVO-FÍSICO"/>
    <x v="1"/>
    <x v="1"/>
    <x v="1"/>
    <m/>
    <m/>
    <s v="X"/>
    <n v="2"/>
    <n v="3"/>
    <x v="6"/>
    <x v="0"/>
    <s v="Respaldo digital de información"/>
    <s v="PREVENTIVO"/>
    <x v="0"/>
    <x v="0"/>
    <s v="Almacenamiento sin prueba de efectividad"/>
    <n v="1.4"/>
    <n v="3"/>
    <n v="4.199999999999999"/>
    <x v="1"/>
  </r>
  <r>
    <x v="44"/>
    <x v="43"/>
    <s v="Documentación física resultante del proceso de compra de cartera "/>
    <s v="DOCUMENTO DE ARCHIVO-FÍSICO"/>
    <x v="1"/>
    <x v="3"/>
    <x v="2"/>
    <s v="X"/>
    <m/>
    <m/>
    <n v="3"/>
    <n v="3"/>
    <x v="7"/>
    <x v="0"/>
    <s v="Simulacros"/>
    <s v="PREVENTIVO"/>
    <x v="1"/>
    <x v="1"/>
    <s v="-"/>
    <n v="0.5999999999999999"/>
    <n v="3"/>
    <n v="1.8"/>
    <x v="1"/>
  </r>
  <r>
    <x v="44"/>
    <x v="43"/>
    <s v="Documentación física resultante del proceso de compra de cartera "/>
    <s v="DOCUMENTO DE ARCHIVO-FÍSICO"/>
    <x v="1"/>
    <x v="1"/>
    <x v="1"/>
    <m/>
    <m/>
    <s v="X"/>
    <n v="2"/>
    <n v="4"/>
    <x v="0"/>
    <x v="0"/>
    <s v="Respaldo digital de información"/>
    <s v="PREVENTIVO"/>
    <x v="0"/>
    <x v="0"/>
    <s v="Almacenamiento sin prueba de efectividad"/>
    <n v="1.4"/>
    <n v="4"/>
    <n v="5.6"/>
    <x v="0"/>
  </r>
  <r>
    <x v="45"/>
    <x v="44"/>
    <s v="Documentación digital resultante del proceso de compra de cartera "/>
    <s v="DISCOS DUROS, SERVIDORES, DISCOS O MEDIOS PORTÁTILES, CINTAS O MEDIOS DE VIDEO Y AUDIO, ETC."/>
    <x v="1"/>
    <x v="15"/>
    <x v="0"/>
    <s v="X"/>
    <s v="X"/>
    <s v="X"/>
    <n v="2"/>
    <n v="4"/>
    <x v="0"/>
    <x v="0"/>
    <s v="Sortware DLP /Políticas de uso de información contractual"/>
    <s v="PREVENTIVO"/>
    <x v="0"/>
    <x v="0"/>
    <s v="Documentación sencible sin cifrar"/>
    <n v="1.4"/>
    <n v="4"/>
    <n v="5.6"/>
    <x v="0"/>
  </r>
  <r>
    <x v="45"/>
    <x v="44"/>
    <s v="Documentación digital resultante del proceso de compra de cartera "/>
    <s v="DISCOS DUROS, SERVIDORES, DISCOS O MEDIOS PORTÁTILES, CINTAS O MEDIOS DE VIDEO Y AUDIO, ETC."/>
    <x v="1"/>
    <x v="1"/>
    <x v="1"/>
    <m/>
    <m/>
    <s v="X"/>
    <n v="2"/>
    <n v="4"/>
    <x v="0"/>
    <x v="0"/>
    <s v="Respaldo digital de información"/>
    <s v="PREVENTIVO"/>
    <x v="0"/>
    <x v="0"/>
    <s v="Almacenamiento sin prueba de efectividad"/>
    <n v="1.4"/>
    <n v="4"/>
    <n v="5.6"/>
    <x v="0"/>
  </r>
  <r>
    <x v="46"/>
    <x v="45"/>
    <s v="Garantías de pagarés recibidas por el proveedor"/>
    <s v="DOCUMENTO DE ARCHIVO-FÍSICO"/>
    <x v="1"/>
    <x v="15"/>
    <x v="0"/>
    <s v="X"/>
    <s v="X"/>
    <s v="X"/>
    <n v="3"/>
    <n v="2"/>
    <x v="6"/>
    <x v="0"/>
    <s v="Sortware DLP /Políticas de uso de información contractual"/>
    <s v="PREVENTIVO"/>
    <x v="0"/>
    <x v="0"/>
    <s v="Documentación sencible sin cifrar"/>
    <n v="2.1"/>
    <n v="2"/>
    <n v="4.199999999999999"/>
    <x v="1"/>
  </r>
  <r>
    <x v="46"/>
    <x v="45"/>
    <s v="Garantías de pagarés recibidas por el proveedor"/>
    <s v="DOCUMENTO DE ARCHIVO-FÍSICO"/>
    <x v="1"/>
    <x v="1"/>
    <x v="1"/>
    <m/>
    <m/>
    <s v="X"/>
    <n v="2"/>
    <n v="3"/>
    <x v="6"/>
    <x v="0"/>
    <s v="Respaldo digital de información"/>
    <s v="PREVENTIVO"/>
    <x v="0"/>
    <x v="0"/>
    <s v="Almacenamiento sin prueba de efectividad"/>
    <n v="1.4"/>
    <n v="3"/>
    <n v="4.199999999999999"/>
    <x v="1"/>
  </r>
  <r>
    <x v="47"/>
    <x v="46"/>
    <s v="Documentos de pólizas enviadas a Tesorería,   así como los pagares endosados hipotecas y pólizas de seguro para el archivo bajo custodio"/>
    <s v="DOCUMENTO DE ARCHIVO-FÍSICO"/>
    <x v="1"/>
    <x v="15"/>
    <x v="0"/>
    <s v="X"/>
    <s v="X"/>
    <s v="X"/>
    <n v="2"/>
    <n v="2"/>
    <x v="1"/>
    <x v="1"/>
    <s v="Sortware DLP /Políticas de uso de información contractual"/>
    <s v="PREVENTIVO"/>
    <x v="0"/>
    <x v="0"/>
    <s v="Documentación sencible sin cifrar"/>
    <n v="1.4"/>
    <n v="2"/>
    <n v="2.8"/>
    <x v="1"/>
  </r>
  <r>
    <x v="47"/>
    <x v="46"/>
    <s v="Documentos de pólizas enviadas a Tesorería,   así como los pagares endosados hipotecas y pólizas de seguro para el archivo bajo custodio"/>
    <s v="DOCUMENTO DE ARCHIVO-FÍSICO"/>
    <x v="1"/>
    <x v="1"/>
    <x v="1"/>
    <m/>
    <m/>
    <s v="X"/>
    <n v="2"/>
    <n v="3"/>
    <x v="6"/>
    <x v="0"/>
    <s v="Respaldo digital de información"/>
    <s v="PREVENTIVO"/>
    <x v="0"/>
    <x v="0"/>
    <s v="Almacenamiento sin prueba de efectividad"/>
    <n v="1.4"/>
    <n v="3"/>
    <n v="4.199999999999999"/>
    <x v="1"/>
  </r>
  <r>
    <x v="48"/>
    <x v="47"/>
    <s v="Pagaré otorgado por el proveedor"/>
    <s v="DOCUMENTO DE ARCHIVO-FÍSICO"/>
    <x v="1"/>
    <x v="3"/>
    <x v="2"/>
    <s v="X"/>
    <m/>
    <m/>
    <n v="2"/>
    <n v="3"/>
    <x v="6"/>
    <x v="0"/>
    <s v="Simulacros"/>
    <s v="PREVENTIVO"/>
    <x v="1"/>
    <x v="1"/>
    <s v="-"/>
    <n v="0.3999999999999999"/>
    <n v="3"/>
    <n v="1.2"/>
    <x v="1"/>
  </r>
  <r>
    <x v="48"/>
    <x v="47"/>
    <s v="Pagaré otorgado por el proveedor"/>
    <s v="DOCUMENTO DE ARCHIVO-FÍSICO"/>
    <x v="1"/>
    <x v="1"/>
    <x v="1"/>
    <m/>
    <m/>
    <s v="X"/>
    <n v="2"/>
    <n v="3"/>
    <x v="6"/>
    <x v="0"/>
    <s v="Respaldo digital de información"/>
    <s v="PREVENTIVO"/>
    <x v="0"/>
    <x v="0"/>
    <s v="Almacenamiento sin prueba de efectividad"/>
    <n v="1.4"/>
    <n v="3"/>
    <n v="4.199999999999999"/>
    <x v="1"/>
  </r>
  <r>
    <x v="49"/>
    <x v="48"/>
    <s v="Póliza de seguro vehicular de las operaciones canceladas"/>
    <s v="DOCUMENTO DE ARCHIVO-FÍSICO"/>
    <x v="1"/>
    <x v="15"/>
    <x v="0"/>
    <s v="X"/>
    <s v="X"/>
    <s v="X"/>
    <n v="2"/>
    <n v="2"/>
    <x v="1"/>
    <x v="1"/>
    <s v="Sortware DLP /Políticas de uso de información contractual"/>
    <s v="PREVENTIVO"/>
    <x v="0"/>
    <x v="0"/>
    <s v="Documentación sencible sin cifrar"/>
    <n v="1.4"/>
    <n v="2"/>
    <n v="2.8"/>
    <x v="1"/>
  </r>
  <r>
    <x v="49"/>
    <x v="48"/>
    <s v="Póliza de seguro vehicular de las operaciones canceladas"/>
    <s v="DOCUMENTO DE ARCHIVO-FÍSICO"/>
    <x v="1"/>
    <x v="1"/>
    <x v="1"/>
    <m/>
    <m/>
    <s v="X"/>
    <n v="2"/>
    <n v="2"/>
    <x v="1"/>
    <x v="1"/>
    <s v="Respaldo digital de información"/>
    <s v="PREVENTIVO"/>
    <x v="0"/>
    <x v="0"/>
    <s v="Almacenamiento sin prueba de efectividad"/>
    <n v="1.4"/>
    <n v="2"/>
    <n v="2.8"/>
    <x v="1"/>
  </r>
  <r>
    <x v="50"/>
    <x v="49"/>
    <s v="Reporte de cartera a venderse de acuerdo con los requerimientos del proveedor"/>
    <s v="DISCOS DUROS, SERVIDORES, DISCOS O MEDIOS PORTÁTILES, CINTAS O MEDIOS DE VIDEO Y AUDIO, ETC."/>
    <x v="1"/>
    <x v="3"/>
    <x v="2"/>
    <s v="X"/>
    <m/>
    <m/>
    <n v="3"/>
    <n v="4"/>
    <x v="5"/>
    <x v="3"/>
    <s v="Software DLP"/>
    <s v="PREVENTIVO"/>
    <x v="0"/>
    <x v="0"/>
    <s v="Politicas sin restricción para jefaturas"/>
    <n v="2.1"/>
    <n v="4"/>
    <n v="8.399999999999999"/>
    <x v="0"/>
  </r>
  <r>
    <x v="50"/>
    <x v="49"/>
    <s v="Reporte de cartera a venderse de acuerdo con los requerimientos del proveedor"/>
    <s v="DISCOS DUROS, SERVIDORES, DISCOS O MEDIOS PORTÁTILES, CINTAS O MEDIOS DE VIDEO Y AUDIO, ETC."/>
    <x v="1"/>
    <x v="1"/>
    <x v="1"/>
    <m/>
    <m/>
    <s v="X"/>
    <n v="2"/>
    <n v="2"/>
    <x v="1"/>
    <x v="1"/>
    <s v="Respaldo digital de información"/>
    <s v="PREVENTIVO"/>
    <x v="0"/>
    <x v="0"/>
    <s v="Almacenamiento sin prueba de efectividad"/>
    <n v="1.4"/>
    <n v="2"/>
    <n v="2.8"/>
    <x v="1"/>
  </r>
  <r>
    <x v="51"/>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1"/>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2"/>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2"/>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3"/>
    <x v="50"/>
    <s v="Audio de la llamada realizada por el gestor telefónica"/>
    <s v="PORTALES, INTRANET Y EXTRANET"/>
    <x v="1"/>
    <x v="3"/>
    <x v="2"/>
    <s v="X"/>
    <m/>
    <m/>
    <n v="3"/>
    <n v="2"/>
    <x v="6"/>
    <x v="0"/>
    <s v="Software DLP"/>
    <s v="PREVENTIVO"/>
    <x v="0"/>
    <x v="0"/>
    <s v="Politicas sin restricción para jefaturas"/>
    <n v="2.1"/>
    <n v="2"/>
    <n v="4.199999999999999"/>
    <x v="1"/>
  </r>
  <r>
    <x v="53"/>
    <x v="50"/>
    <s v="Audio de la llamada realizada por el gestor telefónica"/>
    <s v="PORTALES, INTRANET Y EXTRANET"/>
    <x v="1"/>
    <x v="1"/>
    <x v="1"/>
    <m/>
    <m/>
    <s v="X"/>
    <n v="2"/>
    <n v="3"/>
    <x v="6"/>
    <x v="0"/>
    <s v="Respaldo digital de información"/>
    <s v="PREVENTIVO"/>
    <x v="0"/>
    <x v="0"/>
    <s v="Almacenamiento sin prueba de efectividad"/>
    <n v="1.4"/>
    <n v="3"/>
    <n v="4.199999999999999"/>
    <x v="1"/>
  </r>
  <r>
    <x v="54"/>
    <x v="50"/>
    <s v="Audio de la llamada realizada por el gestor telefónico"/>
    <s v="PORTALES, INTRANET Y EXTRANET"/>
    <x v="1"/>
    <x v="3"/>
    <x v="2"/>
    <s v="X"/>
    <m/>
    <m/>
    <n v="3"/>
    <n v="2"/>
    <x v="6"/>
    <x v="0"/>
    <s v="Software DLP"/>
    <s v="PREVENTIVO"/>
    <x v="0"/>
    <x v="0"/>
    <s v="Politicas sin restricción para jefaturas"/>
    <n v="2.1"/>
    <n v="2"/>
    <n v="4.199999999999999"/>
    <x v="1"/>
  </r>
  <r>
    <x v="54"/>
    <x v="50"/>
    <s v="Audio de la llamada realizada por el gestor telefónico"/>
    <s v="PORTALES, INTRANET Y EXTRANET"/>
    <x v="1"/>
    <x v="1"/>
    <x v="1"/>
    <m/>
    <m/>
    <s v="X"/>
    <n v="2"/>
    <n v="3"/>
    <x v="6"/>
    <x v="0"/>
    <s v="Respaldo digital de información"/>
    <s v="PREVENTIVO"/>
    <x v="0"/>
    <x v="0"/>
    <s v="Almacenamiento sin prueba de efectividad"/>
    <n v="1.4"/>
    <n v="3"/>
    <n v="4.199999999999999"/>
    <x v="1"/>
  </r>
  <r>
    <x v="55"/>
    <x v="51"/>
    <s v="Reporte de clientes validados y registrados"/>
    <s v="DISCOS DUROS, SERVIDORES, DISCOS O MEDIOS PORTÁTILES, CINTAS O MEDIOS DE VIDEO Y AUDIO, ETC."/>
    <x v="1"/>
    <x v="15"/>
    <x v="0"/>
    <s v="X"/>
    <s v="X"/>
    <s v="X"/>
    <n v="4"/>
    <n v="4"/>
    <x v="4"/>
    <x v="3"/>
    <s v="Sortware DLP /Políticas de uso de información contractual"/>
    <s v="PREVENTIVO"/>
    <x v="0"/>
    <x v="0"/>
    <s v="Documentación sencible sin cifrar"/>
    <n v="2.8"/>
    <n v="4"/>
    <n v="11.2"/>
    <x v="2"/>
  </r>
  <r>
    <x v="55"/>
    <x v="51"/>
    <s v="Reporte de clientes validados y registrados"/>
    <s v="DISCOS DUROS, SERVIDORES, DISCOS O MEDIOS PORTÁTILES, CINTAS O MEDIOS DE VIDEO Y AUDIO, ETC."/>
    <x v="1"/>
    <x v="1"/>
    <x v="1"/>
    <m/>
    <m/>
    <s v="X"/>
    <n v="2"/>
    <n v="3"/>
    <x v="6"/>
    <x v="0"/>
    <s v="Respaldo digital de información"/>
    <s v="PREVENTIVO"/>
    <x v="0"/>
    <x v="0"/>
    <s v="Almacenamiento sin prueba de efectividad"/>
    <n v="1.4"/>
    <n v="3"/>
    <n v="4.199999999999999"/>
    <x v="1"/>
  </r>
  <r>
    <x v="56"/>
    <x v="50"/>
    <s v="Audio de la llamada realizada por el gestor telefónico"/>
    <s v="PORTALES, INTRANET Y EXTRANET"/>
    <x v="1"/>
    <x v="3"/>
    <x v="2"/>
    <s v="X"/>
    <m/>
    <m/>
    <n v="3"/>
    <n v="2"/>
    <x v="6"/>
    <x v="0"/>
    <s v="Software DLP"/>
    <s v="PREVENTIVO"/>
    <x v="0"/>
    <x v="0"/>
    <s v="Politicas sin restricción para jefaturas"/>
    <n v="2.1"/>
    <n v="2"/>
    <n v="4.199999999999999"/>
    <x v="1"/>
  </r>
  <r>
    <x v="57"/>
    <x v="52"/>
    <s v="Equipos de computación donde se realiza la gestión del área"/>
    <s v="DISCOS DUROS, SERVIDORES, DISCOS O MEDIOS PORTÁTILES, CINTAS O MEDIOS DE VIDEO Y AUDIO, ETC."/>
    <x v="3"/>
    <x v="16"/>
    <x v="7"/>
    <s v="X"/>
    <m/>
    <s v="X"/>
    <n v="1"/>
    <n v="3"/>
    <x v="8"/>
    <x v="1"/>
    <s v="Respaldo digital de información"/>
    <s v="PREVENTIVO"/>
    <x v="0"/>
    <x v="0"/>
    <s v="Almacenamiento sin prueba de efectividad"/>
    <n v="0.7"/>
    <n v="3"/>
    <n v="2.1"/>
    <x v="1"/>
  </r>
  <r>
    <x v="57"/>
    <x v="52"/>
    <s v="Equipos de computación donde se realiza la gestión del área"/>
    <s v="DISCOS DUROS, SERVIDORES, DISCOS O MEDIOS PORTÁTILES, CINTAS O MEDIOS DE VIDEO Y AUDIO, ETC."/>
    <x v="3"/>
    <x v="15"/>
    <x v="0"/>
    <s v="X"/>
    <s v="X"/>
    <s v="X"/>
    <n v="3"/>
    <n v="3"/>
    <x v="7"/>
    <x v="0"/>
    <s v="Sortware DLP /Políticas de uso de información contractual"/>
    <s v="PREVENTIVO"/>
    <x v="0"/>
    <x v="0"/>
    <s v="Documentación sencible sin cifrar"/>
    <n v="2.1"/>
    <n v="3"/>
    <n v="6.299999999999999"/>
    <x v="0"/>
  </r>
  <r>
    <x v="56"/>
    <x v="50"/>
    <s v="Audio de la llamada realizada por el gestor telefónico"/>
    <s v="PORTALES, INTRANET Y EXTRANET"/>
    <x v="1"/>
    <x v="1"/>
    <x v="1"/>
    <m/>
    <m/>
    <s v="X"/>
    <n v="2"/>
    <n v="2"/>
    <x v="1"/>
    <x v="1"/>
    <s v="Respaldo digital de información"/>
    <s v="PREVENTIVO"/>
    <x v="0"/>
    <x v="0"/>
    <s v="Almacenamiento sin prueba de efectividad"/>
    <n v="1.4"/>
    <n v="2"/>
    <n v="2.8"/>
    <x v="1"/>
  </r>
  <r>
    <x v="58"/>
    <x v="53"/>
    <s v="Documento contable de valor que utiliza una persona para retirar dinero de la cuenta de quien lo emite"/>
    <s v="DOCUMENTO DE ARCHIVO-FÍSICO"/>
    <x v="1"/>
    <x v="15"/>
    <x v="0"/>
    <s v="X"/>
    <s v="X"/>
    <s v="X"/>
    <n v="3"/>
    <n v="3"/>
    <x v="7"/>
    <x v="0"/>
    <s v="Sortware DLP /Políticas de uso de información contractual"/>
    <s v="PREVENTIVO"/>
    <x v="0"/>
    <x v="0"/>
    <s v="Documentación sencible sin cifrar"/>
    <n v="2.1"/>
    <n v="3"/>
    <n v="6.299999999999999"/>
    <x v="0"/>
  </r>
  <r>
    <x v="58"/>
    <x v="53"/>
    <s v="Documento contable de valor que utiliza una persona para retirar dinero de la cuenta de quien lo emite"/>
    <s v="DOCUMENTO DE ARCHIVO-FÍSICO"/>
    <x v="1"/>
    <x v="1"/>
    <x v="1"/>
    <m/>
    <m/>
    <s v="X"/>
    <n v="2"/>
    <n v="2"/>
    <x v="1"/>
    <x v="1"/>
    <s v="Respaldo digital de información"/>
    <s v="PREVENTIVO"/>
    <x v="0"/>
    <x v="0"/>
    <s v="Almacenamiento sin prueba de efectividad"/>
    <n v="1.4"/>
    <n v="2"/>
    <n v="2.8"/>
    <x v="1"/>
  </r>
  <r>
    <x v="59"/>
    <x v="54"/>
    <s v="Registro de ingreso y egreso que se imprime después de la recaudación con información del servicio y valor"/>
    <s v="DOCUMENTO DE ARCHIVO-FÍSICO"/>
    <x v="1"/>
    <x v="15"/>
    <x v="0"/>
    <s v="X"/>
    <s v="X"/>
    <s v="X"/>
    <n v="3"/>
    <n v="3"/>
    <x v="7"/>
    <x v="0"/>
    <s v="Sortware DLP /Políticas de uso de información contractual"/>
    <s v="PREVENTIVO"/>
    <x v="0"/>
    <x v="0"/>
    <s v="Documentación sencible sin cifrar"/>
    <n v="2.1"/>
    <n v="3"/>
    <n v="6.299999999999999"/>
    <x v="0"/>
  </r>
  <r>
    <x v="59"/>
    <x v="54"/>
    <s v="Registro de ingreso y egreso que se imprime después de la recaudación con información del servicio y valor"/>
    <s v="DOCUMENTO DE ARCHIVO-FÍSICO"/>
    <x v="1"/>
    <x v="1"/>
    <x v="1"/>
    <m/>
    <m/>
    <s v="X"/>
    <n v="2"/>
    <n v="2"/>
    <x v="1"/>
    <x v="1"/>
    <s v="Respaldo digital de información"/>
    <s v="PREVENTIVO"/>
    <x v="0"/>
    <x v="0"/>
    <s v="Almacenamiento sin prueba de efectividad"/>
    <n v="1.4"/>
    <n v="2"/>
    <n v="2.8"/>
    <x v="1"/>
  </r>
  <r>
    <x v="60"/>
    <x v="55"/>
    <s v="Cheque"/>
    <s v="DOCUMENTO DE ARCHIVO-FÍSICO"/>
    <x v="1"/>
    <x v="15"/>
    <x v="0"/>
    <s v="X"/>
    <s v="X"/>
    <s v="X"/>
    <n v="3"/>
    <n v="3"/>
    <x v="7"/>
    <x v="0"/>
    <s v="Sortware DLP /Políticas de uso de información contractual"/>
    <s v="PREVENTIVO"/>
    <x v="0"/>
    <x v="0"/>
    <s v="Documentación sencible sin cifrar"/>
    <n v="2.1"/>
    <n v="3"/>
    <n v="6.299999999999999"/>
    <x v="0"/>
  </r>
  <r>
    <x v="60"/>
    <x v="55"/>
    <s v="Cheque"/>
    <s v="DOCUMENTO DE ARCHIVO-FÍSICO"/>
    <x v="1"/>
    <x v="1"/>
    <x v="1"/>
    <m/>
    <m/>
    <s v="X"/>
    <n v="2"/>
    <n v="2"/>
    <x v="1"/>
    <x v="1"/>
    <s v="Respaldo digital de información"/>
    <s v="PREVENTIVO"/>
    <x v="0"/>
    <x v="0"/>
    <s v="Almacenamiento sin prueba de efectividad"/>
    <n v="1.4"/>
    <n v="2"/>
    <n v="2.8"/>
    <x v="1"/>
  </r>
  <r>
    <x v="61"/>
    <x v="56"/>
    <s v=" Documento contable que entrega el supervisor operativo al socio luego de la autorización del retiro por las áreas correspondientes"/>
    <s v="DOCUMENTO DE ARCHIVO-FÍSICO"/>
    <x v="1"/>
    <x v="15"/>
    <x v="0"/>
    <s v="X"/>
    <s v="X"/>
    <s v="X"/>
    <n v="3"/>
    <n v="2"/>
    <x v="6"/>
    <x v="0"/>
    <s v="Sortware DLP /Políticas de uso de información contractual"/>
    <s v="PREVENTIVO"/>
    <x v="0"/>
    <x v="0"/>
    <s v="Documentación sencible sin cifrar"/>
    <n v="2.1"/>
    <n v="2"/>
    <n v="4.199999999999999"/>
    <x v="1"/>
  </r>
  <r>
    <x v="62"/>
    <x v="57"/>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2"/>
    <x v="57"/>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1"/>
    <x v="56"/>
    <s v=" Documento contable que entrega el supervisor operativo al socio luego de la autorización del retiro por las áreas correspondientes"/>
    <s v="DOCUMENTO DE ARCHIVO-FÍSICO"/>
    <x v="1"/>
    <x v="1"/>
    <x v="1"/>
    <m/>
    <m/>
    <s v="X"/>
    <n v="2"/>
    <n v="2"/>
    <x v="1"/>
    <x v="1"/>
    <s v="Respaldo digital de información"/>
    <s v="PREVENTIVO"/>
    <x v="0"/>
    <x v="0"/>
    <s v="Almacenamiento sin prueba de efectividad"/>
    <n v="1.4"/>
    <n v="2"/>
    <n v="2.8"/>
    <x v="1"/>
  </r>
  <r>
    <x v="63"/>
    <x v="58"/>
    <s v="Pagaré, escritura de hipoteca, tabla de amortización, liquidación actualizada, tabla de pagos actualizada"/>
    <s v="DOCUMENTO DE ARCHIVO-FÍSICO"/>
    <x v="1"/>
    <x v="15"/>
    <x v="0"/>
    <s v="X"/>
    <s v="X"/>
    <s v="X"/>
    <n v="3"/>
    <n v="3"/>
    <x v="7"/>
    <x v="0"/>
    <s v="Sortware DLP /Políticas de uso de información contractual"/>
    <s v="PREVENTIVO"/>
    <x v="0"/>
    <x v="0"/>
    <s v="Documentación sencible sin cifrar"/>
    <n v="2.1"/>
    <n v="3"/>
    <n v="6.299999999999999"/>
    <x v="0"/>
  </r>
  <r>
    <x v="63"/>
    <x v="58"/>
    <s v="Pagaré, escritura de hipoteca, tabla de amortización, liquidación actualizada, tabla de pagos actualizada"/>
    <s v="DOCUMENTO DE ARCHIVO-FÍSICO"/>
    <x v="1"/>
    <x v="3"/>
    <x v="2"/>
    <s v="X"/>
    <m/>
    <m/>
    <n v="2"/>
    <n v="3"/>
    <x v="6"/>
    <x v="0"/>
    <s v="Software DLP"/>
    <s v="PREVENTIVO"/>
    <x v="0"/>
    <x v="0"/>
    <s v="Politicas sin restricción para jefaturas"/>
    <n v="1.4"/>
    <n v="3"/>
    <n v="4.199999999999999"/>
    <x v="1"/>
  </r>
  <r>
    <x v="64"/>
    <x v="59"/>
    <s v="Documentos entregados al abogado externo Anexo de asignación de cartera abogados externos/Acta entrega recepción de documentos/Documentos para el inicio de tramites judiciales"/>
    <s v="DOCUMENTO DE ARCHIVO-FÍSICO"/>
    <x v="1"/>
    <x v="15"/>
    <x v="0"/>
    <s v="X"/>
    <s v="X"/>
    <s v="X"/>
    <n v="3"/>
    <n v="3"/>
    <x v="7"/>
    <x v="0"/>
    <s v="Sortware DLP /Políticas de uso de información contractual"/>
    <s v="PREVENTIVO"/>
    <x v="0"/>
    <x v="0"/>
    <s v="Documentación sencible sin cifrar"/>
    <n v="2.1"/>
    <n v="3"/>
    <n v="6.299999999999999"/>
    <x v="0"/>
  </r>
  <r>
    <x v="64"/>
    <x v="59"/>
    <s v="Documentos entregados al abogado externo Anexo de asignación de cartera abogados externos/Acta entrega recepción de documentos/Documentos para el inicio de tramites judiciales"/>
    <s v="DOCUMENTO DE ARCHIVO-FÍSICO"/>
    <x v="1"/>
    <x v="3"/>
    <x v="2"/>
    <s v="X"/>
    <m/>
    <m/>
    <n v="2"/>
    <n v="3"/>
    <x v="6"/>
    <x v="0"/>
    <s v="Software DLP"/>
    <s v="PREVENTIVO"/>
    <x v="0"/>
    <x v="0"/>
    <s v="Politicas sin restricción para jefaturas"/>
    <n v="1.4"/>
    <n v="3"/>
    <n v="4.199999999999999"/>
    <x v="1"/>
  </r>
  <r>
    <x v="65"/>
    <x v="60"/>
    <s v="Registro de cartera asignada obtenida del sistema FIT"/>
    <s v="DISCOS DUROS, SERVIDORES, DISCOS O MEDIOS PORTÁTILES, CINTAS O MEDIOS DE VIDEO Y AUDIO, ETC."/>
    <x v="1"/>
    <x v="1"/>
    <x v="1"/>
    <m/>
    <m/>
    <s v="X"/>
    <n v="2"/>
    <n v="4"/>
    <x v="0"/>
    <x v="0"/>
    <s v="Respaldo digital de información"/>
    <s v="PREVENTIVO"/>
    <x v="0"/>
    <x v="0"/>
    <s v="Almacenamiento sin prueba de efectividad"/>
    <n v="1.4"/>
    <n v="4"/>
    <n v="5.6"/>
    <x v="0"/>
  </r>
  <r>
    <x v="65"/>
    <x v="60"/>
    <s v="Registro de cartera asignada obtenida del sistema FIT"/>
    <s v="DISCOS DUROS, SERVIDORES, DISCOS O MEDIOS PORTÁTILES, CINTAS O MEDIOS DE VIDEO Y AUDIO, ETC."/>
    <x v="1"/>
    <x v="3"/>
    <x v="2"/>
    <s v="X"/>
    <m/>
    <m/>
    <n v="3"/>
    <n v="4"/>
    <x v="5"/>
    <x v="3"/>
    <s v="Software DLP"/>
    <s v="PREVENTIVO"/>
    <x v="0"/>
    <x v="0"/>
    <s v="Politicas sin restricción para jefaturas"/>
    <n v="2.1"/>
    <n v="4"/>
    <n v="8.399999999999999"/>
    <x v="0"/>
  </r>
  <r>
    <x v="66"/>
    <x v="61"/>
    <s v="Escritura del bien correctamente legalizada"/>
    <s v="DOCUMENTO DE ARCHIVO-FÍSICO"/>
    <x v="1"/>
    <x v="1"/>
    <x v="1"/>
    <m/>
    <m/>
    <s v="X"/>
    <n v="2"/>
    <n v="3"/>
    <x v="6"/>
    <x v="0"/>
    <s v="Respaldo digital de información"/>
    <s v="PREVENTIVO"/>
    <x v="0"/>
    <x v="0"/>
    <s v="Almacenamiento sin prueba de efectividad"/>
    <n v="1.4"/>
    <n v="3"/>
    <n v="4.199999999999999"/>
    <x v="1"/>
  </r>
  <r>
    <x v="67"/>
    <x v="62"/>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7"/>
    <x v="62"/>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6"/>
    <x v="61"/>
    <s v="Escritura del bien correctamente legalizada"/>
    <s v="DOCUMENTO DE ARCHIVO-FÍSICO"/>
    <x v="1"/>
    <x v="15"/>
    <x v="0"/>
    <s v="X"/>
    <s v="X"/>
    <s v="X"/>
    <n v="3"/>
    <n v="3"/>
    <x v="7"/>
    <x v="0"/>
    <s v="Sortware DLP /Políticas de uso de información contractual"/>
    <s v="PREVENTIVO"/>
    <x v="0"/>
    <x v="0"/>
    <s v="Documentación sencible sin cifrar"/>
    <n v="2.1"/>
    <n v="3"/>
    <n v="9"/>
    <x v="0"/>
  </r>
</pivotCacheRecords>
</file>

<file path=xl/pivotCache/pivotCacheRecords2.xml><?xml version="1.0" encoding="utf-8"?>
<pivotCacheRecords xmlns="http://schemas.openxmlformats.org/spreadsheetml/2006/main" count="209">
  <r>
    <x v="0"/>
    <x v="0"/>
    <s v="Respaldo de Base de Datos (diario) "/>
    <m/>
    <x v="0"/>
    <x v="0"/>
    <x v="0"/>
    <s v="X"/>
    <s v="X"/>
    <s v="X"/>
    <n v="2"/>
    <n v="4"/>
    <x v="0"/>
    <x v="0"/>
    <s v="Procedimientos operativos documentados"/>
    <s v="PREVENTIVO"/>
    <x v="0"/>
    <x v="0"/>
    <s v="Dependencia del administrador (error humano)"/>
    <n v="1.4"/>
    <n v="4"/>
    <n v="5.6"/>
    <x v="0"/>
  </r>
  <r>
    <x v="0"/>
    <x v="0"/>
    <s v="Respaldo de Base de Datos (diario) "/>
    <m/>
    <x v="0"/>
    <x v="1"/>
    <x v="1"/>
    <m/>
    <m/>
    <s v="X"/>
    <n v="2"/>
    <n v="4"/>
    <x v="0"/>
    <x v="0"/>
    <s v="Respaldo digital de información"/>
    <s v="PREVENTIVO"/>
    <x v="0"/>
    <x v="0"/>
    <s v="Almacenamiento manual en medio extraible"/>
    <n v="1.4"/>
    <n v="4"/>
    <n v="5.6"/>
    <x v="0"/>
  </r>
  <r>
    <x v="0"/>
    <x v="0"/>
    <s v="Respaldo de Base de Datos (diario) "/>
    <m/>
    <x v="0"/>
    <x v="2"/>
    <x v="1"/>
    <m/>
    <m/>
    <s v="X"/>
    <n v="1"/>
    <n v="4"/>
    <x v="1"/>
    <x v="1"/>
    <s v="Sistema contra incendios"/>
    <s v="PREVENTIVO"/>
    <x v="0"/>
    <x v="0"/>
    <s v="-"/>
    <n v="0.7"/>
    <n v="4"/>
    <n v="2.8"/>
    <x v="1"/>
  </r>
  <r>
    <x v="0"/>
    <x v="0"/>
    <s v="Respaldo de Base de Datos (diario) "/>
    <m/>
    <x v="0"/>
    <x v="3"/>
    <x v="2"/>
    <s v="X"/>
    <m/>
    <m/>
    <n v="2"/>
    <n v="4"/>
    <x v="0"/>
    <x v="0"/>
    <s v="Politicas de manejo de información"/>
    <s v="PREVENTIVO"/>
    <x v="0"/>
    <x v="0"/>
    <s v="Dispositivos no encriptados"/>
    <n v="1.4"/>
    <n v="4"/>
    <n v="5.6"/>
    <x v="0"/>
  </r>
  <r>
    <x v="1"/>
    <x v="1"/>
    <s v="Matriz de registro de respaldos realizados por fechas, tipo de respaldo y responsable"/>
    <m/>
    <x v="1"/>
    <x v="0"/>
    <x v="0"/>
    <s v="X"/>
    <s v="X"/>
    <s v="X"/>
    <n v="1"/>
    <n v="2"/>
    <x v="2"/>
    <x v="1"/>
    <s v="Procedimientos operativos documentados"/>
    <s v="PREVENTIVO"/>
    <x v="0"/>
    <x v="0"/>
    <s v="Dependencia del administrador (error humano)"/>
    <n v="0.7"/>
    <n v="2"/>
    <n v="1.4"/>
    <x v="1"/>
  </r>
  <r>
    <x v="2"/>
    <x v="2"/>
    <s v="Aplicación Banca Virtual"/>
    <m/>
    <x v="2"/>
    <x v="4"/>
    <x v="3"/>
    <s v="X"/>
    <s v="X"/>
    <m/>
    <n v="4"/>
    <n v="5"/>
    <x v="3"/>
    <x v="2"/>
    <s v="Control de accesos"/>
    <s v="PREVENTIVO"/>
    <x v="0"/>
    <x v="0"/>
    <s v="Usuarios genéricos"/>
    <n v="2.8"/>
    <n v="5"/>
    <n v="14"/>
    <x v="2"/>
  </r>
  <r>
    <x v="2"/>
    <x v="2"/>
    <s v="Aplicación Banca Virtual"/>
    <m/>
    <x v="2"/>
    <x v="5"/>
    <x v="4"/>
    <s v="X"/>
    <s v="X"/>
    <m/>
    <n v="4"/>
    <n v="5"/>
    <x v="3"/>
    <x v="2"/>
    <s v="Doble autenticación"/>
    <s v="ELIMINACION"/>
    <x v="0"/>
    <x v="1"/>
    <s v="-"/>
    <n v="0.7999999999999998"/>
    <n v="5"/>
    <n v="3.999999999999999"/>
    <x v="1"/>
  </r>
  <r>
    <x v="2"/>
    <x v="2"/>
    <s v="Aplicación Banca Virtual"/>
    <m/>
    <x v="2"/>
    <x v="6"/>
    <x v="0"/>
    <s v="X"/>
    <s v="X"/>
    <s v="X"/>
    <n v="2"/>
    <n v="4"/>
    <x v="0"/>
    <x v="0"/>
    <s v="Registro de logs"/>
    <s v="DETECTIVO"/>
    <x v="0"/>
    <x v="0"/>
    <s v="Falta de revisión de perfiles de acceso"/>
    <n v="2"/>
    <n v="2.8"/>
    <n v="5.6"/>
    <x v="0"/>
  </r>
  <r>
    <x v="2"/>
    <x v="2"/>
    <s v="Aplicación Banca Virtual"/>
    <m/>
    <x v="2"/>
    <x v="7"/>
    <x v="0"/>
    <s v="X"/>
    <s v="X"/>
    <s v="X"/>
    <n v="4"/>
    <n v="4"/>
    <x v="4"/>
    <x v="3"/>
    <s v="Gestión de vulnerabilidades"/>
    <s v="PREVENTIVO"/>
    <x v="0"/>
    <x v="2"/>
    <s v="Recursos tecnológicos insuficientes para remediación"/>
    <n v="2.4"/>
    <n v="4"/>
    <n v="9.6"/>
    <x v="0"/>
  </r>
  <r>
    <x v="2"/>
    <x v="2"/>
    <s v="Aplicación Banca Virtual"/>
    <m/>
    <x v="2"/>
    <x v="8"/>
    <x v="5"/>
    <m/>
    <s v="X"/>
    <s v="X"/>
    <n v="3"/>
    <n v="4"/>
    <x v="5"/>
    <x v="3"/>
    <s v="Gestión de vulnerabilidades"/>
    <s v="PREVENTIVO"/>
    <x v="0"/>
    <x v="2"/>
    <s v="Recursos tecnológicos insuficientes para remediación"/>
    <n v="1.8"/>
    <n v="4"/>
    <n v="7.199999999999999"/>
    <x v="0"/>
  </r>
  <r>
    <x v="3"/>
    <x v="3"/>
    <s v="Servidor que aloja la Banca Electronica  _x000a_192.168.23.11"/>
    <m/>
    <x v="3"/>
    <x v="0"/>
    <x v="0"/>
    <s v="X"/>
    <s v="X"/>
    <s v="X"/>
    <n v="2"/>
    <n v="4"/>
    <x v="0"/>
    <x v="0"/>
    <s v="Control de cambios en los sistemas_x000a_Verificación posterior (informe)"/>
    <s v="ADMINISTRACION"/>
    <x v="0"/>
    <x v="0"/>
    <s v="No existe procedimiento formal de gestión de cambios"/>
    <n v="1.4"/>
    <n v="4"/>
    <n v="5.6"/>
    <x v="0"/>
  </r>
  <r>
    <x v="3"/>
    <x v="3"/>
    <s v="Servidor que aloja la Banca Electronica  _x000a_192.168.23.11"/>
    <m/>
    <x v="3"/>
    <x v="9"/>
    <x v="1"/>
    <m/>
    <m/>
    <s v="X"/>
    <n v="4"/>
    <n v="4"/>
    <x v="4"/>
    <x v="3"/>
    <s v="Monitoreo de Servidores presenta en el procedimiento operativo  Administración de Servidores en el Manua de Gestión de las Operaciones de TI"/>
    <s v="PREVENTIVO"/>
    <x v="0"/>
    <x v="2"/>
    <s v="Falta de alertas automáticas"/>
    <n v="2.4"/>
    <n v="4"/>
    <n v="9.6"/>
    <x v="0"/>
  </r>
  <r>
    <x v="3"/>
    <x v="3"/>
    <s v="Servidor que aloja la Banca Electronica  _x000a_192.168.23.11"/>
    <m/>
    <x v="3"/>
    <x v="4"/>
    <x v="3"/>
    <s v="X"/>
    <s v="X"/>
    <m/>
    <n v="3"/>
    <n v="4"/>
    <x v="5"/>
    <x v="3"/>
    <s v="Control de accesos / VPN"/>
    <s v="PREVENTIVO"/>
    <x v="0"/>
    <x v="0"/>
    <s v="Contreaseñas de VPN no expiran"/>
    <n v="2.1"/>
    <n v="4"/>
    <n v="8.399999999999999"/>
    <x v="0"/>
  </r>
  <r>
    <x v="3"/>
    <x v="3"/>
    <s v="Servidor que aloja la Banca Electronica  _x000a_192.168.23.11"/>
    <m/>
    <x v="3"/>
    <x v="10"/>
    <x v="6"/>
    <s v="X"/>
    <m/>
    <s v="X"/>
    <n v="3"/>
    <n v="4"/>
    <x v="5"/>
    <x v="3"/>
    <s v="Control de accesos"/>
    <s v="PREVENTIVO"/>
    <x v="0"/>
    <x v="0"/>
    <s v="Usuarios genéricos"/>
    <n v="2.1"/>
    <n v="4"/>
    <n v="8.399999999999999"/>
    <x v="0"/>
  </r>
  <r>
    <x v="3"/>
    <x v="3"/>
    <s v="Servidor que aloja la Banca Electronica  _x000a_192.168.23.11"/>
    <m/>
    <x v="3"/>
    <x v="11"/>
    <x v="1"/>
    <m/>
    <m/>
    <s v="X"/>
    <n v="4"/>
    <n v="5"/>
    <x v="3"/>
    <x v="2"/>
    <s v="Configuración segura de firewall"/>
    <s v="PREVENTIVO"/>
    <x v="0"/>
    <x v="0"/>
    <s v="Evidencia de validación de las configuraciones"/>
    <n v="2.8"/>
    <n v="5"/>
    <n v="14"/>
    <x v="2"/>
  </r>
  <r>
    <x v="3"/>
    <x v="3"/>
    <s v="Servidor que aloja la Banca Electronica  _x000a_192.168.23.11"/>
    <m/>
    <x v="3"/>
    <x v="12"/>
    <x v="1"/>
    <m/>
    <m/>
    <s v="X"/>
    <n v="3"/>
    <n v="4"/>
    <x v="5"/>
    <x v="3"/>
    <s v="Gestión de vulnerabilidades"/>
    <s v="PREVENTIVO"/>
    <x v="0"/>
    <x v="2"/>
    <s v="Recursos tecnológicos insuficientes para remediación"/>
    <n v="1.8"/>
    <n v="4"/>
    <n v="7.199999999999999"/>
    <x v="0"/>
  </r>
  <r>
    <x v="4"/>
    <x v="4"/>
    <s v="Administracion Contenidos y Correo electrónico"/>
    <m/>
    <x v="4"/>
    <x v="4"/>
    <x v="3"/>
    <s v="X"/>
    <s v="X"/>
    <m/>
    <n v="2"/>
    <n v="3"/>
    <x v="6"/>
    <x v="0"/>
    <s v="Control de accesos"/>
    <s v="PREVENTIVO"/>
    <x v="0"/>
    <x v="0"/>
    <s v="Usuarios genéricos"/>
    <n v="1.4"/>
    <n v="3"/>
    <n v="4.199999999999999"/>
    <x v="1"/>
  </r>
  <r>
    <x v="4"/>
    <x v="4"/>
    <s v="Administracion Contenidos y Correo electrónico"/>
    <m/>
    <x v="4"/>
    <x v="5"/>
    <x v="4"/>
    <s v="X"/>
    <s v="X"/>
    <m/>
    <n v="2"/>
    <n v="3"/>
    <x v="6"/>
    <x v="0"/>
    <s v="Politicas de contraseñas robustas"/>
    <s v="PREVENTIVO"/>
    <x v="0"/>
    <x v="0"/>
    <s v="Usuarios genéricos / claves compartidas y almacenadas en navegadores"/>
    <n v="1.4"/>
    <n v="3"/>
    <n v="4.199999999999999"/>
    <x v="1"/>
  </r>
  <r>
    <x v="4"/>
    <x v="4"/>
    <s v="Administracion Contenidos y Correo electrónico"/>
    <m/>
    <x v="4"/>
    <x v="13"/>
    <x v="2"/>
    <s v="X"/>
    <m/>
    <m/>
    <n v="2"/>
    <n v="3"/>
    <x v="6"/>
    <x v="0"/>
    <s v="Validación de destinatarios"/>
    <s v="PREVENTIVO"/>
    <x v="0"/>
    <x v="0"/>
    <s v="Politicas sin restricción para jefaturas"/>
    <n v="1.4"/>
    <n v="3"/>
    <n v="4.199999999999999"/>
    <x v="1"/>
  </r>
  <r>
    <x v="4"/>
    <x v="4"/>
    <s v="Administracion Contenidos y Correo electrónico"/>
    <m/>
    <x v="4"/>
    <x v="11"/>
    <x v="1"/>
    <m/>
    <m/>
    <s v="X"/>
    <n v="3"/>
    <n v="4"/>
    <x v="5"/>
    <x v="3"/>
    <s v="Software Antispam Fortimail"/>
    <s v="PREVENTIVO"/>
    <x v="0"/>
    <x v="0"/>
    <s v="No se realiza pruebas de carga"/>
    <n v="2.1"/>
    <n v="4"/>
    <n v="8.399999999999999"/>
    <x v="0"/>
  </r>
  <r>
    <x v="4"/>
    <x v="4"/>
    <s v="Administracion Contenidos y Correo electrónico"/>
    <m/>
    <x v="4"/>
    <x v="9"/>
    <x v="1"/>
    <m/>
    <m/>
    <s v="X"/>
    <n v="2"/>
    <n v="3"/>
    <x v="6"/>
    <x v="0"/>
    <s v="Monitoreo de Servidores presenta en el procedimiento operativo  Administración de Servidores en el Manua de Gestión de las Operaciones de TI"/>
    <s v="PREVENTIVO"/>
    <x v="0"/>
    <x v="2"/>
    <s v="Falta de alertas automáticas"/>
    <n v="1.2"/>
    <n v="3"/>
    <n v="3.6"/>
    <x v="1"/>
  </r>
  <r>
    <x v="5"/>
    <x v="5"/>
    <s v="Servidor web administracion correo electronico_x000a_192.168.23.2"/>
    <m/>
    <x v="4"/>
    <x v="4"/>
    <x v="3"/>
    <s v="X"/>
    <s v="X"/>
    <m/>
    <n v="3"/>
    <n v="3"/>
    <x v="7"/>
    <x v="0"/>
    <s v="Control de accesos"/>
    <s v="PREVENTIVO"/>
    <x v="0"/>
    <x v="0"/>
    <s v="Usuarios genéricos"/>
    <n v="2.1"/>
    <n v="3"/>
    <n v="6.299999999999999"/>
    <x v="0"/>
  </r>
  <r>
    <x v="5"/>
    <x v="5"/>
    <s v="Servidor web administracion correo electronico_x000a_192.168.23.2"/>
    <m/>
    <x v="4"/>
    <x v="5"/>
    <x v="4"/>
    <s v="X"/>
    <s v="X"/>
    <m/>
    <n v="3"/>
    <n v="3"/>
    <x v="7"/>
    <x v="0"/>
    <s v="Politicas de contraseñas robustas"/>
    <s v="PREVENTIVO"/>
    <x v="0"/>
    <x v="0"/>
    <s v="Usuarios genéricos / claves compartidas y almacenadas en navegadores"/>
    <n v="2.1"/>
    <n v="3"/>
    <n v="6.299999999999999"/>
    <x v="0"/>
  </r>
  <r>
    <x v="5"/>
    <x v="5"/>
    <s v="Servidor web administracion correo electronico_x000a_192.168.23.2"/>
    <m/>
    <x v="4"/>
    <x v="13"/>
    <x v="2"/>
    <s v="X"/>
    <m/>
    <m/>
    <n v="3"/>
    <n v="3"/>
    <x v="7"/>
    <x v="0"/>
    <s v="Validación de destinatarios"/>
    <s v="PREVENTIVO"/>
    <x v="0"/>
    <x v="0"/>
    <s v="Politicas sin restricción para jefaturas"/>
    <n v="2.1"/>
    <n v="3"/>
    <n v="6.299999999999999"/>
    <x v="0"/>
  </r>
  <r>
    <x v="5"/>
    <x v="5"/>
    <s v="Servidor web administracion correo electronico_x000a_192.168.23.2"/>
    <m/>
    <x v="4"/>
    <x v="11"/>
    <x v="1"/>
    <m/>
    <m/>
    <s v="X"/>
    <n v="3"/>
    <n v="3"/>
    <x v="7"/>
    <x v="0"/>
    <s v="Configuración segura de firewall"/>
    <s v="PREVENTIVO"/>
    <x v="0"/>
    <x v="0"/>
    <s v="Evidencia de validación de las configuraciones"/>
    <n v="2.1"/>
    <n v="3"/>
    <n v="6.299999999999999"/>
    <x v="0"/>
  </r>
  <r>
    <x v="5"/>
    <x v="5"/>
    <s v="Servidor web administracion correo electronico_x000a_192.168.23.2"/>
    <m/>
    <x v="4"/>
    <x v="9"/>
    <x v="1"/>
    <m/>
    <m/>
    <s v="X"/>
    <n v="2"/>
    <n v="4"/>
    <x v="0"/>
    <x v="0"/>
    <s v="Monitoreo de Servidores presenta en el procedimiento operativo  Administración de Servidores en el Manua de Gestión de las Operaciones de TI"/>
    <s v="PREVENTIVO"/>
    <x v="0"/>
    <x v="2"/>
    <s v="Falta de alertas automáticas"/>
    <n v="1.2"/>
    <n v="4"/>
    <n v="4.8"/>
    <x v="1"/>
  </r>
  <r>
    <x v="6"/>
    <x v="6"/>
    <s v="Proteccion perimetral, Analiza todas las conexiones, eventos inusuales"/>
    <m/>
    <x v="3"/>
    <x v="4"/>
    <x v="3"/>
    <s v="X"/>
    <s v="X"/>
    <m/>
    <n v="2"/>
    <n v="4"/>
    <x v="0"/>
    <x v="0"/>
    <s v="Control de accesos / VPN"/>
    <s v="PREVENTIVO"/>
    <x v="0"/>
    <x v="0"/>
    <s v="Contreaseñas de VPN no expiran"/>
    <n v="1.4"/>
    <n v="4"/>
    <n v="5.6"/>
    <x v="0"/>
  </r>
  <r>
    <x v="6"/>
    <x v="6"/>
    <s v="Proteccion perimetral, Analiza todas las conexiones, eventos inusuales"/>
    <m/>
    <x v="3"/>
    <x v="10"/>
    <x v="6"/>
    <s v="X"/>
    <m/>
    <s v="X"/>
    <n v="2"/>
    <n v="3"/>
    <x v="6"/>
    <x v="0"/>
    <s v="Control de accesos"/>
    <s v="PREVENTIVO"/>
    <x v="0"/>
    <x v="0"/>
    <s v="Usuarios genéricos"/>
    <n v="1.4"/>
    <n v="3"/>
    <n v="4.199999999999999"/>
    <x v="1"/>
  </r>
  <r>
    <x v="6"/>
    <x v="6"/>
    <s v="Proteccion perimetral, Analiza todas las conexiones, eventos inusuales"/>
    <m/>
    <x v="3"/>
    <x v="11"/>
    <x v="1"/>
    <m/>
    <m/>
    <s v="X"/>
    <n v="3"/>
    <n v="4"/>
    <x v="5"/>
    <x v="3"/>
    <s v="Configuración segura de firewall"/>
    <s v="PREVENTIVO"/>
    <x v="0"/>
    <x v="0"/>
    <s v="Evidencia de validación de las configuraciones"/>
    <n v="2.1"/>
    <n v="4"/>
    <n v="8.399999999999999"/>
    <x v="0"/>
  </r>
  <r>
    <x v="6"/>
    <x v="6"/>
    <s v="Proteccion perimetral, Analiza todas las conexiones, eventos inusuales"/>
    <m/>
    <x v="3"/>
    <x v="0"/>
    <x v="0"/>
    <s v="X"/>
    <s v="X"/>
    <s v="X"/>
    <n v="2"/>
    <n v="4"/>
    <x v="0"/>
    <x v="0"/>
    <s v="Control de cambios en los sistemas_x000a_Verificación posterior (informe)"/>
    <s v="ADMINISTRACION"/>
    <x v="0"/>
    <x v="0"/>
    <s v="No existe procedimiento formal de gestión de cambios"/>
    <n v="1.4"/>
    <n v="4"/>
    <n v="5.6"/>
    <x v="0"/>
  </r>
  <r>
    <x v="6"/>
    <x v="6"/>
    <s v="Proteccion perimetral, Analiza todas las conexiones, eventos inusuales"/>
    <m/>
    <x v="3"/>
    <x v="6"/>
    <x v="0"/>
    <s v="X"/>
    <s v="X"/>
    <s v="X"/>
    <n v="2"/>
    <n v="3"/>
    <x v="6"/>
    <x v="0"/>
    <s v="Registro de logs (FortiAnalyzer)"/>
    <s v="DETECTIVO"/>
    <x v="0"/>
    <x v="0"/>
    <s v="Falta de revisión de perfiles de acceso"/>
    <n v="2"/>
    <n v="2.1"/>
    <n v="4.199999999999999"/>
    <x v="1"/>
  </r>
  <r>
    <x v="7"/>
    <x v="7"/>
    <s v="Analizador de logs"/>
    <m/>
    <x v="2"/>
    <x v="4"/>
    <x v="3"/>
    <s v="X"/>
    <s v="X"/>
    <m/>
    <n v="2"/>
    <n v="2"/>
    <x v="1"/>
    <x v="1"/>
    <s v="Control de accesos"/>
    <s v="PREVENTIVO"/>
    <x v="0"/>
    <x v="0"/>
    <s v="Usuarios genéricos"/>
    <n v="1.4"/>
    <n v="2"/>
    <n v="2.8"/>
    <x v="1"/>
  </r>
  <r>
    <x v="7"/>
    <x v="7"/>
    <s v="Analizador de logs"/>
    <m/>
    <x v="2"/>
    <x v="10"/>
    <x v="6"/>
    <s v="X"/>
    <m/>
    <s v="X"/>
    <n v="2"/>
    <n v="2"/>
    <x v="1"/>
    <x v="1"/>
    <s v="Control de accesos"/>
    <s v="PREVENTIVO"/>
    <x v="0"/>
    <x v="0"/>
    <s v="Usuarios genéricos"/>
    <n v="1.4"/>
    <n v="2"/>
    <n v="2.8"/>
    <x v="1"/>
  </r>
  <r>
    <x v="7"/>
    <x v="7"/>
    <s v="Analizador de logs"/>
    <m/>
    <x v="2"/>
    <x v="6"/>
    <x v="0"/>
    <s v="X"/>
    <s v="X"/>
    <s v="X"/>
    <n v="2"/>
    <n v="2"/>
    <x v="1"/>
    <x v="1"/>
    <s v="Registro de logs"/>
    <s v="DETECTIVO"/>
    <x v="0"/>
    <x v="0"/>
    <s v="Falta de revisión de perfiles de acceso"/>
    <n v="2"/>
    <n v="1.4"/>
    <n v="2.8"/>
    <x v="1"/>
  </r>
  <r>
    <x v="7"/>
    <x v="7"/>
    <s v="Analizador de logs"/>
    <m/>
    <x v="2"/>
    <x v="11"/>
    <x v="1"/>
    <m/>
    <m/>
    <s v="X"/>
    <n v="2"/>
    <n v="2"/>
    <x v="1"/>
    <x v="1"/>
    <s v="Configuración segura de firewall"/>
    <s v="PREVENTIVO"/>
    <x v="0"/>
    <x v="0"/>
    <s v="Evidencia de validación de las configuraciones"/>
    <n v="1.4"/>
    <n v="2"/>
    <n v="2.8"/>
    <x v="1"/>
  </r>
  <r>
    <x v="7"/>
    <x v="7"/>
    <s v="Analizador de logs"/>
    <m/>
    <x v="2"/>
    <x v="9"/>
    <x v="1"/>
    <m/>
    <m/>
    <s v="X"/>
    <n v="2"/>
    <n v="2"/>
    <x v="1"/>
    <x v="1"/>
    <s v="Monitoreo de Servidores presenta en el procedimiento operativo  Administración de Servidores en el Manua de Gestión de las Operaciones de TI"/>
    <s v="PREVENTIVO"/>
    <x v="0"/>
    <x v="2"/>
    <s v="Falta de alertas automáticas"/>
    <n v="1.2"/>
    <n v="2"/>
    <n v="2.4"/>
    <x v="1"/>
  </r>
  <r>
    <x v="7"/>
    <x v="7"/>
    <s v="Analizador de logs"/>
    <m/>
    <x v="2"/>
    <x v="0"/>
    <x v="0"/>
    <s v="X"/>
    <s v="X"/>
    <s v="X"/>
    <n v="2"/>
    <n v="2"/>
    <x v="1"/>
    <x v="1"/>
    <s v="Control de cambios en los sistemas_x000a_Verificación posterior (informe)"/>
    <s v="ADMINISTRACION"/>
    <x v="0"/>
    <x v="0"/>
    <s v="No existe procedimiento formal de gestión de cambios"/>
    <n v="1.4"/>
    <n v="2"/>
    <n v="2.8"/>
    <x v="1"/>
  </r>
  <r>
    <x v="8"/>
    <x v="8"/>
    <s v="Revision y categorizacion urls y sitios peligrosos"/>
    <m/>
    <x v="2"/>
    <x v="4"/>
    <x v="3"/>
    <s v="X"/>
    <s v="X"/>
    <m/>
    <n v="2"/>
    <n v="4"/>
    <x v="0"/>
    <x v="0"/>
    <s v="Control de accesos"/>
    <s v="PREVENTIVO"/>
    <x v="0"/>
    <x v="0"/>
    <s v="Usuarios genéricos"/>
    <n v="1.4"/>
    <n v="4"/>
    <n v="5.6"/>
    <x v="0"/>
  </r>
  <r>
    <x v="8"/>
    <x v="8"/>
    <s v="Revision y categorizacion urls y sitios peligrosos"/>
    <m/>
    <x v="2"/>
    <x v="10"/>
    <x v="6"/>
    <s v="X"/>
    <m/>
    <s v="X"/>
    <n v="2"/>
    <n v="2"/>
    <x v="1"/>
    <x v="1"/>
    <s v="Control de accesos"/>
    <s v="PREVENTIVO"/>
    <x v="0"/>
    <x v="0"/>
    <s v="Usuarios genéricos"/>
    <n v="1.4"/>
    <n v="2"/>
    <n v="2.8"/>
    <x v="1"/>
  </r>
  <r>
    <x v="8"/>
    <x v="8"/>
    <s v="Revision y categorizacion urls y sitios peligrosos"/>
    <m/>
    <x v="2"/>
    <x v="6"/>
    <x v="0"/>
    <s v="X"/>
    <s v="X"/>
    <s v="X"/>
    <n v="2"/>
    <n v="2"/>
    <x v="1"/>
    <x v="1"/>
    <s v="Registro de logs (FortiAnalyzer)"/>
    <s v="DETECTIVO"/>
    <x v="0"/>
    <x v="0"/>
    <s v="Falta de revisión de perfiles de acceso"/>
    <n v="2"/>
    <n v="1.4"/>
    <n v="2.8"/>
    <x v="1"/>
  </r>
  <r>
    <x v="8"/>
    <x v="8"/>
    <s v="Revision y categorizacion urls y sitios peligrosos"/>
    <m/>
    <x v="2"/>
    <x v="11"/>
    <x v="1"/>
    <m/>
    <m/>
    <s v="X"/>
    <n v="3"/>
    <n v="2"/>
    <x v="6"/>
    <x v="0"/>
    <s v="Configuración segura de firewall"/>
    <s v="PREVENTIVO"/>
    <x v="0"/>
    <x v="0"/>
    <s v="Evidencia de validación de las configuraciones"/>
    <n v="2.1"/>
    <n v="2"/>
    <n v="4.199999999999999"/>
    <x v="1"/>
  </r>
  <r>
    <x v="8"/>
    <x v="8"/>
    <s v="Revision y categorizacion urls y sitios peligrosos"/>
    <m/>
    <x v="2"/>
    <x v="0"/>
    <x v="0"/>
    <s v="X"/>
    <s v="X"/>
    <s v="X"/>
    <n v="2"/>
    <n v="3"/>
    <x v="6"/>
    <x v="0"/>
    <s v="Control de cambios en los sistemas_x000a_Verificación posterior (informe)"/>
    <s v="ADMINISTRACION"/>
    <x v="0"/>
    <x v="0"/>
    <s v="No existe procedimiento formal de gestión de cambios"/>
    <n v="1.4"/>
    <n v="3"/>
    <n v="4.199999999999999"/>
    <x v="1"/>
  </r>
  <r>
    <x v="8"/>
    <x v="8"/>
    <s v="Revision y categorizacion urls y sitios peligrosos"/>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9"/>
    <x v="9"/>
    <s v="Herramienta de control de software malicioso"/>
    <m/>
    <x v="2"/>
    <x v="4"/>
    <x v="3"/>
    <s v="X"/>
    <s v="X"/>
    <m/>
    <n v="1"/>
    <n v="4"/>
    <x v="1"/>
    <x v="1"/>
    <s v="Control de accesos"/>
    <s v="PREVENTIVO"/>
    <x v="0"/>
    <x v="0"/>
    <s v="Usuarios genéricos"/>
    <n v="0.7"/>
    <n v="4"/>
    <n v="2.8"/>
    <x v="1"/>
  </r>
  <r>
    <x v="9"/>
    <x v="9"/>
    <s v="Herramienta de control de software malicioso"/>
    <m/>
    <x v="2"/>
    <x v="10"/>
    <x v="6"/>
    <s v="X"/>
    <m/>
    <s v="X"/>
    <n v="3"/>
    <n v="3"/>
    <x v="7"/>
    <x v="0"/>
    <s v="Control de accesos"/>
    <s v="PREVENTIVO"/>
    <x v="0"/>
    <x v="0"/>
    <s v="Usuarios genéricos"/>
    <n v="2.1"/>
    <n v="3"/>
    <n v="6.299999999999999"/>
    <x v="0"/>
  </r>
  <r>
    <x v="9"/>
    <x v="9"/>
    <s v="Herramienta de control de software malicioso"/>
    <m/>
    <x v="2"/>
    <x v="6"/>
    <x v="0"/>
    <s v="X"/>
    <s v="X"/>
    <s v="X"/>
    <n v="2"/>
    <n v="4"/>
    <x v="0"/>
    <x v="0"/>
    <s v="Registro de logs (FortiAnalyzer)"/>
    <s v="DETECTIVO"/>
    <x v="0"/>
    <x v="0"/>
    <s v="Falta de revisión de perfiles de acceso"/>
    <n v="2"/>
    <n v="2.8"/>
    <n v="5.6"/>
    <x v="0"/>
  </r>
  <r>
    <x v="9"/>
    <x v="9"/>
    <s v="Herramienta de control de software malicioso"/>
    <m/>
    <x v="2"/>
    <x v="11"/>
    <x v="1"/>
    <m/>
    <m/>
    <s v="X"/>
    <n v="3"/>
    <n v="4"/>
    <x v="5"/>
    <x v="3"/>
    <s v="Configuración segura de firewall"/>
    <s v="PREVENTIVO"/>
    <x v="0"/>
    <x v="0"/>
    <s v="Evidencia de validación de las configuraciones"/>
    <n v="2.1"/>
    <n v="4"/>
    <n v="8.399999999999999"/>
    <x v="0"/>
  </r>
  <r>
    <x v="9"/>
    <x v="9"/>
    <s v="Herramienta de control de software malicioso"/>
    <m/>
    <x v="2"/>
    <x v="0"/>
    <x v="0"/>
    <s v="X"/>
    <s v="X"/>
    <s v="X"/>
    <n v="2"/>
    <n v="3"/>
    <x v="6"/>
    <x v="0"/>
    <s v="Control de cambios en los sistemas_x000a_Verificación posterior (informe)"/>
    <s v="ADMINISTRACION"/>
    <x v="0"/>
    <x v="0"/>
    <s v="No existe procedimiento formal de gestión de cambios"/>
    <n v="1.4"/>
    <n v="3"/>
    <n v="4.199999999999999"/>
    <x v="1"/>
  </r>
  <r>
    <x v="9"/>
    <x v="9"/>
    <s v="Herramienta de control de software malicioso"/>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10"/>
    <x v="10"/>
    <s v="Control de correo no deseado Antispam"/>
    <m/>
    <x v="2"/>
    <x v="4"/>
    <x v="3"/>
    <s v="X"/>
    <s v="X"/>
    <m/>
    <n v="3"/>
    <n v="4"/>
    <x v="5"/>
    <x v="3"/>
    <s v="Control de accesos"/>
    <s v="PREVENTIVO"/>
    <x v="0"/>
    <x v="0"/>
    <s v="Usuarios genéricos"/>
    <n v="2.1"/>
    <n v="4"/>
    <n v="8.399999999999999"/>
    <x v="0"/>
  </r>
  <r>
    <x v="10"/>
    <x v="10"/>
    <s v="Control de correo no deseado Antispam"/>
    <m/>
    <x v="2"/>
    <x v="10"/>
    <x v="6"/>
    <s v="X"/>
    <m/>
    <s v="X"/>
    <n v="1"/>
    <n v="3"/>
    <x v="8"/>
    <x v="1"/>
    <s v="Control de accesos"/>
    <s v="PREVENTIVO"/>
    <x v="0"/>
    <x v="0"/>
    <s v="Usuarios genéricos"/>
    <n v="0.7"/>
    <n v="3"/>
    <n v="2.1"/>
    <x v="1"/>
  </r>
  <r>
    <x v="10"/>
    <x v="10"/>
    <s v="Control de correo no deseado Antispam"/>
    <m/>
    <x v="2"/>
    <x v="6"/>
    <x v="0"/>
    <s v="X"/>
    <s v="X"/>
    <s v="X"/>
    <n v="2"/>
    <n v="3"/>
    <x v="6"/>
    <x v="0"/>
    <s v="Registro de logs (FortiAnalyzer)"/>
    <s v="DETECTIVO"/>
    <x v="0"/>
    <x v="0"/>
    <s v="Falta de revisión de perfiles de acceso"/>
    <n v="2"/>
    <n v="2.1"/>
    <n v="4.199999999999999"/>
    <x v="1"/>
  </r>
  <r>
    <x v="10"/>
    <x v="10"/>
    <s v="Control de correo no deseado Antispam"/>
    <m/>
    <x v="2"/>
    <x v="11"/>
    <x v="1"/>
    <m/>
    <m/>
    <s v="X"/>
    <n v="3"/>
    <n v="3"/>
    <x v="7"/>
    <x v="0"/>
    <s v="Configuración segura de firewall"/>
    <s v="PREVENTIVO"/>
    <x v="0"/>
    <x v="0"/>
    <s v="Evidencia de validación de las configuraciones"/>
    <n v="2.1"/>
    <n v="3"/>
    <n v="6.299999999999999"/>
    <x v="0"/>
  </r>
  <r>
    <x v="10"/>
    <x v="10"/>
    <s v="Control de correo no deseado Antispam"/>
    <m/>
    <x v="2"/>
    <x v="0"/>
    <x v="0"/>
    <s v="X"/>
    <s v="X"/>
    <s v="X"/>
    <n v="2"/>
    <n v="3"/>
    <x v="6"/>
    <x v="0"/>
    <s v="Control de cambios en los sistemas_x000a_Verificación posterior (informe)"/>
    <s v="ADMINISTRACION"/>
    <x v="0"/>
    <x v="0"/>
    <s v="No existe procedimiento formal de gestión de cambios"/>
    <n v="1.4"/>
    <n v="3"/>
    <n v="4.199999999999999"/>
    <x v="1"/>
  </r>
  <r>
    <x v="10"/>
    <x v="10"/>
    <s v="Control de correo no deseado Antispam"/>
    <m/>
    <x v="2"/>
    <x v="9"/>
    <x v="1"/>
    <m/>
    <m/>
    <s v="X"/>
    <n v="2"/>
    <n v="4"/>
    <x v="0"/>
    <x v="0"/>
    <s v="Monitoreo de Servidores presenta en el procedimiento operativo  Administración de Servidores en el Manua de Gestión de las Operaciones de TI"/>
    <s v="PREVENTIVO"/>
    <x v="0"/>
    <x v="2"/>
    <s v="Falta de alertas automáticas"/>
    <n v="1.2"/>
    <n v="4"/>
    <n v="4.8"/>
    <x v="1"/>
  </r>
  <r>
    <x v="11"/>
    <x v="11"/>
    <s v="Informe eventos de seguridad"/>
    <m/>
    <x v="1"/>
    <x v="3"/>
    <x v="2"/>
    <s v="X"/>
    <m/>
    <m/>
    <n v="3"/>
    <n v="4"/>
    <x v="5"/>
    <x v="3"/>
    <s v="Software DLP"/>
    <s v="PREVENTIVO"/>
    <x v="0"/>
    <x v="0"/>
    <s v="Politicas sin restricción para jefaturas"/>
    <n v="2.1"/>
    <n v="4"/>
    <n v="8.399999999999999"/>
    <x v="0"/>
  </r>
  <r>
    <x v="11"/>
    <x v="11"/>
    <s v="Informe eventos de seguridad"/>
    <m/>
    <x v="1"/>
    <x v="1"/>
    <x v="1"/>
    <m/>
    <m/>
    <s v="X"/>
    <n v="3"/>
    <n v="3"/>
    <x v="7"/>
    <x v="0"/>
    <s v="Respaldo digital de información"/>
    <s v="PREVENTIVO"/>
    <x v="0"/>
    <x v="0"/>
    <s v="Almacenamiento manual en medio extraible"/>
    <n v="2.1"/>
    <n v="3"/>
    <n v="6.299999999999999"/>
    <x v="0"/>
  </r>
  <r>
    <x v="12"/>
    <x v="12"/>
    <s v="Servidor control software malicioso _x000a_192.168.100.235"/>
    <m/>
    <x v="3"/>
    <x v="4"/>
    <x v="3"/>
    <s v="X"/>
    <s v="X"/>
    <m/>
    <n v="2"/>
    <n v="3"/>
    <x v="6"/>
    <x v="0"/>
    <s v="Control de accesos / VPN"/>
    <s v="PREVENTIVO"/>
    <x v="0"/>
    <x v="0"/>
    <s v="Contreaseñas de VPN no expiran"/>
    <n v="1.4"/>
    <n v="3"/>
    <n v="4.199999999999999"/>
    <x v="1"/>
  </r>
  <r>
    <x v="12"/>
    <x v="12"/>
    <s v="Servidor control software malicioso _x000a_192.168.100.235"/>
    <m/>
    <x v="3"/>
    <x v="10"/>
    <x v="6"/>
    <s v="X"/>
    <m/>
    <s v="X"/>
    <n v="2"/>
    <n v="3"/>
    <x v="6"/>
    <x v="0"/>
    <s v="Control de accesos"/>
    <s v="PREVENTIVO"/>
    <x v="0"/>
    <x v="0"/>
    <s v="Usuarios genéricos"/>
    <n v="1.4"/>
    <n v="3"/>
    <n v="4.199999999999999"/>
    <x v="1"/>
  </r>
  <r>
    <x v="12"/>
    <x v="12"/>
    <s v="Servidor control software malicioso _x000a_192.168.100.235"/>
    <m/>
    <x v="3"/>
    <x v="6"/>
    <x v="0"/>
    <s v="X"/>
    <s v="X"/>
    <s v="X"/>
    <n v="2"/>
    <n v="3"/>
    <x v="6"/>
    <x v="0"/>
    <s v="Registro de logs (FortiAnalyzer)"/>
    <s v="DETECTIVO"/>
    <x v="0"/>
    <x v="0"/>
    <s v="Falta de revisión de perfiles de acceso"/>
    <n v="2"/>
    <n v="2.1"/>
    <n v="4.199999999999999"/>
    <x v="1"/>
  </r>
  <r>
    <x v="12"/>
    <x v="12"/>
    <s v="Servidor control software malicioso _x000a_192.168.100.235"/>
    <m/>
    <x v="3"/>
    <x v="11"/>
    <x v="1"/>
    <m/>
    <m/>
    <s v="X"/>
    <n v="3"/>
    <n v="4"/>
    <x v="5"/>
    <x v="3"/>
    <s v="Configuración segura de firewall"/>
    <s v="PREVENTIVO"/>
    <x v="0"/>
    <x v="0"/>
    <s v="Evidencia de validación de las configuraciones"/>
    <n v="2.1"/>
    <n v="4"/>
    <n v="8.399999999999999"/>
    <x v="0"/>
  </r>
  <r>
    <x v="12"/>
    <x v="12"/>
    <s v="Servidor control software malicioso _x000a_192.168.100.235"/>
    <m/>
    <x v="3"/>
    <x v="0"/>
    <x v="0"/>
    <s v="X"/>
    <s v="X"/>
    <s v="X"/>
    <n v="2"/>
    <n v="3"/>
    <x v="6"/>
    <x v="0"/>
    <s v="Control de cambios en los sistemas_x000a_Verificación posterior (informe)"/>
    <s v="ADMINISTRACION"/>
    <x v="0"/>
    <x v="0"/>
    <s v="No existe procedimiento formal de gestión de cambios"/>
    <n v="1.4"/>
    <n v="3"/>
    <n v="4.199999999999999"/>
    <x v="1"/>
  </r>
  <r>
    <x v="12"/>
    <x v="12"/>
    <s v="Servidor control software malicioso _x000a_192.168.100.235"/>
    <m/>
    <x v="3"/>
    <x v="9"/>
    <x v="1"/>
    <m/>
    <m/>
    <s v="X"/>
    <n v="2"/>
    <n v="3"/>
    <x v="6"/>
    <x v="0"/>
    <s v="Procedimiento de Gestión de la capacidad y desempeño de la Infraestructura"/>
    <s v="PREVENTIVO"/>
    <x v="0"/>
    <x v="0"/>
    <s v="Notificación automática de alertas"/>
    <n v="1.4"/>
    <n v="3"/>
    <n v="4.199999999999999"/>
    <x v="1"/>
  </r>
  <r>
    <x v="13"/>
    <x v="13"/>
    <s v="Servidor prevencion correo no deseado  _x000a_192.168.23.6"/>
    <m/>
    <x v="3"/>
    <x v="4"/>
    <x v="3"/>
    <s v="X"/>
    <s v="X"/>
    <m/>
    <n v="3"/>
    <n v="4"/>
    <x v="5"/>
    <x v="3"/>
    <s v="Control de accesos / VPN"/>
    <s v="PREVENTIVO"/>
    <x v="0"/>
    <x v="0"/>
    <s v="Contreaseñas de VPN no expiran"/>
    <n v="2.1"/>
    <n v="4"/>
    <n v="8.399999999999999"/>
    <x v="0"/>
  </r>
  <r>
    <x v="13"/>
    <x v="13"/>
    <s v="Servidor prevencion correo no deseado  _x000a_192.168.23.6"/>
    <m/>
    <x v="3"/>
    <x v="10"/>
    <x v="6"/>
    <s v="X"/>
    <m/>
    <s v="X"/>
    <n v="3"/>
    <n v="3"/>
    <x v="7"/>
    <x v="0"/>
    <s v="Control de accesos"/>
    <s v="PREVENTIVO"/>
    <x v="0"/>
    <x v="0"/>
    <s v="Usuarios genéricos"/>
    <n v="2.1"/>
    <n v="3"/>
    <n v="6.299999999999999"/>
    <x v="0"/>
  </r>
  <r>
    <x v="13"/>
    <x v="13"/>
    <s v="Servidor prevencion correo no deseado  _x000a_192.168.23.6"/>
    <m/>
    <x v="3"/>
    <x v="6"/>
    <x v="0"/>
    <s v="X"/>
    <s v="X"/>
    <s v="X"/>
    <n v="2"/>
    <n v="3"/>
    <x v="6"/>
    <x v="0"/>
    <s v="Registro de logs (FortiAnalyzer)"/>
    <s v="DETECTIVO"/>
    <x v="0"/>
    <x v="0"/>
    <s v="Falta de revisión de perfiles de acceso"/>
    <n v="2"/>
    <n v="2.1"/>
    <n v="4.199999999999999"/>
    <x v="1"/>
  </r>
  <r>
    <x v="13"/>
    <x v="13"/>
    <s v="Servidor prevencion correo no deseado  _x000a_192.168.23.6"/>
    <m/>
    <x v="3"/>
    <x v="11"/>
    <x v="1"/>
    <m/>
    <m/>
    <s v="X"/>
    <n v="3"/>
    <n v="4"/>
    <x v="5"/>
    <x v="3"/>
    <s v="Configuración segura de firewall"/>
    <s v="PREVENTIVO"/>
    <x v="0"/>
    <x v="0"/>
    <s v="Evidencia de validación de las configuraciones"/>
    <n v="2.1"/>
    <n v="4"/>
    <n v="8.399999999999999"/>
    <x v="0"/>
  </r>
  <r>
    <x v="13"/>
    <x v="13"/>
    <s v="Servidor prevencion correo no deseado  _x000a_192.168.23.6"/>
    <m/>
    <x v="3"/>
    <x v="0"/>
    <x v="0"/>
    <s v="X"/>
    <s v="X"/>
    <s v="X"/>
    <n v="2"/>
    <n v="4"/>
    <x v="0"/>
    <x v="0"/>
    <s v="Control de cambios en los sistemas_x000a_Verificación posterior (informe)"/>
    <s v="ADMINISTRACION"/>
    <x v="0"/>
    <x v="0"/>
    <s v="No existe procedimiento formal de gestión de cambios"/>
    <n v="1.4"/>
    <n v="4"/>
    <n v="5.6"/>
    <x v="0"/>
  </r>
  <r>
    <x v="13"/>
    <x v="13"/>
    <s v="Servidor prevencion correo no deseado  _x000a_192.168.23.6"/>
    <m/>
    <x v="3"/>
    <x v="9"/>
    <x v="1"/>
    <m/>
    <m/>
    <s v="X"/>
    <n v="2"/>
    <n v="3"/>
    <x v="6"/>
    <x v="0"/>
    <s v="Procedimiento de Gestión de la capacidad y desempeño de la Infraestructura"/>
    <s v="PREVENTIVO"/>
    <x v="0"/>
    <x v="0"/>
    <s v="Notificación automática de alertas"/>
    <n v="1.4"/>
    <n v="3"/>
    <n v="4.199999999999999"/>
    <x v="1"/>
  </r>
  <r>
    <x v="14"/>
    <x v="14"/>
    <s v="Consola de administracion firewall_x000a_192.168.21.2"/>
    <m/>
    <x v="3"/>
    <x v="4"/>
    <x v="3"/>
    <s v="X"/>
    <s v="X"/>
    <m/>
    <n v="3"/>
    <n v="4"/>
    <x v="5"/>
    <x v="3"/>
    <s v="Control de accesos / VPN"/>
    <s v="PREVENTIVO"/>
    <x v="0"/>
    <x v="0"/>
    <s v="Contreaseñas de VPN no expiran"/>
    <n v="2.1"/>
    <n v="4"/>
    <n v="8.399999999999999"/>
    <x v="0"/>
  </r>
  <r>
    <x v="14"/>
    <x v="14"/>
    <s v="Consola de administracion firewall_x000a_192.168.21.2"/>
    <m/>
    <x v="3"/>
    <x v="10"/>
    <x v="6"/>
    <s v="X"/>
    <m/>
    <s v="X"/>
    <n v="2"/>
    <n v="4"/>
    <x v="0"/>
    <x v="0"/>
    <s v="Control de accesos"/>
    <s v="PREVENTIVO"/>
    <x v="0"/>
    <x v="0"/>
    <s v="Usuarios genéricos"/>
    <n v="1.4"/>
    <n v="4"/>
    <n v="5.6"/>
    <x v="0"/>
  </r>
  <r>
    <x v="14"/>
    <x v="14"/>
    <s v="Consola de administracion firewall_x000a_192.168.21.2"/>
    <m/>
    <x v="3"/>
    <x v="6"/>
    <x v="0"/>
    <s v="X"/>
    <s v="X"/>
    <s v="X"/>
    <n v="2"/>
    <n v="4"/>
    <x v="0"/>
    <x v="0"/>
    <s v="Registro de logs (FortiAnalyzer)"/>
    <s v="DETECTIVO"/>
    <x v="0"/>
    <x v="0"/>
    <s v="Falta de revisión de perfiles de acceso"/>
    <n v="2"/>
    <n v="2.8"/>
    <n v="5.6"/>
    <x v="0"/>
  </r>
  <r>
    <x v="14"/>
    <x v="14"/>
    <s v="Consola de administracion firewall_x000a_192.168.21.2"/>
    <m/>
    <x v="3"/>
    <x v="11"/>
    <x v="1"/>
    <m/>
    <m/>
    <s v="X"/>
    <n v="3"/>
    <n v="5"/>
    <x v="9"/>
    <x v="3"/>
    <s v="Configuración segura de firewall"/>
    <s v="PREVENTIVO"/>
    <x v="0"/>
    <x v="0"/>
    <s v="Evidencia de validación de las configuraciones"/>
    <n v="2.1"/>
    <n v="5"/>
    <n v="10.5"/>
    <x v="2"/>
  </r>
  <r>
    <x v="14"/>
    <x v="14"/>
    <s v="Consola de administracion firewall_x000a_192.168.21.2"/>
    <m/>
    <x v="3"/>
    <x v="0"/>
    <x v="0"/>
    <s v="X"/>
    <s v="X"/>
    <s v="X"/>
    <n v="2"/>
    <n v="4"/>
    <x v="0"/>
    <x v="0"/>
    <s v="Control de cambios en los sistemas_x000a_Verificación posterior (informe)"/>
    <s v="ADMINISTRACION"/>
    <x v="0"/>
    <x v="0"/>
    <s v="No existe procedimiento formal de gestión de cambios"/>
    <n v="1.4"/>
    <n v="4"/>
    <n v="5.6"/>
    <x v="0"/>
  </r>
  <r>
    <x v="14"/>
    <x v="14"/>
    <s v="Consola de administracion firewall_x000a_192.168.21.2"/>
    <m/>
    <x v="3"/>
    <x v="9"/>
    <x v="1"/>
    <m/>
    <m/>
    <s v="X"/>
    <n v="2"/>
    <n v="3"/>
    <x v="6"/>
    <x v="0"/>
    <s v="Procedimiento de Gestión de la capacidad y desempeño de la Infraestructura"/>
    <s v="PREVENTIVO"/>
    <x v="0"/>
    <x v="0"/>
    <s v="Notificación automática de alertas"/>
    <n v="1.4"/>
    <n v="3"/>
    <n v="4.199999999999999"/>
    <x v="1"/>
  </r>
  <r>
    <x v="15"/>
    <x v="15"/>
    <s v="Analizador de logs_x000a_192.168.100.232"/>
    <m/>
    <x v="3"/>
    <x v="4"/>
    <x v="3"/>
    <s v="X"/>
    <s v="X"/>
    <m/>
    <n v="2"/>
    <n v="3"/>
    <x v="6"/>
    <x v="0"/>
    <s v="Control de accesos / VPN"/>
    <s v="PREVENTIVO"/>
    <x v="0"/>
    <x v="0"/>
    <s v="Contreaseñas de VPN no expiran"/>
    <n v="1.4"/>
    <n v="3"/>
    <n v="4.199999999999999"/>
    <x v="1"/>
  </r>
  <r>
    <x v="15"/>
    <x v="15"/>
    <s v="Analizador de logs_x000a_192.168.100.232"/>
    <m/>
    <x v="3"/>
    <x v="10"/>
    <x v="6"/>
    <s v="X"/>
    <m/>
    <s v="X"/>
    <n v="2"/>
    <n v="3"/>
    <x v="6"/>
    <x v="0"/>
    <s v="Control de accesos"/>
    <s v="PREVENTIVO"/>
    <x v="0"/>
    <x v="0"/>
    <s v="Usuarios genéricos"/>
    <n v="1.4"/>
    <n v="3"/>
    <n v="4.199999999999999"/>
    <x v="1"/>
  </r>
  <r>
    <x v="15"/>
    <x v="15"/>
    <s v="Analizador de logs_x000a_192.168.100.232"/>
    <m/>
    <x v="3"/>
    <x v="6"/>
    <x v="0"/>
    <s v="X"/>
    <s v="X"/>
    <s v="X"/>
    <n v="2"/>
    <n v="3"/>
    <x v="6"/>
    <x v="0"/>
    <s v="Registro de logs (FortiAnalyzer)"/>
    <s v="DETECTIVO"/>
    <x v="0"/>
    <x v="0"/>
    <s v="Falta de revisión de perfiles de acceso"/>
    <n v="2"/>
    <n v="2.1"/>
    <n v="4.199999999999999"/>
    <x v="1"/>
  </r>
  <r>
    <x v="15"/>
    <x v="15"/>
    <s v="Analizador de logs_x000a_192.168.100.232"/>
    <m/>
    <x v="3"/>
    <x v="11"/>
    <x v="1"/>
    <m/>
    <m/>
    <s v="X"/>
    <n v="3"/>
    <n v="3"/>
    <x v="7"/>
    <x v="0"/>
    <s v="Configuración segura de firewall"/>
    <s v="PREVENTIVO"/>
    <x v="0"/>
    <x v="0"/>
    <s v="Evidencia de validación de las configuraciones"/>
    <n v="2.1"/>
    <n v="3"/>
    <n v="6.299999999999999"/>
    <x v="0"/>
  </r>
  <r>
    <x v="15"/>
    <x v="15"/>
    <s v="Analizador de logs_x000a_192.168.100.232"/>
    <m/>
    <x v="3"/>
    <x v="0"/>
    <x v="0"/>
    <s v="X"/>
    <s v="X"/>
    <s v="X"/>
    <n v="2"/>
    <n v="3"/>
    <x v="6"/>
    <x v="0"/>
    <s v="Control de cambios en los sistemas_x000a_Verificación posterior (informe)"/>
    <s v="ADMINISTRACION"/>
    <x v="0"/>
    <x v="0"/>
    <s v="No existe procedimiento formal de gestión de cambios"/>
    <n v="1.4"/>
    <n v="3"/>
    <n v="4.199999999999999"/>
    <x v="1"/>
  </r>
  <r>
    <x v="15"/>
    <x v="15"/>
    <s v="Analizador de logs_x000a_192.168.100.232"/>
    <m/>
    <x v="3"/>
    <x v="9"/>
    <x v="1"/>
    <m/>
    <m/>
    <s v="X"/>
    <n v="3"/>
    <n v="3"/>
    <x v="7"/>
    <x v="0"/>
    <s v="Procedimiento de Gestión de la capacidad y desempeño de la Infraestructura"/>
    <s v="PREVENTIVO"/>
    <x v="0"/>
    <x v="0"/>
    <s v="Notificación automática de alertas"/>
    <n v="2.1"/>
    <n v="3"/>
    <n v="6.299999999999999"/>
    <x v="0"/>
  </r>
  <r>
    <x v="16"/>
    <x v="16"/>
    <s v="Consola de administracion  _x000a_192.168.100.238"/>
    <m/>
    <x v="3"/>
    <x v="4"/>
    <x v="3"/>
    <s v="X"/>
    <s v="X"/>
    <m/>
    <n v="3"/>
    <n v="4"/>
    <x v="5"/>
    <x v="3"/>
    <s v="Control de accesos / VPN"/>
    <s v="PREVENTIVO"/>
    <x v="0"/>
    <x v="0"/>
    <s v="Contreaseñas de VPN no expiran"/>
    <n v="2.1"/>
    <n v="4"/>
    <n v="8.399999999999999"/>
    <x v="0"/>
  </r>
  <r>
    <x v="16"/>
    <x v="16"/>
    <s v="Consola de administracion  _x000a_192.168.100.238"/>
    <m/>
    <x v="3"/>
    <x v="10"/>
    <x v="6"/>
    <s v="X"/>
    <m/>
    <s v="X"/>
    <n v="2"/>
    <n v="3"/>
    <x v="6"/>
    <x v="0"/>
    <s v="Control de accesos"/>
    <s v="PREVENTIVO"/>
    <x v="0"/>
    <x v="0"/>
    <s v="Usuarios genéricos"/>
    <n v="1.4"/>
    <n v="3"/>
    <n v="4.199999999999999"/>
    <x v="1"/>
  </r>
  <r>
    <x v="16"/>
    <x v="16"/>
    <s v="Consola de administracion  _x000a_192.168.100.238"/>
    <m/>
    <x v="3"/>
    <x v="6"/>
    <x v="0"/>
    <s v="X"/>
    <s v="X"/>
    <s v="X"/>
    <n v="2"/>
    <n v="4"/>
    <x v="0"/>
    <x v="0"/>
    <s v="Registro de logs (FortiAnalyzer)"/>
    <s v="DETECTIVO"/>
    <x v="0"/>
    <x v="0"/>
    <s v="Falta de revisión de perfiles de acceso"/>
    <n v="2"/>
    <n v="2.8"/>
    <n v="5.6"/>
    <x v="0"/>
  </r>
  <r>
    <x v="16"/>
    <x v="16"/>
    <s v="Consola de administracion  _x000a_192.168.100.238"/>
    <m/>
    <x v="3"/>
    <x v="11"/>
    <x v="1"/>
    <m/>
    <m/>
    <s v="X"/>
    <n v="3"/>
    <n v="4"/>
    <x v="5"/>
    <x v="3"/>
    <s v="Configuración segura de firewall"/>
    <s v="PREVENTIVO"/>
    <x v="0"/>
    <x v="0"/>
    <s v="Evidencia de validación de las configuraciones"/>
    <n v="2.1"/>
    <n v="4"/>
    <n v="8.399999999999999"/>
    <x v="0"/>
  </r>
  <r>
    <x v="16"/>
    <x v="16"/>
    <s v="Consola de administracion  _x000a_192.168.100.238"/>
    <m/>
    <x v="3"/>
    <x v="0"/>
    <x v="0"/>
    <s v="X"/>
    <s v="X"/>
    <s v="X"/>
    <n v="2"/>
    <n v="3"/>
    <x v="6"/>
    <x v="0"/>
    <s v="Control de cambios en los sistemas_x000a_Verificación posterior (informe)"/>
    <s v="ADMINISTRACION"/>
    <x v="0"/>
    <x v="0"/>
    <s v="No existe procedimiento formal de gestión de cambios"/>
    <n v="1.4"/>
    <n v="3"/>
    <n v="4.199999999999999"/>
    <x v="1"/>
  </r>
  <r>
    <x v="16"/>
    <x v="16"/>
    <s v="Consola de administracion  _x000a_192.168.100.238"/>
    <m/>
    <x v="3"/>
    <x v="9"/>
    <x v="1"/>
    <m/>
    <m/>
    <s v="X"/>
    <n v="2"/>
    <n v="4"/>
    <x v="0"/>
    <x v="0"/>
    <s v="Procedimiento de Gestión de la capacidad y desempeño de la Infraestructura"/>
    <s v="PREVENTIVO"/>
    <x v="0"/>
    <x v="0"/>
    <s v="Notificación automática de alertas"/>
    <n v="1.4"/>
    <n v="4"/>
    <n v="5.6"/>
    <x v="0"/>
  </r>
  <r>
    <x v="17"/>
    <x v="17"/>
    <s v="Funcionarios con el cargo de Administrador de Seguridad Informática"/>
    <m/>
    <x v="5"/>
    <x v="14"/>
    <x v="1"/>
    <m/>
    <m/>
    <s v="X"/>
    <n v="2"/>
    <n v="3"/>
    <x v="6"/>
    <x v="0"/>
    <s v="Plan de continuidad documentado"/>
    <s v="RECUPERACION"/>
    <x v="0"/>
    <x v="0"/>
    <s v="Dependencia de personal clave"/>
    <n v="2"/>
    <n v="2.1"/>
    <n v="4.199999999999999"/>
    <x v="1"/>
  </r>
  <r>
    <x v="18"/>
    <x v="18"/>
    <s v="Funcionarios con el cargo de Administrador de Base de Datos"/>
    <m/>
    <x v="5"/>
    <x v="14"/>
    <x v="1"/>
    <m/>
    <m/>
    <s v="X"/>
    <n v="2"/>
    <n v="3"/>
    <x v="6"/>
    <x v="0"/>
    <s v="Plan de continuidad documentado"/>
    <s v="RECUPERACION"/>
    <x v="0"/>
    <x v="0"/>
    <s v="Dependencia de personal clave"/>
    <n v="2"/>
    <n v="2.1"/>
    <n v="4.199999999999999"/>
    <x v="1"/>
  </r>
  <r>
    <x v="19"/>
    <x v="19"/>
    <s v="Ruteador para enlaces de comunicación / 192.168.100.253"/>
    <m/>
    <x v="3"/>
    <x v="0"/>
    <x v="0"/>
    <s v="X"/>
    <s v="X"/>
    <s v="X"/>
    <n v="2"/>
    <n v="3"/>
    <x v="6"/>
    <x v="0"/>
    <s v="Control de cambios en los sistemas_x000a_Verificación posterior (informe)"/>
    <s v="ADMINISTRACION"/>
    <x v="0"/>
    <x v="0"/>
    <s v="No existe procedimiento formal de gestión de cambios"/>
    <n v="1.4"/>
    <n v="3"/>
    <n v="4.199999999999999"/>
    <x v="1"/>
  </r>
  <r>
    <x v="19"/>
    <x v="19"/>
    <s v="Ruteador para enlaces de comunicación / 192.168.100.253"/>
    <m/>
    <x v="3"/>
    <x v="4"/>
    <x v="3"/>
    <s v="X"/>
    <s v="X"/>
    <m/>
    <n v="3"/>
    <n v="4"/>
    <x v="5"/>
    <x v="3"/>
    <s v="Control de accesos / VPN"/>
    <s v="PREVENTIVO"/>
    <x v="0"/>
    <x v="0"/>
    <s v="Contreaseñas de VPN no expiran"/>
    <n v="2.1"/>
    <n v="4"/>
    <n v="8.399999999999999"/>
    <x v="0"/>
  </r>
  <r>
    <x v="19"/>
    <x v="19"/>
    <s v="Ruteador para enlaces de comunicación / 192.168.100.253"/>
    <m/>
    <x v="3"/>
    <x v="6"/>
    <x v="0"/>
    <s v="X"/>
    <s v="X"/>
    <s v="X"/>
    <n v="2"/>
    <n v="4"/>
    <x v="0"/>
    <x v="0"/>
    <s v="Registro de logs"/>
    <s v="DETECTIVO"/>
    <x v="0"/>
    <x v="0"/>
    <s v="Falta de revisión de perfiles de acceso"/>
    <n v="2"/>
    <n v="2.8"/>
    <n v="5.6"/>
    <x v="0"/>
  </r>
  <r>
    <x v="19"/>
    <x v="19"/>
    <s v="Ruteador para enlaces de comunicación / 192.168.100.253"/>
    <m/>
    <x v="3"/>
    <x v="12"/>
    <x v="1"/>
    <m/>
    <m/>
    <s v="X"/>
    <n v="3"/>
    <n v="4"/>
    <x v="5"/>
    <x v="3"/>
    <s v="Gestión de vulnerabilidades"/>
    <s v="PREVENTIVO"/>
    <x v="0"/>
    <x v="2"/>
    <s v="Recursos tecnológicos insuficientes para remediación"/>
    <n v="1.8"/>
    <n v="4"/>
    <n v="7.199999999999999"/>
    <x v="0"/>
  </r>
  <r>
    <x v="20"/>
    <x v="20"/>
    <s v="Ruteador para enlaces de comunicación / 192.168.40.253"/>
    <m/>
    <x v="3"/>
    <x v="0"/>
    <x v="0"/>
    <s v="X"/>
    <s v="X"/>
    <s v="X"/>
    <n v="2"/>
    <n v="3"/>
    <x v="6"/>
    <x v="0"/>
    <s v="Control de cambios en los sistemas_x000a_Verificación posterior (informe)"/>
    <s v="ADMINISTRACION"/>
    <x v="0"/>
    <x v="0"/>
    <s v="No existe procedimiento formal de gestión de cambios"/>
    <n v="1.4"/>
    <n v="3"/>
    <n v="4.199999999999999"/>
    <x v="1"/>
  </r>
  <r>
    <x v="20"/>
    <x v="20"/>
    <s v="Ruteador para enlaces de comunicación / 192.168.40.253"/>
    <m/>
    <x v="3"/>
    <x v="4"/>
    <x v="3"/>
    <s v="X"/>
    <s v="X"/>
    <m/>
    <n v="2"/>
    <n v="4"/>
    <x v="0"/>
    <x v="0"/>
    <s v="Control de accesos / VPN"/>
    <s v="PREVENTIVO"/>
    <x v="0"/>
    <x v="0"/>
    <s v="Contreaseñas de VPN no expiran"/>
    <n v="1.4"/>
    <n v="4"/>
    <n v="5.6"/>
    <x v="0"/>
  </r>
  <r>
    <x v="20"/>
    <x v="20"/>
    <s v="Ruteador para enlaces de comunicación / 192.168.40.253"/>
    <m/>
    <x v="3"/>
    <x v="6"/>
    <x v="0"/>
    <s v="X"/>
    <s v="X"/>
    <s v="X"/>
    <n v="2"/>
    <n v="4"/>
    <x v="0"/>
    <x v="0"/>
    <s v="Registro de logs"/>
    <s v="DETECTIVO"/>
    <x v="0"/>
    <x v="0"/>
    <s v="Falta de revisión de perfiles de acceso"/>
    <n v="2"/>
    <n v="2.8"/>
    <n v="5.6"/>
    <x v="0"/>
  </r>
  <r>
    <x v="20"/>
    <x v="20"/>
    <s v="Ruteador para enlaces de comunicación / 192.168.40.253"/>
    <m/>
    <x v="3"/>
    <x v="12"/>
    <x v="1"/>
    <m/>
    <m/>
    <s v="X"/>
    <n v="3"/>
    <n v="3"/>
    <x v="7"/>
    <x v="0"/>
    <s v="Gestión de vulnerabilidades"/>
    <s v="PREVENTIVO"/>
    <x v="0"/>
    <x v="2"/>
    <s v="Recursos tecnológicos insuficientes para remediación"/>
    <n v="1.8"/>
    <n v="3"/>
    <n v="5.399999999999999"/>
    <x v="0"/>
  </r>
  <r>
    <x v="21"/>
    <x v="21"/>
    <s v="Ruteador para enlaces de comunicación / 192.168.50.253"/>
    <m/>
    <x v="3"/>
    <x v="0"/>
    <x v="0"/>
    <s v="X"/>
    <s v="X"/>
    <s v="X"/>
    <n v="2"/>
    <n v="3"/>
    <x v="6"/>
    <x v="0"/>
    <s v="Control de cambios en los sistemas_x000a_Verificación posterior (informe)"/>
    <s v="ADMINISTRACION"/>
    <x v="0"/>
    <x v="0"/>
    <s v="No existe procedimiento formal de gestión de cambios"/>
    <n v="1.4"/>
    <n v="3"/>
    <n v="4.199999999999999"/>
    <x v="1"/>
  </r>
  <r>
    <x v="21"/>
    <x v="21"/>
    <s v="Ruteador para enlaces de comunicación / 192.168.50.253"/>
    <m/>
    <x v="3"/>
    <x v="4"/>
    <x v="3"/>
    <s v="X"/>
    <s v="X"/>
    <m/>
    <n v="2"/>
    <n v="4"/>
    <x v="0"/>
    <x v="0"/>
    <s v="Control de accesos / VPN"/>
    <s v="PREVENTIVO"/>
    <x v="0"/>
    <x v="0"/>
    <s v="Contreaseñas de VPN no expiran"/>
    <n v="1.4"/>
    <n v="4"/>
    <n v="5.6"/>
    <x v="0"/>
  </r>
  <r>
    <x v="21"/>
    <x v="21"/>
    <s v="Ruteador para enlaces de comunicación / 192.168.50.253"/>
    <m/>
    <x v="3"/>
    <x v="6"/>
    <x v="0"/>
    <s v="X"/>
    <s v="X"/>
    <s v="X"/>
    <n v="2"/>
    <n v="4"/>
    <x v="0"/>
    <x v="0"/>
    <s v="Registro de logs"/>
    <s v="DETECTIVO"/>
    <x v="0"/>
    <x v="0"/>
    <s v="Falta de revisión de perfiles de acceso"/>
    <n v="2"/>
    <n v="2.8"/>
    <n v="5.6"/>
    <x v="0"/>
  </r>
  <r>
    <x v="21"/>
    <x v="21"/>
    <s v="Ruteador para enlaces de comunicación / 192.168.50.253"/>
    <m/>
    <x v="3"/>
    <x v="12"/>
    <x v="1"/>
    <m/>
    <m/>
    <s v="X"/>
    <n v="3"/>
    <n v="3"/>
    <x v="7"/>
    <x v="0"/>
    <s v="Gestión de vulnerabilidades"/>
    <s v="PREVENTIVO"/>
    <x v="0"/>
    <x v="2"/>
    <s v="Recursos tecnológicos insuficientes para remediación"/>
    <n v="1.8"/>
    <n v="3"/>
    <n v="5.399999999999999"/>
    <x v="0"/>
  </r>
  <r>
    <x v="22"/>
    <x v="22"/>
    <s v="Servidor que contiene el servidor BDD Oracle / SERVIDOR APARK 192.168.10.72"/>
    <m/>
    <x v="3"/>
    <x v="0"/>
    <x v="0"/>
    <s v="X"/>
    <s v="X"/>
    <s v="X"/>
    <n v="2"/>
    <n v="4"/>
    <x v="0"/>
    <x v="0"/>
    <s v="Control de cambios en los sistemas_x000a_Verificación posterior (informe)"/>
    <s v="ADMINISTRACION"/>
    <x v="0"/>
    <x v="0"/>
    <s v="No existe procedimiento formal de gestión de cambios"/>
    <n v="1.4"/>
    <n v="4"/>
    <n v="5.6"/>
    <x v="0"/>
  </r>
  <r>
    <x v="22"/>
    <x v="22"/>
    <s v="Servidor que contiene el servidor BDD Oracle / SERVIDOR APARK 192.168.10.72"/>
    <m/>
    <x v="3"/>
    <x v="4"/>
    <x v="3"/>
    <s v="X"/>
    <s v="X"/>
    <m/>
    <n v="3"/>
    <n v="5"/>
    <x v="9"/>
    <x v="3"/>
    <s v="Control de accesos / VPN"/>
    <s v="PREVENTIVO"/>
    <x v="0"/>
    <x v="0"/>
    <s v="Contreaseñas de VPN no expiran"/>
    <n v="2.1"/>
    <n v="5"/>
    <n v="10.5"/>
    <x v="2"/>
  </r>
  <r>
    <x v="22"/>
    <x v="22"/>
    <s v="Servidor que contiene el servidor BDD Oracle / SERVIDOR APARK 192.168.10.72"/>
    <m/>
    <x v="3"/>
    <x v="6"/>
    <x v="0"/>
    <s v="X"/>
    <s v="X"/>
    <s v="X"/>
    <n v="3"/>
    <n v="4"/>
    <x v="5"/>
    <x v="3"/>
    <s v="Registro de logs (FortiAnalyzer)"/>
    <s v="DETECTIVO"/>
    <x v="0"/>
    <x v="0"/>
    <s v="Falta de revisión de perfiles de acceso"/>
    <n v="3"/>
    <n v="2.8"/>
    <n v="8.399999999999999"/>
    <x v="0"/>
  </r>
  <r>
    <x v="22"/>
    <x v="22"/>
    <s v="Servidor que contiene el servidor BDD Oracle / SERVIDOR APARK 192.168.10.72"/>
    <m/>
    <x v="3"/>
    <x v="12"/>
    <x v="1"/>
    <m/>
    <m/>
    <s v="X"/>
    <n v="3"/>
    <n v="4"/>
    <x v="5"/>
    <x v="3"/>
    <s v="Gestión de vulnerabilidades"/>
    <s v="PREVENTIVO"/>
    <x v="0"/>
    <x v="2"/>
    <s v="Recursos tecnológicos insuficientes para remediación"/>
    <n v="1.8"/>
    <n v="4"/>
    <n v="7.199999999999999"/>
    <x v="0"/>
  </r>
  <r>
    <x v="23"/>
    <x v="23"/>
    <s v="Ruteador para enlaces de comunicación / 192.168.60.253"/>
    <m/>
    <x v="3"/>
    <x v="0"/>
    <x v="0"/>
    <s v="X"/>
    <s v="X"/>
    <s v="X"/>
    <n v="2"/>
    <n v="3"/>
    <x v="6"/>
    <x v="0"/>
    <s v="Control de cambios en los sistemas_x000a_Verificación posterior (informe)"/>
    <s v="ADMINISTRACION"/>
    <x v="0"/>
    <x v="0"/>
    <s v="No existe procedimiento formal de gestión de cambios"/>
    <n v="1.4"/>
    <n v="3"/>
    <n v="4.199999999999999"/>
    <x v="1"/>
  </r>
  <r>
    <x v="23"/>
    <x v="23"/>
    <s v="Ruteador para enlaces de comunicación / 192.168.60.253"/>
    <m/>
    <x v="3"/>
    <x v="4"/>
    <x v="3"/>
    <s v="X"/>
    <s v="X"/>
    <m/>
    <n v="2"/>
    <n v="4"/>
    <x v="0"/>
    <x v="0"/>
    <s v="Control de accesos / VPN"/>
    <s v="PREVENTIVO"/>
    <x v="0"/>
    <x v="0"/>
    <s v="Contreaseñas de VPN no expiran"/>
    <n v="1.4"/>
    <n v="4"/>
    <n v="5.6"/>
    <x v="0"/>
  </r>
  <r>
    <x v="23"/>
    <x v="23"/>
    <s v="Ruteador para enlaces de comunicación / 192.168.60.253"/>
    <m/>
    <x v="3"/>
    <x v="6"/>
    <x v="0"/>
    <s v="X"/>
    <s v="X"/>
    <s v="X"/>
    <n v="2"/>
    <n v="4"/>
    <x v="0"/>
    <x v="0"/>
    <s v="Registro de logs"/>
    <s v="DETECTIVO"/>
    <x v="0"/>
    <x v="0"/>
    <s v="Falta de revisión de perfiles de acceso"/>
    <n v="2"/>
    <n v="2.8"/>
    <n v="5.6"/>
    <x v="0"/>
  </r>
  <r>
    <x v="23"/>
    <x v="23"/>
    <s v="Ruteador para enlaces de comunicación / 192.168.60.253"/>
    <m/>
    <x v="3"/>
    <x v="12"/>
    <x v="1"/>
    <m/>
    <m/>
    <s v="X"/>
    <n v="3"/>
    <n v="3"/>
    <x v="7"/>
    <x v="0"/>
    <s v="Gestión de vulnerabilidades"/>
    <s v="PREVENTIVO"/>
    <x v="0"/>
    <x v="2"/>
    <s v="Recursos tecnológicos insuficientes para remediación"/>
    <n v="1.8"/>
    <n v="3"/>
    <n v="5.399999999999999"/>
    <x v="0"/>
  </r>
  <r>
    <x v="24"/>
    <x v="24"/>
    <s v="Ruteador para enlaces de comunicación / 192.168.31.253"/>
    <m/>
    <x v="3"/>
    <x v="0"/>
    <x v="0"/>
    <s v="X"/>
    <s v="X"/>
    <s v="X"/>
    <n v="2"/>
    <n v="3"/>
    <x v="6"/>
    <x v="0"/>
    <s v="Control de cambios en los sistemas_x000a_Verificación posterior (informe)"/>
    <s v="ADMINISTRACION"/>
    <x v="0"/>
    <x v="0"/>
    <s v="No existe procedimiento formal de gestión de cambios"/>
    <n v="1.4"/>
    <n v="3"/>
    <n v="4.199999999999999"/>
    <x v="1"/>
  </r>
  <r>
    <x v="24"/>
    <x v="24"/>
    <s v="Ruteador para enlaces de comunicación / 192.168.31.253"/>
    <m/>
    <x v="3"/>
    <x v="4"/>
    <x v="3"/>
    <s v="X"/>
    <s v="X"/>
    <m/>
    <n v="2"/>
    <n v="4"/>
    <x v="0"/>
    <x v="0"/>
    <s v="Control de accesos / VPN"/>
    <s v="PREVENTIVO"/>
    <x v="0"/>
    <x v="0"/>
    <s v="Contreaseñas de VPN no expiran"/>
    <n v="1.4"/>
    <n v="4"/>
    <n v="5.6"/>
    <x v="0"/>
  </r>
  <r>
    <x v="24"/>
    <x v="24"/>
    <s v="Ruteador para enlaces de comunicación / 192.168.31.253"/>
    <m/>
    <x v="3"/>
    <x v="6"/>
    <x v="0"/>
    <s v="X"/>
    <s v="X"/>
    <s v="X"/>
    <n v="2"/>
    <n v="4"/>
    <x v="0"/>
    <x v="0"/>
    <s v="Registro de logs"/>
    <s v="DETECTIVO"/>
    <x v="0"/>
    <x v="0"/>
    <s v="Falta de revisión de perfiles de acceso"/>
    <n v="2"/>
    <n v="2.8"/>
    <n v="5.6"/>
    <x v="0"/>
  </r>
  <r>
    <x v="24"/>
    <x v="24"/>
    <s v="Ruteador para enlaces de comunicación / 192.168.31.253"/>
    <m/>
    <x v="3"/>
    <x v="12"/>
    <x v="1"/>
    <m/>
    <m/>
    <s v="X"/>
    <n v="3"/>
    <n v="3"/>
    <x v="7"/>
    <x v="0"/>
    <s v="Gestión de vulnerabilidades"/>
    <s v="PREVENTIVO"/>
    <x v="0"/>
    <x v="2"/>
    <s v="Recursos tecnológicos insuficientes para remediación"/>
    <n v="1.8"/>
    <n v="3"/>
    <n v="5.399999999999999"/>
    <x v="0"/>
  </r>
  <r>
    <x v="25"/>
    <x v="25"/>
    <s v="Ruteador para enlaces de comunicación / 192.168.80.253"/>
    <m/>
    <x v="3"/>
    <x v="0"/>
    <x v="0"/>
    <s v="X"/>
    <s v="X"/>
    <s v="X"/>
    <n v="2"/>
    <n v="3"/>
    <x v="6"/>
    <x v="0"/>
    <s v="Control de cambios en los sistemas_x000a_Verificación posterior (informe)"/>
    <s v="ADMINISTRACION"/>
    <x v="0"/>
    <x v="0"/>
    <s v="No existe procedimiento formal de gestión de cambios"/>
    <n v="1.4"/>
    <n v="3"/>
    <n v="4.199999999999999"/>
    <x v="1"/>
  </r>
  <r>
    <x v="25"/>
    <x v="25"/>
    <s v="Ruteador para enlaces de comunicación / 192.168.80.253"/>
    <m/>
    <x v="3"/>
    <x v="4"/>
    <x v="3"/>
    <s v="X"/>
    <s v="X"/>
    <m/>
    <n v="2"/>
    <n v="4"/>
    <x v="0"/>
    <x v="0"/>
    <s v="Control de accesos / VPN"/>
    <s v="PREVENTIVO"/>
    <x v="0"/>
    <x v="0"/>
    <s v="Contreaseñas de VPN no expiran"/>
    <n v="1.4"/>
    <n v="4"/>
    <n v="5.6"/>
    <x v="0"/>
  </r>
  <r>
    <x v="25"/>
    <x v="25"/>
    <s v="Ruteador para enlaces de comunicación / 192.168.80.253"/>
    <m/>
    <x v="3"/>
    <x v="6"/>
    <x v="0"/>
    <s v="X"/>
    <s v="X"/>
    <s v="X"/>
    <n v="2"/>
    <n v="4"/>
    <x v="0"/>
    <x v="0"/>
    <s v="Registro de logs"/>
    <s v="DETECTIVO"/>
    <x v="0"/>
    <x v="0"/>
    <s v="Falta de revisión de perfiles de acceso"/>
    <n v="2"/>
    <n v="2.8"/>
    <n v="5.6"/>
    <x v="0"/>
  </r>
  <r>
    <x v="25"/>
    <x v="25"/>
    <s v="Ruteador para enlaces de comunicación / 192.168.80.253"/>
    <m/>
    <x v="3"/>
    <x v="12"/>
    <x v="1"/>
    <m/>
    <m/>
    <s v="X"/>
    <n v="3"/>
    <n v="3"/>
    <x v="7"/>
    <x v="0"/>
    <s v="Gestión de vulnerabilidades"/>
    <s v="PREVENTIVO"/>
    <x v="0"/>
    <x v="2"/>
    <s v="Recursos tecnológicos insuficientes para remediación"/>
    <n v="1.8"/>
    <n v="3"/>
    <n v="5.399999999999999"/>
    <x v="0"/>
  </r>
  <r>
    <x v="26"/>
    <x v="26"/>
    <s v="Ruteador para enlaces de comunicación / 192.168.82.253"/>
    <m/>
    <x v="3"/>
    <x v="0"/>
    <x v="0"/>
    <s v="X"/>
    <s v="X"/>
    <s v="X"/>
    <n v="2"/>
    <n v="3"/>
    <x v="6"/>
    <x v="0"/>
    <s v="Control de cambios en los sistemas_x000a_Verificación posterior (informe)"/>
    <s v="ADMINISTRACION"/>
    <x v="0"/>
    <x v="0"/>
    <s v="No existe procedimiento formal de gestión de cambios"/>
    <n v="1.4"/>
    <n v="3"/>
    <n v="4.199999999999999"/>
    <x v="1"/>
  </r>
  <r>
    <x v="26"/>
    <x v="26"/>
    <s v="Ruteador para enlaces de comunicación / 192.168.82.253"/>
    <m/>
    <x v="3"/>
    <x v="4"/>
    <x v="3"/>
    <s v="X"/>
    <s v="X"/>
    <m/>
    <n v="2"/>
    <n v="4"/>
    <x v="0"/>
    <x v="0"/>
    <s v="Control de accesos / VPN"/>
    <s v="PREVENTIVO"/>
    <x v="0"/>
    <x v="0"/>
    <s v="Contreaseñas de VPN no expiran"/>
    <n v="1.4"/>
    <n v="4"/>
    <n v="5.6"/>
    <x v="0"/>
  </r>
  <r>
    <x v="26"/>
    <x v="26"/>
    <s v="Ruteador para enlaces de comunicación / 192.168.82.253"/>
    <m/>
    <x v="3"/>
    <x v="6"/>
    <x v="0"/>
    <s v="X"/>
    <s v="X"/>
    <s v="X"/>
    <n v="2"/>
    <n v="4"/>
    <x v="0"/>
    <x v="0"/>
    <s v="Registro de logs"/>
    <s v="DETECTIVO"/>
    <x v="0"/>
    <x v="0"/>
    <s v="Falta de revisión de perfiles de acceso"/>
    <n v="2"/>
    <n v="2.8"/>
    <n v="5.6"/>
    <x v="0"/>
  </r>
  <r>
    <x v="26"/>
    <x v="26"/>
    <s v="Ruteador para enlaces de comunicación / 192.168.82.253"/>
    <m/>
    <x v="3"/>
    <x v="12"/>
    <x v="1"/>
    <m/>
    <m/>
    <s v="X"/>
    <n v="3"/>
    <n v="3"/>
    <x v="7"/>
    <x v="0"/>
    <s v="Gestión de vulnerabilidades"/>
    <s v="PREVENTIVO"/>
    <x v="0"/>
    <x v="2"/>
    <s v="Recursos tecnológicos insuficientes para remediación"/>
    <n v="1.8"/>
    <n v="3"/>
    <n v="5.399999999999999"/>
    <x v="0"/>
  </r>
  <r>
    <x v="27"/>
    <x v="27"/>
    <s v="Ruteador para enlaces de comunicación / 192.168.81.253"/>
    <m/>
    <x v="3"/>
    <x v="0"/>
    <x v="0"/>
    <s v="X"/>
    <s v="X"/>
    <s v="X"/>
    <n v="2"/>
    <n v="3"/>
    <x v="6"/>
    <x v="0"/>
    <s v="Control de cambios en los sistemas_x000a_Verificación posterior (informe)"/>
    <s v="ADMINISTRACION"/>
    <x v="0"/>
    <x v="0"/>
    <s v="No existe procedimiento formal de gestión de cambios"/>
    <n v="1.4"/>
    <n v="3"/>
    <n v="4.199999999999999"/>
    <x v="1"/>
  </r>
  <r>
    <x v="27"/>
    <x v="27"/>
    <s v="Ruteador para enlaces de comunicación / 192.168.81.253"/>
    <m/>
    <x v="3"/>
    <x v="4"/>
    <x v="3"/>
    <s v="X"/>
    <s v="X"/>
    <m/>
    <n v="2"/>
    <n v="4"/>
    <x v="0"/>
    <x v="0"/>
    <s v="Control de accesos / VPN"/>
    <s v="PREVENTIVO"/>
    <x v="0"/>
    <x v="0"/>
    <s v="Contreaseñas de VPN no expiran"/>
    <n v="1.4"/>
    <n v="4"/>
    <n v="5.6"/>
    <x v="0"/>
  </r>
  <r>
    <x v="27"/>
    <x v="27"/>
    <s v="Ruteador para enlaces de comunicación / 192.168.81.253"/>
    <m/>
    <x v="3"/>
    <x v="6"/>
    <x v="0"/>
    <s v="X"/>
    <s v="X"/>
    <s v="X"/>
    <n v="2"/>
    <n v="4"/>
    <x v="0"/>
    <x v="0"/>
    <s v="Registro de logs"/>
    <s v="DETECTIVO"/>
    <x v="0"/>
    <x v="0"/>
    <s v="Falta de revisión de perfiles de acceso"/>
    <n v="2"/>
    <n v="2.8"/>
    <n v="5.6"/>
    <x v="0"/>
  </r>
  <r>
    <x v="27"/>
    <x v="27"/>
    <s v="Ruteador para enlaces de comunicación / 192.168.81.253"/>
    <m/>
    <x v="3"/>
    <x v="12"/>
    <x v="1"/>
    <m/>
    <m/>
    <s v="X"/>
    <n v="3"/>
    <n v="3"/>
    <x v="7"/>
    <x v="0"/>
    <s v="Gestión de vulnerabilidades"/>
    <s v="PREVENTIVO"/>
    <x v="0"/>
    <x v="2"/>
    <s v="Recursos tecnológicos insuficientes para remediación"/>
    <n v="1.8"/>
    <n v="3"/>
    <n v="5.399999999999999"/>
    <x v="0"/>
  </r>
  <r>
    <x v="28"/>
    <x v="28"/>
    <s v="Ruteador para enlaces de comunicación"/>
    <m/>
    <x v="3"/>
    <x v="0"/>
    <x v="0"/>
    <s v="X"/>
    <s v="X"/>
    <s v="X"/>
    <n v="2"/>
    <n v="3"/>
    <x v="6"/>
    <x v="0"/>
    <s v="Control de cambios en los sistemas_x000a_Verificación posterior (informe)"/>
    <s v="ADMINISTRACION"/>
    <x v="0"/>
    <x v="0"/>
    <s v="No existe procedimiento formal de gestión de cambios"/>
    <n v="1.4"/>
    <n v="3"/>
    <n v="4.199999999999999"/>
    <x v="1"/>
  </r>
  <r>
    <x v="28"/>
    <x v="28"/>
    <s v="Ruteador para enlaces de comunicación"/>
    <m/>
    <x v="3"/>
    <x v="4"/>
    <x v="3"/>
    <s v="X"/>
    <s v="X"/>
    <m/>
    <n v="2"/>
    <n v="4"/>
    <x v="0"/>
    <x v="0"/>
    <s v="Control de accesos / VPN"/>
    <s v="PREVENTIVO"/>
    <x v="0"/>
    <x v="0"/>
    <s v="Contreaseñas de VPN no expiran"/>
    <n v="1.4"/>
    <n v="4"/>
    <n v="5.6"/>
    <x v="0"/>
  </r>
  <r>
    <x v="28"/>
    <x v="28"/>
    <s v="Ruteador para enlaces de comunicación"/>
    <m/>
    <x v="3"/>
    <x v="6"/>
    <x v="0"/>
    <s v="X"/>
    <s v="X"/>
    <s v="X"/>
    <n v="2"/>
    <n v="4"/>
    <x v="0"/>
    <x v="0"/>
    <s v="Registro de logs"/>
    <s v="DETECTIVO"/>
    <x v="0"/>
    <x v="0"/>
    <s v="Falta de revisión de perfiles de acceso"/>
    <n v="2"/>
    <n v="2.8"/>
    <n v="5.6"/>
    <x v="0"/>
  </r>
  <r>
    <x v="28"/>
    <x v="28"/>
    <s v="Ruteador para enlaces de comunicación"/>
    <m/>
    <x v="3"/>
    <x v="12"/>
    <x v="1"/>
    <m/>
    <m/>
    <s v="X"/>
    <n v="3"/>
    <n v="3"/>
    <x v="7"/>
    <x v="0"/>
    <s v="Gestión de vulnerabilidades"/>
    <s v="PREVENTIVO"/>
    <x v="0"/>
    <x v="2"/>
    <s v="Recursos tecnológicos insuficientes para remediación"/>
    <n v="1.8"/>
    <n v="3"/>
    <n v="5.399999999999999"/>
    <x v="0"/>
  </r>
  <r>
    <x v="29"/>
    <x v="29"/>
    <s v="SVR 192.168.100.145 que contiene Virtualizados: Servidor de Riesgos-Servidor PANDORA FMS Enterprise 7.0NG 760-Sistemas, WS Acceso Público"/>
    <m/>
    <x v="3"/>
    <x v="0"/>
    <x v="0"/>
    <s v="X"/>
    <s v="X"/>
    <s v="X"/>
    <n v="2"/>
    <n v="4"/>
    <x v="0"/>
    <x v="0"/>
    <s v="Control de cambios en los sistemas_x000a_Verificación posterior (informe)"/>
    <s v="ADMINISTRACION"/>
    <x v="0"/>
    <x v="0"/>
    <s v="No existe procedimiento formal de gestión de cambios"/>
    <n v="1.4"/>
    <n v="4"/>
    <n v="5.6"/>
    <x v="0"/>
  </r>
  <r>
    <x v="29"/>
    <x v="29"/>
    <s v="SVR 192.168.100.145 que contiene Virtualizados: Servidor de Riesgos-Servidor PANDORA FMS Enterprise 7.0NG 760-Sistemas, WS Acceso Público"/>
    <m/>
    <x v="3"/>
    <x v="9"/>
    <x v="1"/>
    <m/>
    <m/>
    <s v="X"/>
    <n v="3"/>
    <n v="5"/>
    <x v="9"/>
    <x v="3"/>
    <s v="Procedimiento de Gestión de la capacidad y desempeño de la Infraestructura"/>
    <s v="PREVENTIVO"/>
    <x v="0"/>
    <x v="0"/>
    <s v="Notificación automática de alertas"/>
    <n v="2.1"/>
    <n v="5"/>
    <n v="10.5"/>
    <x v="2"/>
  </r>
  <r>
    <x v="29"/>
    <x v="29"/>
    <s v="SVR 192.168.100.145 que contiene Virtualizados: Servidor de Riesgos-Servidor PANDORA FMS Enterprise 7.0NG 760-Sistemas, WS Acceso Público"/>
    <m/>
    <x v="3"/>
    <x v="4"/>
    <x v="3"/>
    <s v="X"/>
    <s v="X"/>
    <m/>
    <n v="2"/>
    <n v="4"/>
    <x v="0"/>
    <x v="0"/>
    <s v="Control de accesos / VPN"/>
    <s v="PREVENTIVO"/>
    <x v="0"/>
    <x v="0"/>
    <s v="Contreaseñas de VPN no expiran"/>
    <n v="1.4"/>
    <n v="4"/>
    <n v="5.6"/>
    <x v="0"/>
  </r>
  <r>
    <x v="29"/>
    <x v="29"/>
    <s v="SVR 192.168.100.145 que contiene Virtualizados: Servidor de Riesgos-Servidor PANDORA FMS Enterprise 7.0NG 760-Sistemas, WS Acceso Público"/>
    <m/>
    <x v="3"/>
    <x v="10"/>
    <x v="6"/>
    <s v="X"/>
    <m/>
    <s v="X"/>
    <n v="3"/>
    <n v="3"/>
    <x v="7"/>
    <x v="0"/>
    <s v="Control de accesos"/>
    <s v="PREVENTIVO"/>
    <x v="0"/>
    <x v="0"/>
    <s v="Usuarios genéricos"/>
    <n v="2.1"/>
    <n v="3"/>
    <n v="6.299999999999999"/>
    <x v="0"/>
  </r>
  <r>
    <x v="30"/>
    <x v="30"/>
    <s v="SVR 192.168.100.149 que contiene Virtualizados: Switch Transaccional Cajeros Automaticos PROSUPLY - Consola para Administracion Remota de Cajeros Automaticos- Consola para Administracion Remota de Cajeros Automaticos"/>
    <m/>
    <x v="3"/>
    <x v="0"/>
    <x v="0"/>
    <s v="X"/>
    <s v="X"/>
    <s v="X"/>
    <n v="2"/>
    <n v="4"/>
    <x v="0"/>
    <x v="0"/>
    <s v="Control de cambios en los sistemas_x000a_Verificación posterior (informe)"/>
    <s v="ADMINISTRACION"/>
    <x v="0"/>
    <x v="0"/>
    <s v="No existe procedimiento formal de gestión de cambios"/>
    <n v="1.4"/>
    <n v="4"/>
    <n v="5.6"/>
    <x v="0"/>
  </r>
  <r>
    <x v="30"/>
    <x v="30"/>
    <s v="SVR 192.168.100.149 que contiene Virtualizados: Switch Transaccional Cajeros Automaticos PROSUPLY - Consola para Administracion Remota de Cajeros Automaticos- Consola para Administracion Remota de Cajeros Automaticos"/>
    <m/>
    <x v="3"/>
    <x v="9"/>
    <x v="1"/>
    <m/>
    <m/>
    <s v="X"/>
    <n v="3"/>
    <n v="5"/>
    <x v="9"/>
    <x v="3"/>
    <s v="Procedimiento de Gestión de la capacidad y desempeño de la Infraestructura"/>
    <s v="PREVENTIVO"/>
    <x v="0"/>
    <x v="0"/>
    <s v="Notificación automática de alertas"/>
    <n v="2.1"/>
    <n v="5"/>
    <n v="10.5"/>
    <x v="2"/>
  </r>
  <r>
    <x v="30"/>
    <x v="30"/>
    <s v="SVR 192.168.100.149 que contiene Virtualizados: Switch Transaccional Cajeros Automaticos PROSUPLY - Consola para Administracion Remota de Cajeros Automaticos- Consola para Administracion Remota de Cajeros Automaticos"/>
    <m/>
    <x v="3"/>
    <x v="4"/>
    <x v="3"/>
    <s v="X"/>
    <s v="X"/>
    <m/>
    <n v="2"/>
    <n v="4"/>
    <x v="0"/>
    <x v="0"/>
    <s v="Control de accesos / VPN"/>
    <s v="PREVENTIVO"/>
    <x v="0"/>
    <x v="0"/>
    <s v="Contreaseñas de VPN no expiran"/>
    <n v="1.4"/>
    <n v="4"/>
    <n v="5.6"/>
    <x v="0"/>
  </r>
  <r>
    <x v="30"/>
    <x v="30"/>
    <s v="SVR 192.168.100.149 que contiene Virtualizados: Switch Transaccional Cajeros Automaticos PROSUPLY - Consola para Administracion Remota de Cajeros Automaticos- Consola para Administracion Remota de Cajeros Automaticos"/>
    <m/>
    <x v="3"/>
    <x v="10"/>
    <x v="6"/>
    <s v="X"/>
    <m/>
    <s v="X"/>
    <n v="3"/>
    <n v="3"/>
    <x v="7"/>
    <x v="0"/>
    <s v="Control de accesos"/>
    <s v="PREVENTIVO"/>
    <x v="0"/>
    <x v="0"/>
    <s v="Usuarios genéricos"/>
    <n v="2.1"/>
    <n v="3"/>
    <n v="6.299999999999999"/>
    <x v="0"/>
  </r>
  <r>
    <x v="31"/>
    <x v="31"/>
    <s v="AVR 192.168.100.146 que contiene virtualizados :  Servidor de Dominio (Active Directory) y DNS - Servidor Webcoop/Dynacoop/ Alertas SMS OTP Correo - Web Service Equifax, Bdd Sybase Riesgos - Servidor de Veeam Backup/ Servidor Impresión RICOH"/>
    <m/>
    <x v="3"/>
    <x v="0"/>
    <x v="0"/>
    <s v="X"/>
    <s v="X"/>
    <s v="X"/>
    <n v="2"/>
    <n v="4"/>
    <x v="0"/>
    <x v="0"/>
    <s v="Control de cambios en los sistemas_x000a_Verificación posterior (informe)"/>
    <s v="ADMINISTRACION"/>
    <x v="0"/>
    <x v="0"/>
    <s v="No existe procedimiento formal de gestión de cambios"/>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9"/>
    <x v="1"/>
    <m/>
    <m/>
    <s v="X"/>
    <n v="3"/>
    <n v="5"/>
    <x v="9"/>
    <x v="3"/>
    <s v="Procedimiento de Gestión de la capacidad y desempeño de la Infraestructura"/>
    <s v="PREVENTIVO"/>
    <x v="0"/>
    <x v="0"/>
    <s v="Notificación automática de alertas"/>
    <n v="2.1"/>
    <n v="5"/>
    <n v="10.5"/>
    <x v="2"/>
  </r>
  <r>
    <x v="31"/>
    <x v="31"/>
    <s v="AVR 192.168.100.146 que contiene virtualizados :  Servidor de Dominio (Active Directory) y DNS - Servidor Webcoop/Dynacoop/ Alertas SMS OTP Correo - Web Service Equifax, Bdd Sybase Riesgos - Servidor de Veeam Backup/ Servidor Impresión RICOH"/>
    <m/>
    <x v="3"/>
    <x v="4"/>
    <x v="3"/>
    <s v="X"/>
    <s v="X"/>
    <m/>
    <n v="2"/>
    <n v="4"/>
    <x v="0"/>
    <x v="0"/>
    <s v="Control de accesos / VPN"/>
    <s v="PREVENTIVO"/>
    <x v="0"/>
    <x v="0"/>
    <s v="Contreaseñas de VPN no expiran"/>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10"/>
    <x v="6"/>
    <s v="X"/>
    <m/>
    <s v="X"/>
    <n v="3"/>
    <n v="3"/>
    <x v="7"/>
    <x v="0"/>
    <s v="Control de accesos"/>
    <s v="PREVENTIVO"/>
    <x v="0"/>
    <x v="0"/>
    <s v="Usuarios genéricos"/>
    <n v="2.1"/>
    <n v="3"/>
    <n v="6.299999999999999"/>
    <x v="0"/>
  </r>
  <r>
    <x v="32"/>
    <x v="32"/>
    <s v="SVR 192.168.100.242 que contiene virtualizados : Oracle VM Manager"/>
    <m/>
    <x v="3"/>
    <x v="0"/>
    <x v="0"/>
    <s v="X"/>
    <s v="X"/>
    <s v="X"/>
    <n v="2"/>
    <n v="4"/>
    <x v="0"/>
    <x v="0"/>
    <s v="Control de cambios en los sistemas_x000a_Verificación posterior (informe)"/>
    <s v="ADMINISTRACION"/>
    <x v="0"/>
    <x v="0"/>
    <s v="No existe procedimiento formal de gestión de cambios"/>
    <n v="1.4"/>
    <n v="4"/>
    <n v="5.6"/>
    <x v="0"/>
  </r>
  <r>
    <x v="32"/>
    <x v="32"/>
    <s v="SVR 192.168.100.242 que contiene virtualizados : Oracle VM Manager"/>
    <m/>
    <x v="3"/>
    <x v="9"/>
    <x v="1"/>
    <m/>
    <m/>
    <s v="X"/>
    <n v="3"/>
    <n v="5"/>
    <x v="9"/>
    <x v="3"/>
    <s v="Procedimiento de Gestión de la capacidad y desempeño de la Infraestructura"/>
    <s v="PREVENTIVO"/>
    <x v="0"/>
    <x v="0"/>
    <s v="Notificación automática de alertas"/>
    <n v="2.1"/>
    <n v="5"/>
    <n v="10.5"/>
    <x v="2"/>
  </r>
  <r>
    <x v="32"/>
    <x v="32"/>
    <s v="SVR 192.168.100.242 que contiene virtualizados : Oracle VM Manager"/>
    <m/>
    <x v="3"/>
    <x v="4"/>
    <x v="3"/>
    <s v="X"/>
    <s v="X"/>
    <m/>
    <n v="2"/>
    <n v="4"/>
    <x v="0"/>
    <x v="0"/>
    <s v="Control de accesos / VPN"/>
    <s v="PREVENTIVO"/>
    <x v="0"/>
    <x v="0"/>
    <s v="Contreaseñas de VPN no expiran"/>
    <n v="1.4"/>
    <n v="4"/>
    <n v="5.6"/>
    <x v="0"/>
  </r>
  <r>
    <x v="32"/>
    <x v="32"/>
    <s v="SVR 192.168.100.242 que contiene virtualizados : Oracle VM Manager"/>
    <m/>
    <x v="3"/>
    <x v="10"/>
    <x v="6"/>
    <s v="X"/>
    <m/>
    <s v="X"/>
    <n v="3"/>
    <n v="3"/>
    <x v="7"/>
    <x v="0"/>
    <s v="Control de accesos"/>
    <s v="PREVENTIVO"/>
    <x v="0"/>
    <x v="0"/>
    <s v="Usuarios genéricos"/>
    <n v="2.1"/>
    <n v="3"/>
    <n v="6.299999999999999"/>
    <x v="0"/>
  </r>
  <r>
    <x v="33"/>
    <x v="33"/>
    <s v="Funcionarios con el cargo de Administrador de Comunicación e Infraestructura - Consolas Operador Oracle VM - Web Service SERVIPAGOS"/>
    <m/>
    <x v="5"/>
    <x v="14"/>
    <x v="1"/>
    <m/>
    <m/>
    <s v="X"/>
    <n v="2"/>
    <n v="3"/>
    <x v="6"/>
    <x v="0"/>
    <s v="Plan de continuidad documentado"/>
    <s v="RECUPERACION"/>
    <x v="0"/>
    <x v="0"/>
    <s v="Dependencia de personal clave"/>
    <n v="2"/>
    <n v="2.1"/>
    <n v="4.199999999999999"/>
    <x v="1"/>
  </r>
  <r>
    <x v="34"/>
    <x v="18"/>
    <s v="Funcionarios con el cargo de Administrador de Base de Datos"/>
    <m/>
    <x v="5"/>
    <x v="14"/>
    <x v="1"/>
    <m/>
    <m/>
    <s v="X"/>
    <n v="2"/>
    <n v="3"/>
    <x v="6"/>
    <x v="0"/>
    <s v="Plan de continuidad documentado"/>
    <s v="RECUPERACION"/>
    <x v="0"/>
    <x v="0"/>
    <s v="Dependencia de personal clave"/>
    <n v="2"/>
    <n v="2.1"/>
    <n v="4.199999999999999"/>
    <x v="1"/>
  </r>
  <r>
    <x v="35"/>
    <x v="34"/>
    <s v="Escritura del bien inmueble que se va adjudicar con autorización del Gerente. G"/>
    <m/>
    <x v="1"/>
    <x v="3"/>
    <x v="2"/>
    <s v="X"/>
    <m/>
    <m/>
    <n v="3"/>
    <n v="4"/>
    <x v="5"/>
    <x v="3"/>
    <s v="Software DLP"/>
    <s v="PREVENTIVO"/>
    <x v="0"/>
    <x v="0"/>
    <s v="Politicas sin restricción para jefaturas"/>
    <n v="2.1"/>
    <n v="4"/>
    <n v="8.399999999999999"/>
    <x v="0"/>
  </r>
  <r>
    <x v="35"/>
    <x v="34"/>
    <s v="Escritura del bien inmueble que se va adjudicar con autorización del Gerente. G"/>
    <m/>
    <x v="1"/>
    <x v="1"/>
    <x v="1"/>
    <m/>
    <m/>
    <s v="X"/>
    <n v="3"/>
    <n v="3"/>
    <x v="7"/>
    <x v="0"/>
    <s v="Respaldo digital de información"/>
    <s v="PREVENTIVO"/>
    <x v="0"/>
    <x v="0"/>
    <s v="Almacenamiento manual en medio extraible"/>
    <n v="2.1"/>
    <n v="3"/>
    <n v="6.299999999999999"/>
    <x v="0"/>
  </r>
  <r>
    <x v="36"/>
    <x v="35"/>
    <s v="Pagos que se realiza a los proveedores en cheques"/>
    <m/>
    <x v="1"/>
    <x v="1"/>
    <x v="1"/>
    <m/>
    <m/>
    <s v="X"/>
    <n v="3"/>
    <n v="3"/>
    <x v="7"/>
    <x v="0"/>
    <s v="Respaldo digital de información"/>
    <s v="PREVENTIVO"/>
    <x v="0"/>
    <x v="0"/>
    <s v="Almacenamiento manual en medio extraible"/>
    <n v="2.1"/>
    <n v="3"/>
    <n v="6.299999999999999"/>
    <x v="0"/>
  </r>
  <r>
    <x v="37"/>
    <x v="36"/>
    <s v="Pre cancelación de inversiones Cancelación de inversiones Renovación de inversiones"/>
    <m/>
    <x v="1"/>
    <x v="1"/>
    <x v="1"/>
    <m/>
    <m/>
    <s v="X"/>
    <n v="3"/>
    <n v="3"/>
    <x v="7"/>
    <x v="0"/>
    <s v="Respaldo digital de información"/>
    <s v="PREVENTIVO"/>
    <x v="0"/>
    <x v="0"/>
    <s v="Almacenamiento manual en medio extraible"/>
    <n v="2.1"/>
    <n v="3"/>
    <n v="6.299999999999999"/>
    <x v="0"/>
  </r>
  <r>
    <x v="38"/>
    <x v="37"/>
    <s v="Sobres que contienen las claves de contingencia"/>
    <m/>
    <x v="1"/>
    <x v="1"/>
    <x v="1"/>
    <m/>
    <m/>
    <s v="X"/>
    <n v="2"/>
    <n v="5"/>
    <x v="10"/>
    <x v="3"/>
    <s v="Respaldo digital de información"/>
    <s v="PREVENTIVO"/>
    <x v="0"/>
    <x v="0"/>
    <s v="Almacenamiento manual en medio extraible"/>
    <n v="1.4"/>
    <n v="5"/>
    <n v="7"/>
    <x v="0"/>
  </r>
  <r>
    <x v="39"/>
    <x v="38"/>
    <s v="Formulario de registro de activación y desactivación, responsables y justificación"/>
    <m/>
    <x v="1"/>
    <x v="3"/>
    <x v="2"/>
    <s v="X"/>
    <m/>
    <m/>
    <n v="3"/>
    <n v="2"/>
    <x v="6"/>
    <x v="0"/>
    <s v="Software DLP"/>
    <s v="PREVENTIVO"/>
    <x v="0"/>
    <x v="0"/>
    <s v="Politicas sin restricción para jefaturas"/>
    <n v="2.1"/>
    <n v="2"/>
    <n v="4.199999999999999"/>
    <x v="1"/>
  </r>
  <r>
    <x v="40"/>
    <x v="39"/>
    <s v="Contrato receptado por Jurídico Físico o digital con sumilla legalizado por los responsables, y se entrega jurídico el físico y el digital se sube a SARA."/>
    <s v="SISTEMAS DE INFORMACIÓN CORPORATIVOS"/>
    <x v="1"/>
    <x v="15"/>
    <x v="0"/>
    <s v="X"/>
    <s v="X"/>
    <s v="X"/>
    <n v="3"/>
    <n v="3"/>
    <x v="7"/>
    <x v="0"/>
    <s v="Sortware DLP /Políticas de uso de información contractual"/>
    <s v="PREVENTIVO"/>
    <x v="0"/>
    <x v="0"/>
    <s v="Documentación sencible sin cifrar"/>
    <n v="2.1"/>
    <n v="3"/>
    <n v="6.299999999999999"/>
    <x v="0"/>
  </r>
  <r>
    <x v="40"/>
    <x v="39"/>
    <s v="Contrato receptado por Jurídico Físico o digital con sumilla legalizado por los responsables, y se entrega jurídico el físico y el digital se sube a SARA."/>
    <s v="SISTEMAS DE INFORMACIÓN CORPORATIVOS"/>
    <x v="1"/>
    <x v="1"/>
    <x v="1"/>
    <m/>
    <m/>
    <s v="X"/>
    <n v="2"/>
    <n v="4"/>
    <x v="0"/>
    <x v="0"/>
    <s v="Respaldo digital de información"/>
    <s v="PREVENTIVO"/>
    <x v="0"/>
    <x v="0"/>
    <s v="-"/>
    <n v="1.4"/>
    <n v="4"/>
    <n v="5.6"/>
    <x v="0"/>
  </r>
  <r>
    <x v="41"/>
    <x v="40"/>
    <s v="Archivo de registro que cuenta con el detalle de la cartera a transferir"/>
    <s v="DISCOS DUROS, SERVIDORES, DISCOS O MEDIOS PORTÁTILES, CINTAS O MEDIOS DE VIDEO Y AUDIO, ETC."/>
    <x v="1"/>
    <x v="3"/>
    <x v="2"/>
    <s v="X"/>
    <m/>
    <m/>
    <n v="3"/>
    <n v="4"/>
    <x v="5"/>
    <x v="3"/>
    <s v="Software DLP"/>
    <s v="PREVENTIVO"/>
    <x v="0"/>
    <x v="0"/>
    <s v="Politicas sin restricción para jefaturas"/>
    <n v="2.1"/>
    <n v="4"/>
    <n v="8.399999999999999"/>
    <x v="0"/>
  </r>
  <r>
    <x v="41"/>
    <x v="40"/>
    <s v="Archivo de registro que cuenta con el detalle de la cartera a transferir"/>
    <s v="DISCOS DUROS, SERVIDORES, DISCOS O MEDIOS PORTÁTILES, CINTAS O MEDIOS DE VIDEO Y AUDIO, ETC."/>
    <x v="1"/>
    <x v="1"/>
    <x v="1"/>
    <m/>
    <m/>
    <s v="X"/>
    <n v="2"/>
    <n v="2"/>
    <x v="1"/>
    <x v="1"/>
    <s v="Respaldo digital de información"/>
    <s v="PREVENTIVO"/>
    <x v="0"/>
    <x v="0"/>
    <s v="Almacenamiento sin prueba de efectividad"/>
    <n v="1.4"/>
    <n v="2"/>
    <n v="2.8"/>
    <x v="1"/>
  </r>
  <r>
    <x v="42"/>
    <x v="41"/>
    <s v="Escritura de hipoteca que realiza el socio y se recepta el físico"/>
    <s v="DOCUMENTO DE ARCHIVO-FÍSICO"/>
    <x v="1"/>
    <x v="15"/>
    <x v="0"/>
    <s v="X"/>
    <s v="X"/>
    <s v="X"/>
    <n v="3"/>
    <n v="3"/>
    <x v="7"/>
    <x v="0"/>
    <s v="Sortware DLP /Políticas de uso de información contractual"/>
    <s v="PREVENTIVO"/>
    <x v="0"/>
    <x v="0"/>
    <s v="Documentación sencible sin cifrar"/>
    <n v="2.1"/>
    <n v="3"/>
    <n v="6.299999999999999"/>
    <x v="0"/>
  </r>
  <r>
    <x v="42"/>
    <x v="41"/>
    <s v="Escritura de hipoteca que realiza el socio y se recepta el físico"/>
    <s v="DOCUMENTO DE ARCHIVO-FÍSICO"/>
    <x v="1"/>
    <x v="1"/>
    <x v="1"/>
    <m/>
    <m/>
    <s v="X"/>
    <n v="2"/>
    <n v="3"/>
    <x v="6"/>
    <x v="0"/>
    <s v="Respaldo digital de información"/>
    <s v="PREVENTIVO"/>
    <x v="0"/>
    <x v="0"/>
    <s v="Almacenamiento sin prueba de efectividad"/>
    <n v="1.4"/>
    <n v="3"/>
    <n v="4.199999999999999"/>
    <x v="1"/>
  </r>
  <r>
    <x v="43"/>
    <x v="42"/>
    <s v="Convenio de compra de cartera aprobado por GG y certificado por el CAD"/>
    <s v="DOCUMENTO DE ARCHIVO-FÍSICO"/>
    <x v="1"/>
    <x v="15"/>
    <x v="0"/>
    <s v="X"/>
    <s v="X"/>
    <s v="X"/>
    <n v="3"/>
    <n v="3"/>
    <x v="7"/>
    <x v="0"/>
    <s v="Sortware DLP /Políticas de uso de información contractual"/>
    <s v="PREVENTIVO"/>
    <x v="0"/>
    <x v="0"/>
    <s v="Documentación sencible sin cifrar"/>
    <n v="2.1"/>
    <n v="3"/>
    <n v="6.299999999999999"/>
    <x v="0"/>
  </r>
  <r>
    <x v="43"/>
    <x v="42"/>
    <s v="Convenio de compra de cartera aprobado por GG y certificado por el CAD"/>
    <s v="DOCUMENTO DE ARCHIVO-FÍSICO"/>
    <x v="1"/>
    <x v="1"/>
    <x v="1"/>
    <m/>
    <m/>
    <s v="X"/>
    <n v="2"/>
    <n v="3"/>
    <x v="6"/>
    <x v="0"/>
    <s v="Respaldo digital de información"/>
    <s v="PREVENTIVO"/>
    <x v="0"/>
    <x v="0"/>
    <s v="Almacenamiento sin prueba de efectividad"/>
    <n v="1.4"/>
    <n v="3"/>
    <n v="4.199999999999999"/>
    <x v="1"/>
  </r>
  <r>
    <x v="44"/>
    <x v="43"/>
    <s v="Documentación física resultante del proceso de compra de cartera "/>
    <s v="DOCUMENTO DE ARCHIVO-FÍSICO"/>
    <x v="1"/>
    <x v="3"/>
    <x v="2"/>
    <s v="X"/>
    <m/>
    <m/>
    <n v="3"/>
    <n v="3"/>
    <x v="7"/>
    <x v="0"/>
    <s v="Simulacros"/>
    <s v="PREVENTIVO"/>
    <x v="1"/>
    <x v="1"/>
    <s v="-"/>
    <n v="0.5999999999999999"/>
    <n v="3"/>
    <n v="1.8"/>
    <x v="1"/>
  </r>
  <r>
    <x v="44"/>
    <x v="43"/>
    <s v="Documentación física resultante del proceso de compra de cartera "/>
    <s v="DOCUMENTO DE ARCHIVO-FÍSICO"/>
    <x v="1"/>
    <x v="1"/>
    <x v="1"/>
    <m/>
    <m/>
    <s v="X"/>
    <n v="2"/>
    <n v="4"/>
    <x v="0"/>
    <x v="0"/>
    <s v="Respaldo digital de información"/>
    <s v="PREVENTIVO"/>
    <x v="0"/>
    <x v="0"/>
    <s v="Almacenamiento sin prueba de efectividad"/>
    <n v="1.4"/>
    <n v="4"/>
    <n v="5.6"/>
    <x v="0"/>
  </r>
  <r>
    <x v="45"/>
    <x v="44"/>
    <s v="Documentación digital resultante del proceso de compra de cartera "/>
    <s v="DISCOS DUROS, SERVIDORES, DISCOS O MEDIOS PORTÁTILES, CINTAS O MEDIOS DE VIDEO Y AUDIO, ETC."/>
    <x v="1"/>
    <x v="15"/>
    <x v="0"/>
    <s v="X"/>
    <s v="X"/>
    <s v="X"/>
    <n v="2"/>
    <n v="4"/>
    <x v="0"/>
    <x v="0"/>
    <s v="Sortware DLP /Políticas de uso de información contractual"/>
    <s v="PREVENTIVO"/>
    <x v="0"/>
    <x v="0"/>
    <s v="Documentación sencible sin cifrar"/>
    <n v="1.4"/>
    <n v="4"/>
    <n v="5.6"/>
    <x v="0"/>
  </r>
  <r>
    <x v="45"/>
    <x v="44"/>
    <s v="Documentación digital resultante del proceso de compra de cartera "/>
    <s v="DISCOS DUROS, SERVIDORES, DISCOS O MEDIOS PORTÁTILES, CINTAS O MEDIOS DE VIDEO Y AUDIO, ETC."/>
    <x v="1"/>
    <x v="1"/>
    <x v="1"/>
    <m/>
    <m/>
    <s v="X"/>
    <n v="2"/>
    <n v="4"/>
    <x v="0"/>
    <x v="0"/>
    <s v="Respaldo digital de información"/>
    <s v="PREVENTIVO"/>
    <x v="0"/>
    <x v="0"/>
    <s v="Almacenamiento sin prueba de efectividad"/>
    <n v="1.4"/>
    <n v="4"/>
    <n v="5.6"/>
    <x v="0"/>
  </r>
  <r>
    <x v="46"/>
    <x v="45"/>
    <s v="Garantías de pagarés recibidas por el proveedor"/>
    <s v="DOCUMENTO DE ARCHIVO-FÍSICO"/>
    <x v="1"/>
    <x v="15"/>
    <x v="0"/>
    <s v="X"/>
    <s v="X"/>
    <s v="X"/>
    <n v="3"/>
    <n v="2"/>
    <x v="6"/>
    <x v="0"/>
    <s v="Sortware DLP /Políticas de uso de información contractual"/>
    <s v="PREVENTIVO"/>
    <x v="0"/>
    <x v="0"/>
    <s v="Documentación sencible sin cifrar"/>
    <n v="2.1"/>
    <n v="2"/>
    <n v="4.199999999999999"/>
    <x v="1"/>
  </r>
  <r>
    <x v="46"/>
    <x v="45"/>
    <s v="Garantías de pagarés recibidas por el proveedor"/>
    <s v="DOCUMENTO DE ARCHIVO-FÍSICO"/>
    <x v="1"/>
    <x v="1"/>
    <x v="1"/>
    <m/>
    <m/>
    <s v="X"/>
    <n v="2"/>
    <n v="3"/>
    <x v="6"/>
    <x v="0"/>
    <s v="Respaldo digital de información"/>
    <s v="PREVENTIVO"/>
    <x v="0"/>
    <x v="0"/>
    <s v="Almacenamiento sin prueba de efectividad"/>
    <n v="1.4"/>
    <n v="3"/>
    <n v="4.199999999999999"/>
    <x v="1"/>
  </r>
  <r>
    <x v="47"/>
    <x v="46"/>
    <s v="Documentos de pólizas enviadas a Tesorería,   así como los pagares endosados hipotecas y pólizas de seguro para el archivo bajo custodio"/>
    <s v="DOCUMENTO DE ARCHIVO-FÍSICO"/>
    <x v="1"/>
    <x v="15"/>
    <x v="0"/>
    <s v="X"/>
    <s v="X"/>
    <s v="X"/>
    <n v="2"/>
    <n v="2"/>
    <x v="1"/>
    <x v="1"/>
    <s v="Sortware DLP /Políticas de uso de información contractual"/>
    <s v="PREVENTIVO"/>
    <x v="0"/>
    <x v="0"/>
    <s v="Documentación sencible sin cifrar"/>
    <n v="1.4"/>
    <n v="2"/>
    <n v="2.8"/>
    <x v="1"/>
  </r>
  <r>
    <x v="47"/>
    <x v="46"/>
    <s v="Documentos de pólizas enviadas a Tesorería,   así como los pagares endosados hipotecas y pólizas de seguro para el archivo bajo custodio"/>
    <s v="DOCUMENTO DE ARCHIVO-FÍSICO"/>
    <x v="1"/>
    <x v="1"/>
    <x v="1"/>
    <m/>
    <m/>
    <s v="X"/>
    <n v="2"/>
    <n v="3"/>
    <x v="6"/>
    <x v="0"/>
    <s v="Respaldo digital de información"/>
    <s v="PREVENTIVO"/>
    <x v="0"/>
    <x v="0"/>
    <s v="Almacenamiento sin prueba de efectividad"/>
    <n v="1.4"/>
    <n v="3"/>
    <n v="4.199999999999999"/>
    <x v="1"/>
  </r>
  <r>
    <x v="48"/>
    <x v="47"/>
    <s v="Pagaré otorgado por el proveedor"/>
    <s v="DOCUMENTO DE ARCHIVO-FÍSICO"/>
    <x v="1"/>
    <x v="3"/>
    <x v="2"/>
    <s v="X"/>
    <m/>
    <m/>
    <n v="2"/>
    <n v="3"/>
    <x v="6"/>
    <x v="0"/>
    <s v="Simulacros"/>
    <s v="PREVENTIVO"/>
    <x v="1"/>
    <x v="1"/>
    <s v="-"/>
    <n v="0.3999999999999999"/>
    <n v="3"/>
    <n v="1.2"/>
    <x v="1"/>
  </r>
  <r>
    <x v="48"/>
    <x v="47"/>
    <s v="Pagaré otorgado por el proveedor"/>
    <s v="DOCUMENTO DE ARCHIVO-FÍSICO"/>
    <x v="1"/>
    <x v="1"/>
    <x v="1"/>
    <m/>
    <m/>
    <s v="X"/>
    <n v="2"/>
    <n v="3"/>
    <x v="6"/>
    <x v="0"/>
    <s v="Respaldo digital de información"/>
    <s v="PREVENTIVO"/>
    <x v="0"/>
    <x v="0"/>
    <s v="Almacenamiento sin prueba de efectividad"/>
    <n v="1.4"/>
    <n v="3"/>
    <n v="4.199999999999999"/>
    <x v="1"/>
  </r>
  <r>
    <x v="49"/>
    <x v="48"/>
    <s v="Póliza de seguro vehicular de las operaciones canceladas"/>
    <s v="DOCUMENTO DE ARCHIVO-FÍSICO"/>
    <x v="1"/>
    <x v="15"/>
    <x v="0"/>
    <s v="X"/>
    <s v="X"/>
    <s v="X"/>
    <n v="2"/>
    <n v="2"/>
    <x v="1"/>
    <x v="1"/>
    <s v="Sortware DLP /Políticas de uso de información contractual"/>
    <s v="PREVENTIVO"/>
    <x v="0"/>
    <x v="0"/>
    <s v="Documentación sencible sin cifrar"/>
    <n v="1.4"/>
    <n v="2"/>
    <n v="2.8"/>
    <x v="1"/>
  </r>
  <r>
    <x v="49"/>
    <x v="48"/>
    <s v="Póliza de seguro vehicular de las operaciones canceladas"/>
    <s v="DOCUMENTO DE ARCHIVO-FÍSICO"/>
    <x v="1"/>
    <x v="1"/>
    <x v="1"/>
    <m/>
    <m/>
    <s v="X"/>
    <n v="2"/>
    <n v="2"/>
    <x v="1"/>
    <x v="1"/>
    <s v="Respaldo digital de información"/>
    <s v="PREVENTIVO"/>
    <x v="0"/>
    <x v="0"/>
    <s v="Almacenamiento sin prueba de efectividad"/>
    <n v="1.4"/>
    <n v="2"/>
    <n v="2.8"/>
    <x v="1"/>
  </r>
  <r>
    <x v="50"/>
    <x v="49"/>
    <s v="Reporte de cartera a venderse de acuerdo con los requerimientos del proveedor"/>
    <s v="DISCOS DUROS, SERVIDORES, DISCOS O MEDIOS PORTÁTILES, CINTAS O MEDIOS DE VIDEO Y AUDIO, ETC."/>
    <x v="1"/>
    <x v="3"/>
    <x v="2"/>
    <s v="X"/>
    <m/>
    <m/>
    <n v="3"/>
    <n v="4"/>
    <x v="5"/>
    <x v="3"/>
    <s v="Software DLP"/>
    <s v="PREVENTIVO"/>
    <x v="0"/>
    <x v="0"/>
    <s v="Politicas sin restricción para jefaturas"/>
    <n v="2.1"/>
    <n v="4"/>
    <n v="8.399999999999999"/>
    <x v="0"/>
  </r>
  <r>
    <x v="50"/>
    <x v="49"/>
    <s v="Reporte de cartera a venderse de acuerdo con los requerimientos del proveedor"/>
    <s v="DISCOS DUROS, SERVIDORES, DISCOS O MEDIOS PORTÁTILES, CINTAS O MEDIOS DE VIDEO Y AUDIO, ETC."/>
    <x v="1"/>
    <x v="1"/>
    <x v="1"/>
    <m/>
    <m/>
    <s v="X"/>
    <n v="2"/>
    <n v="2"/>
    <x v="1"/>
    <x v="1"/>
    <s v="Respaldo digital de información"/>
    <s v="PREVENTIVO"/>
    <x v="0"/>
    <x v="0"/>
    <s v="Almacenamiento sin prueba de efectividad"/>
    <n v="1.4"/>
    <n v="2"/>
    <n v="2.8"/>
    <x v="1"/>
  </r>
  <r>
    <x v="51"/>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1"/>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2"/>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2"/>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3"/>
    <x v="50"/>
    <s v="Audio de la llamada realizada por el gestor telefónica"/>
    <s v="PORTALES, INTRANET Y EXTRANET"/>
    <x v="1"/>
    <x v="3"/>
    <x v="2"/>
    <s v="X"/>
    <m/>
    <m/>
    <n v="3"/>
    <n v="2"/>
    <x v="6"/>
    <x v="0"/>
    <s v="Software DLP"/>
    <s v="PREVENTIVO"/>
    <x v="0"/>
    <x v="0"/>
    <s v="Politicas sin restricción para jefaturas"/>
    <n v="2.1"/>
    <n v="2"/>
    <n v="4.199999999999999"/>
    <x v="1"/>
  </r>
  <r>
    <x v="53"/>
    <x v="50"/>
    <s v="Audio de la llamada realizada por el gestor telefónica"/>
    <s v="PORTALES, INTRANET Y EXTRANET"/>
    <x v="1"/>
    <x v="1"/>
    <x v="1"/>
    <m/>
    <m/>
    <s v="X"/>
    <n v="2"/>
    <n v="3"/>
    <x v="6"/>
    <x v="0"/>
    <s v="Respaldo digital de información"/>
    <s v="PREVENTIVO"/>
    <x v="0"/>
    <x v="0"/>
    <s v="Almacenamiento sin prueba de efectividad"/>
    <n v="1.4"/>
    <n v="3"/>
    <n v="4.199999999999999"/>
    <x v="1"/>
  </r>
  <r>
    <x v="54"/>
    <x v="50"/>
    <s v="Audio de la llamada realizada por el gestor telefónico"/>
    <s v="PORTALES, INTRANET Y EXTRANET"/>
    <x v="1"/>
    <x v="3"/>
    <x v="2"/>
    <s v="X"/>
    <m/>
    <m/>
    <n v="3"/>
    <n v="2"/>
    <x v="6"/>
    <x v="0"/>
    <s v="Software DLP"/>
    <s v="PREVENTIVO"/>
    <x v="0"/>
    <x v="0"/>
    <s v="Politicas sin restricción para jefaturas"/>
    <n v="2.1"/>
    <n v="2"/>
    <n v="4.199999999999999"/>
    <x v="1"/>
  </r>
  <r>
    <x v="54"/>
    <x v="50"/>
    <s v="Audio de la llamada realizada por el gestor telefónico"/>
    <s v="PORTALES, INTRANET Y EXTRANET"/>
    <x v="1"/>
    <x v="1"/>
    <x v="1"/>
    <m/>
    <m/>
    <s v="X"/>
    <n v="2"/>
    <n v="3"/>
    <x v="6"/>
    <x v="0"/>
    <s v="Respaldo digital de información"/>
    <s v="PREVENTIVO"/>
    <x v="0"/>
    <x v="0"/>
    <s v="Almacenamiento sin prueba de efectividad"/>
    <n v="1.4"/>
    <n v="3"/>
    <n v="4.199999999999999"/>
    <x v="1"/>
  </r>
  <r>
    <x v="55"/>
    <x v="51"/>
    <s v="Reporte de clientes validados y registrados"/>
    <s v="DISCOS DUROS, SERVIDORES, DISCOS O MEDIOS PORTÁTILES, CINTAS O MEDIOS DE VIDEO Y AUDIO, ETC."/>
    <x v="1"/>
    <x v="15"/>
    <x v="0"/>
    <s v="X"/>
    <s v="X"/>
    <s v="X"/>
    <n v="4"/>
    <n v="4"/>
    <x v="4"/>
    <x v="3"/>
    <s v="Sortware DLP /Políticas de uso de información contractual"/>
    <s v="PREVENTIVO"/>
    <x v="0"/>
    <x v="0"/>
    <s v="Documentación sencible sin cifrar"/>
    <n v="2.8"/>
    <n v="4"/>
    <n v="11.2"/>
    <x v="2"/>
  </r>
  <r>
    <x v="55"/>
    <x v="51"/>
    <s v="Reporte de clientes validados y registrados"/>
    <s v="DISCOS DUROS, SERVIDORES, DISCOS O MEDIOS PORTÁTILES, CINTAS O MEDIOS DE VIDEO Y AUDIO, ETC."/>
    <x v="1"/>
    <x v="1"/>
    <x v="1"/>
    <m/>
    <m/>
    <s v="X"/>
    <n v="2"/>
    <n v="3"/>
    <x v="6"/>
    <x v="0"/>
    <s v="Respaldo digital de información"/>
    <s v="PREVENTIVO"/>
    <x v="0"/>
    <x v="0"/>
    <s v="Almacenamiento sin prueba de efectividad"/>
    <n v="1.4"/>
    <n v="3"/>
    <n v="4.199999999999999"/>
    <x v="1"/>
  </r>
  <r>
    <x v="56"/>
    <x v="50"/>
    <s v="Audio de la llamada realizada por el gestor telefónico"/>
    <s v="PORTALES, INTRANET Y EXTRANET"/>
    <x v="1"/>
    <x v="3"/>
    <x v="2"/>
    <s v="X"/>
    <m/>
    <m/>
    <n v="3"/>
    <n v="2"/>
    <x v="6"/>
    <x v="0"/>
    <s v="Software DLP"/>
    <s v="PREVENTIVO"/>
    <x v="0"/>
    <x v="0"/>
    <s v="Politicas sin restricción para jefaturas"/>
    <n v="2.1"/>
    <n v="2"/>
    <n v="4.199999999999999"/>
    <x v="1"/>
  </r>
  <r>
    <x v="57"/>
    <x v="52"/>
    <s v="Equipos de computación donde se realiza la gestión del área"/>
    <s v="DISCOS DUROS, SERVIDORES, DISCOS O MEDIOS PORTÁTILES, CINTAS O MEDIOS DE VIDEO Y AUDIO, ETC."/>
    <x v="3"/>
    <x v="16"/>
    <x v="7"/>
    <s v="X"/>
    <m/>
    <s v="X"/>
    <n v="1"/>
    <n v="3"/>
    <x v="8"/>
    <x v="1"/>
    <s v="Respaldo digital de información"/>
    <s v="PREVENTIVO"/>
    <x v="0"/>
    <x v="0"/>
    <s v="Almacenamiento sin prueba de efectividad"/>
    <n v="0.7"/>
    <n v="3"/>
    <n v="2.1"/>
    <x v="1"/>
  </r>
  <r>
    <x v="57"/>
    <x v="52"/>
    <s v="Equipos de computación donde se realiza la gestión del área"/>
    <s v="DISCOS DUROS, SERVIDORES, DISCOS O MEDIOS PORTÁTILES, CINTAS O MEDIOS DE VIDEO Y AUDIO, ETC."/>
    <x v="3"/>
    <x v="15"/>
    <x v="0"/>
    <s v="X"/>
    <s v="X"/>
    <s v="X"/>
    <n v="3"/>
    <n v="3"/>
    <x v="7"/>
    <x v="0"/>
    <s v="Sortware DLP /Políticas de uso de información contractual"/>
    <s v="PREVENTIVO"/>
    <x v="0"/>
    <x v="0"/>
    <s v="Documentación sencible sin cifrar"/>
    <n v="2.1"/>
    <n v="3"/>
    <n v="6.299999999999999"/>
    <x v="0"/>
  </r>
  <r>
    <x v="56"/>
    <x v="50"/>
    <s v="Audio de la llamada realizada por el gestor telefónico"/>
    <s v="PORTALES, INTRANET Y EXTRANET"/>
    <x v="1"/>
    <x v="1"/>
    <x v="1"/>
    <m/>
    <m/>
    <s v="X"/>
    <n v="2"/>
    <n v="2"/>
    <x v="1"/>
    <x v="1"/>
    <s v="Respaldo digital de información"/>
    <s v="PREVENTIVO"/>
    <x v="0"/>
    <x v="0"/>
    <s v="Almacenamiento sin prueba de efectividad"/>
    <n v="1.4"/>
    <n v="2"/>
    <n v="2.8"/>
    <x v="1"/>
  </r>
  <r>
    <x v="58"/>
    <x v="53"/>
    <s v="Documento contable de valor que utiliza una persona para retirar dinero de la cuenta de quien lo emite"/>
    <s v="DOCUMENTO DE ARCHIVO-FÍSICO"/>
    <x v="1"/>
    <x v="15"/>
    <x v="0"/>
    <s v="X"/>
    <s v="X"/>
    <s v="X"/>
    <n v="3"/>
    <n v="3"/>
    <x v="7"/>
    <x v="0"/>
    <s v="Sortware DLP /Políticas de uso de información contractual"/>
    <s v="PREVENTIVO"/>
    <x v="0"/>
    <x v="0"/>
    <s v="Documentación sencible sin cifrar"/>
    <n v="2.1"/>
    <n v="3"/>
    <n v="6.299999999999999"/>
    <x v="0"/>
  </r>
  <r>
    <x v="58"/>
    <x v="53"/>
    <s v="Documento contable de valor que utiliza una persona para retirar dinero de la cuenta de quien lo emite"/>
    <s v="DOCUMENTO DE ARCHIVO-FÍSICO"/>
    <x v="1"/>
    <x v="1"/>
    <x v="1"/>
    <m/>
    <m/>
    <s v="X"/>
    <n v="2"/>
    <n v="2"/>
    <x v="1"/>
    <x v="1"/>
    <s v="Respaldo digital de información"/>
    <s v="PREVENTIVO"/>
    <x v="0"/>
    <x v="0"/>
    <s v="Almacenamiento sin prueba de efectividad"/>
    <n v="1.4"/>
    <n v="2"/>
    <n v="2.8"/>
    <x v="1"/>
  </r>
  <r>
    <x v="59"/>
    <x v="54"/>
    <s v="Registro de ingreso y egreso que se imprime después de la recaudación con información del servicio y valor"/>
    <s v="DOCUMENTO DE ARCHIVO-FÍSICO"/>
    <x v="1"/>
    <x v="15"/>
    <x v="0"/>
    <s v="X"/>
    <s v="X"/>
    <s v="X"/>
    <n v="3"/>
    <n v="3"/>
    <x v="7"/>
    <x v="0"/>
    <s v="Sortware DLP /Políticas de uso de información contractual"/>
    <s v="PREVENTIVO"/>
    <x v="0"/>
    <x v="0"/>
    <s v="Documentación sencible sin cifrar"/>
    <n v="2.1"/>
    <n v="3"/>
    <n v="6.299999999999999"/>
    <x v="0"/>
  </r>
  <r>
    <x v="59"/>
    <x v="54"/>
    <s v="Registro de ingreso y egreso que se imprime después de la recaudación con información del servicio y valor"/>
    <s v="DOCUMENTO DE ARCHIVO-FÍSICO"/>
    <x v="1"/>
    <x v="1"/>
    <x v="1"/>
    <m/>
    <m/>
    <s v="X"/>
    <n v="2"/>
    <n v="2"/>
    <x v="1"/>
    <x v="1"/>
    <s v="Respaldo digital de información"/>
    <s v="PREVENTIVO"/>
    <x v="0"/>
    <x v="0"/>
    <s v="Almacenamiento sin prueba de efectividad"/>
    <n v="1.4"/>
    <n v="2"/>
    <n v="2.8"/>
    <x v="1"/>
  </r>
  <r>
    <x v="60"/>
    <x v="55"/>
    <s v="Cheque"/>
    <s v="DOCUMENTO DE ARCHIVO-FÍSICO"/>
    <x v="1"/>
    <x v="15"/>
    <x v="0"/>
    <s v="X"/>
    <s v="X"/>
    <s v="X"/>
    <n v="3"/>
    <n v="3"/>
    <x v="7"/>
    <x v="0"/>
    <s v="Sortware DLP /Políticas de uso de información contractual"/>
    <s v="PREVENTIVO"/>
    <x v="0"/>
    <x v="0"/>
    <s v="Documentación sencible sin cifrar"/>
    <n v="2.1"/>
    <n v="3"/>
    <n v="6.299999999999999"/>
    <x v="0"/>
  </r>
  <r>
    <x v="60"/>
    <x v="55"/>
    <s v="Cheque"/>
    <s v="DOCUMENTO DE ARCHIVO-FÍSICO"/>
    <x v="1"/>
    <x v="1"/>
    <x v="1"/>
    <m/>
    <m/>
    <s v="X"/>
    <n v="2"/>
    <n v="2"/>
    <x v="1"/>
    <x v="1"/>
    <s v="Respaldo digital de información"/>
    <s v="PREVENTIVO"/>
    <x v="0"/>
    <x v="0"/>
    <s v="Almacenamiento sin prueba de efectividad"/>
    <n v="1.4"/>
    <n v="2"/>
    <n v="2.8"/>
    <x v="1"/>
  </r>
  <r>
    <x v="61"/>
    <x v="56"/>
    <s v=" Documento contable que entrega el supervisor operativo al socio luego de la autorización del retiro por las áreas correspondientes"/>
    <s v="DOCUMENTO DE ARCHIVO-FÍSICO"/>
    <x v="1"/>
    <x v="15"/>
    <x v="0"/>
    <s v="X"/>
    <s v="X"/>
    <s v="X"/>
    <n v="3"/>
    <n v="2"/>
    <x v="6"/>
    <x v="0"/>
    <s v="Sortware DLP /Políticas de uso de información contractual"/>
    <s v="PREVENTIVO"/>
    <x v="0"/>
    <x v="0"/>
    <s v="Documentación sencible sin cifrar"/>
    <n v="2.1"/>
    <n v="2"/>
    <n v="4.199999999999999"/>
    <x v="1"/>
  </r>
  <r>
    <x v="62"/>
    <x v="57"/>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2"/>
    <x v="57"/>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1"/>
    <x v="56"/>
    <s v=" Documento contable que entrega el supervisor operativo al socio luego de la autorización del retiro por las áreas correspondientes"/>
    <s v="DOCUMENTO DE ARCHIVO-FÍSICO"/>
    <x v="1"/>
    <x v="1"/>
    <x v="1"/>
    <m/>
    <m/>
    <s v="X"/>
    <n v="2"/>
    <n v="2"/>
    <x v="1"/>
    <x v="1"/>
    <s v="Respaldo digital de información"/>
    <s v="PREVENTIVO"/>
    <x v="0"/>
    <x v="0"/>
    <s v="Almacenamiento sin prueba de efectividad"/>
    <n v="1.4"/>
    <n v="2"/>
    <n v="2.8"/>
    <x v="1"/>
  </r>
  <r>
    <x v="63"/>
    <x v="58"/>
    <s v="Pagaré, escritura de hipoteca, tabla de amortización, liquidación actualizada, tabla de pagos actualizada"/>
    <s v="DOCUMENTO DE ARCHIVO-FÍSICO"/>
    <x v="1"/>
    <x v="15"/>
    <x v="0"/>
    <s v="X"/>
    <s v="X"/>
    <s v="X"/>
    <n v="3"/>
    <n v="3"/>
    <x v="7"/>
    <x v="0"/>
    <s v="Sortware DLP /Políticas de uso de información contractual"/>
    <s v="PREVENTIVO"/>
    <x v="0"/>
    <x v="0"/>
    <s v="Documentación sencible sin cifrar"/>
    <n v="2.1"/>
    <n v="3"/>
    <n v="6.299999999999999"/>
    <x v="0"/>
  </r>
  <r>
    <x v="63"/>
    <x v="58"/>
    <s v="Pagaré, escritura de hipoteca, tabla de amortización, liquidación actualizada, tabla de pagos actualizada"/>
    <s v="DOCUMENTO DE ARCHIVO-FÍSICO"/>
    <x v="1"/>
    <x v="3"/>
    <x v="2"/>
    <s v="X"/>
    <m/>
    <m/>
    <n v="2"/>
    <n v="3"/>
    <x v="6"/>
    <x v="0"/>
    <s v="Software DLP"/>
    <s v="PREVENTIVO"/>
    <x v="0"/>
    <x v="0"/>
    <s v="Politicas sin restricción para jefaturas"/>
    <n v="1.4"/>
    <n v="3"/>
    <n v="4.199999999999999"/>
    <x v="1"/>
  </r>
  <r>
    <x v="64"/>
    <x v="59"/>
    <s v="Documentos entregados al abogado externo Anexo de asignación de cartera abogados externos/Acta entrega recepción de documentos/Documentos para el inicio de tramites judiciales"/>
    <s v="DOCUMENTO DE ARCHIVO-FÍSICO"/>
    <x v="1"/>
    <x v="15"/>
    <x v="0"/>
    <s v="X"/>
    <s v="X"/>
    <s v="X"/>
    <n v="3"/>
    <n v="3"/>
    <x v="7"/>
    <x v="0"/>
    <s v="Sortware DLP /Políticas de uso de información contractual"/>
    <s v="PREVENTIVO"/>
    <x v="0"/>
    <x v="0"/>
    <s v="Documentación sencible sin cifrar"/>
    <n v="2.1"/>
    <n v="3"/>
    <n v="6.299999999999999"/>
    <x v="0"/>
  </r>
  <r>
    <x v="64"/>
    <x v="59"/>
    <s v="Documentos entregados al abogado externo Anexo de asignación de cartera abogados externos/Acta entrega recepción de documentos/Documentos para el inicio de tramites judiciales"/>
    <s v="DOCUMENTO DE ARCHIVO-FÍSICO"/>
    <x v="1"/>
    <x v="3"/>
    <x v="2"/>
    <s v="X"/>
    <m/>
    <m/>
    <n v="2"/>
    <n v="3"/>
    <x v="6"/>
    <x v="0"/>
    <s v="Software DLP"/>
    <s v="PREVENTIVO"/>
    <x v="0"/>
    <x v="0"/>
    <s v="Politicas sin restricción para jefaturas"/>
    <n v="1.4"/>
    <n v="3"/>
    <n v="4.199999999999999"/>
    <x v="1"/>
  </r>
  <r>
    <x v="65"/>
    <x v="60"/>
    <s v="Registro de cartera asignada obtenida del sistema FIT"/>
    <s v="DISCOS DUROS, SERVIDORES, DISCOS O MEDIOS PORTÁTILES, CINTAS O MEDIOS DE VIDEO Y AUDIO, ETC."/>
    <x v="1"/>
    <x v="1"/>
    <x v="1"/>
    <m/>
    <m/>
    <s v="X"/>
    <n v="2"/>
    <n v="4"/>
    <x v="0"/>
    <x v="0"/>
    <s v="Respaldo digital de información"/>
    <s v="PREVENTIVO"/>
    <x v="0"/>
    <x v="0"/>
    <s v="Almacenamiento sin prueba de efectividad"/>
    <n v="1.4"/>
    <n v="4"/>
    <n v="5.6"/>
    <x v="0"/>
  </r>
  <r>
    <x v="65"/>
    <x v="60"/>
    <s v="Registro de cartera asignada obtenida del sistema FIT"/>
    <s v="DISCOS DUROS, SERVIDORES, DISCOS O MEDIOS PORTÁTILES, CINTAS O MEDIOS DE VIDEO Y AUDIO, ETC."/>
    <x v="1"/>
    <x v="3"/>
    <x v="2"/>
    <s v="X"/>
    <m/>
    <m/>
    <n v="3"/>
    <n v="4"/>
    <x v="5"/>
    <x v="3"/>
    <s v="Software DLP"/>
    <s v="PREVENTIVO"/>
    <x v="0"/>
    <x v="0"/>
    <s v="Politicas sin restricción para jefaturas"/>
    <n v="2.1"/>
    <n v="4"/>
    <n v="8.399999999999999"/>
    <x v="0"/>
  </r>
  <r>
    <x v="66"/>
    <x v="61"/>
    <s v="Escritura del bien correctamente legalizada"/>
    <s v="DOCUMENTO DE ARCHIVO-FÍSICO"/>
    <x v="1"/>
    <x v="1"/>
    <x v="1"/>
    <m/>
    <m/>
    <s v="X"/>
    <n v="2"/>
    <n v="3"/>
    <x v="6"/>
    <x v="0"/>
    <s v="Respaldo digital de información"/>
    <s v="PREVENTIVO"/>
    <x v="0"/>
    <x v="0"/>
    <s v="Almacenamiento sin prueba de efectividad"/>
    <n v="1.4"/>
    <n v="3"/>
    <n v="4.199999999999999"/>
    <x v="1"/>
  </r>
  <r>
    <x v="67"/>
    <x v="62"/>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7"/>
    <x v="62"/>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6"/>
    <x v="61"/>
    <s v="Escritura del bien correctamente legalizada"/>
    <s v="DOCUMENTO DE ARCHIVO-FÍSICO"/>
    <x v="1"/>
    <x v="15"/>
    <x v="0"/>
    <s v="X"/>
    <s v="X"/>
    <s v="X"/>
    <n v="3"/>
    <n v="3"/>
    <x v="7"/>
    <x v="0"/>
    <s v="Sortware DLP /Políticas de uso de información contractual"/>
    <s v="PREVENTIVO"/>
    <x v="0"/>
    <x v="0"/>
    <s v="Documentación sencible sin cifrar"/>
    <n v="2.1"/>
    <n v="3"/>
    <n v="9"/>
    <x v="0"/>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3.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4.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5.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6.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7.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laDinámica1" cacheId="8"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36" rowHeaderCaption="NIVELES DE RIESGO HINNERENTE" fieldListSortAscending="0" mdxSubqueries="0" applyNumberFormats="0" applyBorderFormats="0" applyFontFormats="0" applyPatternFormats="0" applyAlignmentFormats="0" applyWidthHeightFormats="1" r:id="rId1">
  <location ref="A22:F30" firstHeaderRow="1" firstDataRow="2"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dataField="1"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4"/>
  </rowFields>
  <rowItems count="7">
    <i t="data" r="0" i="0">
      <x v="0"/>
    </i>
    <i t="data" r="0" i="0">
      <x v="1"/>
    </i>
    <i t="data" r="0" i="0">
      <x v="2"/>
    </i>
    <i t="data" r="0" i="0">
      <x v="3"/>
    </i>
    <i t="data" r="0" i="0">
      <x v="4"/>
    </i>
    <i t="data" r="0" i="0">
      <x v="5"/>
    </i>
    <i t="grand" r="0" i="0">
      <x v="0"/>
    </i>
  </rowItems>
  <colFields count="1">
    <field x="13"/>
  </colFields>
  <colItems count="5">
    <i t="data" r="0" i="0">
      <x v="0"/>
    </i>
    <i t="data" r="0" i="0">
      <x v="1"/>
    </i>
    <i t="data" r="0" i="0">
      <x v="2"/>
    </i>
    <i t="data" r="0" i="0">
      <x v="3"/>
    </i>
    <i t="grand" r="0" i="0">
      <x v="0"/>
    </i>
  </colItems>
  <dataFields count="1">
    <dataField name="Cuenta de EVENTO DE AMENAZA" fld="5" subtotal="count" showDataAs="normal" baseField="0" baseItem="0"/>
  </dataFields>
  <formats count="5">
    <format action="formatting" dxfId="11">
      <pivotArea type="normal" dataOnly="1" outline="1" collapsedLevelsAreSubtotals="1" fieldPosition="0">
        <references count="2">
          <reference field="4"/>
          <reference field="13" selected="0">
            <x v="0"/>
          </reference>
        </references>
      </pivotArea>
    </format>
    <format action="formatting" dxfId="10">
      <pivotArea type="normal" dataOnly="1" outline="1" collapsedLevelsAreSubtotals="1" fieldPosition="0">
        <references count="2">
          <reference field="4"/>
          <reference field="13" selected="0">
            <x v="1"/>
          </reference>
        </references>
      </pivotArea>
    </format>
    <format action="formatting" dxfId="9">
      <pivotArea type="normal" dataOnly="1" outline="1" collapsedLevelsAreSubtotals="1" fieldPosition="0">
        <references count="2">
          <reference field="4"/>
          <reference field="13" selected="0">
            <x v="2"/>
          </reference>
        </references>
      </pivotArea>
    </format>
    <format action="formatting" dxfId="8">
      <pivotArea type="normal" dataOnly="1" outline="1" collapsedLevelsAreSubtotals="1" fieldPosition="0">
        <references count="2">
          <reference field="4"/>
          <reference field="13" selected="0">
            <x v="3"/>
          </reference>
        </references>
      </pivotArea>
    </format>
    <format action="formatting" dxfId="7">
      <pivotArea type="normal" dataOnly="1" outline="1" collapsedLevelsAreSubtotals="1" fieldPosition="0">
        <references count="2">
          <reference field="4"/>
          <reference field="13" selected="0">
            <x v="0"/>
          </reference>
        </references>
      </pivotArea>
    </format>
  </formats>
  <chartFormats count="16">
    <chartFormat chart="18" format="0" series="1">
      <pivotArea type="data" dataOnly="1" outline="0" fieldPosition="0">
        <references count="2">
          <reference field="4294967294" selected="0">
            <x v="0"/>
          </reference>
          <reference field="13" selected="0">
            <x v="0"/>
          </reference>
        </references>
      </pivotArea>
    </chartFormat>
    <chartFormat chart="18" format="1" series="1">
      <pivotArea type="data" dataOnly="1" outline="0" fieldPosition="0">
        <references count="2">
          <reference field="4294967294" selected="0">
            <x v="0"/>
          </reference>
          <reference field="13" selected="0">
            <x v="1"/>
          </reference>
        </references>
      </pivotArea>
    </chartFormat>
    <chartFormat chart="18" format="2" series="1">
      <pivotArea type="data" dataOnly="1" outline="0" fieldPosition="0">
        <references count="2">
          <reference field="4294967294" selected="0">
            <x v="0"/>
          </reference>
          <reference field="13" selected="0">
            <x v="2"/>
          </reference>
        </references>
      </pivotArea>
    </chartFormat>
    <chartFormat chart="18" format="3" series="1">
      <pivotArea type="data" dataOnly="1" outline="0" fieldPosition="0">
        <references count="2">
          <reference field="4294967294" selected="0">
            <x v="0"/>
          </reference>
          <reference field="13" selected="0">
            <x v="3"/>
          </reference>
        </references>
      </pivotArea>
    </chartFormat>
    <chartFormat chart="18" format="4" series="0">
      <pivotArea type="data" dataOnly="1" outline="0" fieldPosition="0">
        <references count="3">
          <reference field="4294967294" selected="0">
            <x v="0"/>
          </reference>
          <reference field="4" selected="0">
            <x v="1"/>
          </reference>
          <reference field="13" selected="0">
            <x v="0"/>
          </reference>
        </references>
      </pivotArea>
    </chartFormat>
    <chartFormat chart="18" format="5" series="0">
      <pivotArea type="data" dataOnly="1" outline="0" fieldPosition="0">
        <references count="3">
          <reference field="4294967294" selected="0">
            <x v="0"/>
          </reference>
          <reference field="4" selected="0">
            <x v="4"/>
          </reference>
          <reference field="13" selected="0">
            <x v="0"/>
          </reference>
        </references>
      </pivotArea>
    </chartFormat>
    <chartFormat chart="18" format="6" series="0">
      <pivotArea type="data" dataOnly="1" outline="0" fieldPosition="0">
        <references count="3">
          <reference field="4294967294" selected="0">
            <x v="0"/>
          </reference>
          <reference field="4" selected="0">
            <x v="0"/>
          </reference>
          <reference field="13" selected="0">
            <x v="0"/>
          </reference>
        </references>
      </pivotArea>
    </chartFormat>
    <chartFormat chart="18" format="7" series="0">
      <pivotArea type="data" dataOnly="1" outline="0" fieldPosition="0">
        <references count="3">
          <reference field="4294967294" selected="0">
            <x v="0"/>
          </reference>
          <reference field="4" selected="0">
            <x v="5"/>
          </reference>
          <reference field="13" selected="0">
            <x v="0"/>
          </reference>
        </references>
      </pivotArea>
    </chartFormat>
    <chartFormat chart="22" format="0" series="1">
      <pivotArea type="data" dataOnly="1" outline="0" fieldPosition="0">
        <references count="2">
          <reference field="4294967294" selected="0">
            <x v="0"/>
          </reference>
          <reference field="13" selected="0">
            <x v="0"/>
          </reference>
        </references>
      </pivotArea>
    </chartFormat>
    <chartFormat chart="22" format="1" series="1">
      <pivotArea type="data" dataOnly="1" outline="0" fieldPosition="0">
        <references count="2">
          <reference field="4294967294" selected="0">
            <x v="0"/>
          </reference>
          <reference field="13" selected="0">
            <x v="1"/>
          </reference>
        </references>
      </pivotArea>
    </chartFormat>
    <chartFormat chart="22" format="2" series="1">
      <pivotArea type="data" dataOnly="1" outline="0" fieldPosition="0">
        <references count="2">
          <reference field="4294967294" selected="0">
            <x v="0"/>
          </reference>
          <reference field="13" selected="0">
            <x v="2"/>
          </reference>
        </references>
      </pivotArea>
    </chartFormat>
    <chartFormat chart="22" format="3" series="1">
      <pivotArea type="data" dataOnly="1" outline="0" fieldPosition="0">
        <references count="2">
          <reference field="4294967294" selected="0">
            <x v="0"/>
          </reference>
          <reference field="13" selected="0">
            <x v="3"/>
          </reference>
        </references>
      </pivotArea>
    </chartFormat>
    <chartFormat chart="22" format="4" series="0">
      <pivotArea type="data" dataOnly="1" outline="0" fieldPosition="0">
        <references count="3">
          <reference field="4294967294" selected="0">
            <x v="0"/>
          </reference>
          <reference field="4" selected="0">
            <x v="1"/>
          </reference>
          <reference field="13" selected="0">
            <x v="0"/>
          </reference>
        </references>
      </pivotArea>
    </chartFormat>
    <chartFormat chart="22" format="5" series="0">
      <pivotArea type="data" dataOnly="1" outline="0" fieldPosition="0">
        <references count="3">
          <reference field="4294967294" selected="0">
            <x v="0"/>
          </reference>
          <reference field="4" selected="0">
            <x v="0"/>
          </reference>
          <reference field="13" selected="0">
            <x v="0"/>
          </reference>
        </references>
      </pivotArea>
    </chartFormat>
    <chartFormat chart="22" format="6" series="0">
      <pivotArea type="data" dataOnly="1" outline="0" fieldPosition="0">
        <references count="3">
          <reference field="4294967294" selected="0">
            <x v="0"/>
          </reference>
          <reference field="4" selected="0">
            <x v="5"/>
          </reference>
          <reference field="13" selected="0">
            <x v="0"/>
          </reference>
        </references>
      </pivotArea>
    </chartFormat>
    <chartFormat chart="22" format="7" series="0">
      <pivotArea type="data" dataOnly="1" outline="0" fieldPosition="0">
        <references count="3">
          <reference field="4294967294" selected="0">
            <x v="0"/>
          </reference>
          <reference field="4" selected="0">
            <x v="4"/>
          </reference>
          <reference field="13" selected="0">
            <x v="0"/>
          </reference>
        </references>
      </pivotArea>
    </chartFormat>
  </chartFormat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TablaDinámica10" cacheId="8"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rowHeaderCaption="Efectividad de los controles" fieldListSortAscending="0" mdxSubqueries="0" applyNumberFormats="0" applyBorderFormats="0" applyFontFormats="0" applyPatternFormats="0" applyAlignmentFormats="0" applyWidthHeightFormats="1" r:id="rId1">
  <location ref="A60:B68"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3">
        <item t="data" sd="1" x="1"/>
        <item t="data" sd="1" x="0"/>
        <item t="default" sd="1"/>
      </items>
    </pivotField>
    <pivotField axis="axisRow" showDropDowns="1" compact="1" numFmtId="9" outline="1" subtotalTop="1" dragToRow="1" dragToCol="1" dragToPage="1" dragToData="1" dragOff="1" showAll="0" topAutoShow="1" itemPageCount="10" sortType="manual" defaultSubtotal="1">
      <items count="4">
        <item t="data" sd="1" x="0"/>
        <item t="data" sd="1" x="2"/>
        <item t="data" sd="1" x="1"/>
        <item t="default" sd="1"/>
      </items>
    </pivotField>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17"/>
    <field x="16"/>
  </rowFields>
  <rowItems count="8">
    <i t="data" r="0" i="0">
      <x v="0"/>
    </i>
    <i t="data" r="1" i="0">
      <x v="1"/>
    </i>
    <i t="data" r="0" i="0">
      <x v="1"/>
    </i>
    <i t="data" r="1" i="0">
      <x v="1"/>
    </i>
    <i t="data" r="0" i="0">
      <x v="2"/>
    </i>
    <i t="data" r="1" i="0">
      <x v="0"/>
    </i>
    <i t="data" r="1" i="0">
      <x v="1"/>
    </i>
    <i t="grand" r="0" i="0">
      <x v="0"/>
    </i>
  </rowItems>
  <colItems count="1">
    <i t="data" r="0" i="0"/>
  </colItems>
  <dataFields count="1">
    <dataField name="Número de controles" fld="14" subtotal="count" showDataAs="normal" baseField="0" baseItem="0"/>
  </dataFields>
  <pivotTableStyleInfo name="PivotStyleLight16" showRowHeaders="1" showColHeaders="1" showRowStripes="0" showColStripes="0" showLastColumn="1"/>
</pivotTableDefinition>
</file>

<file path=xl/pivotTables/pivotTable3.xml><?xml version="1.0" encoding="utf-8"?>
<pivotTableDefinition xmlns:r="http://schemas.openxmlformats.org/officeDocument/2006/relationships" xmlns="http://schemas.openxmlformats.org/spreadsheetml/2006/main" name="TablaDinámica5" cacheId="9"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11" fieldListSortAscending="0" mdxSubqueries="0" applyNumberFormats="0" applyBorderFormats="0" applyFontFormats="0" applyPatternFormats="0" applyAlignmentFormats="0" applyWidthHeightFormats="1" r:id="rId1">
  <location ref="A1:B5" firstHeaderRow="1" firstDataRow="1" firstDataCol="1"/>
  <pivotFields count="24">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4">
        <item t="data" sd="1" x="2"/>
        <item t="data" sd="1" x="0"/>
        <item t="data" sd="1" x="1"/>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19"/>
  </rowFields>
  <rowItems count="4">
    <i t="data" r="0" i="0">
      <x v="0"/>
    </i>
    <i t="data" r="0" i="0">
      <x v="1"/>
    </i>
    <i t="data" r="0" i="0">
      <x v="2"/>
    </i>
    <i t="grand" r="0" i="0">
      <x v="0"/>
    </i>
  </rowItems>
  <colItems count="1">
    <i t="data" r="0" i="0"/>
  </colItems>
  <dataFields count="1">
    <dataField name="Cuenta de CRITICIDAD" fld="19" subtotal="count" showDataAs="normal" baseField="0" baseItem="0"/>
  </dataFields>
  <chartFormats count="4">
    <chartFormat chart="0" format="0" series="1">
      <pivotArea type="data" dataOnly="1" outline="0" fieldPosition="0">
        <references count="1">
          <reference field="4294967294" selected="0">
            <x v="0"/>
          </reference>
        </references>
      </pivotArea>
    </chartFormat>
    <chartFormat chart="0" format="1" series="0">
      <pivotArea type="data" dataOnly="1" outline="0" fieldPosition="0">
        <references count="2">
          <reference field="4294967294" selected="0">
            <x v="0"/>
          </reference>
          <reference field="19" selected="0">
            <x v="0"/>
          </reference>
        </references>
      </pivotArea>
    </chartFormat>
    <chartFormat chart="0" format="2" series="0">
      <pivotArea type="data" dataOnly="1" outline="0" fieldPosition="0">
        <references count="2">
          <reference field="4294967294" selected="0">
            <x v="0"/>
          </reference>
          <reference field="19" selected="0">
            <x v="1"/>
          </reference>
        </references>
      </pivotArea>
    </chartFormat>
    <chartFormat chart="0" format="3" series="0">
      <pivotArea type="data" dataOnly="1" outline="0" fieldPosition="0">
        <references count="2">
          <reference field="4294967294" selected="0">
            <x v="0"/>
          </reference>
          <reference field="19" selected="0">
            <x v="2"/>
          </reference>
        </references>
      </pivotArea>
    </chartFormat>
  </chartFormats>
  <pivotTableStyleInfo name="PivotStyleLight16" showRowHeaders="1" showColHeaders="1" showRowStripes="0" showColStripes="0" showLastColumn="1"/>
</pivotTableDefinition>
</file>

<file path=xl/pivotTables/pivotTable4.xml><?xml version="1.0" encoding="utf-8"?>
<pivotTableDefinition xmlns:r="http://schemas.openxmlformats.org/officeDocument/2006/relationships" xmlns="http://schemas.openxmlformats.org/spreadsheetml/2006/main" name="TablaDinámica7" cacheId="8"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45" rowHeaderCaption="NIVELES DE RIESGO HINNERENTE" fieldListSortAscending="0" mdxSubqueries="0" applyNumberFormats="0" applyBorderFormats="0" applyFontFormats="0" applyPatternFormats="0" applyAlignmentFormats="0" applyWidthHeightFormats="1" r:id="rId1">
  <location ref="A32:B37"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13"/>
  </rowFields>
  <rowItems count="5">
    <i t="data" r="0" i="0">
      <x v="0"/>
    </i>
    <i t="data" r="0" i="0">
      <x v="1"/>
    </i>
    <i t="data" r="0" i="0">
      <x v="2"/>
    </i>
    <i t="data" r="0" i="0">
      <x v="3"/>
    </i>
    <i t="grand" r="0" i="0">
      <x v="0"/>
    </i>
  </rowItems>
  <colItems count="1">
    <i t="data" r="0" i="0"/>
  </colItems>
  <dataFields count="1">
    <dataField name="Cuenta de DETERMINACION RIESGO ACUMULADO O INHERENTE" fld="13" subtotal="count" showDataAs="normal" baseField="0" baseItem="0"/>
  </dataFields>
  <chartFormats count="10">
    <chartFormat chart="37" format="0" series="1">
      <pivotArea type="data" dataOnly="1" outline="0" fieldPosition="0">
        <references count="1">
          <reference field="4294967294" selected="0">
            <x v="0"/>
          </reference>
        </references>
      </pivotArea>
    </chartFormat>
    <chartFormat chart="44" format="6" series="1">
      <pivotArea type="data" dataOnly="1" outline="0" fieldPosition="0">
        <references count="1">
          <reference field="4294967294" selected="0">
            <x v="0"/>
          </reference>
        </references>
      </pivotArea>
    </chartFormat>
    <chartFormat chart="44" format="7" series="0">
      <pivotArea type="data" dataOnly="1" outline="0" fieldPosition="0">
        <references count="2">
          <reference field="4294967294" selected="0">
            <x v="0"/>
          </reference>
          <reference field="13" selected="0">
            <x v="0"/>
          </reference>
        </references>
      </pivotArea>
    </chartFormat>
    <chartFormat chart="44" format="8" series="0">
      <pivotArea type="data" dataOnly="1" outline="0" fieldPosition="0">
        <references count="2">
          <reference field="4294967294" selected="0">
            <x v="0"/>
          </reference>
          <reference field="13" selected="0">
            <x v="1"/>
          </reference>
        </references>
      </pivotArea>
    </chartFormat>
    <chartFormat chart="44" format="9" series="0">
      <pivotArea type="data" dataOnly="1" outline="0" fieldPosition="0">
        <references count="2">
          <reference field="4294967294" selected="0">
            <x v="0"/>
          </reference>
          <reference field="13" selected="0">
            <x v="2"/>
          </reference>
        </references>
      </pivotArea>
    </chartFormat>
    <chartFormat chart="44" format="10" series="0">
      <pivotArea type="data" dataOnly="1" outline="0" fieldPosition="0">
        <references count="2">
          <reference field="4294967294" selected="0">
            <x v="0"/>
          </reference>
          <reference field="13" selected="0">
            <x v="3"/>
          </reference>
        </references>
      </pivotArea>
    </chartFormat>
    <chartFormat chart="37" format="1" series="0">
      <pivotArea type="data" dataOnly="1" outline="0" fieldPosition="0">
        <references count="2">
          <reference field="4294967294" selected="0">
            <x v="0"/>
          </reference>
          <reference field="13" selected="0">
            <x v="0"/>
          </reference>
        </references>
      </pivotArea>
    </chartFormat>
    <chartFormat chart="37" format="2" series="0">
      <pivotArea type="data" dataOnly="1" outline="0" fieldPosition="0">
        <references count="2">
          <reference field="4294967294" selected="0">
            <x v="0"/>
          </reference>
          <reference field="13" selected="0">
            <x v="1"/>
          </reference>
        </references>
      </pivotArea>
    </chartFormat>
    <chartFormat chart="37" format="3" series="0">
      <pivotArea type="data" dataOnly="1" outline="0" fieldPosition="0">
        <references count="2">
          <reference field="4294967294" selected="0">
            <x v="0"/>
          </reference>
          <reference field="13" selected="0">
            <x v="2"/>
          </reference>
        </references>
      </pivotArea>
    </chartFormat>
    <chartFormat chart="37" format="4" series="0">
      <pivotArea type="data" dataOnly="1" outline="0" fieldPosition="0">
        <references count="2">
          <reference field="4294967294" selected="0">
            <x v="0"/>
          </reference>
          <reference field="13" selected="0">
            <x v="3"/>
          </reference>
        </references>
      </pivotArea>
    </chartFormat>
  </chartFormats>
  <pivotTableStyleInfo name="PivotStyleLight16" showRowHeaders="1" showColHeaders="1" showRowStripes="0" showColStripes="0" showLastColumn="1"/>
</pivotTableDefinition>
</file>

<file path=xl/pivotTables/pivotTable5.xml><?xml version="1.0" encoding="utf-8"?>
<pivotTableDefinition xmlns:r="http://schemas.openxmlformats.org/officeDocument/2006/relationships" xmlns="http://schemas.openxmlformats.org/spreadsheetml/2006/main" name="TablaDinámica9" cacheId="8"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36" rowHeaderCaption="NIVELES DE RIESGO RESIDUAL" fieldListSortAscending="0" mdxSubqueries="0" applyNumberFormats="0" applyBorderFormats="0" applyFontFormats="0" applyPatternFormats="0" applyAlignmentFormats="0" applyWidthHeightFormats="1" r:id="rId1">
  <location ref="A42:E50" firstHeaderRow="1" firstDataRow="2"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dataField="1"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4">
        <item t="data" sd="1" x="2"/>
        <item t="data" sd="1" x="1"/>
        <item t="data" sd="1" x="0"/>
        <item t="default" sd="1"/>
      </items>
    </pivotField>
  </pivotFields>
  <rowFields count="1">
    <field x="4"/>
  </rowFields>
  <rowItems count="7">
    <i t="data" r="0" i="0">
      <x v="0"/>
    </i>
    <i t="data" r="0" i="0">
      <x v="1"/>
    </i>
    <i t="data" r="0" i="0">
      <x v="2"/>
    </i>
    <i t="data" r="0" i="0">
      <x v="3"/>
    </i>
    <i t="data" r="0" i="0">
      <x v="4"/>
    </i>
    <i t="data" r="0" i="0">
      <x v="5"/>
    </i>
    <i t="grand" r="0" i="0">
      <x v="0"/>
    </i>
  </rowItems>
  <colFields count="1">
    <field x="22"/>
  </colFields>
  <colItems count="4">
    <i t="data" r="0" i="0">
      <x v="0"/>
    </i>
    <i t="data" r="0" i="0">
      <x v="1"/>
    </i>
    <i t="data" r="0" i="0">
      <x v="2"/>
    </i>
    <i t="grand" r="0" i="0">
      <x v="0"/>
    </i>
  </colItems>
  <dataFields count="1">
    <dataField name="Cuenta de EVENTO DE AMENAZA" fld="5" subtotal="count" showDataAs="normal" baseField="0" baseItem="0"/>
  </dataFields>
  <formats count="3">
    <format action="formatting" dxfId="14">
      <pivotArea type="normal" dataOnly="1" outline="1" collapsedLevelsAreSubtotals="1" fieldPosition="0">
        <references count="2">
          <reference field="4"/>
          <reference field="22" selected="0">
            <x v="0"/>
          </reference>
        </references>
      </pivotArea>
    </format>
    <format action="formatting" dxfId="13">
      <pivotArea type="normal" dataOnly="1" outline="1" collapsedLevelsAreSubtotals="1" fieldPosition="0">
        <references count="2">
          <reference field="4"/>
          <reference field="22" selected="0">
            <x v="1"/>
          </reference>
        </references>
      </pivotArea>
    </format>
    <format action="formatting" dxfId="12">
      <pivotArea type="normal" dataOnly="1" outline="1" collapsedLevelsAreSubtotals="1" fieldPosition="0">
        <references count="2">
          <reference field="4"/>
          <reference field="22" selected="0">
            <x v="2"/>
          </reference>
        </references>
      </pivotArea>
    </format>
  </formats>
  <pivotTableStyleInfo name="PivotStyleLight16" showRowHeaders="1" showColHeaders="1" showRowStripes="0" showColStripes="0" showLastColumn="1"/>
</pivotTableDefinition>
</file>

<file path=xl/pivotTables/pivotTable6.xml><?xml version="1.0" encoding="utf-8"?>
<pivotTableDefinition xmlns:r="http://schemas.openxmlformats.org/officeDocument/2006/relationships" xmlns="http://schemas.openxmlformats.org/spreadsheetml/2006/main" name="TablaDinámica6" cacheId="8"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0" outline="0" outlineData="0" compactData="0" published="0" gridDropZones="0" immersive="1" multipleFieldFilters="0" chartFormat="8" fieldListSortAscending="0" mdxSubqueries="0" applyNumberFormats="0" applyBorderFormats="0" applyFontFormats="0" applyPatternFormats="0" applyAlignmentFormats="0" applyWidthHeightFormats="1" r:id="rId1">
  <location ref="A11:B18" firstHeaderRow="1" firstDataRow="1" firstDataCol="1" rowPageCount="1" colPageCount="1"/>
  <pivotFields count="23">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axis="axisRow" showDropDowns="1" compact="0" outline="0" subtotalTop="0" dragToRow="1" dragToCol="1" dragToPage="1" dragToData="1" dragOff="1" showAll="0" topAutoShow="1" itemPageCount="10" sortType="manual" defaultSubtotal="0">
      <items count="6">
        <item t="data" sd="1" x="1"/>
        <item t="data" sd="1" x="3"/>
        <item t="data" sd="1" x="0"/>
        <item t="data" sd="1" x="5"/>
        <item t="data" sd="1" x="4"/>
        <item t="data" sd="1" x="2"/>
      </items>
    </pivotField>
    <pivotField axis="axisPage" dataField="1" showDropDowns="1" compact="0" outline="0" subtotalTop="0" dragToRow="1" dragToCol="1" dragToPage="1" dragToData="1" dragOff="1" showAll="0" topAutoShow="1" itemPageCount="10" sortType="manual" defaultSubtotal="0">
      <items count="17">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s>
    </pivotField>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numFmtId="9"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numFmtId="2" outline="0" subtotalTop="0" dragToRow="1" dragToCol="1" dragToPage="1" dragToData="1" dragOff="1" showAll="0" topAutoShow="1" itemPageCount="10" sortType="manual" defaultSubtotal="0"/>
    <pivotField showDropDowns="1" compact="0" numFmtId="2"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s>
  <rowFields count="1">
    <field x="4"/>
  </rowFields>
  <rowItems count="7">
    <i t="data" r="0" i="0">
      <x v="0"/>
    </i>
    <i t="data" r="0" i="0">
      <x v="1"/>
    </i>
    <i t="data" r="0" i="0">
      <x v="2"/>
    </i>
    <i t="data" r="0" i="0">
      <x v="3"/>
    </i>
    <i t="data" r="0" i="0">
      <x v="4"/>
    </i>
    <i t="data" r="0" i="0">
      <x v="5"/>
    </i>
    <i t="grand" r="0" i="0">
      <x v="0"/>
    </i>
  </rowItems>
  <colItems count="1">
    <i t="data" r="0" i="0"/>
  </colItems>
  <pageFields count="1">
    <pageField fld="5" hier="-1"/>
  </pageFields>
  <dataFields count="1">
    <dataField name="Cuenta de EVENTO DE AMENAZA" fld="5" subtotal="count" showDataAs="normal" baseField="0" baseItem="0"/>
  </dataFields>
  <chartFormats count="7">
    <chartFormat chart="2" format="0" series="1">
      <pivotArea type="data" dataOnly="1" outline="0" fieldPosition="0">
        <references count="1">
          <reference field="4294967294" selected="0">
            <x v="0"/>
          </reference>
        </references>
      </pivotArea>
    </chartFormat>
    <chartFormat chart="2" format="1" series="0">
      <pivotArea type="data" dataOnly="1" outline="0" fieldPosition="0">
        <references count="2">
          <reference field="4294967294" selected="0">
            <x v="0"/>
          </reference>
          <reference field="4" selected="0">
            <x v="0"/>
          </reference>
        </references>
      </pivotArea>
    </chartFormat>
    <chartFormat chart="2" format="2" series="0">
      <pivotArea type="data" dataOnly="1" outline="0" fieldPosition="0">
        <references count="2">
          <reference field="4294967294" selected="0">
            <x v="0"/>
          </reference>
          <reference field="4" selected="0">
            <x v="1"/>
          </reference>
        </references>
      </pivotArea>
    </chartFormat>
    <chartFormat chart="2" format="3" series="0">
      <pivotArea type="data" dataOnly="1" outline="0" fieldPosition="0">
        <references count="2">
          <reference field="4294967294" selected="0">
            <x v="0"/>
          </reference>
          <reference field="4" selected="0">
            <x v="2"/>
          </reference>
        </references>
      </pivotArea>
    </chartFormat>
    <chartFormat chart="2" format="4" series="0">
      <pivotArea type="data" dataOnly="1" outline="0" fieldPosition="0">
        <references count="2">
          <reference field="4294967294" selected="0">
            <x v="0"/>
          </reference>
          <reference field="4" selected="0">
            <x v="3"/>
          </reference>
        </references>
      </pivotArea>
    </chartFormat>
    <chartFormat chart="2" format="5" series="0">
      <pivotArea type="data" dataOnly="1" outline="0" fieldPosition="0">
        <references count="2">
          <reference field="4294967294" selected="0">
            <x v="0"/>
          </reference>
          <reference field="4" selected="0">
            <x v="4"/>
          </reference>
        </references>
      </pivotArea>
    </chartFormat>
    <chartFormat chart="2" format="6" series="0">
      <pivotArea type="data" dataOnly="1" outline="0" fieldPosition="0">
        <references count="2">
          <reference field="4294967294" selected="0">
            <x v="0"/>
          </reference>
          <reference field="4" selected="0">
            <x v="5"/>
          </reference>
        </references>
      </pivotArea>
    </chartFormat>
  </chartFormats>
  <pivotTableStyleInfo name="PivotStyleLight16" showRowHeaders="1" showColHeaders="1" showRowStripes="0" showColStripes="0" showLastColumn="1"/>
</pivotTableDefinition>
</file>

<file path=xl/pivotTables/pivotTable7.xml><?xml version="1.0" encoding="utf-8"?>
<pivotTableDefinition xmlns:r="http://schemas.openxmlformats.org/officeDocument/2006/relationships" xmlns="http://schemas.openxmlformats.org/spreadsheetml/2006/main" name="TablaDinámica8" cacheId="8"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52" rowHeaderCaption="NIVELES DE RIESGO HINNERENTE" fieldListSortAscending="0" mdxSubqueries="0" applyNumberFormats="0" applyBorderFormats="0" applyFontFormats="0" applyPatternFormats="0" applyAlignmentFormats="0" applyWidthHeightFormats="1" r:id="rId1">
  <location ref="A52:B56"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4">
        <item t="data" sd="1" x="2"/>
        <item t="data" sd="1" x="1"/>
        <item t="data" sd="1" x="0"/>
        <item t="default" sd="1"/>
      </items>
    </pivotField>
  </pivotFields>
  <rowFields count="1">
    <field x="22"/>
  </rowFields>
  <rowItems count="4">
    <i t="data" r="0" i="0">
      <x v="0"/>
    </i>
    <i t="data" r="0" i="0">
      <x v="1"/>
    </i>
    <i t="data" r="0" i="0">
      <x v="2"/>
    </i>
    <i t="grand" r="0" i="0">
      <x v="0"/>
    </i>
  </rowItems>
  <colItems count="1">
    <i t="data" r="0" i="0"/>
  </colItems>
  <dataFields count="1">
    <dataField name="Cuenta de DETERMINACION RIESGO RESIDUAL" fld="22" subtotal="count" showDataAs="normal" baseField="0" baseItem="0"/>
  </dataFields>
  <chartFormats count="4">
    <chartFormat chart="46" format="0" series="1">
      <pivotArea type="data" dataOnly="1" outline="0" fieldPosition="0">
        <references count="1">
          <reference field="4294967294" selected="0">
            <x v="0"/>
          </reference>
        </references>
      </pivotArea>
    </chartFormat>
    <chartFormat chart="46" format="1" series="0">
      <pivotArea type="data" dataOnly="1" outline="0" fieldPosition="0">
        <references count="2">
          <reference field="4294967294" selected="0">
            <x v="0"/>
          </reference>
          <reference field="22" selected="0">
            <x v="0"/>
          </reference>
        </references>
      </pivotArea>
    </chartFormat>
    <chartFormat chart="46" format="2" series="0">
      <pivotArea type="data" dataOnly="1" outline="0" fieldPosition="0">
        <references count="2">
          <reference field="4294967294" selected="0">
            <x v="0"/>
          </reference>
          <reference field="22" selected="0">
            <x v="1"/>
          </reference>
        </references>
      </pivotArea>
    </chartFormat>
    <chartFormat chart="46" format="3" series="0">
      <pivotArea type="data" dataOnly="1" outline="0" fieldPosition="0">
        <references count="2">
          <reference field="4294967294" selected="0">
            <x v="0"/>
          </reference>
          <reference field="22" selected="0">
            <x v="2"/>
          </reference>
        </references>
      </pivotArea>
    </chartFormat>
  </chartFormats>
  <pivotTableStyleInfo name="PivotStyleLight16" showRowHeaders="1" showColHeaders="1" showRowStripes="0" showColStripes="0" showLastColumn="1"/>
</pivotTableDefinition>
</file>

<file path=xl/tables/table1.xml><?xml version="1.0" encoding="utf-8"?>
<table xmlns="http://schemas.openxmlformats.org/spreadsheetml/2006/main" id="1" name="Tabla2" displayName="Tabla2" ref="A2:X1406" headerRowCount="1" totalsRowShown="0" headerRowDxfId="79" headerRowBorderDxfId="78" tableBorderDxfId="77" totalsRowBorderDxfId="76">
  <autoFilter ref="A2:X1406"/>
  <tableColumns count="24">
    <tableColumn id="1" name="ID" dataDxfId="75"/>
    <tableColumn id="2" name="TIPO DE PROCESO" dataDxfId="74"/>
    <tableColumn id="3" name="TIPO DE MACROPROCESO" dataDxfId="73"/>
    <tableColumn id="4" name="CODIGO MACROPROCESO" dataDxfId="72"/>
    <tableColumn id="5" name="PROCESO" dataDxfId="71"/>
    <tableColumn id="6" name="SUBPROCESO" dataDxfId="70"/>
    <tableColumn id="7" name="PROCEDIMIENTO" dataDxfId="69"/>
    <tableColumn id="8" name="NOMBRE" dataDxfId="68"/>
    <tableColumn id="9" name="DESCRIPCIÓN" dataDxfId="67"/>
    <tableColumn id="10" name="RESPONSABLE" dataDxfId="66"/>
    <tableColumn id="11" name="CUSTODIO" dataDxfId="65"/>
    <tableColumn id="12" name="UBICACIÓN" dataDxfId="64"/>
    <tableColumn id="13" name="MEDIO DE CONSERVACIÓN" dataDxfId="63"/>
    <tableColumn id="14" name="TIPO DE ACTIVO" dataDxfId="62"/>
    <tableColumn id="15" name="CATEGORÍA" dataDxfId="61"/>
    <tableColumn id="16" name="CONFIDENCIALIDAD" dataDxfId="60"/>
    <tableColumn id="17" name="INTEGRIDAD" dataDxfId="59"/>
    <tableColumn id="18" name="DISPONIBILIDAD" dataDxfId="58"/>
    <tableColumn id="19" name="VALORACION" dataDxfId="57">
      <calculatedColumnFormula>+(IF(P3="PUBLICA(1)",1,IF(P3="USO INTERNO(2)",2,IF(P3="RESTRINGIDO(3)",3,3))))+(IF(Q3="BAJA(1)",1,IF(Q3="MEDIA(2)",2,IF(Q3="ALTA(3)",3,3))))+(IF(R3="BAJA(1)",1,IF(R3="MEDIA(2)",2,IF(R3="ALTA(3)",3,3))))</calculatedColumnFormula>
    </tableColumn>
    <tableColumn id="20" name="CRITICIDAD" dataDxfId="56">
      <calculatedColumnFormula>+IF(S3&lt;6,"BAJA",IF(S3&lt;8,"MEDIA","ALTA"))</calculatedColumnFormula>
    </tableColumn>
    <tableColumn id="21" name="ACCESO EXTERNO" dataDxfId="55"/>
    <tableColumn id="22" name="FECHA DE REGISTRO" dataDxfId="54"/>
    <tableColumn id="23" name="FECHA DE SALIDA" dataDxfId="53"/>
    <tableColumn id="24" name="RIESGO EVALUADO" dataDxfId="52">
      <calculatedColumnFormula>+IFERROR(IF(VLOOKUP(Tabla2[[#This Row],[ID]],'EVALUACION DE RIESGO'!A:A,1,FALSE)=Tabla2[[#This Row],[ID]],"SI","NO"),"NO")</calculatedColumnFormula>
    </tableColumn>
  </tableColumns>
  <tableStyleInfo showFirstColumn="0" showLastColumn="0" showRowStripes="1" showColumnStripes="0"/>
</table>
</file>

<file path=xl/tables/table2.xml><?xml version="1.0" encoding="utf-8"?>
<table xmlns="http://schemas.openxmlformats.org/spreadsheetml/2006/main" id="2" name="Tabla5" displayName="Tabla5" ref="A2:Z211" headerRowCount="1" totalsRowShown="0" headerRowDxfId="51" dataDxfId="49" headerRowBorderDxfId="50" tableBorderDxfId="48" totalsRowBorderDxfId="47">
  <autoFilter ref="A2:Z211">
    <filterColumn colId="21" hiddenButton="0" showButton="1">
      <filters>
        <filter val="ALTO"/>
      </filters>
    </filterColumn>
  </autoFilter>
  <tableColumns count="26">
    <tableColumn id="1" name="ACTIVO" dataDxfId="46"/>
    <tableColumn id="2" name="NOMBRE" dataDxfId="45"/>
    <tableColumn id="3" name="DESCRIPCION" dataDxfId="44"/>
    <tableColumn id="5" name="TIPO DE ACTIVO MAGGERIT" dataDxfId="43"/>
    <tableColumn id="6" name="EVENTO DE AMENAZA" dataDxfId="42"/>
    <tableColumn id="7" name="CID" dataDxfId="41"/>
    <tableColumn id="23" name="CONFIDENCIALIDAD" dataDxfId="40"/>
    <tableColumn id="22" name="INTEGRIDAD" dataDxfId="39"/>
    <tableColumn id="21" name="DISPONIBILIDAD" dataDxfId="38"/>
    <tableColumn id="8" name="PROBABILIDAD" dataDxfId="37"/>
    <tableColumn id="9" name="IMPACTO" dataDxfId="36"/>
    <tableColumn id="10" name="RIESGO INHERENTE" dataDxfId="35">
      <calculatedColumnFormula>+J3*K3</calculatedColumnFormula>
    </tableColumn>
    <tableColumn id="11" name="DETERMINACION RIESGO ACUMULADO O INHERENTE" dataDxfId="34"/>
    <tableColumn id="12" name="CONTROLES EXISTENTES" dataDxfId="33"/>
    <tableColumn id="13" name="TIPO DE PROTECCION" dataDxfId="32"/>
    <tableColumn id="14" name="MADUREZ DEL CONTROL" dataDxfId="31"/>
    <tableColumn id="15" name="VALOR DE EFICACIA" dataDxfId="30"/>
    <tableColumn id="16" name="VULNERABILIDADES" dataDxfId="29"/>
    <tableColumn id="17" name="PROBABILIDAD RESIDUAL" dataDxfId="28"/>
    <tableColumn id="18" name="IMPACTO RESIDUAL" dataDxfId="27"/>
    <tableColumn id="19" name="RIESGO RESIDUAL" dataDxfId="26"/>
    <tableColumn id="20" name="DETERMINACION RIESGO RESIDUAL" dataDxfId="25"/>
    <tableColumn id="27" name="APETITO DE RIESGO" dataDxfId="24"/>
    <tableColumn id="24" name="REQUIERE TRATAMIENTO_x000a_NORMATIVA SEPS 002-2022" dataDxfId="23"/>
    <tableColumn id="25" name="PLAN DE ACCION" dataDxfId="22"/>
    <tableColumn id="26" name="DESCIPCION PLAN DE ACCIÓN" dataDxfId="21"/>
  </tableColumns>
  <tableStyleInfo name="TableStyleMedium2" showFirstColumn="0" showLastColumn="0" showRowStripes="1" showColumnStripes="0"/>
</table>
</file>

<file path=xl/tables/table3.xml><?xml version="1.0" encoding="utf-8"?>
<table xmlns="http://schemas.openxmlformats.org/spreadsheetml/2006/main" id="3" name="Tabla3" displayName="Tabla3" ref="A1:D7" headerRowCount="1" totalsRowShown="0" dataDxfId="20" tableBorderDxfId="19">
  <autoFilter ref="A1:D7"/>
  <tableColumns count="4">
    <tableColumn id="1" name="PLAN DE ACCION" dataDxfId="18"/>
    <tableColumn id="2" name="DESCIPCION PLAN DE ACCIÓN" dataDxfId="17"/>
    <tableColumn id="4" name="RESPONSABLE" dataDxfId="16"/>
    <tableColumn id="5" name="PLAZO" dataDxfId="15"/>
  </tableColumns>
  <tableStyleInfo name="TableStyleMedium2" showFirstColumn="0" showLastColumn="0" showRowStripes="1" showColumnStripes="0"/>
</table>
</file>

<file path=xl/tables/table4.xml><?xml version="1.0" encoding="utf-8"?>
<table xmlns="http://schemas.openxmlformats.org/spreadsheetml/2006/main" id="4" name="Tabla1" displayName="Tabla1" ref="A1:B11" headerRowCount="1" totalsRowShown="0" tableBorderDxfId="6">
  <autoFilter ref="A1:B11"/>
  <tableColumns count="2">
    <tableColumn id="1" name="TIPO DE ACTIVO" dataDxfId="5"/>
    <tableColumn id="2" name="DESCRIPCION" dataDxfId="4"/>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drawing" Target="/xl/drawings/drawing1.xml" Id="rId1" /><Relationship Type="http://schemas.openxmlformats.org/officeDocument/2006/relationships/pivotTable" Target="/xl/pivotTables/pivotTable1.xml" Id="rId2" /><Relationship Type="http://schemas.openxmlformats.org/officeDocument/2006/relationships/pivotTable" Target="/xl/pivotTables/pivotTable2.xml" Id="rId3" /><Relationship Type="http://schemas.openxmlformats.org/officeDocument/2006/relationships/pivotTable" Target="/xl/pivotTables/pivotTable3.xml" Id="rId4" /><Relationship Type="http://schemas.openxmlformats.org/officeDocument/2006/relationships/pivotTable" Target="/xl/pivotTables/pivotTable4.xml" Id="rId5" /><Relationship Type="http://schemas.openxmlformats.org/officeDocument/2006/relationships/pivotTable" Target="/xl/pivotTables/pivotTable5.xml" Id="rId6" /><Relationship Type="http://schemas.openxmlformats.org/officeDocument/2006/relationships/pivotTable" Target="/xl/pivotTables/pivotTable6.xml" Id="rId7" /><Relationship Type="http://schemas.openxmlformats.org/officeDocument/2006/relationships/pivotTable" Target="/xl/pivotTables/pivotTable7.xml" Id="rId8" /></Relationships>
</file>

<file path=xl/worksheets/_rels/sheet9.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AD1407"/>
  <sheetViews>
    <sheetView topLeftCell="Z1" zoomScale="80" zoomScaleNormal="80" workbookViewId="0">
      <selection activeCell="AA3" sqref="AA3"/>
    </sheetView>
  </sheetViews>
  <sheetFormatPr baseColWidth="10" defaultRowHeight="11.25"/>
  <cols>
    <col width="14" customWidth="1" style="106" min="1" max="1"/>
    <col width="19.1640625" customWidth="1" style="106" min="2" max="2"/>
    <col width="26" customWidth="1" style="106" min="3" max="3"/>
    <col hidden="1" width="26.1640625" customWidth="1" style="106" min="4" max="4"/>
    <col width="41.6640625" customWidth="1" style="106" min="5" max="5"/>
    <col width="15.1640625" customWidth="1" style="106" min="6" max="6"/>
    <col width="31" customWidth="1" style="106" min="7" max="7"/>
    <col width="40.1640625" customWidth="1" style="106" min="8" max="8"/>
    <col width="44.6640625" customWidth="1" style="106" min="9" max="9"/>
    <col hidden="1" width="16.1640625" customWidth="1" style="106" min="10" max="10"/>
    <col hidden="1" width="19.1640625" customWidth="1" style="106" min="11" max="11"/>
    <col width="18.5" customWidth="1" style="106" min="12" max="12"/>
    <col width="26.1640625" customWidth="1" style="106" min="13" max="13"/>
    <col width="17.6640625" customWidth="1" style="106" min="14" max="14"/>
    <col width="33.1640625" bestFit="1" customWidth="1" style="106" min="15" max="15"/>
    <col width="20.5" customWidth="1" style="106" min="16" max="16"/>
    <col width="13.6640625" customWidth="1" style="106" min="17" max="17"/>
    <col width="17.1640625" customWidth="1" style="106" min="18" max="18"/>
    <col width="15.1640625" customWidth="1" style="106" min="19" max="19"/>
    <col width="13.5" customWidth="1" style="106" min="20" max="20"/>
    <col width="19.1640625" customWidth="1" style="106" min="21" max="21"/>
    <col width="21.1640625" customWidth="1" style="106" min="22" max="22"/>
    <col width="19" customWidth="1" style="106" min="23" max="23"/>
    <col width="27.6640625" customWidth="1" style="106" min="24" max="24"/>
    <col width="22.5" customWidth="1" style="38" min="25" max="25"/>
    <col width="20" customWidth="1" style="38" min="26" max="26"/>
    <col width="24" customWidth="1" style="38" min="27" max="27"/>
    <col width="29.5" customWidth="1" style="38" min="28" max="28"/>
    <col width="29.33203125" customWidth="1" style="38" min="29" max="29"/>
  </cols>
  <sheetData>
    <row r="1">
      <c r="A1" s="97" t="n"/>
      <c r="B1" s="97" t="inlineStr">
        <is>
          <t>PROCESO/PROCEDIMIENTO</t>
        </is>
      </c>
      <c r="C1" s="98" t="n"/>
      <c r="D1" s="98" t="n"/>
      <c r="E1" s="98" t="n"/>
      <c r="F1" s="98" t="n"/>
      <c r="G1" s="99" t="n"/>
      <c r="H1" s="97" t="n"/>
      <c r="I1" s="97" t="n"/>
      <c r="J1" s="97" t="n"/>
      <c r="K1" s="97" t="n"/>
      <c r="L1" s="97" t="n"/>
      <c r="M1" s="97" t="n"/>
      <c r="N1" s="27" t="n"/>
      <c r="O1" s="97" t="n"/>
      <c r="P1" s="97" t="inlineStr">
        <is>
          <t>CLASIFICACIÓN</t>
        </is>
      </c>
      <c r="Q1" s="98" t="n"/>
      <c r="R1" s="99" t="n"/>
      <c r="S1" s="97" t="inlineStr">
        <is>
          <t>CRITICIDAD</t>
        </is>
      </c>
      <c r="T1" s="99" t="n"/>
      <c r="U1" s="97" t="n"/>
      <c r="V1" s="97" t="n"/>
      <c r="W1" s="97" t="n"/>
    </row>
    <row r="2" ht="24" customHeight="1" s="106">
      <c r="A2" s="28" t="inlineStr">
        <is>
          <t>ID</t>
        </is>
      </c>
      <c r="B2" s="29" t="inlineStr">
        <is>
          <t>TIPO DE PROCESO</t>
        </is>
      </c>
      <c r="C2" s="29" t="inlineStr">
        <is>
          <t>TIPO DE MACROPROCESO</t>
        </is>
      </c>
      <c r="D2" s="29" t="inlineStr">
        <is>
          <t>CODIGO MACROPROCESO</t>
        </is>
      </c>
      <c r="E2" s="29" t="inlineStr">
        <is>
          <t>PROCESO</t>
        </is>
      </c>
      <c r="F2" s="29" t="inlineStr">
        <is>
          <t>SUBPROCESO</t>
        </is>
      </c>
      <c r="G2" s="29" t="inlineStr">
        <is>
          <t>PROCEDIMIENTO</t>
        </is>
      </c>
      <c r="H2" s="29" t="inlineStr">
        <is>
          <t>NOMBRE</t>
        </is>
      </c>
      <c r="I2" s="29" t="inlineStr">
        <is>
          <t>DESCRIPCIÓN</t>
        </is>
      </c>
      <c r="J2" s="29" t="inlineStr">
        <is>
          <t>RESPONSABLE</t>
        </is>
      </c>
      <c r="K2" s="29" t="inlineStr">
        <is>
          <t>CUSTODIO</t>
        </is>
      </c>
      <c r="L2" s="29" t="inlineStr">
        <is>
          <t>UBICACIÓN</t>
        </is>
      </c>
      <c r="M2" s="29" t="inlineStr">
        <is>
          <t>MEDIO DE CONSERVACIÓN</t>
        </is>
      </c>
      <c r="N2" s="30" t="inlineStr">
        <is>
          <t>TIPO DE ACTIVO</t>
        </is>
      </c>
      <c r="O2" s="29" t="inlineStr">
        <is>
          <t>CATEGORÍA</t>
        </is>
      </c>
      <c r="P2" s="29" t="inlineStr">
        <is>
          <t>CONFIDENCIALIDAD</t>
        </is>
      </c>
      <c r="Q2" s="29" t="inlineStr">
        <is>
          <t>INTEGRIDAD</t>
        </is>
      </c>
      <c r="R2" s="29" t="inlineStr">
        <is>
          <t>DISPONIBILIDAD</t>
        </is>
      </c>
      <c r="S2" s="29" t="inlineStr">
        <is>
          <t>VALORACION</t>
        </is>
      </c>
      <c r="T2" s="29" t="inlineStr">
        <is>
          <t>CRITICIDAD</t>
        </is>
      </c>
      <c r="U2" s="29" t="inlineStr">
        <is>
          <t>ACCESO EXTERNO</t>
        </is>
      </c>
      <c r="V2" s="29" t="inlineStr">
        <is>
          <t>FECHA DE REGISTRO</t>
        </is>
      </c>
      <c r="W2" s="23" t="inlineStr">
        <is>
          <t>FECHA DE SALIDA</t>
        </is>
      </c>
      <c r="X2" s="29" t="inlineStr">
        <is>
          <t>RIESGO EVALUADO</t>
        </is>
      </c>
      <c r="Y2" s="97" t="inlineStr">
        <is>
          <t>Estado de Implementación</t>
        </is>
      </c>
      <c r="Z2" s="97" t="inlineStr">
        <is>
          <t>Tipo de Protección</t>
        </is>
      </c>
      <c r="AA2" s="97" t="inlineStr">
        <is>
          <t>Nivel de Madurez / Efectividad</t>
        </is>
      </c>
      <c r="AB2" s="97" t="inlineStr">
        <is>
          <t>Riesgos / Amenazas que Mitiga</t>
        </is>
      </c>
      <c r="AC2" s="97" t="inlineStr">
        <is>
          <t>Evidencia / Documentación Asociada</t>
        </is>
      </c>
      <c r="AD2" s="115" t="inlineStr">
        <is>
          <t>Evaluación de Cumplimiento</t>
        </is>
      </c>
    </row>
    <row r="3">
      <c r="A3" s="99" t="inlineStr">
        <is>
          <t>1-GAD</t>
        </is>
      </c>
      <c r="B3" s="10" t="inlineStr">
        <is>
          <t>APOYO</t>
        </is>
      </c>
      <c r="C3" s="10" t="inlineStr">
        <is>
          <t xml:space="preserve">Gestión Administrativa </t>
        </is>
      </c>
      <c r="D3" s="10" t="inlineStr">
        <is>
          <t>GAD</t>
        </is>
      </c>
      <c r="E3" s="10" t="inlineStr">
        <is>
          <t xml:space="preserve">Comunicación y Asistencia Gerencial </t>
        </is>
      </c>
      <c r="F3" s="10" t="inlineStr">
        <is>
          <t>-</t>
        </is>
      </c>
      <c r="G3" s="10" t="inlineStr">
        <is>
          <t xml:space="preserve">Recepción y registro de documentos </t>
        </is>
      </c>
      <c r="H3" s="10" t="inlineStr">
        <is>
          <t>Matriz de control de documentos Gerencia</t>
        </is>
      </c>
      <c r="I3" s="10" t="inlineStr">
        <is>
          <t>Reporte que genera el sistema Ventanilla Virtual - Administra Procesos y opera la S de Gerencia</t>
        </is>
      </c>
      <c r="J3" s="10" t="inlineStr">
        <is>
          <t>Secretaria de Gerencia General</t>
        </is>
      </c>
      <c r="K3" s="10" t="inlineStr">
        <is>
          <t>Secretaria de Gerencia General</t>
        </is>
      </c>
      <c r="L3" s="10" t="inlineStr">
        <is>
          <t>UBICACIÓN DIGITAL-EQUIPO DEL RESPONSABLE</t>
        </is>
      </c>
      <c r="M3" s="10" t="inlineStr">
        <is>
          <t>DISCOS DUROS, SERVIDORES, DISCOS O MEDIOS PORTÁTILES, CINTAS O MEDIOS DE VIDEO Y AUDIO, ETC.</t>
        </is>
      </c>
      <c r="N3" s="10" t="inlineStr">
        <is>
          <t>PRIMARIOS</t>
        </is>
      </c>
      <c r="O3" s="10" t="inlineStr">
        <is>
          <t>DOCUMENTOS TÉCNICOS</t>
        </is>
      </c>
      <c r="P3" s="10" t="inlineStr">
        <is>
          <t>USO INTERNO(2)</t>
        </is>
      </c>
      <c r="Q3" s="10" t="inlineStr">
        <is>
          <t>BAJA(1)</t>
        </is>
      </c>
      <c r="R3" s="10" t="inlineStr">
        <is>
          <t>BAJA(1)</t>
        </is>
      </c>
      <c r="S3" s="10">
        <f>+(IF(P3="PUBLICA(1)",1,IF(P3="USO INTERNO(2)",2,IF(P3="RESTRINGIDO(3)",3,3))))+(IF(Q3="BAJA(1)",1,IF(Q3="MEDIA(2)",2,IF(Q3="ALTA(3)",3,3))))+(IF(R3="BAJA(1)",1,IF(R3="MEDIA(2)",2,IF(R3="ALTA(3)",3,3))))</f>
        <v/>
      </c>
      <c r="T3" s="10">
        <f>+IF(S3&lt;6,"BAJA",IF(S3&lt;8,"MEDIA","ALTA"))</f>
        <v/>
      </c>
      <c r="U3" s="10" t="inlineStr">
        <is>
          <t>-</t>
        </is>
      </c>
      <c r="V3" s="24" t="n">
        <v>45673</v>
      </c>
      <c r="W3" s="19" t="inlineStr">
        <is>
          <t>N/A</t>
        </is>
      </c>
      <c r="X3" s="104">
        <f>+IFERROR(IF(VLOOKUP(Tabla2[[#This Row],[ID]],'EVALUACION DE RIESGO'!A:A,1,FALSE)=Tabla2[[#This Row],[ID]],"SI","NO"),"NO")</f>
        <v/>
      </c>
      <c r="AD3">
        <f>IF(AND(Y3="",AA3=""),"",IF(OR(LEFT(AA3,2)="L0",LEFT(AA3,2)="L1",Y3="No Iniciado"),"CRÍTICO - Incumplimiento Normativo SEPS",IF(AND(OR(LEFT(AA3,2)="L4",LEFT(AA3,2)="L5"),AND(AC3&lt;&gt;"",AC3&lt;&gt;"N/A")),"CONFORME - Control Efectivo ISO 27001","OBSERVACIÓN - Revisar Controles")))</f>
        <v/>
      </c>
    </row>
    <row r="4">
      <c r="A4" s="99" t="inlineStr">
        <is>
          <t>2-GAD</t>
        </is>
      </c>
      <c r="B4" s="10" t="inlineStr">
        <is>
          <t>APOYO</t>
        </is>
      </c>
      <c r="C4" s="10" t="inlineStr">
        <is>
          <t xml:space="preserve">Gestión Administrativa </t>
        </is>
      </c>
      <c r="D4" s="10" t="inlineStr">
        <is>
          <t>GAD</t>
        </is>
      </c>
      <c r="E4" s="10" t="inlineStr">
        <is>
          <t xml:space="preserve">Comunicación y Asistencia Gerencial </t>
        </is>
      </c>
      <c r="F4" s="10" t="inlineStr">
        <is>
          <t>-</t>
        </is>
      </c>
      <c r="G4" s="10" t="inlineStr">
        <is>
          <t xml:space="preserve">Recepción y registro de documentos </t>
        </is>
      </c>
      <c r="H4" s="10" t="inlineStr">
        <is>
          <t>Registro de entrega recepción de documentos</t>
        </is>
      </c>
      <c r="I4" s="10" t="inlineStr">
        <is>
          <t>Recepción de archivos físicos como digitales</t>
        </is>
      </c>
      <c r="J4" s="10" t="inlineStr">
        <is>
          <t>Secretaria de Gerencia General</t>
        </is>
      </c>
      <c r="K4" s="10" t="inlineStr">
        <is>
          <t>Secretaria de Gerencia General</t>
        </is>
      </c>
      <c r="L4" s="10" t="inlineStr">
        <is>
          <t>UBICACIÓN FISICA-MATRIZ ATUNTAQUI</t>
        </is>
      </c>
      <c r="M4" s="10" t="inlineStr">
        <is>
          <t>DOCUMENTO DE ARCHIVO-FÍSICO</t>
        </is>
      </c>
      <c r="N4" s="10" t="inlineStr">
        <is>
          <t>PRIMARIOS</t>
        </is>
      </c>
      <c r="O4" s="10" t="inlineStr">
        <is>
          <t>DOCUMENTOS HABILITANTES</t>
        </is>
      </c>
      <c r="P4" s="10" t="inlineStr">
        <is>
          <t>USO INTERNO(2)</t>
        </is>
      </c>
      <c r="Q4" s="10" t="inlineStr">
        <is>
          <t>BAJA(1)</t>
        </is>
      </c>
      <c r="R4" s="10" t="inlineStr">
        <is>
          <t>BAJA(1)</t>
        </is>
      </c>
      <c r="S4" s="10">
        <f>+(IF(P4="PUBLICA(1)",1,IF(P4="USO INTERNO(2)",2,IF(P4="RESTRINGIDO(3)",3,3))))+(IF(Q4="BAJA(1)",1,IF(Q4="MEDIA(2)",2,IF(Q4="ALTA(3)",3,3))))+(IF(R4="BAJA(1)",1,IF(R4="MEDIA(2)",2,IF(R4="ALTA(3)",3,3))))</f>
        <v/>
      </c>
      <c r="T4" s="10">
        <f>+IF(S4&lt;6,"BAJA",IF(S4&lt;8,"MEDIA","ALTA"))</f>
        <v/>
      </c>
      <c r="U4" s="10" t="inlineStr">
        <is>
          <t>-</t>
        </is>
      </c>
      <c r="V4" s="24" t="n">
        <v>45673</v>
      </c>
      <c r="W4" s="19" t="inlineStr">
        <is>
          <t>N/A</t>
        </is>
      </c>
      <c r="X4" s="10">
        <f>+IFERROR(IF(VLOOKUP(Tabla2[[#This Row],[ID]],'EVALUACION DE RIESGO'!A:A,1,FALSE)=Tabla2[[#This Row],[ID]],"SI","NO"),"NO")</f>
        <v/>
      </c>
      <c r="AD4">
        <f>IF(AND(Y4="",AA4=""),"",IF(OR(LEFT(AA4,2)="L0",LEFT(AA4,2)="L1",Y4="No Iniciado"),"CRÍTICO - Incumplimiento Normativo SEPS",IF(AND(OR(LEFT(AA4,2)="L4",LEFT(AA4,2)="L5"),AND(AC4&lt;&gt;"",AC4&lt;&gt;"N/A")),"CONFORME - Control Efectivo ISO 27001","OBSERVACIÓN - Revisar Controles")))</f>
        <v/>
      </c>
    </row>
    <row r="5">
      <c r="A5" s="99" t="inlineStr">
        <is>
          <t>3-GAD</t>
        </is>
      </c>
      <c r="B5" s="10" t="inlineStr">
        <is>
          <t>APOYO</t>
        </is>
      </c>
      <c r="C5" s="10" t="inlineStr">
        <is>
          <t xml:space="preserve">Gestión Administrativa </t>
        </is>
      </c>
      <c r="D5" s="10" t="inlineStr">
        <is>
          <t>GAD</t>
        </is>
      </c>
      <c r="E5" s="10" t="inlineStr">
        <is>
          <t xml:space="preserve">Comunicación y Asistencia Gerencial </t>
        </is>
      </c>
      <c r="F5" s="10" t="inlineStr">
        <is>
          <t>-</t>
        </is>
      </c>
      <c r="G5" s="10" t="inlineStr">
        <is>
          <t>Seguimiento y cierre de trámites</t>
        </is>
      </c>
      <c r="H5" s="10" t="inlineStr">
        <is>
          <t>Matriz de control de documentos Gerencia (Seguimiento)</t>
        </is>
      </c>
      <c r="I5" s="10" t="inlineStr">
        <is>
          <t>Matriz de control de documentos Gerencia</t>
        </is>
      </c>
      <c r="J5" s="10" t="inlineStr">
        <is>
          <t>Secretaria de Gerencia General</t>
        </is>
      </c>
      <c r="K5" s="10" t="inlineStr">
        <is>
          <t>Secretaria de Gerencia General</t>
        </is>
      </c>
      <c r="L5" s="10" t="inlineStr">
        <is>
          <t>UBICACIÓN DIGITAL-EQUIPO DEL RESPONSABLE</t>
        </is>
      </c>
      <c r="M5" s="10" t="inlineStr">
        <is>
          <t>DISCOS DUROS, SERVIDORES, DISCOS O MEDIOS PORTÁTILES, CINTAS O MEDIOS DE VIDEO Y AUDIO, ETC.</t>
        </is>
      </c>
      <c r="N5" s="10" t="inlineStr">
        <is>
          <t>PRIMARIOS</t>
        </is>
      </c>
      <c r="O5" s="10" t="inlineStr">
        <is>
          <t>DOCUMENTOS TÉCNICOS</t>
        </is>
      </c>
      <c r="P5" s="10" t="inlineStr">
        <is>
          <t>USO INTERNO(2)</t>
        </is>
      </c>
      <c r="Q5" s="10" t="inlineStr">
        <is>
          <t>MEDIA(2)</t>
        </is>
      </c>
      <c r="R5" s="10" t="inlineStr">
        <is>
          <t>BAJA(1)</t>
        </is>
      </c>
      <c r="S5" s="10">
        <f>+(IF(P5="PUBLICA(1)",1,IF(P5="USO INTERNO(2)",2,IF(P5="RESTRINGIDO(3)",3,3))))+(IF(Q5="BAJA(1)",1,IF(Q5="MEDIA(2)",2,IF(Q5="ALTA(3)",3,3))))+(IF(R5="BAJA(1)",1,IF(R5="MEDIA(2)",2,IF(R5="ALTA(3)",3,3))))</f>
        <v/>
      </c>
      <c r="T5" s="10">
        <f>+IF(S5&lt;6,"BAJA",IF(S5&lt;8,"MEDIA","ALTA"))</f>
        <v/>
      </c>
      <c r="U5" s="10" t="inlineStr">
        <is>
          <t>-</t>
        </is>
      </c>
      <c r="V5" s="24" t="n">
        <v>45673</v>
      </c>
      <c r="W5" s="19" t="inlineStr">
        <is>
          <t>N/A</t>
        </is>
      </c>
      <c r="X5" s="10">
        <f>+IFERROR(IF(VLOOKUP(Tabla2[[#This Row],[ID]],'EVALUACION DE RIESGO'!A:A,1,FALSE)=Tabla2[[#This Row],[ID]],"SI","NO"),"NO")</f>
        <v/>
      </c>
      <c r="AD5">
        <f>IF(AND(Y5="",AA5=""),"",IF(OR(LEFT(AA5,2)="L0",LEFT(AA5,2)="L1",Y5="No Iniciado"),"CRÍTICO - Incumplimiento Normativo SEPS",IF(AND(OR(LEFT(AA5,2)="L4",LEFT(AA5,2)="L5"),AND(AC5&lt;&gt;"",AC5&lt;&gt;"N/A")),"CONFORME - Control Efectivo ISO 27001","OBSERVACIÓN - Revisar Controles")))</f>
        <v/>
      </c>
    </row>
    <row r="6">
      <c r="A6" s="99" t="inlineStr">
        <is>
          <t>4-GAD</t>
        </is>
      </c>
      <c r="B6" s="10" t="inlineStr">
        <is>
          <t>APOYO</t>
        </is>
      </c>
      <c r="C6" s="10" t="inlineStr">
        <is>
          <t xml:space="preserve">Gestión Administrativa </t>
        </is>
      </c>
      <c r="D6" s="10" t="inlineStr">
        <is>
          <t>GAD</t>
        </is>
      </c>
      <c r="E6" s="10" t="inlineStr">
        <is>
          <t xml:space="preserve">Comunicación y Asistencia Gerencial </t>
        </is>
      </c>
      <c r="F6" s="10" t="inlineStr">
        <is>
          <t>-</t>
        </is>
      </c>
      <c r="G6" s="10" t="inlineStr">
        <is>
          <t xml:space="preserve">Despacho de oficios generados en otras áreas </t>
        </is>
      </c>
      <c r="H6" s="10" t="inlineStr">
        <is>
          <t>Oficio Memorandos</t>
        </is>
      </c>
      <c r="I6" s="10" t="inlineStr">
        <is>
          <t>Archivos físicos como digitales de Gerencia</t>
        </is>
      </c>
      <c r="J6" s="10" t="inlineStr">
        <is>
          <t>Secretaria de Gerencia General</t>
        </is>
      </c>
      <c r="K6" s="10" t="inlineStr">
        <is>
          <t>Secretaria de Gerencia General</t>
        </is>
      </c>
      <c r="L6" s="10" t="inlineStr">
        <is>
          <t>UBICACIÓN DIGITAL-EQUIPO DEL RESPONSABLE</t>
        </is>
      </c>
      <c r="M6" s="10" t="inlineStr">
        <is>
          <t>DOCUMENTO DE ARCHIVO-FÍSICO</t>
        </is>
      </c>
      <c r="N6" s="10" t="inlineStr">
        <is>
          <t>PRIMARIOS</t>
        </is>
      </c>
      <c r="O6" s="10" t="inlineStr">
        <is>
          <t>DOCUMENTOS HABILITANTES</t>
        </is>
      </c>
      <c r="P6" s="10" t="inlineStr">
        <is>
          <t>RESTRINGIDO(3)</t>
        </is>
      </c>
      <c r="Q6" s="10" t="inlineStr">
        <is>
          <t>BAJA(1)</t>
        </is>
      </c>
      <c r="R6" s="10" t="inlineStr">
        <is>
          <t>MEDIA(2)</t>
        </is>
      </c>
      <c r="S6" s="10">
        <f>+(IF(P6="PUBLICA(1)",1,IF(P6="USO INTERNO(2)",2,IF(P6="RESTRINGIDO(3)",3,3))))+(IF(Q6="BAJA(1)",1,IF(Q6="MEDIA(2)",2,IF(Q6="ALTA(3)",3,3))))+(IF(R6="BAJA(1)",1,IF(R6="MEDIA(2)",2,IF(R6="ALTA(3)",3,3))))</f>
        <v/>
      </c>
      <c r="T6" s="10">
        <f>+IF(S6&lt;6,"BAJA",IF(S6&lt;8,"MEDIA","ALTA"))</f>
        <v/>
      </c>
      <c r="U6" s="10" t="inlineStr">
        <is>
          <t>-</t>
        </is>
      </c>
      <c r="V6" s="24" t="n">
        <v>45673</v>
      </c>
      <c r="W6" s="19" t="inlineStr">
        <is>
          <t>N/A</t>
        </is>
      </c>
      <c r="X6" s="10">
        <f>+IFERROR(IF(VLOOKUP(Tabla2[[#This Row],[ID]],'EVALUACION DE RIESGO'!A:A,1,FALSE)=Tabla2[[#This Row],[ID]],"SI","NO"),"NO")</f>
        <v/>
      </c>
      <c r="AD6">
        <f>IF(AND(Y6="",AA6=""),"",IF(OR(LEFT(AA6,2)="L0",LEFT(AA6,2)="L1",Y6="No Iniciado"),"CRÍTICO - Incumplimiento Normativo SEPS",IF(AND(OR(LEFT(AA6,2)="L4",LEFT(AA6,2)="L5"),AND(AC6&lt;&gt;"",AC6&lt;&gt;"N/A")),"CONFORME - Control Efectivo ISO 27001","OBSERVACIÓN - Revisar Controles")))</f>
        <v/>
      </c>
    </row>
    <row r="7">
      <c r="A7" s="99" t="inlineStr">
        <is>
          <t>5-GAD</t>
        </is>
      </c>
      <c r="B7" s="10" t="inlineStr">
        <is>
          <t>APOYO</t>
        </is>
      </c>
      <c r="C7" s="10" t="inlineStr">
        <is>
          <t xml:space="preserve">Gestión Administrativa </t>
        </is>
      </c>
      <c r="D7" s="10" t="inlineStr">
        <is>
          <t>GAD</t>
        </is>
      </c>
      <c r="E7" s="10" t="inlineStr">
        <is>
          <t xml:space="preserve">Comunicación y Asistencia Gerencial </t>
        </is>
      </c>
      <c r="F7" s="10" t="inlineStr">
        <is>
          <t>-</t>
        </is>
      </c>
      <c r="G7" s="10" t="inlineStr">
        <is>
          <t xml:space="preserve">Manejo de Agenda </t>
        </is>
      </c>
      <c r="H7" s="10" t="inlineStr">
        <is>
          <t>Agenda gerencial</t>
        </is>
      </c>
      <c r="I7" s="10" t="inlineStr">
        <is>
          <t>Reporte mensual que se presenta a gerencia</t>
        </is>
      </c>
      <c r="J7" s="10" t="inlineStr">
        <is>
          <t>Secretaria de Gerencia General</t>
        </is>
      </c>
      <c r="K7" s="10" t="inlineStr">
        <is>
          <t>Secretaria de Gerencia General</t>
        </is>
      </c>
      <c r="L7" s="10" t="inlineStr">
        <is>
          <t>UBICACIÓN DIGITAL-EQUIPO DEL RESPONSABLE</t>
        </is>
      </c>
      <c r="M7" s="10" t="inlineStr">
        <is>
          <t>DISCOS DUROS, SERVIDORES, DISCOS O MEDIOS PORTÁTILES, CINTAS O MEDIOS DE VIDEO Y AUDIO, ETC.</t>
        </is>
      </c>
      <c r="N7" s="10" t="inlineStr">
        <is>
          <t>PRIMARIOS</t>
        </is>
      </c>
      <c r="O7" s="10" t="inlineStr">
        <is>
          <t>DOCUMENTOS TÉCNICOS</t>
        </is>
      </c>
      <c r="P7" s="10" t="inlineStr">
        <is>
          <t>RESTRINGIDO(3)</t>
        </is>
      </c>
      <c r="Q7" s="10" t="inlineStr">
        <is>
          <t>MEDIA(2)</t>
        </is>
      </c>
      <c r="R7" s="10" t="inlineStr">
        <is>
          <t>BAJA(1)</t>
        </is>
      </c>
      <c r="S7" s="10">
        <f>+(IF(P7="PUBLICA(1)",1,IF(P7="USO INTERNO(2)",2,IF(P7="RESTRINGIDO(3)",3,3))))+(IF(Q7="BAJA(1)",1,IF(Q7="MEDIA(2)",2,IF(Q7="ALTA(3)",3,3))))+(IF(R7="BAJA(1)",1,IF(R7="MEDIA(2)",2,IF(R7="ALTA(3)",3,3))))</f>
        <v/>
      </c>
      <c r="T7" s="10">
        <f>+IF(S7&lt;6,"BAJA",IF(S7&lt;8,"MEDIA","ALTA"))</f>
        <v/>
      </c>
      <c r="U7" s="10" t="inlineStr">
        <is>
          <t>-</t>
        </is>
      </c>
      <c r="V7" s="24" t="n">
        <v>45673</v>
      </c>
      <c r="W7" s="19" t="inlineStr">
        <is>
          <t>N/A</t>
        </is>
      </c>
      <c r="X7" s="10">
        <f>+IFERROR(IF(VLOOKUP(Tabla2[[#This Row],[ID]],'EVALUACION DE RIESGO'!A:A,1,FALSE)=Tabla2[[#This Row],[ID]],"SI","NO"),"NO")</f>
        <v/>
      </c>
      <c r="AD7">
        <f>IF(AND(Y7="",AA7=""),"",IF(OR(LEFT(AA7,2)="L0",LEFT(AA7,2)="L1",Y7="No Iniciado"),"CRÍTICO - Incumplimiento Normativo SEPS",IF(AND(OR(LEFT(AA7,2)="L4",LEFT(AA7,2)="L5"),AND(AC7&lt;&gt;"",AC7&lt;&gt;"N/A")),"CONFORME - Control Efectivo ISO 27001","OBSERVACIÓN - Revisar Controles")))</f>
        <v/>
      </c>
    </row>
    <row r="8">
      <c r="A8" s="99" t="inlineStr">
        <is>
          <t>6-GAD</t>
        </is>
      </c>
      <c r="B8" s="10" t="inlineStr">
        <is>
          <t>APOYO</t>
        </is>
      </c>
      <c r="C8" s="10" t="inlineStr">
        <is>
          <t xml:space="preserve">Gestión Administrativa </t>
        </is>
      </c>
      <c r="D8" s="10" t="inlineStr">
        <is>
          <t>GAD</t>
        </is>
      </c>
      <c r="E8" s="10" t="inlineStr">
        <is>
          <t xml:space="preserve">Comunicación y Asistencia Gerencial </t>
        </is>
      </c>
      <c r="F8" s="10" t="inlineStr">
        <is>
          <t>-</t>
        </is>
      </c>
      <c r="G8" s="10" t="inlineStr">
        <is>
          <t>N/A</t>
        </is>
      </c>
      <c r="H8" s="10" t="inlineStr">
        <is>
          <t>Archivo de Secretaria de Gerencia</t>
        </is>
      </c>
      <c r="I8" s="10" t="inlineStr">
        <is>
          <t>Archivos físicos que reposan en el archivo del área</t>
        </is>
      </c>
      <c r="J8" s="10" t="inlineStr">
        <is>
          <t>Secretaria de Gerencia General</t>
        </is>
      </c>
      <c r="K8" s="10" t="inlineStr">
        <is>
          <t>Secretaria de Gerencia General</t>
        </is>
      </c>
      <c r="L8" s="10" t="inlineStr">
        <is>
          <t>DOCUMENTOS FISICOS-ARCHIVOS DE LA OFICINA</t>
        </is>
      </c>
      <c r="M8" s="10" t="inlineStr">
        <is>
          <t>DOCUMENTO DE ARCHIVO-FÍSICO</t>
        </is>
      </c>
      <c r="N8" s="10" t="inlineStr">
        <is>
          <t>PRIMARIOS</t>
        </is>
      </c>
      <c r="O8" s="10" t="inlineStr">
        <is>
          <t>DOCUMENTOS HABILITANTES</t>
        </is>
      </c>
      <c r="P8" s="10" t="inlineStr">
        <is>
          <t>RESTRINGIDO(3)</t>
        </is>
      </c>
      <c r="Q8" s="10" t="inlineStr">
        <is>
          <t>MEDIA(2)</t>
        </is>
      </c>
      <c r="R8" s="10" t="inlineStr">
        <is>
          <t>MEDIA(2)</t>
        </is>
      </c>
      <c r="S8" s="10">
        <f>+(IF(P8="PUBLICA(1)",1,IF(P8="USO INTERNO(2)",2,IF(P8="RESTRINGIDO(3)",3,3))))+(IF(Q8="BAJA(1)",1,IF(Q8="MEDIA(2)",2,IF(Q8="ALTA(3)",3,3))))+(IF(R8="BAJA(1)",1,IF(R8="MEDIA(2)",2,IF(R8="ALTA(3)",3,3))))</f>
        <v/>
      </c>
      <c r="T8" s="10">
        <f>+IF(S8&lt;6,"BAJA",IF(S8&lt;8,"MEDIA","ALTA"))</f>
        <v/>
      </c>
      <c r="U8" s="10" t="inlineStr">
        <is>
          <t>-</t>
        </is>
      </c>
      <c r="V8" s="24" t="n">
        <v>45673</v>
      </c>
      <c r="W8" s="19" t="inlineStr">
        <is>
          <t>N/A</t>
        </is>
      </c>
      <c r="X8" s="10">
        <f>+IFERROR(IF(VLOOKUP(Tabla2[[#This Row],[ID]],'EVALUACION DE RIESGO'!A:A,1,FALSE)=Tabla2[[#This Row],[ID]],"SI","NO"),"NO")</f>
        <v/>
      </c>
      <c r="AD8">
        <f>IF(AND(Y8="",AA8=""),"",IF(OR(LEFT(AA8,2)="L0",LEFT(AA8,2)="L1",Y8="No Iniciado"),"CRÍTICO - Incumplimiento Normativo SEPS",IF(AND(OR(LEFT(AA8,2)="L4",LEFT(AA8,2)="L5"),AND(AC8&lt;&gt;"",AC8&lt;&gt;"N/A")),"CONFORME - Control Efectivo ISO 27001","OBSERVACIÓN - Revisar Controles")))</f>
        <v/>
      </c>
    </row>
    <row r="9">
      <c r="A9" s="99" t="inlineStr">
        <is>
          <t>7-GAD</t>
        </is>
      </c>
      <c r="B9" s="10" t="inlineStr">
        <is>
          <t>APOYO</t>
        </is>
      </c>
      <c r="C9" s="10" t="inlineStr">
        <is>
          <t xml:space="preserve">Gestión Administrativa </t>
        </is>
      </c>
      <c r="D9" s="10" t="inlineStr">
        <is>
          <t>GAD</t>
        </is>
      </c>
      <c r="E9" s="10" t="inlineStr">
        <is>
          <t xml:space="preserve">Comunicación y Asistencia Gerencial </t>
        </is>
      </c>
      <c r="F9" s="10" t="inlineStr">
        <is>
          <t>-</t>
        </is>
      </c>
      <c r="G9" s="10" t="inlineStr">
        <is>
          <t>N/A</t>
        </is>
      </c>
      <c r="H9" s="10" t="inlineStr">
        <is>
          <t>Equipos de computación de Asistente de Gerencia</t>
        </is>
      </c>
      <c r="I9" s="10" t="inlineStr">
        <is>
          <t>Equipos de computación donde se realiza la gestión del área</t>
        </is>
      </c>
      <c r="J9" s="10" t="inlineStr">
        <is>
          <t>Secretaria de Gerencia General</t>
        </is>
      </c>
      <c r="K9" s="10" t="inlineStr">
        <is>
          <t>Secretaria de Gerencia General</t>
        </is>
      </c>
      <c r="L9" s="10" t="inlineStr">
        <is>
          <t>DOCUMENTOS FISICOS-ARCHIVOS DE LA OFICINA</t>
        </is>
      </c>
      <c r="M9" s="10" t="inlineStr">
        <is>
          <t>DOCUMENTO DE ARCHIVO-FÍSICO</t>
        </is>
      </c>
      <c r="N9" s="10" t="inlineStr">
        <is>
          <t>APOYO</t>
        </is>
      </c>
      <c r="O9" s="10" t="inlineStr">
        <is>
          <t>HARDWARE</t>
        </is>
      </c>
      <c r="P9" s="10" t="inlineStr">
        <is>
          <t>USO INTERNO(2)</t>
        </is>
      </c>
      <c r="Q9" s="10" t="inlineStr">
        <is>
          <t>BAJA(1)</t>
        </is>
      </c>
      <c r="R9" s="10" t="inlineStr">
        <is>
          <t>MEDIA(2)</t>
        </is>
      </c>
      <c r="S9" s="10">
        <f>+(IF(P9="PUBLICA(1)",1,IF(P9="USO INTERNO(2)",2,IF(P9="RESTRINGIDO(3)",3,3))))+(IF(Q9="BAJA(1)",1,IF(Q9="MEDIA(2)",2,IF(Q9="ALTA(3)",3,3))))+(IF(R9="BAJA(1)",1,IF(R9="MEDIA(2)",2,IF(R9="ALTA(3)",3,3))))</f>
        <v/>
      </c>
      <c r="T9" s="10">
        <f>+IF(S9&lt;6,"BAJA",IF(S9&lt;8,"MEDIA","ALTA"))</f>
        <v/>
      </c>
      <c r="U9" s="10" t="inlineStr">
        <is>
          <t>-</t>
        </is>
      </c>
      <c r="V9" s="24" t="n">
        <v>45673</v>
      </c>
      <c r="W9" s="19" t="inlineStr">
        <is>
          <t>N/A</t>
        </is>
      </c>
      <c r="X9" s="10">
        <f>+IFERROR(IF(VLOOKUP(Tabla2[[#This Row],[ID]],'EVALUACION DE RIESGO'!A:A,1,FALSE)=Tabla2[[#This Row],[ID]],"SI","NO"),"NO")</f>
        <v/>
      </c>
      <c r="AD9">
        <f>IF(AND(Y9="",AA9=""),"",IF(OR(LEFT(AA9,2)="L0",LEFT(AA9,2)="L1",Y9="No Iniciado"),"CRÍTICO - Incumplimiento Normativo SEPS",IF(AND(OR(LEFT(AA9,2)="L4",LEFT(AA9,2)="L5"),AND(AC9&lt;&gt;"",AC9&lt;&gt;"N/A")),"CONFORME - Control Efectivo ISO 27001","OBSERVACIÓN - Revisar Controles")))</f>
        <v/>
      </c>
    </row>
    <row r="10">
      <c r="A10" s="99" t="inlineStr">
        <is>
          <t>8-GAD</t>
        </is>
      </c>
      <c r="B10" s="10" t="inlineStr">
        <is>
          <t>APOYO</t>
        </is>
      </c>
      <c r="C10" s="10" t="inlineStr">
        <is>
          <t xml:space="preserve">Gestión Administrativa </t>
        </is>
      </c>
      <c r="D10" s="10" t="inlineStr">
        <is>
          <t>GAD</t>
        </is>
      </c>
      <c r="E10" s="10" t="inlineStr">
        <is>
          <t xml:space="preserve">Comunicación y Asistencia Gerencial </t>
        </is>
      </c>
      <c r="F10" s="10" t="inlineStr">
        <is>
          <t>-</t>
        </is>
      </c>
      <c r="G10" s="10" t="inlineStr">
        <is>
          <t>N/A</t>
        </is>
      </c>
      <c r="H10" s="10" t="inlineStr">
        <is>
          <t>Asistente de Gerencia</t>
        </is>
      </c>
      <c r="I10" s="10" t="inlineStr">
        <is>
          <t>N/A</t>
        </is>
      </c>
      <c r="J10" s="10" t="inlineStr">
        <is>
          <t>Secretaria de Gerencia General</t>
        </is>
      </c>
      <c r="K10" s="10" t="inlineStr">
        <is>
          <t>Secretaria de Gerencia General</t>
        </is>
      </c>
      <c r="L10" s="10" t="inlineStr">
        <is>
          <t>N/A</t>
        </is>
      </c>
      <c r="M10" s="10" t="inlineStr">
        <is>
          <t>N/A</t>
        </is>
      </c>
      <c r="N10" s="10" t="inlineStr">
        <is>
          <t>APOYO</t>
        </is>
      </c>
      <c r="O10" s="10" t="inlineStr">
        <is>
          <t>RECURSO HUMANO</t>
        </is>
      </c>
      <c r="P10" s="10" t="inlineStr">
        <is>
          <t>USO INTERNO(2)</t>
        </is>
      </c>
      <c r="Q10" s="10" t="inlineStr">
        <is>
          <t>BAJA(1)</t>
        </is>
      </c>
      <c r="R10" s="10" t="inlineStr">
        <is>
          <t>MEDIA(2)</t>
        </is>
      </c>
      <c r="S10" s="10">
        <f>+(IF(P10="PUBLICA(1)",1,IF(P10="USO INTERNO(2)",2,IF(P10="RESTRINGIDO(3)",3,3))))+(IF(Q10="BAJA(1)",1,IF(Q10="MEDIA(2)",2,IF(Q10="ALTA(3)",3,3))))+(IF(R10="BAJA(1)",1,IF(R10="MEDIA(2)",2,IF(R10="ALTA(3)",3,3))))</f>
        <v/>
      </c>
      <c r="T10" s="10">
        <f>+IF(S10&lt;6,"BAJA",IF(S10&lt;8,"MEDIA","ALTA"))</f>
        <v/>
      </c>
      <c r="U10" s="10" t="inlineStr">
        <is>
          <t>-</t>
        </is>
      </c>
      <c r="V10" s="24" t="n">
        <v>45673</v>
      </c>
      <c r="W10" s="19" t="inlineStr">
        <is>
          <t>N/A</t>
        </is>
      </c>
      <c r="X10" s="10">
        <f>+IFERROR(IF(VLOOKUP(Tabla2[[#This Row],[ID]],'EVALUACION DE RIESGO'!A:A,1,FALSE)=Tabla2[[#This Row],[ID]],"SI","NO"),"NO")</f>
        <v/>
      </c>
      <c r="AD10">
        <f>IF(AND(Y10="",AA10=""),"",IF(OR(LEFT(AA10,2)="L0",LEFT(AA10,2)="L1",Y10="No Iniciado"),"CRÍTICO - Incumplimiento Normativo SEPS",IF(AND(OR(LEFT(AA10,2)="L4",LEFT(AA10,2)="L5"),AND(AC10&lt;&gt;"",AC10&lt;&gt;"N/A")),"CONFORME - Control Efectivo ISO 27001","OBSERVACIÓN - Revisar Controles")))</f>
        <v/>
      </c>
    </row>
    <row r="11">
      <c r="A11" s="99" t="inlineStr">
        <is>
          <t>9-GAD</t>
        </is>
      </c>
      <c r="B11" s="10" t="inlineStr">
        <is>
          <t>APOYO</t>
        </is>
      </c>
      <c r="C11" s="10" t="inlineStr">
        <is>
          <t xml:space="preserve">Gestión Administrativa </t>
        </is>
      </c>
      <c r="D11" s="10" t="inlineStr">
        <is>
          <t>GAD</t>
        </is>
      </c>
      <c r="E11" s="10" t="inlineStr">
        <is>
          <t xml:space="preserve">Gestión de Activos </t>
        </is>
      </c>
      <c r="F11" s="10" t="inlineStr">
        <is>
          <t>-</t>
        </is>
      </c>
      <c r="G11" s="10" t="inlineStr">
        <is>
          <t>Registro de activos fijos</t>
        </is>
      </c>
      <c r="H11" s="10" t="inlineStr">
        <is>
          <t>Documentos habilitantes</t>
        </is>
      </c>
      <c r="I11" s="10" t="inlineStr">
        <is>
          <t>Documentos recibidos de activos fijos adquiridos, no almacena en un repositorio porque toda la información del activo se registra en FIT, serie, marca, modelo, color, custodio, oficina de destino, ubicación de la oficina.</t>
        </is>
      </c>
      <c r="J11" s="10" t="inlineStr">
        <is>
          <t>Jefe Administrativo</t>
        </is>
      </c>
      <c r="K11" s="10" t="inlineStr">
        <is>
          <t>Jefe Administrativo</t>
        </is>
      </c>
      <c r="L11" s="10" t="inlineStr">
        <is>
          <t>UBICACIÓN DIGITAL-EQUIPO DEL CUSTODIO</t>
        </is>
      </c>
      <c r="M11" s="10" t="inlineStr">
        <is>
          <t>DISCOS DUROS, SERVIDORES, DISCOS O MEDIOS PORTÁTILES, CINTAS O MEDIOS DE VIDEO Y AUDIO, ETC.</t>
        </is>
      </c>
      <c r="N11" s="10" t="inlineStr">
        <is>
          <t>PRIMARIOS</t>
        </is>
      </c>
      <c r="O11" s="10" t="inlineStr">
        <is>
          <t>DOCUMENTOS HABILITANTES</t>
        </is>
      </c>
      <c r="P11" s="10" t="inlineStr">
        <is>
          <t>PUBLICA(1)</t>
        </is>
      </c>
      <c r="Q11" s="10" t="inlineStr">
        <is>
          <t>BAJA(1)</t>
        </is>
      </c>
      <c r="R11" s="10" t="inlineStr">
        <is>
          <t>MEDIA(2)</t>
        </is>
      </c>
      <c r="S11" s="10">
        <f>+(IF(P11="PUBLICA(1)",1,IF(P11="USO INTERNO(2)",2,IF(P11="RESTRINGIDO(3)",3,3))))+(IF(Q11="BAJA(1)",1,IF(Q11="MEDIA(2)",2,IF(Q11="ALTA(3)",3,3))))+(IF(R11="BAJA(1)",1,IF(R11="MEDIA(2)",2,IF(R11="ALTA(3)",3,3))))</f>
        <v/>
      </c>
      <c r="T11" s="10">
        <f>+IF(S11&lt;6,"BAJA",IF(S11&lt;8,"MEDIA","ALTA"))</f>
        <v/>
      </c>
      <c r="U11" s="10" t="inlineStr">
        <is>
          <t>-</t>
        </is>
      </c>
      <c r="V11" s="24" t="n">
        <v>45680</v>
      </c>
      <c r="W11" s="19" t="inlineStr">
        <is>
          <t>N/A</t>
        </is>
      </c>
      <c r="X11" s="10">
        <f>+IFERROR(IF(VLOOKUP(Tabla2[[#This Row],[ID]],'EVALUACION DE RIESGO'!A:A,1,FALSE)=Tabla2[[#This Row],[ID]],"SI","NO"),"NO")</f>
        <v/>
      </c>
      <c r="AD11">
        <f>IF(AND(Y11="",AA11=""),"",IF(OR(LEFT(AA11,2)="L0",LEFT(AA11,2)="L1",Y11="No Iniciado"),"CRÍTICO - Incumplimiento Normativo SEPS",IF(AND(OR(LEFT(AA11,2)="L4",LEFT(AA11,2)="L5"),AND(AC11&lt;&gt;"",AC11&lt;&gt;"N/A")),"CONFORME - Control Efectivo ISO 27001","OBSERVACIÓN - Revisar Controles")))</f>
        <v/>
      </c>
    </row>
    <row r="12">
      <c r="A12" s="99" t="inlineStr">
        <is>
          <t>10-GAD</t>
        </is>
      </c>
      <c r="B12" s="10" t="inlineStr">
        <is>
          <t>APOYO</t>
        </is>
      </c>
      <c r="C12" s="10" t="inlineStr">
        <is>
          <t xml:space="preserve">Gestión Administrativa </t>
        </is>
      </c>
      <c r="D12" s="10" t="inlineStr">
        <is>
          <t>GAD</t>
        </is>
      </c>
      <c r="E12" s="10" t="inlineStr">
        <is>
          <t xml:space="preserve">Gestión de Activos </t>
        </is>
      </c>
      <c r="F12" s="10" t="inlineStr">
        <is>
          <t>-</t>
        </is>
      </c>
      <c r="G12" s="10" t="inlineStr">
        <is>
          <t>Planificación de mantenimientos</t>
        </is>
      </c>
      <c r="H12" s="10" t="inlineStr">
        <is>
          <t>Informe de mantenimiento</t>
        </is>
      </c>
      <c r="I12" s="10" t="inlineStr">
        <is>
          <t>Informe de avances de la planificación realizada con detalles de descripción, elementos, actividad, área ubicación de mantenimiento, cantidad, observación, cronograma cumplido</t>
        </is>
      </c>
      <c r="J12" s="10" t="inlineStr">
        <is>
          <t>Jefe Administrativo</t>
        </is>
      </c>
      <c r="K12" s="10" t="inlineStr">
        <is>
          <t>Jefe Administrativo</t>
        </is>
      </c>
      <c r="L12" s="10" t="inlineStr">
        <is>
          <t>UBICACIÓN DIGITAL-EQUIPO DEL CUSTODIO</t>
        </is>
      </c>
      <c r="M12" s="10" t="inlineStr">
        <is>
          <t>DISCOS DUROS, SERVIDORES, DISCOS O MEDIOS PORTÁTILES, CINTAS O MEDIOS DE VIDEO Y AUDIO, ETC.</t>
        </is>
      </c>
      <c r="N12" s="10" t="inlineStr">
        <is>
          <t>PRIMARIOS</t>
        </is>
      </c>
      <c r="O12" s="10" t="inlineStr">
        <is>
          <t>DOCUMENTOS HABILITANTES</t>
        </is>
      </c>
      <c r="P12" s="10" t="inlineStr">
        <is>
          <t>PUBLICA(1)</t>
        </is>
      </c>
      <c r="Q12" s="10" t="inlineStr">
        <is>
          <t>BAJA(1)</t>
        </is>
      </c>
      <c r="R12" s="10" t="inlineStr">
        <is>
          <t>MEDIA(2)</t>
        </is>
      </c>
      <c r="S12" s="10">
        <f>+(IF(P12="PUBLICA(1)",1,IF(P12="USO INTERNO(2)",2,IF(P12="RESTRINGIDO(3)",3,3))))+(IF(Q12="BAJA(1)",1,IF(Q12="MEDIA(2)",2,IF(Q12="ALTA(3)",3,3))))+(IF(R12="BAJA(1)",1,IF(R12="MEDIA(2)",2,IF(R12="ALTA(3)",3,3))))</f>
        <v/>
      </c>
      <c r="T12" s="10">
        <f>+IF(S12&lt;6,"BAJA",IF(S12&lt;8,"MEDIA","ALTA"))</f>
        <v/>
      </c>
      <c r="U12" s="10" t="inlineStr">
        <is>
          <t>-</t>
        </is>
      </c>
      <c r="V12" s="24" t="n">
        <v>45680</v>
      </c>
      <c r="W12" s="19" t="inlineStr">
        <is>
          <t>N/A</t>
        </is>
      </c>
      <c r="X12" s="10">
        <f>+IFERROR(IF(VLOOKUP(Tabla2[[#This Row],[ID]],'EVALUACION DE RIESGO'!A:A,1,FALSE)=Tabla2[[#This Row],[ID]],"SI","NO"),"NO")</f>
        <v/>
      </c>
      <c r="AD12">
        <f>IF(AND(Y12="",AA12=""),"",IF(OR(LEFT(AA12,2)="L0",LEFT(AA12,2)="L1",Y12="No Iniciado"),"CRÍTICO - Incumplimiento Normativo SEPS",IF(AND(OR(LEFT(AA12,2)="L4",LEFT(AA12,2)="L5"),AND(AC12&lt;&gt;"",AC12&lt;&gt;"N/A")),"CONFORME - Control Efectivo ISO 27001","OBSERVACIÓN - Revisar Controles")))</f>
        <v/>
      </c>
    </row>
    <row r="13">
      <c r="A13" s="99" t="inlineStr">
        <is>
          <t>11-GAD</t>
        </is>
      </c>
      <c r="B13" s="10" t="inlineStr">
        <is>
          <t>APOYO</t>
        </is>
      </c>
      <c r="C13" s="10" t="inlineStr">
        <is>
          <t xml:space="preserve">Gestión Administrativa </t>
        </is>
      </c>
      <c r="D13" s="10" t="inlineStr">
        <is>
          <t>GAD</t>
        </is>
      </c>
      <c r="E13" s="10" t="inlineStr">
        <is>
          <t xml:space="preserve">Gestión de Activos </t>
        </is>
      </c>
      <c r="F13" s="10" t="inlineStr">
        <is>
          <t>-</t>
        </is>
      </c>
      <c r="G13" s="10" t="inlineStr">
        <is>
          <t>Planificación de mantenimientos</t>
        </is>
      </c>
      <c r="H13" s="10" t="inlineStr">
        <is>
          <t>Cronograma/Bitácora de mantenimiento</t>
        </is>
      </c>
      <c r="I13" s="10" t="inlineStr">
        <is>
          <t>Archivo de planificación que contiene descripción, elementos, actividad, área ubicación de mantenimiento, cantidad, observación, cronograma cumplido</t>
        </is>
      </c>
      <c r="J13" s="10" t="inlineStr">
        <is>
          <t>Jefe Administrativo</t>
        </is>
      </c>
      <c r="K13" s="10" t="inlineStr">
        <is>
          <t>Jefe Administrativo</t>
        </is>
      </c>
      <c r="L13" s="10" t="inlineStr">
        <is>
          <t>UBICACIÓN DIGITAL-EQUIPO DEL CUSTODIO</t>
        </is>
      </c>
      <c r="M13" s="10" t="inlineStr">
        <is>
          <t>DISCOS DUROS, SERVIDORES, DISCOS O MEDIOS PORTÁTILES, CINTAS O MEDIOS DE VIDEO Y AUDIO, ETC.</t>
        </is>
      </c>
      <c r="N13" s="10" t="inlineStr">
        <is>
          <t>PRIMARIOS</t>
        </is>
      </c>
      <c r="O13" s="10" t="inlineStr">
        <is>
          <t>DOCUMENTOS TÉCNICOS</t>
        </is>
      </c>
      <c r="P13" s="10" t="inlineStr">
        <is>
          <t>PUBLICA(1)</t>
        </is>
      </c>
      <c r="Q13" s="10" t="inlineStr">
        <is>
          <t>BAJA(1)</t>
        </is>
      </c>
      <c r="R13" s="10" t="inlineStr">
        <is>
          <t>MEDIA(2)</t>
        </is>
      </c>
      <c r="S13" s="10">
        <f>+(IF(P13="PUBLICA(1)",1,IF(P13="USO INTERNO(2)",2,IF(P13="RESTRINGIDO(3)",3,3))))+(IF(Q13="BAJA(1)",1,IF(Q13="MEDIA(2)",2,IF(Q13="ALTA(3)",3,3))))+(IF(R13="BAJA(1)",1,IF(R13="MEDIA(2)",2,IF(R13="ALTA(3)",3,3))))</f>
        <v/>
      </c>
      <c r="T13" s="10">
        <f>+IF(S13&lt;6,"BAJA",IF(S13&lt;8,"MEDIA","ALTA"))</f>
        <v/>
      </c>
      <c r="U13" s="10" t="inlineStr">
        <is>
          <t>-</t>
        </is>
      </c>
      <c r="V13" s="24" t="n">
        <v>45680</v>
      </c>
      <c r="W13" s="19" t="inlineStr">
        <is>
          <t>N/A</t>
        </is>
      </c>
      <c r="X13" s="10">
        <f>+IFERROR(IF(VLOOKUP(Tabla2[[#This Row],[ID]],'EVALUACION DE RIESGO'!A:A,1,FALSE)=Tabla2[[#This Row],[ID]],"SI","NO"),"NO")</f>
        <v/>
      </c>
      <c r="AD13">
        <f>IF(AND(Y13="",AA13=""),"",IF(OR(LEFT(AA13,2)="L0",LEFT(AA13,2)="L1",Y13="No Iniciado"),"CRÍTICO - Incumplimiento Normativo SEPS",IF(AND(OR(LEFT(AA13,2)="L4",LEFT(AA13,2)="L5"),AND(AC13&lt;&gt;"",AC13&lt;&gt;"N/A")),"CONFORME - Control Efectivo ISO 27001","OBSERVACIÓN - Revisar Controles")))</f>
        <v/>
      </c>
    </row>
    <row r="14">
      <c r="A14" s="99" t="inlineStr">
        <is>
          <t>12-GAD</t>
        </is>
      </c>
      <c r="B14" s="10" t="inlineStr">
        <is>
          <t>APOYO</t>
        </is>
      </c>
      <c r="C14" s="10" t="inlineStr">
        <is>
          <t xml:space="preserve">Gestión Administrativa </t>
        </is>
      </c>
      <c r="D14" s="10" t="inlineStr">
        <is>
          <t>GAD</t>
        </is>
      </c>
      <c r="E14" s="10" t="inlineStr">
        <is>
          <t xml:space="preserve">Gestión de Activos </t>
        </is>
      </c>
      <c r="F14" s="10" t="inlineStr">
        <is>
          <t>-</t>
        </is>
      </c>
      <c r="G14" s="10" t="inlineStr">
        <is>
          <t>Mantenimiento preventivo de bienes e inmuebles</t>
        </is>
      </c>
      <c r="H14" s="10" t="inlineStr">
        <is>
          <t>Solicitud de adquisiciones y contratación</t>
        </is>
      </c>
      <c r="I14" s="10" t="inlineStr">
        <is>
          <t>solicitudes que se gestionan en el sistema Sara con información de número de solicitud, requerimiento, justificación de la adquisición, bienes y servicio, información del plan anual, fechas inicio de proceso, documentos anexos, TDR</t>
        </is>
      </c>
      <c r="J14" s="10" t="inlineStr">
        <is>
          <t>Jefe Administrativo</t>
        </is>
      </c>
      <c r="K14" s="10" t="inlineStr">
        <is>
          <t>Jefe Administrativo</t>
        </is>
      </c>
      <c r="L14" s="10" t="inlineStr">
        <is>
          <t>UBICACIÓN DIGITAL-EQUIPO DEL CUSTODIO</t>
        </is>
      </c>
      <c r="M14" s="10" t="inlineStr">
        <is>
          <t>DISCOS DUROS, SERVIDORES, DISCOS O MEDIOS PORTÁTILES, CINTAS O MEDIOS DE VIDEO Y AUDIO, ETC.</t>
        </is>
      </c>
      <c r="N14" s="10" t="inlineStr">
        <is>
          <t>PRIMARIOS</t>
        </is>
      </c>
      <c r="O14" s="10" t="inlineStr">
        <is>
          <t>DOCUMENTOS HABILITANTES</t>
        </is>
      </c>
      <c r="P14" s="10" t="inlineStr">
        <is>
          <t>PUBLICA(1)</t>
        </is>
      </c>
      <c r="Q14" s="10" t="inlineStr">
        <is>
          <t>BAJA(1)</t>
        </is>
      </c>
      <c r="R14" s="10" t="inlineStr">
        <is>
          <t>MEDIA(2)</t>
        </is>
      </c>
      <c r="S14" s="10">
        <f>+(IF(P14="PUBLICA(1)",1,IF(P14="USO INTERNO(2)",2,IF(P14="RESTRINGIDO(3)",3,3))))+(IF(Q14="BAJA(1)",1,IF(Q14="MEDIA(2)",2,IF(Q14="ALTA(3)",3,3))))+(IF(R14="BAJA(1)",1,IF(R14="MEDIA(2)",2,IF(R14="ALTA(3)",3,3))))</f>
        <v/>
      </c>
      <c r="T14" s="10">
        <f>+IF(S14&lt;6,"BAJA",IF(S14&lt;8,"MEDIA","ALTA"))</f>
        <v/>
      </c>
      <c r="U14" s="10" t="inlineStr">
        <is>
          <t>-</t>
        </is>
      </c>
      <c r="V14" s="24" t="n">
        <v>45680</v>
      </c>
      <c r="W14" s="19" t="inlineStr">
        <is>
          <t>N/A</t>
        </is>
      </c>
      <c r="X14" s="10">
        <f>+IFERROR(IF(VLOOKUP(Tabla2[[#This Row],[ID]],'EVALUACION DE RIESGO'!A:A,1,FALSE)=Tabla2[[#This Row],[ID]],"SI","NO"),"NO")</f>
        <v/>
      </c>
      <c r="AD14">
        <f>IF(AND(Y14="",AA14=""),"",IF(OR(LEFT(AA14,2)="L0",LEFT(AA14,2)="L1",Y14="No Iniciado"),"CRÍTICO - Incumplimiento Normativo SEPS",IF(AND(OR(LEFT(AA14,2)="L4",LEFT(AA14,2)="L5"),AND(AC14&lt;&gt;"",AC14&lt;&gt;"N/A")),"CONFORME - Control Efectivo ISO 27001","OBSERVACIÓN - Revisar Controles")))</f>
        <v/>
      </c>
    </row>
    <row r="15">
      <c r="A15" s="99" t="inlineStr">
        <is>
          <t>13-GAD</t>
        </is>
      </c>
      <c r="B15" s="10" t="inlineStr">
        <is>
          <t>APOYO</t>
        </is>
      </c>
      <c r="C15" s="10" t="inlineStr">
        <is>
          <t xml:space="preserve">Gestión Administrativa </t>
        </is>
      </c>
      <c r="D15" s="10" t="inlineStr">
        <is>
          <t>GAD</t>
        </is>
      </c>
      <c r="E15" s="10" t="inlineStr">
        <is>
          <t xml:space="preserve">Gestión de Activos </t>
        </is>
      </c>
      <c r="F15" s="10" t="inlineStr">
        <is>
          <t>-</t>
        </is>
      </c>
      <c r="G15" s="10" t="inlineStr">
        <is>
          <t>Mantenimiento preventivo de bienes e inmuebles</t>
        </is>
      </c>
      <c r="H15" s="10" t="inlineStr">
        <is>
          <t>Acta entrega recepción del bien</t>
        </is>
      </c>
      <c r="I15" s="10" t="inlineStr">
        <is>
          <t>Documentos de recepción del bien que contiene firmas de responsabilidad de los administradores</t>
        </is>
      </c>
      <c r="J15" s="10" t="inlineStr">
        <is>
          <t>Jefe Administrativo</t>
        </is>
      </c>
      <c r="K15" s="10" t="inlineStr">
        <is>
          <t>Jefe Administrativo</t>
        </is>
      </c>
      <c r="L15" s="10" t="inlineStr">
        <is>
          <t>DOCUMENTOS FISICOS-ARCHIVOS DE LA OFICINA</t>
        </is>
      </c>
      <c r="M15" s="10" t="inlineStr">
        <is>
          <t>DOCUMENTO DE ARCHIVO-FÍSICO</t>
        </is>
      </c>
      <c r="N15" s="10" t="inlineStr">
        <is>
          <t>PRIMARIOS</t>
        </is>
      </c>
      <c r="O15" s="10" t="inlineStr">
        <is>
          <t>DOCUMENTOS HABILITANTES</t>
        </is>
      </c>
      <c r="P15" s="10" t="inlineStr">
        <is>
          <t>PUBLICA(1)</t>
        </is>
      </c>
      <c r="Q15" s="10" t="inlineStr">
        <is>
          <t>BAJA(1)</t>
        </is>
      </c>
      <c r="R15" s="10" t="inlineStr">
        <is>
          <t>MEDIA(2)</t>
        </is>
      </c>
      <c r="S15" s="10">
        <f>+(IF(P15="PUBLICA(1)",1,IF(P15="USO INTERNO(2)",2,IF(P15="RESTRINGIDO(3)",3,3))))+(IF(Q15="BAJA(1)",1,IF(Q15="MEDIA(2)",2,IF(Q15="ALTA(3)",3,3))))+(IF(R15="BAJA(1)",1,IF(R15="MEDIA(2)",2,IF(R15="ALTA(3)",3,3))))</f>
        <v/>
      </c>
      <c r="T15" s="10">
        <f>+IF(S15&lt;6,"BAJA",IF(S15&lt;8,"MEDIA","ALTA"))</f>
        <v/>
      </c>
      <c r="U15" s="10" t="inlineStr">
        <is>
          <t>-</t>
        </is>
      </c>
      <c r="V15" s="24" t="n">
        <v>45680</v>
      </c>
      <c r="W15" s="19" t="inlineStr">
        <is>
          <t>N/A</t>
        </is>
      </c>
      <c r="X15" s="10">
        <f>+IFERROR(IF(VLOOKUP(Tabla2[[#This Row],[ID]],'EVALUACION DE RIESGO'!A:A,1,FALSE)=Tabla2[[#This Row],[ID]],"SI","NO"),"NO")</f>
        <v/>
      </c>
      <c r="AD15">
        <f>IF(AND(Y15="",AA15=""),"",IF(OR(LEFT(AA15,2)="L0",LEFT(AA15,2)="L1",Y15="No Iniciado"),"CRÍTICO - Incumplimiento Normativo SEPS",IF(AND(OR(LEFT(AA15,2)="L4",LEFT(AA15,2)="L5"),AND(AC15&lt;&gt;"",AC15&lt;&gt;"N/A")),"CONFORME - Control Efectivo ISO 27001","OBSERVACIÓN - Revisar Controles")))</f>
        <v/>
      </c>
    </row>
    <row r="16">
      <c r="A16" s="99" t="inlineStr">
        <is>
          <t>14-GAD</t>
        </is>
      </c>
      <c r="B16" s="10" t="inlineStr">
        <is>
          <t>APOYO</t>
        </is>
      </c>
      <c r="C16" s="10" t="inlineStr">
        <is>
          <t xml:space="preserve">Gestión Administrativa </t>
        </is>
      </c>
      <c r="D16" s="10" t="inlineStr">
        <is>
          <t>GAD</t>
        </is>
      </c>
      <c r="E16" s="10" t="inlineStr">
        <is>
          <t xml:space="preserve">Gestión de Activos </t>
        </is>
      </c>
      <c r="F16" s="10" t="inlineStr">
        <is>
          <t>-</t>
        </is>
      </c>
      <c r="G16" s="10" t="inlineStr">
        <is>
          <t>Mantenimiento preventivo de bienes e inmuebles</t>
        </is>
      </c>
      <c r="H16" s="10" t="inlineStr">
        <is>
          <t>Aval de recepción</t>
        </is>
      </c>
      <c r="I16" s="10" t="inlineStr">
        <is>
          <t>Registro que se realiza en SARA. Donde se califica el servicio adquirido</t>
        </is>
      </c>
      <c r="J16" s="10" t="inlineStr">
        <is>
          <t>Jefe Administrativo</t>
        </is>
      </c>
      <c r="K16" s="10" t="inlineStr">
        <is>
          <t>Jefe Administrativo</t>
        </is>
      </c>
      <c r="L16" s="10" t="inlineStr">
        <is>
          <t>UBICACIÓN DIGITAL-EQUIPO DEL CUSTODIO</t>
        </is>
      </c>
      <c r="M16" s="10" t="inlineStr">
        <is>
          <t>DISCOS DUROS, SERVIDORES, DISCOS O MEDIOS PORTÁTILES, CINTAS O MEDIOS DE VIDEO Y AUDIO, ETC.</t>
        </is>
      </c>
      <c r="N16" s="10" t="inlineStr">
        <is>
          <t>PRIMARIOS</t>
        </is>
      </c>
      <c r="O16" s="10" t="inlineStr">
        <is>
          <t>DOCUMENTOS HABILITANTES</t>
        </is>
      </c>
      <c r="P16" s="10" t="inlineStr">
        <is>
          <t>PUBLICA(1)</t>
        </is>
      </c>
      <c r="Q16" s="10" t="inlineStr">
        <is>
          <t>BAJA(1)</t>
        </is>
      </c>
      <c r="R16" s="10" t="inlineStr">
        <is>
          <t>MEDIA(2)</t>
        </is>
      </c>
      <c r="S16" s="10">
        <f>+(IF(P16="PUBLICA(1)",1,IF(P16="USO INTERNO(2)",2,IF(P16="RESTRINGIDO(3)",3,3))))+(IF(Q16="BAJA(1)",1,IF(Q16="MEDIA(2)",2,IF(Q16="ALTA(3)",3,3))))+(IF(R16="BAJA(1)",1,IF(R16="MEDIA(2)",2,IF(R16="ALTA(3)",3,3))))</f>
        <v/>
      </c>
      <c r="T16" s="10">
        <f>+IF(S16&lt;6,"BAJA",IF(S16&lt;8,"MEDIA","ALTA"))</f>
        <v/>
      </c>
      <c r="U16" s="10" t="inlineStr">
        <is>
          <t>-</t>
        </is>
      </c>
      <c r="V16" s="24" t="n">
        <v>45680</v>
      </c>
      <c r="W16" s="19" t="inlineStr">
        <is>
          <t>N/A</t>
        </is>
      </c>
      <c r="X16" s="10">
        <f>+IFERROR(IF(VLOOKUP(Tabla2[[#This Row],[ID]],'EVALUACION DE RIESGO'!A:A,1,FALSE)=Tabla2[[#This Row],[ID]],"SI","NO"),"NO")</f>
        <v/>
      </c>
      <c r="AD16">
        <f>IF(AND(Y16="",AA16=""),"",IF(OR(LEFT(AA16,2)="L0",LEFT(AA16,2)="L1",Y16="No Iniciado"),"CRÍTICO - Incumplimiento Normativo SEPS",IF(AND(OR(LEFT(AA16,2)="L4",LEFT(AA16,2)="L5"),AND(AC16&lt;&gt;"",AC16&lt;&gt;"N/A")),"CONFORME - Control Efectivo ISO 27001","OBSERVACIÓN - Revisar Controles")))</f>
        <v/>
      </c>
    </row>
    <row r="17">
      <c r="A17" s="99" t="inlineStr">
        <is>
          <t>15-GAD</t>
        </is>
      </c>
      <c r="B17" s="10" t="inlineStr">
        <is>
          <t>APOYO</t>
        </is>
      </c>
      <c r="C17" s="10" t="inlineStr">
        <is>
          <t xml:space="preserve">Gestión Administrativa </t>
        </is>
      </c>
      <c r="D17" s="10" t="inlineStr">
        <is>
          <t>GAD</t>
        </is>
      </c>
      <c r="E17" s="10" t="inlineStr">
        <is>
          <t xml:space="preserve">Gestión de Activos </t>
        </is>
      </c>
      <c r="F17" s="10" t="inlineStr">
        <is>
          <t>-</t>
        </is>
      </c>
      <c r="G17" s="10" t="inlineStr">
        <is>
          <t>Mantenimiento correctivo de bienes</t>
        </is>
      </c>
      <c r="H17" s="10" t="inlineStr">
        <is>
          <t>Solicitud de adquisiciones y contratación</t>
        </is>
      </c>
      <c r="I17" s="10" t="inlineStr">
        <is>
          <t>solicitudes que se gestionan en el sistema Sara con información de número de solicitud, requerimiento, justificación de la adquisición, bienes y servicio, información del plan anual, fechas inicio de proceso, documentos anexos, TDR</t>
        </is>
      </c>
      <c r="J17" s="10" t="inlineStr">
        <is>
          <t>Jefe Administrativo</t>
        </is>
      </c>
      <c r="K17" s="10" t="inlineStr">
        <is>
          <t>Jefe Administrativo</t>
        </is>
      </c>
      <c r="L17" s="10" t="inlineStr">
        <is>
          <t>UBICACIÓN DIGITAL-EQUIPO DEL CUSTODIO</t>
        </is>
      </c>
      <c r="M17" s="10" t="inlineStr">
        <is>
          <t>DISCOS DUROS, SERVIDORES, DISCOS O MEDIOS PORTÁTILES, CINTAS O MEDIOS DE VIDEO Y AUDIO, ETC.</t>
        </is>
      </c>
      <c r="N17" s="10" t="inlineStr">
        <is>
          <t>PRIMARIOS</t>
        </is>
      </c>
      <c r="O17" s="10" t="inlineStr">
        <is>
          <t>DOCUMENTOS HABILITANTES</t>
        </is>
      </c>
      <c r="P17" s="10" t="inlineStr">
        <is>
          <t>PUBLICA(1)</t>
        </is>
      </c>
      <c r="Q17" s="10" t="inlineStr">
        <is>
          <t>BAJA(1)</t>
        </is>
      </c>
      <c r="R17" s="10" t="inlineStr">
        <is>
          <t>MEDIA(2)</t>
        </is>
      </c>
      <c r="S17" s="10">
        <f>+(IF(P17="PUBLICA(1)",1,IF(P17="USO INTERNO(2)",2,IF(P17="RESTRINGIDO(3)",3,3))))+(IF(Q17="BAJA(1)",1,IF(Q17="MEDIA(2)",2,IF(Q17="ALTA(3)",3,3))))+(IF(R17="BAJA(1)",1,IF(R17="MEDIA(2)",2,IF(R17="ALTA(3)",3,3))))</f>
        <v/>
      </c>
      <c r="T17" s="10">
        <f>+IF(S17&lt;6,"BAJA",IF(S17&lt;8,"MEDIA","ALTA"))</f>
        <v/>
      </c>
      <c r="U17" s="10" t="inlineStr">
        <is>
          <t>-</t>
        </is>
      </c>
      <c r="V17" s="24" t="n">
        <v>45680</v>
      </c>
      <c r="W17" s="19" t="inlineStr">
        <is>
          <t>N/A</t>
        </is>
      </c>
      <c r="X17" s="10">
        <f>+IFERROR(IF(VLOOKUP(Tabla2[[#This Row],[ID]],'EVALUACION DE RIESGO'!A:A,1,FALSE)=Tabla2[[#This Row],[ID]],"SI","NO"),"NO")</f>
        <v/>
      </c>
      <c r="AD17">
        <f>IF(AND(Y17="",AA17=""),"",IF(OR(LEFT(AA17,2)="L0",LEFT(AA17,2)="L1",Y17="No Iniciado"),"CRÍTICO - Incumplimiento Normativo SEPS",IF(AND(OR(LEFT(AA17,2)="L4",LEFT(AA17,2)="L5"),AND(AC17&lt;&gt;"",AC17&lt;&gt;"N/A")),"CONFORME - Control Efectivo ISO 27001","OBSERVACIÓN - Revisar Controles")))</f>
        <v/>
      </c>
    </row>
    <row r="18">
      <c r="A18" s="99" t="inlineStr">
        <is>
          <t>16-GAD</t>
        </is>
      </c>
      <c r="B18" s="10" t="inlineStr">
        <is>
          <t>APOYO</t>
        </is>
      </c>
      <c r="C18" s="10" t="inlineStr">
        <is>
          <t xml:space="preserve">Gestión Administrativa </t>
        </is>
      </c>
      <c r="D18" s="10" t="inlineStr">
        <is>
          <t>GAD</t>
        </is>
      </c>
      <c r="E18" s="10" t="inlineStr">
        <is>
          <t xml:space="preserve">Gestión de Activos </t>
        </is>
      </c>
      <c r="F18" s="10" t="inlineStr">
        <is>
          <t>-</t>
        </is>
      </c>
      <c r="G18" s="10" t="inlineStr">
        <is>
          <t>Mantenimiento correctivo de bienes</t>
        </is>
      </c>
      <c r="H18" s="10" t="inlineStr">
        <is>
          <t>Registro de salida de bienes</t>
        </is>
      </c>
      <c r="I18" s="10" t="inlineStr">
        <is>
          <t>Registro de salida que registra el personal de seguridad y se recibe por correo electrónico, contiene información con fecha y código de activo</t>
        </is>
      </c>
      <c r="J18" s="10" t="inlineStr">
        <is>
          <t>Jefe Administrativo</t>
        </is>
      </c>
      <c r="K18" s="10" t="inlineStr">
        <is>
          <t>Jefe Administrativo</t>
        </is>
      </c>
      <c r="L18" s="10" t="inlineStr">
        <is>
          <t>UBICACIÓN DIGITAL-EQUIPO DEL CUSTODIO</t>
        </is>
      </c>
      <c r="M18" s="10" t="inlineStr">
        <is>
          <t>DISCOS DUROS, SERVIDORES, DISCOS O MEDIOS PORTÁTILES, CINTAS O MEDIOS DE VIDEO Y AUDIO, ETC.</t>
        </is>
      </c>
      <c r="N18" s="10" t="inlineStr">
        <is>
          <t>PRIMARIOS</t>
        </is>
      </c>
      <c r="O18" s="10" t="inlineStr">
        <is>
          <t>DOCUMENTOS TÉCNICOS</t>
        </is>
      </c>
      <c r="P18" s="10" t="inlineStr">
        <is>
          <t>PUBLICA(1)</t>
        </is>
      </c>
      <c r="Q18" s="10" t="inlineStr">
        <is>
          <t>BAJA(1)</t>
        </is>
      </c>
      <c r="R18" s="10" t="inlineStr">
        <is>
          <t>MEDIA(2)</t>
        </is>
      </c>
      <c r="S18" s="10">
        <f>+(IF(P18="PUBLICA(1)",1,IF(P18="USO INTERNO(2)",2,IF(P18="RESTRINGIDO(3)",3,3))))+(IF(Q18="BAJA(1)",1,IF(Q18="MEDIA(2)",2,IF(Q18="ALTA(3)",3,3))))+(IF(R18="BAJA(1)",1,IF(R18="MEDIA(2)",2,IF(R18="ALTA(3)",3,3))))</f>
        <v/>
      </c>
      <c r="T18" s="10">
        <f>+IF(S18&lt;6,"BAJA",IF(S18&lt;8,"MEDIA","ALTA"))</f>
        <v/>
      </c>
      <c r="U18" s="10" t="inlineStr">
        <is>
          <t>-</t>
        </is>
      </c>
      <c r="V18" s="24" t="n">
        <v>45680</v>
      </c>
      <c r="W18" s="19" t="inlineStr">
        <is>
          <t>N/A</t>
        </is>
      </c>
      <c r="X18" s="10">
        <f>+IFERROR(IF(VLOOKUP(Tabla2[[#This Row],[ID]],'EVALUACION DE RIESGO'!A:A,1,FALSE)=Tabla2[[#This Row],[ID]],"SI","NO"),"NO")</f>
        <v/>
      </c>
      <c r="AD18">
        <f>IF(AND(Y18="",AA18=""),"",IF(OR(LEFT(AA18,2)="L0",LEFT(AA18,2)="L1",Y18="No Iniciado"),"CRÍTICO - Incumplimiento Normativo SEPS",IF(AND(OR(LEFT(AA18,2)="L4",LEFT(AA18,2)="L5"),AND(AC18&lt;&gt;"",AC18&lt;&gt;"N/A")),"CONFORME - Control Efectivo ISO 27001","OBSERVACIÓN - Revisar Controles")))</f>
        <v/>
      </c>
    </row>
    <row r="19">
      <c r="A19" s="99" t="inlineStr">
        <is>
          <t>17-GAD</t>
        </is>
      </c>
      <c r="B19" s="10" t="inlineStr">
        <is>
          <t>APOYO</t>
        </is>
      </c>
      <c r="C19" s="10" t="inlineStr">
        <is>
          <t xml:space="preserve">Gestión Administrativa </t>
        </is>
      </c>
      <c r="D19" s="10" t="inlineStr">
        <is>
          <t>GAD</t>
        </is>
      </c>
      <c r="E19" s="10" t="inlineStr">
        <is>
          <t xml:space="preserve">Gestión de Activos </t>
        </is>
      </c>
      <c r="F19" s="10" t="inlineStr">
        <is>
          <t>-</t>
        </is>
      </c>
      <c r="G19" s="10" t="inlineStr">
        <is>
          <t>Mantenimiento correctivo de bienes</t>
        </is>
      </c>
      <c r="H19" s="10" t="inlineStr">
        <is>
          <t>Formulario de entrega recepción del bien</t>
        </is>
      </c>
      <c r="I19" s="10" t="inlineStr">
        <is>
          <t>Informe recibido por los proveedores se detalla, el servicio, fechas, tipo de mantenimiento, detalle de lo realizado por activo</t>
        </is>
      </c>
      <c r="J19" s="10" t="inlineStr">
        <is>
          <t>Jefe Administrativo</t>
        </is>
      </c>
      <c r="K19" s="10" t="inlineStr">
        <is>
          <t>Jefe Administrativo</t>
        </is>
      </c>
      <c r="L19" s="10" t="inlineStr">
        <is>
          <t>UBICACIÓN DIGITAL-EQUIPO DEL CUSTODIO</t>
        </is>
      </c>
      <c r="M19" s="10" t="inlineStr">
        <is>
          <t>DISCOS DUROS, SERVIDORES, DISCOS O MEDIOS PORTÁTILES, CINTAS O MEDIOS DE VIDEO Y AUDIO, ETC.</t>
        </is>
      </c>
      <c r="N19" s="10" t="inlineStr">
        <is>
          <t>PRIMARIOS</t>
        </is>
      </c>
      <c r="O19" s="10" t="inlineStr">
        <is>
          <t>DOCUMENTOS TÉCNICOS</t>
        </is>
      </c>
      <c r="P19" s="10" t="inlineStr">
        <is>
          <t>PUBLICA(1)</t>
        </is>
      </c>
      <c r="Q19" s="10" t="inlineStr">
        <is>
          <t>BAJA(1)</t>
        </is>
      </c>
      <c r="R19" s="10" t="inlineStr">
        <is>
          <t>MEDIA(2)</t>
        </is>
      </c>
      <c r="S19" s="10">
        <f>+(IF(P19="PUBLICA(1)",1,IF(P19="USO INTERNO(2)",2,IF(P19="RESTRINGIDO(3)",3,3))))+(IF(Q19="BAJA(1)",1,IF(Q19="MEDIA(2)",2,IF(Q19="ALTA(3)",3,3))))+(IF(R19="BAJA(1)",1,IF(R19="MEDIA(2)",2,IF(R19="ALTA(3)",3,3))))</f>
        <v/>
      </c>
      <c r="T19" s="10">
        <f>+IF(S19&lt;6,"BAJA",IF(S19&lt;8,"MEDIA","ALTA"))</f>
        <v/>
      </c>
      <c r="U19" s="10" t="inlineStr">
        <is>
          <t>-</t>
        </is>
      </c>
      <c r="V19" s="24" t="n">
        <v>45680</v>
      </c>
      <c r="W19" s="19" t="inlineStr">
        <is>
          <t>N/A</t>
        </is>
      </c>
      <c r="X19" s="10">
        <f>+IFERROR(IF(VLOOKUP(Tabla2[[#This Row],[ID]],'EVALUACION DE RIESGO'!A:A,1,FALSE)=Tabla2[[#This Row],[ID]],"SI","NO"),"NO")</f>
        <v/>
      </c>
      <c r="AD19">
        <f>IF(AND(Y19="",AA19=""),"",IF(OR(LEFT(AA19,2)="L0",LEFT(AA19,2)="L1",Y19="No Iniciado"),"CRÍTICO - Incumplimiento Normativo SEPS",IF(AND(OR(LEFT(AA19,2)="L4",LEFT(AA19,2)="L5"),AND(AC19&lt;&gt;"",AC19&lt;&gt;"N/A")),"CONFORME - Control Efectivo ISO 27001","OBSERVACIÓN - Revisar Controles")))</f>
        <v/>
      </c>
    </row>
    <row r="20">
      <c r="A20" s="99" t="inlineStr">
        <is>
          <t>18-GAD</t>
        </is>
      </c>
      <c r="B20" s="10" t="inlineStr">
        <is>
          <t>APOYO</t>
        </is>
      </c>
      <c r="C20" s="10" t="inlineStr">
        <is>
          <t xml:space="preserve">Gestión Administrativa </t>
        </is>
      </c>
      <c r="D20" s="10" t="inlineStr">
        <is>
          <t>GAD</t>
        </is>
      </c>
      <c r="E20" s="10" t="inlineStr">
        <is>
          <t xml:space="preserve">Gestión de Activos </t>
        </is>
      </c>
      <c r="F20" s="10" t="inlineStr">
        <is>
          <t>-</t>
        </is>
      </c>
      <c r="G20" s="10" t="inlineStr">
        <is>
          <t>Mantenimiento correctivo de bienes</t>
        </is>
      </c>
      <c r="H20" s="10" t="inlineStr">
        <is>
          <t>Registro de bienes a darse de baja</t>
        </is>
      </c>
      <c r="I20" s="10" t="inlineStr">
        <is>
          <t>Archivo de registro de activos en desuso que contiene oficina, código, descripción, custodio, observación</t>
        </is>
      </c>
      <c r="J20" s="10" t="inlineStr">
        <is>
          <t>Jefe Administrativo</t>
        </is>
      </c>
      <c r="K20" s="10" t="inlineStr">
        <is>
          <t>Jefe Administrativo</t>
        </is>
      </c>
      <c r="L20" s="10" t="inlineStr">
        <is>
          <t>UBICACIÓN DIGITAL-EQUIPO DEL CUSTODIO</t>
        </is>
      </c>
      <c r="M20" s="10" t="inlineStr">
        <is>
          <t>DISCOS DUROS, SERVIDORES, DISCOS O MEDIOS PORTÁTILES, CINTAS O MEDIOS DE VIDEO Y AUDIO, ETC.</t>
        </is>
      </c>
      <c r="N20" s="10" t="inlineStr">
        <is>
          <t>PRIMARIOS</t>
        </is>
      </c>
      <c r="O20" s="10" t="inlineStr">
        <is>
          <t>DOCUMENTOS TÉCNICOS</t>
        </is>
      </c>
      <c r="P20" s="10" t="inlineStr">
        <is>
          <t>PUBLICA(1)</t>
        </is>
      </c>
      <c r="Q20" s="10" t="inlineStr">
        <is>
          <t>BAJA(1)</t>
        </is>
      </c>
      <c r="R20" s="10" t="inlineStr">
        <is>
          <t>BAJA(1)</t>
        </is>
      </c>
      <c r="S20" s="10">
        <f>+(IF(P20="PUBLICA(1)",1,IF(P20="USO INTERNO(2)",2,IF(P20="RESTRINGIDO(3)",3,3))))+(IF(Q20="BAJA(1)",1,IF(Q20="MEDIA(2)",2,IF(Q20="ALTA(3)",3,3))))+(IF(R20="BAJA(1)",1,IF(R20="MEDIA(2)",2,IF(R20="ALTA(3)",3,3))))</f>
        <v/>
      </c>
      <c r="T20" s="10">
        <f>+IF(S20&lt;6,"BAJA",IF(S20&lt;8,"MEDIA","ALTA"))</f>
        <v/>
      </c>
      <c r="U20" s="10" t="inlineStr">
        <is>
          <t>-</t>
        </is>
      </c>
      <c r="V20" s="24" t="n">
        <v>45680</v>
      </c>
      <c r="W20" s="19" t="inlineStr">
        <is>
          <t>N/A</t>
        </is>
      </c>
      <c r="X20" s="10">
        <f>+IFERROR(IF(VLOOKUP(Tabla2[[#This Row],[ID]],'EVALUACION DE RIESGO'!A:A,1,FALSE)=Tabla2[[#This Row],[ID]],"SI","NO"),"NO")</f>
        <v/>
      </c>
      <c r="AD20">
        <f>IF(AND(Y20="",AA20=""),"",IF(OR(LEFT(AA20,2)="L0",LEFT(AA20,2)="L1",Y20="No Iniciado"),"CRÍTICO - Incumplimiento Normativo SEPS",IF(AND(OR(LEFT(AA20,2)="L4",LEFT(AA20,2)="L5"),AND(AC20&lt;&gt;"",AC20&lt;&gt;"N/A")),"CONFORME - Control Efectivo ISO 27001","OBSERVACIÓN - Revisar Controles")))</f>
        <v/>
      </c>
    </row>
    <row r="21">
      <c r="A21" s="99" t="inlineStr">
        <is>
          <t>19-GAD</t>
        </is>
      </c>
      <c r="B21" s="10" t="inlineStr">
        <is>
          <t>APOYO</t>
        </is>
      </c>
      <c r="C21" s="10" t="inlineStr">
        <is>
          <t xml:space="preserve">Gestión Administrativa </t>
        </is>
      </c>
      <c r="D21" s="10" t="inlineStr">
        <is>
          <t>GAD</t>
        </is>
      </c>
      <c r="E21" s="10" t="inlineStr">
        <is>
          <t xml:space="preserve">Gestión de Activos </t>
        </is>
      </c>
      <c r="F21" s="10" t="inlineStr">
        <is>
          <t>-</t>
        </is>
      </c>
      <c r="G21" s="10" t="inlineStr">
        <is>
          <t>Constatación de activos fijos</t>
        </is>
      </c>
      <c r="H21" s="10" t="inlineStr">
        <is>
          <t>Informe de contratación y plan de regularización de activos fijos</t>
        </is>
      </c>
      <c r="I21" s="10" t="inlineStr">
        <is>
          <t>Informe donde se incluyen bienes de control y se detallan la cantidad de activos por oficina y custodio, activos no ubicados, activos que se encuentran con los funcionarios, cada registro cuenta con observaciones para su regularización, las conclusiones y recomendaciones</t>
        </is>
      </c>
      <c r="J21" s="10" t="inlineStr">
        <is>
          <t>Jefe Administrativo</t>
        </is>
      </c>
      <c r="K21" s="10" t="inlineStr">
        <is>
          <t>Jefe Administrativo</t>
        </is>
      </c>
      <c r="L21" s="10" t="inlineStr">
        <is>
          <t>UBICACIÓN DIGITAL-EQUIPO DEL CUSTODIO</t>
        </is>
      </c>
      <c r="M21" s="10" t="inlineStr">
        <is>
          <t>DISCOS DUROS, SERVIDORES, DISCOS O MEDIOS PORTÁTILES, CINTAS O MEDIOS DE VIDEO Y AUDIO, ETC.</t>
        </is>
      </c>
      <c r="N21" s="10" t="inlineStr">
        <is>
          <t>PRIMARIOS</t>
        </is>
      </c>
      <c r="O21" s="10" t="inlineStr">
        <is>
          <t>COMUNICACIÓN INTERNA</t>
        </is>
      </c>
      <c r="P21" s="10" t="inlineStr">
        <is>
          <t>USO INTERNO(2)</t>
        </is>
      </c>
      <c r="Q21" s="10" t="inlineStr">
        <is>
          <t>BAJA(1)</t>
        </is>
      </c>
      <c r="R21" s="10" t="inlineStr">
        <is>
          <t>MEDIA(2)</t>
        </is>
      </c>
      <c r="S21" s="10">
        <f>+(IF(P21="PUBLICA(1)",1,IF(P21="USO INTERNO(2)",2,IF(P21="RESTRINGIDO(3)",3,3))))+(IF(Q21="BAJA(1)",1,IF(Q21="MEDIA(2)",2,IF(Q21="ALTA(3)",3,3))))+(IF(R21="BAJA(1)",1,IF(R21="MEDIA(2)",2,IF(R21="ALTA(3)",3,3))))</f>
        <v/>
      </c>
      <c r="T21" s="10">
        <f>+IF(S21&lt;6,"BAJA",IF(S21&lt;8,"MEDIA","ALTA"))</f>
        <v/>
      </c>
      <c r="U21" s="10" t="inlineStr">
        <is>
          <t>-</t>
        </is>
      </c>
      <c r="V21" s="24" t="n">
        <v>45680</v>
      </c>
      <c r="W21" s="19" t="inlineStr">
        <is>
          <t>N/A</t>
        </is>
      </c>
      <c r="X21" s="10">
        <f>+IFERROR(IF(VLOOKUP(Tabla2[[#This Row],[ID]],'EVALUACION DE RIESGO'!A:A,1,FALSE)=Tabla2[[#This Row],[ID]],"SI","NO"),"NO")</f>
        <v/>
      </c>
      <c r="AD21">
        <f>IF(AND(Y21="",AA21=""),"",IF(OR(LEFT(AA21,2)="L0",LEFT(AA21,2)="L1",Y21="No Iniciado"),"CRÍTICO - Incumplimiento Normativo SEPS",IF(AND(OR(LEFT(AA21,2)="L4",LEFT(AA21,2)="L5"),AND(AC21&lt;&gt;"",AC21&lt;&gt;"N/A")),"CONFORME - Control Efectivo ISO 27001","OBSERVACIÓN - Revisar Controles")))</f>
        <v/>
      </c>
    </row>
    <row r="22">
      <c r="A22" s="99" t="inlineStr">
        <is>
          <t>20-GAD</t>
        </is>
      </c>
      <c r="B22" s="10" t="inlineStr">
        <is>
          <t>APOYO</t>
        </is>
      </c>
      <c r="C22" s="10" t="inlineStr">
        <is>
          <t xml:space="preserve">Gestión Administrativa </t>
        </is>
      </c>
      <c r="D22" s="10" t="inlineStr">
        <is>
          <t>GAD</t>
        </is>
      </c>
      <c r="E22" s="10" t="inlineStr">
        <is>
          <t xml:space="preserve">Gestión de Activos </t>
        </is>
      </c>
      <c r="F22" s="10" t="inlineStr">
        <is>
          <t>-</t>
        </is>
      </c>
      <c r="G22" s="10" t="inlineStr">
        <is>
          <t>Baja de activos fijos / Baja de activos extraviado</t>
        </is>
      </c>
      <c r="H22" s="10" t="inlineStr">
        <is>
          <t>Acta de baja/ acta de donación de activos</t>
        </is>
      </c>
      <c r="I22" s="10" t="inlineStr">
        <is>
          <t>Documento notariado donde se detallan los activos a dar de baja, se dona , código, descripción, oficina custodio, resoluciones</t>
        </is>
      </c>
      <c r="J22" s="10" t="inlineStr">
        <is>
          <t>Jefe Administrativo</t>
        </is>
      </c>
      <c r="K22" s="10" t="inlineStr">
        <is>
          <t>Jefe Administrativo</t>
        </is>
      </c>
      <c r="L22" s="10" t="inlineStr">
        <is>
          <t>DOCUMENTOS FISICOS-ARCHIVOS DE LA OFICINA</t>
        </is>
      </c>
      <c r="M22" s="10" t="inlineStr">
        <is>
          <t>DOCUMENTO DE ARCHIVO-FÍSICO</t>
        </is>
      </c>
      <c r="N22" s="10" t="inlineStr">
        <is>
          <t>PRIMARIOS</t>
        </is>
      </c>
      <c r="O22" s="10" t="inlineStr">
        <is>
          <t>COMUNICACIÓN INTERNA</t>
        </is>
      </c>
      <c r="P22" s="10" t="inlineStr">
        <is>
          <t>PUBLICA(1)</t>
        </is>
      </c>
      <c r="Q22" s="10" t="inlineStr">
        <is>
          <t>BAJA(1)</t>
        </is>
      </c>
      <c r="R22" s="10" t="inlineStr">
        <is>
          <t>BAJA(1)</t>
        </is>
      </c>
      <c r="S22" s="10">
        <f>+(IF(P22="PUBLICA(1)",1,IF(P22="USO INTERNO(2)",2,IF(P22="RESTRINGIDO(3)",3,3))))+(IF(Q22="BAJA(1)",1,IF(Q22="MEDIA(2)",2,IF(Q22="ALTA(3)",3,3))))+(IF(R22="BAJA(1)",1,IF(R22="MEDIA(2)",2,IF(R22="ALTA(3)",3,3))))</f>
        <v/>
      </c>
      <c r="T22" s="10">
        <f>+IF(S22&lt;6,"BAJA",IF(S22&lt;8,"MEDIA","ALTA"))</f>
        <v/>
      </c>
      <c r="U22" s="10" t="inlineStr">
        <is>
          <t>-</t>
        </is>
      </c>
      <c r="V22" s="24" t="n">
        <v>45680</v>
      </c>
      <c r="W22" s="19" t="inlineStr">
        <is>
          <t>N/A</t>
        </is>
      </c>
      <c r="X22" s="10">
        <f>+IFERROR(IF(VLOOKUP(Tabla2[[#This Row],[ID]],'EVALUACION DE RIESGO'!A:A,1,FALSE)=Tabla2[[#This Row],[ID]],"SI","NO"),"NO")</f>
        <v/>
      </c>
      <c r="AD22">
        <f>IF(AND(Y22="",AA22=""),"",IF(OR(LEFT(AA22,2)="L0",LEFT(AA22,2)="L1",Y22="No Iniciado"),"CRÍTICO - Incumplimiento Normativo SEPS",IF(AND(OR(LEFT(AA22,2)="L4",LEFT(AA22,2)="L5"),AND(AC22&lt;&gt;"",AC22&lt;&gt;"N/A")),"CONFORME - Control Efectivo ISO 27001","OBSERVACIÓN - Revisar Controles")))</f>
        <v/>
      </c>
    </row>
    <row r="23">
      <c r="A23" s="99" t="inlineStr">
        <is>
          <t>21-GAD</t>
        </is>
      </c>
      <c r="B23" s="10" t="inlineStr">
        <is>
          <t>APOYO</t>
        </is>
      </c>
      <c r="C23" s="10" t="inlineStr">
        <is>
          <t xml:space="preserve">Gestión Administrativa </t>
        </is>
      </c>
      <c r="D23" s="10" t="inlineStr">
        <is>
          <t>GAD</t>
        </is>
      </c>
      <c r="E23" s="10" t="inlineStr">
        <is>
          <t xml:space="preserve">Gestión de Activos </t>
        </is>
      </c>
      <c r="F23" s="10" t="inlineStr">
        <is>
          <t>-</t>
        </is>
      </c>
      <c r="G23" s="10" t="inlineStr">
        <is>
          <t xml:space="preserve">Subasta de bienes </t>
        </is>
      </c>
      <c r="H23" s="10" t="inlineStr">
        <is>
          <t>Formulario de propuestas</t>
        </is>
      </c>
      <c r="I23" s="10" t="inlineStr">
        <is>
          <t xml:space="preserve">Formulario que se recibe del comprador donde indica el detalle del bien, el valor y firmas </t>
        </is>
      </c>
      <c r="J23" s="10" t="inlineStr">
        <is>
          <t>Jefe Administrativo</t>
        </is>
      </c>
      <c r="K23" s="10" t="inlineStr">
        <is>
          <t>Jefe Administrativo</t>
        </is>
      </c>
      <c r="L23" s="10" t="inlineStr">
        <is>
          <t>UBICACIÓN DIGITAL-EQUIPO DEL CUSTODIO</t>
        </is>
      </c>
      <c r="M23" s="10" t="inlineStr">
        <is>
          <t>DISCOS DUROS, SERVIDORES, DISCOS O MEDIOS PORTÁTILES, CINTAS O MEDIOS DE VIDEO Y AUDIO, ETC.</t>
        </is>
      </c>
      <c r="N23" s="10" t="inlineStr">
        <is>
          <t>PRIMARIOS</t>
        </is>
      </c>
      <c r="O23" s="10" t="inlineStr">
        <is>
          <t>DOCUMENTOS TÉCNICOS</t>
        </is>
      </c>
      <c r="P23" s="10" t="inlineStr">
        <is>
          <t>PUBLICA(1)</t>
        </is>
      </c>
      <c r="Q23" s="10" t="inlineStr">
        <is>
          <t>BAJA(1)</t>
        </is>
      </c>
      <c r="R23" s="10" t="inlineStr">
        <is>
          <t>BAJA(1)</t>
        </is>
      </c>
      <c r="S23" s="10">
        <f>+(IF(P23="PUBLICA(1)",1,IF(P23="USO INTERNO(2)",2,IF(P23="RESTRINGIDO(3)",3,3))))+(IF(Q23="BAJA(1)",1,IF(Q23="MEDIA(2)",2,IF(Q23="ALTA(3)",3,3))))+(IF(R23="BAJA(1)",1,IF(R23="MEDIA(2)",2,IF(R23="ALTA(3)",3,3))))</f>
        <v/>
      </c>
      <c r="T23" s="10">
        <f>+IF(S23&lt;6,"BAJA",IF(S23&lt;8,"MEDIA","ALTA"))</f>
        <v/>
      </c>
      <c r="U23" s="10" t="inlineStr">
        <is>
          <t>-</t>
        </is>
      </c>
      <c r="V23" s="24" t="n">
        <v>45680</v>
      </c>
      <c r="W23" s="19" t="inlineStr">
        <is>
          <t>N/A</t>
        </is>
      </c>
      <c r="X23" s="10">
        <f>+IFERROR(IF(VLOOKUP(Tabla2[[#This Row],[ID]],'EVALUACION DE RIESGO'!A:A,1,FALSE)=Tabla2[[#This Row],[ID]],"SI","NO"),"NO")</f>
        <v/>
      </c>
      <c r="AD23">
        <f>IF(AND(Y23="",AA23=""),"",IF(OR(LEFT(AA23,2)="L0",LEFT(AA23,2)="L1",Y23="No Iniciado"),"CRÍTICO - Incumplimiento Normativo SEPS",IF(AND(OR(LEFT(AA23,2)="L4",LEFT(AA23,2)="L5"),AND(AC23&lt;&gt;"",AC23&lt;&gt;"N/A")),"CONFORME - Control Efectivo ISO 27001","OBSERVACIÓN - Revisar Controles")))</f>
        <v/>
      </c>
    </row>
    <row r="24">
      <c r="A24" s="99" t="inlineStr">
        <is>
          <t>22-GAD</t>
        </is>
      </c>
      <c r="B24" s="10" t="inlineStr">
        <is>
          <t>APOYO</t>
        </is>
      </c>
      <c r="C24" s="10" t="inlineStr">
        <is>
          <t xml:space="preserve">Gestión Administrativa </t>
        </is>
      </c>
      <c r="D24" s="10" t="inlineStr">
        <is>
          <t>GAD</t>
        </is>
      </c>
      <c r="E24" s="10" t="inlineStr">
        <is>
          <t xml:space="preserve">Gestión de Activos </t>
        </is>
      </c>
      <c r="F24" s="10" t="inlineStr">
        <is>
          <t>-</t>
        </is>
      </c>
      <c r="G24" s="10" t="inlineStr">
        <is>
          <t xml:space="preserve">Subasta de bienes </t>
        </is>
      </c>
      <c r="H24" s="10" t="inlineStr">
        <is>
          <t>Acta de la apertura de sobres</t>
        </is>
      </c>
      <c r="I24" s="10" t="inlineStr">
        <is>
          <t>Acta donde se presenta el detalle de la compra venta</t>
        </is>
      </c>
      <c r="J24" s="10" t="inlineStr">
        <is>
          <t>Jefe Administrativo</t>
        </is>
      </c>
      <c r="K24" s="10" t="inlineStr">
        <is>
          <t>Asistente administrativo</t>
        </is>
      </c>
      <c r="L24" s="10" t="inlineStr">
        <is>
          <t>DOCUMENTOS FISICOS-ARCHIVOS DE LA OFICINA</t>
        </is>
      </c>
      <c r="M24" s="10" t="inlineStr">
        <is>
          <t>DOCUMENTO DE ARCHIVO-FÍSICO</t>
        </is>
      </c>
      <c r="N24" s="10" t="inlineStr">
        <is>
          <t>PRIMARIOS</t>
        </is>
      </c>
      <c r="O24" s="10" t="inlineStr">
        <is>
          <t>DOCUMENTOS HABILITANTES</t>
        </is>
      </c>
      <c r="P24" s="10" t="inlineStr">
        <is>
          <t>USO INTERNO(2)</t>
        </is>
      </c>
      <c r="Q24" s="10" t="inlineStr">
        <is>
          <t>MEDIA(2)</t>
        </is>
      </c>
      <c r="R24" s="10" t="inlineStr">
        <is>
          <t>MEDIA(2)</t>
        </is>
      </c>
      <c r="S24" s="10">
        <f>+(IF(P24="PUBLICA(1)",1,IF(P24="USO INTERNO(2)",2,IF(P24="RESTRINGIDO(3)",3,3))))+(IF(Q24="BAJA(1)",1,IF(Q24="MEDIA(2)",2,IF(Q24="ALTA(3)",3,3))))+(IF(R24="BAJA(1)",1,IF(R24="MEDIA(2)",2,IF(R24="ALTA(3)",3,3))))</f>
        <v/>
      </c>
      <c r="T24" s="10">
        <f>+IF(S24&lt;6,"BAJA",IF(S24&lt;8,"MEDIA","ALTA"))</f>
        <v/>
      </c>
      <c r="U24" s="10" t="inlineStr">
        <is>
          <t>-</t>
        </is>
      </c>
      <c r="V24" s="24" t="n">
        <v>45680</v>
      </c>
      <c r="W24" s="19" t="inlineStr">
        <is>
          <t>N/A</t>
        </is>
      </c>
      <c r="X24" s="10">
        <f>+IFERROR(IF(VLOOKUP(Tabla2[[#This Row],[ID]],'EVALUACION DE RIESGO'!A:A,1,FALSE)=Tabla2[[#This Row],[ID]],"SI","NO"),"NO")</f>
        <v/>
      </c>
      <c r="AD24">
        <f>IF(AND(Y24="",AA24=""),"",IF(OR(LEFT(AA24,2)="L0",LEFT(AA24,2)="L1",Y24="No Iniciado"),"CRÍTICO - Incumplimiento Normativo SEPS",IF(AND(OR(LEFT(AA24,2)="L4",LEFT(AA24,2)="L5"),AND(AC24&lt;&gt;"",AC24&lt;&gt;"N/A")),"CONFORME - Control Efectivo ISO 27001","OBSERVACIÓN - Revisar Controles")))</f>
        <v/>
      </c>
    </row>
    <row r="25">
      <c r="A25" s="99" t="inlineStr">
        <is>
          <t>23-GAD</t>
        </is>
      </c>
      <c r="B25" s="10" t="inlineStr">
        <is>
          <t>APOYO</t>
        </is>
      </c>
      <c r="C25" s="10" t="inlineStr">
        <is>
          <t xml:space="preserve">Gestión Administrativa </t>
        </is>
      </c>
      <c r="D25" s="10" t="inlineStr">
        <is>
          <t>GAD</t>
        </is>
      </c>
      <c r="E25" s="10" t="inlineStr">
        <is>
          <t xml:space="preserve">Gestión de Activos </t>
        </is>
      </c>
      <c r="F25" s="10" t="inlineStr">
        <is>
          <t>-</t>
        </is>
      </c>
      <c r="G25" s="10" t="inlineStr">
        <is>
          <t xml:space="preserve">Subasta de bienes </t>
        </is>
      </c>
      <c r="H25" s="10" t="inlineStr">
        <is>
          <t>Listado de ofertas preferenciales</t>
        </is>
      </c>
      <c r="I25" s="10" t="inlineStr">
        <is>
          <t>Listado de ofertas en caso de existir, en general no se tiene un listado extenso de ofertas</t>
        </is>
      </c>
      <c r="J25" s="10" t="inlineStr">
        <is>
          <t>Jefe Administrativo</t>
        </is>
      </c>
      <c r="K25" s="10" t="inlineStr">
        <is>
          <t>Jefe Administrativo</t>
        </is>
      </c>
      <c r="L25" s="10" t="inlineStr">
        <is>
          <t>UBICACIÓN DIGITAL-EQUIPO DEL CUSTODIO</t>
        </is>
      </c>
      <c r="M25" s="10" t="inlineStr">
        <is>
          <t>DISCOS DUROS, SERVIDORES, DISCOS O MEDIOS PORTÁTILES, CINTAS O MEDIOS DE VIDEO Y AUDIO, ETC.</t>
        </is>
      </c>
      <c r="N25" s="10" t="inlineStr">
        <is>
          <t>PRIMARIOS</t>
        </is>
      </c>
      <c r="O25" s="10" t="inlineStr">
        <is>
          <t>DOCUMENTOS TÉCNICOS</t>
        </is>
      </c>
      <c r="P25" s="10" t="inlineStr">
        <is>
          <t>USO INTERNO(2)</t>
        </is>
      </c>
      <c r="Q25" s="10" t="inlineStr">
        <is>
          <t>BAJA(1)</t>
        </is>
      </c>
      <c r="R25" s="10" t="inlineStr">
        <is>
          <t>BAJA(1)</t>
        </is>
      </c>
      <c r="S25" s="10">
        <f>+(IF(P25="PUBLICA(1)",1,IF(P25="USO INTERNO(2)",2,IF(P25="RESTRINGIDO(3)",3,3))))+(IF(Q25="BAJA(1)",1,IF(Q25="MEDIA(2)",2,IF(Q25="ALTA(3)",3,3))))+(IF(R25="BAJA(1)",1,IF(R25="MEDIA(2)",2,IF(R25="ALTA(3)",3,3))))</f>
        <v/>
      </c>
      <c r="T25" s="10">
        <f>+IF(S25&lt;6,"BAJA",IF(S25&lt;8,"MEDIA","ALTA"))</f>
        <v/>
      </c>
      <c r="U25" s="10" t="inlineStr">
        <is>
          <t>-</t>
        </is>
      </c>
      <c r="V25" s="24" t="n">
        <v>45680</v>
      </c>
      <c r="W25" s="19" t="inlineStr">
        <is>
          <t>N/A</t>
        </is>
      </c>
      <c r="X25" s="10">
        <f>+IFERROR(IF(VLOOKUP(Tabla2[[#This Row],[ID]],'EVALUACION DE RIESGO'!A:A,1,FALSE)=Tabla2[[#This Row],[ID]],"SI","NO"),"NO")</f>
        <v/>
      </c>
      <c r="AD25">
        <f>IF(AND(Y25="",AA25=""),"",IF(OR(LEFT(AA25,2)="L0",LEFT(AA25,2)="L1",Y25="No Iniciado"),"CRÍTICO - Incumplimiento Normativo SEPS",IF(AND(OR(LEFT(AA25,2)="L4",LEFT(AA25,2)="L5"),AND(AC25&lt;&gt;"",AC25&lt;&gt;"N/A")),"CONFORME - Control Efectivo ISO 27001","OBSERVACIÓN - Revisar Controles")))</f>
        <v/>
      </c>
    </row>
    <row r="26">
      <c r="A26" s="99" t="inlineStr">
        <is>
          <t>24-GAD</t>
        </is>
      </c>
      <c r="B26" s="10" t="inlineStr">
        <is>
          <t>APOYO</t>
        </is>
      </c>
      <c r="C26" s="10" t="inlineStr">
        <is>
          <t xml:space="preserve">Gestión Administrativa </t>
        </is>
      </c>
      <c r="D26" s="10" t="inlineStr">
        <is>
          <t>GAD</t>
        </is>
      </c>
      <c r="E26" s="10" t="inlineStr">
        <is>
          <t xml:space="preserve">Gestión de Activos </t>
        </is>
      </c>
      <c r="F26" s="10" t="inlineStr">
        <is>
          <t>-</t>
        </is>
      </c>
      <c r="G26" s="10" t="inlineStr">
        <is>
          <t xml:space="preserve">Subasta de bienes </t>
        </is>
      </c>
      <c r="H26" s="10" t="inlineStr">
        <is>
          <t>Lista de ganadores</t>
        </is>
      </c>
      <c r="I26" s="10" t="inlineStr">
        <is>
          <t>Resolución adjunta al contrato de compra venta, detallando el inmueble, valores ofertantes, valores de venta, entre otros</t>
        </is>
      </c>
      <c r="J26" s="10" t="inlineStr">
        <is>
          <t>Jefe Administrativo</t>
        </is>
      </c>
      <c r="K26" s="10" t="inlineStr">
        <is>
          <t>Asistente administrativo</t>
        </is>
      </c>
      <c r="L26" s="10" t="inlineStr">
        <is>
          <t>DOCUMENTOS FISICOS-ARCHIVOS DE LA OFICINA</t>
        </is>
      </c>
      <c r="M26" s="10" t="inlineStr">
        <is>
          <t>DOCUMENTO DE ARCHIVO-FÍSICO</t>
        </is>
      </c>
      <c r="N26" s="10" t="inlineStr">
        <is>
          <t>PRIMARIOS</t>
        </is>
      </c>
      <c r="O26" s="10" t="inlineStr">
        <is>
          <t>DOCUMENTOS TÉCNICOS</t>
        </is>
      </c>
      <c r="P26" s="10" t="inlineStr">
        <is>
          <t>USO INTERNO(2)</t>
        </is>
      </c>
      <c r="Q26" s="10" t="inlineStr">
        <is>
          <t>BAJA(1)</t>
        </is>
      </c>
      <c r="R26" s="10" t="inlineStr">
        <is>
          <t>BAJA(1)</t>
        </is>
      </c>
      <c r="S26" s="10">
        <f>+(IF(P26="PUBLICA(1)",1,IF(P26="USO INTERNO(2)",2,IF(P26="RESTRINGIDO(3)",3,3))))+(IF(Q26="BAJA(1)",1,IF(Q26="MEDIA(2)",2,IF(Q26="ALTA(3)",3,3))))+(IF(R26="BAJA(1)",1,IF(R26="MEDIA(2)",2,IF(R26="ALTA(3)",3,3))))</f>
        <v/>
      </c>
      <c r="T26" s="10">
        <f>+IF(S26&lt;6,"BAJA",IF(S26&lt;8,"MEDIA","ALTA"))</f>
        <v/>
      </c>
      <c r="U26" s="10" t="inlineStr">
        <is>
          <t>-</t>
        </is>
      </c>
      <c r="V26" s="24" t="n">
        <v>45680</v>
      </c>
      <c r="W26" s="19" t="inlineStr">
        <is>
          <t>N/A</t>
        </is>
      </c>
      <c r="X26" s="10">
        <f>+IFERROR(IF(VLOOKUP(Tabla2[[#This Row],[ID]],'EVALUACION DE RIESGO'!A:A,1,FALSE)=Tabla2[[#This Row],[ID]],"SI","NO"),"NO")</f>
        <v/>
      </c>
      <c r="AD26">
        <f>IF(AND(Y26="",AA26=""),"",IF(OR(LEFT(AA26,2)="L0",LEFT(AA26,2)="L1",Y26="No Iniciado"),"CRÍTICO - Incumplimiento Normativo SEPS",IF(AND(OR(LEFT(AA26,2)="L4",LEFT(AA26,2)="L5"),AND(AC26&lt;&gt;"",AC26&lt;&gt;"N/A")),"CONFORME - Control Efectivo ISO 27001","OBSERVACIÓN - Revisar Controles")))</f>
        <v/>
      </c>
    </row>
    <row r="27">
      <c r="A27" s="99" t="inlineStr">
        <is>
          <t>25-GAD</t>
        </is>
      </c>
      <c r="B27" s="10" t="inlineStr">
        <is>
          <t>APOYO</t>
        </is>
      </c>
      <c r="C27" s="10" t="inlineStr">
        <is>
          <t xml:space="preserve">Gestión Administrativa </t>
        </is>
      </c>
      <c r="D27" s="10" t="inlineStr">
        <is>
          <t>GAD</t>
        </is>
      </c>
      <c r="E27" s="10" t="inlineStr">
        <is>
          <t xml:space="preserve">Gestión de Activos </t>
        </is>
      </c>
      <c r="F27" s="10" t="inlineStr">
        <is>
          <t>-</t>
        </is>
      </c>
      <c r="G27" s="10" t="inlineStr">
        <is>
          <t>Venta de bienes adjudicados o en dación en pago/Subasta pública de bienes recibidos por dación en pago</t>
        </is>
      </c>
      <c r="H27" s="10" t="inlineStr">
        <is>
          <t>Documento de sustento del pago</t>
        </is>
      </c>
      <c r="I27" s="10" t="inlineStr">
        <is>
          <t>Comprobante de transferencia, depósito que se realiza en el proceso</t>
        </is>
      </c>
      <c r="J27" s="10" t="inlineStr">
        <is>
          <t>Jefe Administrativo</t>
        </is>
      </c>
      <c r="K27" s="10" t="inlineStr">
        <is>
          <t>Asistente administrativo</t>
        </is>
      </c>
      <c r="L27" s="10" t="inlineStr">
        <is>
          <t>DOCUMENTOS FISICOS-ARCHIVOS DE LA OFICINA</t>
        </is>
      </c>
      <c r="M27" s="10" t="inlineStr">
        <is>
          <t>DOCUMENTO DE ARCHIVO-FÍSICO</t>
        </is>
      </c>
      <c r="N27" s="10" t="inlineStr">
        <is>
          <t>PRIMARIOS</t>
        </is>
      </c>
      <c r="O27" s="10" t="inlineStr">
        <is>
          <t>DOCUMENTOS HABILITANTES</t>
        </is>
      </c>
      <c r="P27" s="10" t="inlineStr">
        <is>
          <t>USO INTERNO(2)</t>
        </is>
      </c>
      <c r="Q27" s="10" t="inlineStr">
        <is>
          <t>MEDIA(2)</t>
        </is>
      </c>
      <c r="R27" s="10" t="inlineStr">
        <is>
          <t>MEDIA(2)</t>
        </is>
      </c>
      <c r="S27" s="10">
        <f>+(IF(P27="PUBLICA(1)",1,IF(P27="USO INTERNO(2)",2,IF(P27="RESTRINGIDO(3)",3,3))))+(IF(Q27="BAJA(1)",1,IF(Q27="MEDIA(2)",2,IF(Q27="ALTA(3)",3,3))))+(IF(R27="BAJA(1)",1,IF(R27="MEDIA(2)",2,IF(R27="ALTA(3)",3,3))))</f>
        <v/>
      </c>
      <c r="T27" s="10">
        <f>+IF(S27&lt;6,"BAJA",IF(S27&lt;8,"MEDIA","ALTA"))</f>
        <v/>
      </c>
      <c r="U27" s="10" t="inlineStr">
        <is>
          <t>-</t>
        </is>
      </c>
      <c r="V27" s="24" t="n">
        <v>45680</v>
      </c>
      <c r="W27" s="19" t="inlineStr">
        <is>
          <t>N/A</t>
        </is>
      </c>
      <c r="X27" s="10">
        <f>+IFERROR(IF(VLOOKUP(Tabla2[[#This Row],[ID]],'EVALUACION DE RIESGO'!A:A,1,FALSE)=Tabla2[[#This Row],[ID]],"SI","NO"),"NO")</f>
        <v/>
      </c>
      <c r="AD27">
        <f>IF(AND(Y27="",AA27=""),"",IF(OR(LEFT(AA27,2)="L0",LEFT(AA27,2)="L1",Y27="No Iniciado"),"CRÍTICO - Incumplimiento Normativo SEPS",IF(AND(OR(LEFT(AA27,2)="L4",LEFT(AA27,2)="L5"),AND(AC27&lt;&gt;"",AC27&lt;&gt;"N/A")),"CONFORME - Control Efectivo ISO 27001","OBSERVACIÓN - Revisar Controles")))</f>
        <v/>
      </c>
    </row>
    <row r="28">
      <c r="A28" s="99" t="inlineStr">
        <is>
          <t>26-GAD</t>
        </is>
      </c>
      <c r="B28" s="10" t="inlineStr">
        <is>
          <t>APOYO</t>
        </is>
      </c>
      <c r="C28" s="10" t="inlineStr">
        <is>
          <t xml:space="preserve">Gestión Administrativa </t>
        </is>
      </c>
      <c r="D28" s="10" t="inlineStr">
        <is>
          <t>GAD</t>
        </is>
      </c>
      <c r="E28" s="10" t="inlineStr">
        <is>
          <t xml:space="preserve">Gestión de Activos </t>
        </is>
      </c>
      <c r="F28" s="10" t="inlineStr">
        <is>
          <t>-</t>
        </is>
      </c>
      <c r="G28" s="10" t="inlineStr">
        <is>
          <t>Venta de bienes adjudicados o en dación en pago/Subasta pública de bienes recibidos por dación en pago</t>
        </is>
      </c>
      <c r="H28" s="10" t="inlineStr">
        <is>
          <t>Contrato de compraventa</t>
        </is>
      </c>
      <c r="I28" s="10" t="inlineStr">
        <is>
          <t>Minuta elaborada entre la cooperativa y el comprador, se adjuntan todos los documentos que avalan</t>
        </is>
      </c>
      <c r="J28" s="10" t="inlineStr">
        <is>
          <t>Jefe Administrativo</t>
        </is>
      </c>
      <c r="K28" s="10" t="inlineStr">
        <is>
          <t>Asistente administrativo</t>
        </is>
      </c>
      <c r="L28" s="10" t="inlineStr">
        <is>
          <t>DOCUMENTOS FISICOS-ARCHIVOS DE LA OFICINA</t>
        </is>
      </c>
      <c r="M28" s="10" t="inlineStr">
        <is>
          <t>DOCUMENTO DE ARCHIVO-FÍSICO</t>
        </is>
      </c>
      <c r="N28" s="10" t="inlineStr">
        <is>
          <t>PRIMARIOS</t>
        </is>
      </c>
      <c r="O28" s="10" t="inlineStr">
        <is>
          <t>CONVENIOS Y CONTRATOS</t>
        </is>
      </c>
      <c r="P28" s="10" t="inlineStr">
        <is>
          <t>USO INTERNO(2)</t>
        </is>
      </c>
      <c r="Q28" s="10" t="inlineStr">
        <is>
          <t>MEDIA(2)</t>
        </is>
      </c>
      <c r="R28" s="10" t="inlineStr">
        <is>
          <t>MEDIA(2)</t>
        </is>
      </c>
      <c r="S28" s="10">
        <f>+(IF(P28="PUBLICA(1)",1,IF(P28="USO INTERNO(2)",2,IF(P28="RESTRINGIDO(3)",3,3))))+(IF(Q28="BAJA(1)",1,IF(Q28="MEDIA(2)",2,IF(Q28="ALTA(3)",3,3))))+(IF(R28="BAJA(1)",1,IF(R28="MEDIA(2)",2,IF(R28="ALTA(3)",3,3))))</f>
        <v/>
      </c>
      <c r="T28" s="10">
        <f>+IF(S28&lt;6,"BAJA",IF(S28&lt;8,"MEDIA","ALTA"))</f>
        <v/>
      </c>
      <c r="U28" s="10" t="inlineStr">
        <is>
          <t>-</t>
        </is>
      </c>
      <c r="V28" s="24" t="n">
        <v>45680</v>
      </c>
      <c r="W28" s="19" t="inlineStr">
        <is>
          <t>N/A</t>
        </is>
      </c>
      <c r="X28" s="10">
        <f>+IFERROR(IF(VLOOKUP(Tabla2[[#This Row],[ID]],'EVALUACION DE RIESGO'!A:A,1,FALSE)=Tabla2[[#This Row],[ID]],"SI","NO"),"NO")</f>
        <v/>
      </c>
      <c r="AD28">
        <f>IF(AND(Y28="",AA28=""),"",IF(OR(LEFT(AA28,2)="L0",LEFT(AA28,2)="L1",Y28="No Iniciado"),"CRÍTICO - Incumplimiento Normativo SEPS",IF(AND(OR(LEFT(AA28,2)="L4",LEFT(AA28,2)="L5"),AND(AC28&lt;&gt;"",AC28&lt;&gt;"N/A")),"CONFORME - Control Efectivo ISO 27001","OBSERVACIÓN - Revisar Controles")))</f>
        <v/>
      </c>
    </row>
    <row r="29">
      <c r="A29" s="99" t="inlineStr">
        <is>
          <t>27-GAD</t>
        </is>
      </c>
      <c r="B29" s="10" t="inlineStr">
        <is>
          <t>APOYO</t>
        </is>
      </c>
      <c r="C29" s="10" t="inlineStr">
        <is>
          <t xml:space="preserve">Gestión Administrativa </t>
        </is>
      </c>
      <c r="D29" s="10" t="inlineStr">
        <is>
          <t>GAD</t>
        </is>
      </c>
      <c r="E29" s="10" t="inlineStr">
        <is>
          <t>Gestión de Seguros</t>
        </is>
      </c>
      <c r="F29" s="10" t="inlineStr">
        <is>
          <t>-</t>
        </is>
      </c>
      <c r="G29" s="10" t="inlineStr">
        <is>
          <t xml:space="preserve">Selección de Asesor Productor de Seguros     </t>
        </is>
      </c>
      <c r="H29" s="10" t="inlineStr">
        <is>
          <t>TDR para selección de empresa asesora productora de seguros</t>
        </is>
      </c>
      <c r="I29" s="10" t="inlineStr">
        <is>
          <t>Acuerdo a la necesidad institucional, TDR para la designación de empresa Asesora Proveedora de Seguros y reriva el proceso de selección conforma disposición del CAD</t>
        </is>
      </c>
      <c r="J29" s="10" t="inlineStr">
        <is>
          <t>Jefe Administrativo</t>
        </is>
      </c>
      <c r="K29" s="10" t="inlineStr">
        <is>
          <t>Asistente jurídico</t>
        </is>
      </c>
      <c r="L29" s="10" t="inlineStr">
        <is>
          <t>UBICACIÓN DIGITAL-EQUIPO DEL CUSTODIO</t>
        </is>
      </c>
      <c r="M29" s="10" t="inlineStr">
        <is>
          <t>DISCOS DUROS, SERVIDORES, DISCOS O MEDIOS PORTÁTILES, CINTAS O MEDIOS DE VIDEO Y AUDIO, ETC.</t>
        </is>
      </c>
      <c r="N29" s="10" t="inlineStr">
        <is>
          <t>PRIMARIOS</t>
        </is>
      </c>
      <c r="O29" s="10" t="inlineStr">
        <is>
          <t>DOCUMENTOS TÉCNICOS</t>
        </is>
      </c>
      <c r="P29" s="10" t="inlineStr">
        <is>
          <t>USO INTERNO(2)</t>
        </is>
      </c>
      <c r="Q29" s="10" t="inlineStr">
        <is>
          <t>MEDIA(2)</t>
        </is>
      </c>
      <c r="R29" s="10" t="inlineStr">
        <is>
          <t>MEDIA(2)</t>
        </is>
      </c>
      <c r="S29" s="10">
        <f>+(IF(P29="PUBLICA(1)",1,IF(P29="USO INTERNO(2)",2,IF(P29="RESTRINGIDO(3)",3,3))))+(IF(Q29="BAJA(1)",1,IF(Q29="MEDIA(2)",2,IF(Q29="ALTA(3)",3,3))))+(IF(R29="BAJA(1)",1,IF(R29="MEDIA(2)",2,IF(R29="ALTA(3)",3,3))))</f>
        <v/>
      </c>
      <c r="T29" s="10">
        <f>+IF(S29&lt;6,"BAJA",IF(S29&lt;8,"MEDIA","ALTA"))</f>
        <v/>
      </c>
      <c r="U29" s="10" t="inlineStr">
        <is>
          <t>-</t>
        </is>
      </c>
      <c r="V29" s="24" t="n">
        <v>45680</v>
      </c>
      <c r="W29" s="19" t="inlineStr">
        <is>
          <t>N/A</t>
        </is>
      </c>
      <c r="X29" s="10">
        <f>+IFERROR(IF(VLOOKUP(Tabla2[[#This Row],[ID]],'EVALUACION DE RIESGO'!A:A,1,FALSE)=Tabla2[[#This Row],[ID]],"SI","NO"),"NO")</f>
        <v/>
      </c>
      <c r="AD29">
        <f>IF(AND(Y29="",AA29=""),"",IF(OR(LEFT(AA29,2)="L0",LEFT(AA29,2)="L1",Y29="No Iniciado"),"CRÍTICO - Incumplimiento Normativo SEPS",IF(AND(OR(LEFT(AA29,2)="L4",LEFT(AA29,2)="L5"),AND(AC29&lt;&gt;"",AC29&lt;&gt;"N/A")),"CONFORME - Control Efectivo ISO 27001","OBSERVACIÓN - Revisar Controles")))</f>
        <v/>
      </c>
    </row>
    <row r="30">
      <c r="A30" s="99" t="inlineStr">
        <is>
          <t>28-GAD</t>
        </is>
      </c>
      <c r="B30" s="10" t="inlineStr">
        <is>
          <t>APOYO</t>
        </is>
      </c>
      <c r="C30" s="10" t="inlineStr">
        <is>
          <t xml:space="preserve">Gestión Administrativa </t>
        </is>
      </c>
      <c r="D30" s="10" t="inlineStr">
        <is>
          <t>GAD</t>
        </is>
      </c>
      <c r="E30" s="10" t="inlineStr">
        <is>
          <t>Gestión de Seguros</t>
        </is>
      </c>
      <c r="F30" s="10" t="inlineStr">
        <is>
          <t>-</t>
        </is>
      </c>
      <c r="G30" s="10" t="inlineStr">
        <is>
          <t>Contratación de seguros</t>
        </is>
      </c>
      <c r="H30" s="10" t="inlineStr">
        <is>
          <t>Póliza de seguros</t>
        </is>
      </c>
      <c r="I30" s="10" t="inlineStr">
        <is>
          <t>Archivos físicos o dispositivos de almacenamiento digital con el file de la poliza</t>
        </is>
      </c>
      <c r="J30" s="10" t="inlineStr">
        <is>
          <t>Jefe Administrativo</t>
        </is>
      </c>
      <c r="K30" s="10" t="inlineStr">
        <is>
          <t>Jefe Administrativo</t>
        </is>
      </c>
      <c r="L30" s="10" t="inlineStr">
        <is>
          <t>DOCUMENTOS FISICOS-ARCHIVOS DE LA OFICINA</t>
        </is>
      </c>
      <c r="M30" s="10" t="inlineStr">
        <is>
          <t>DOCUMENTO DE ARCHIVO-FÍSICO</t>
        </is>
      </c>
      <c r="N30" s="10" t="inlineStr">
        <is>
          <t>PRIMARIOS</t>
        </is>
      </c>
      <c r="O30" s="10" t="inlineStr">
        <is>
          <t>DOCUMENTOS HABILITANTES</t>
        </is>
      </c>
      <c r="P30" s="10" t="inlineStr">
        <is>
          <t>USO INTERNO(2)</t>
        </is>
      </c>
      <c r="Q30" s="10" t="inlineStr">
        <is>
          <t>MEDIA(2)</t>
        </is>
      </c>
      <c r="R30" s="10" t="inlineStr">
        <is>
          <t>ALTA(3)</t>
        </is>
      </c>
      <c r="S30" s="10">
        <f>+(IF(P30="PUBLICA(1)",1,IF(P30="USO INTERNO(2)",2,IF(P30="RESTRINGIDO(3)",3,3))))+(IF(Q30="BAJA(1)",1,IF(Q30="MEDIA(2)",2,IF(Q30="ALTA(3)",3,3))))+(IF(R30="BAJA(1)",1,IF(R30="MEDIA(2)",2,IF(R30="ALTA(3)",3,3))))</f>
        <v/>
      </c>
      <c r="T30" s="10">
        <f>+IF(S30&lt;6,"BAJA",IF(S30&lt;8,"MEDIA","ALTA"))</f>
        <v/>
      </c>
      <c r="U30" s="10" t="inlineStr">
        <is>
          <t>-</t>
        </is>
      </c>
      <c r="V30" s="24" t="n">
        <v>45680</v>
      </c>
      <c r="W30" s="19" t="inlineStr">
        <is>
          <t>N/A</t>
        </is>
      </c>
      <c r="X30" s="10">
        <f>+IFERROR(IF(VLOOKUP(Tabla2[[#This Row],[ID]],'EVALUACION DE RIESGO'!A:A,1,FALSE)=Tabla2[[#This Row],[ID]],"SI","NO"),"NO")</f>
        <v/>
      </c>
      <c r="AD30">
        <f>IF(AND(Y30="",AA30=""),"",IF(OR(LEFT(AA30,2)="L0",LEFT(AA30,2)="L1",Y30="No Iniciado"),"CRÍTICO - Incumplimiento Normativo SEPS",IF(AND(OR(LEFT(AA30,2)="L4",LEFT(AA30,2)="L5"),AND(AC30&lt;&gt;"",AC30&lt;&gt;"N/A")),"CONFORME - Control Efectivo ISO 27001","OBSERVACIÓN - Revisar Controles")))</f>
        <v/>
      </c>
    </row>
    <row r="31">
      <c r="A31" s="99" t="inlineStr">
        <is>
          <t>29-GAD</t>
        </is>
      </c>
      <c r="B31" s="10" t="inlineStr">
        <is>
          <t>APOYO</t>
        </is>
      </c>
      <c r="C31" s="10" t="inlineStr">
        <is>
          <t xml:space="preserve">Gestión Administrativa </t>
        </is>
      </c>
      <c r="D31" s="10" t="inlineStr">
        <is>
          <t>GAD</t>
        </is>
      </c>
      <c r="E31" s="10" t="inlineStr">
        <is>
          <t>Gestión de Seguros</t>
        </is>
      </c>
      <c r="F31" s="10" t="inlineStr">
        <is>
          <t>-</t>
        </is>
      </c>
      <c r="G31" s="10" t="inlineStr">
        <is>
          <t xml:space="preserve">Evaluación de Asesor Productor de Seguros  </t>
        </is>
      </c>
      <c r="H31" s="10" t="inlineStr">
        <is>
          <t>Informe de análisis de desempeño del Asesor Productor de Seguros</t>
        </is>
      </c>
      <c r="I31" s="10" t="inlineStr">
        <is>
          <t>Informe de análisis de desempeño de Asesor Productor de Seguros con base al cumplimiento de las cláusulas establecidas en el convenio</t>
        </is>
      </c>
      <c r="J31" s="10" t="inlineStr">
        <is>
          <t>Jefe Administrativo</t>
        </is>
      </c>
      <c r="K31" s="10" t="inlineStr">
        <is>
          <t>Jefe Administrativo</t>
        </is>
      </c>
      <c r="L31" s="10" t="inlineStr">
        <is>
          <t>UBICACIÓN DIGITAL-EQUIPO DEL CUSTODIO</t>
        </is>
      </c>
      <c r="M31" s="10" t="inlineStr">
        <is>
          <t>DISCOS DUROS, SERVIDORES, DISCOS O MEDIOS PORTÁTILES, CINTAS O MEDIOS DE VIDEO Y AUDIO, ETC.</t>
        </is>
      </c>
      <c r="N31" s="10" t="inlineStr">
        <is>
          <t>PRIMARIOS</t>
        </is>
      </c>
      <c r="O31" s="10" t="inlineStr">
        <is>
          <t>DOCUMENTOS TÉCNICOS</t>
        </is>
      </c>
      <c r="P31" s="10" t="inlineStr">
        <is>
          <t>USO INTERNO(2)</t>
        </is>
      </c>
      <c r="Q31" s="10" t="inlineStr">
        <is>
          <t>BAJA(1)</t>
        </is>
      </c>
      <c r="R31" s="10" t="inlineStr">
        <is>
          <t>MEDIA(2)</t>
        </is>
      </c>
      <c r="S31" s="10">
        <f>+(IF(P31="PUBLICA(1)",1,IF(P31="USO INTERNO(2)",2,IF(P31="RESTRINGIDO(3)",3,3))))+(IF(Q31="BAJA(1)",1,IF(Q31="MEDIA(2)",2,IF(Q31="ALTA(3)",3,3))))+(IF(R31="BAJA(1)",1,IF(R31="MEDIA(2)",2,IF(R31="ALTA(3)",3,3))))</f>
        <v/>
      </c>
      <c r="T31" s="10">
        <f>+IF(S31&lt;6,"BAJA",IF(S31&lt;8,"MEDIA","ALTA"))</f>
        <v/>
      </c>
      <c r="U31" s="10" t="inlineStr">
        <is>
          <t>-</t>
        </is>
      </c>
      <c r="V31" s="24" t="n">
        <v>45680</v>
      </c>
      <c r="W31" s="19" t="inlineStr">
        <is>
          <t>N/A</t>
        </is>
      </c>
      <c r="X31" s="10">
        <f>+IFERROR(IF(VLOOKUP(Tabla2[[#This Row],[ID]],'EVALUACION DE RIESGO'!A:A,1,FALSE)=Tabla2[[#This Row],[ID]],"SI","NO"),"NO")</f>
        <v/>
      </c>
      <c r="AD31">
        <f>IF(AND(Y31="",AA31=""),"",IF(OR(LEFT(AA31,2)="L0",LEFT(AA31,2)="L1",Y31="No Iniciado"),"CRÍTICO - Incumplimiento Normativo SEPS",IF(AND(OR(LEFT(AA31,2)="L4",LEFT(AA31,2)="L5"),AND(AC31&lt;&gt;"",AC31&lt;&gt;"N/A")),"CONFORME - Control Efectivo ISO 27001","OBSERVACIÓN - Revisar Controles")))</f>
        <v/>
      </c>
    </row>
    <row r="32">
      <c r="A32" s="99" t="inlineStr">
        <is>
          <t>30-GAD</t>
        </is>
      </c>
      <c r="B32" s="10" t="inlineStr">
        <is>
          <t>APOYO</t>
        </is>
      </c>
      <c r="C32" s="10" t="inlineStr">
        <is>
          <t xml:space="preserve">Gestión Administrativa </t>
        </is>
      </c>
      <c r="D32" s="10" t="inlineStr">
        <is>
          <t>GAD</t>
        </is>
      </c>
      <c r="E32" s="10" t="inlineStr">
        <is>
          <t>Gestión de Seguros</t>
        </is>
      </c>
      <c r="F32" s="10" t="inlineStr">
        <is>
          <t>-</t>
        </is>
      </c>
      <c r="G32" s="10" t="inlineStr">
        <is>
          <t xml:space="preserve">Evaluación de Asesor Productor de Seguros  </t>
        </is>
      </c>
      <c r="H32" s="10" t="inlineStr">
        <is>
          <t>Resolución del consejo de Administración</t>
        </is>
      </c>
      <c r="I32" s="10" t="inlineStr">
        <is>
          <t>Resolución sobre las acciones a efectual para mejorar la gestión</t>
        </is>
      </c>
      <c r="J32" s="10" t="inlineStr">
        <is>
          <t>Jefe Administrativo</t>
        </is>
      </c>
      <c r="K32" s="10" t="inlineStr">
        <is>
          <t>Jefe Administrativo</t>
        </is>
      </c>
      <c r="L32" s="10" t="inlineStr">
        <is>
          <t>UBICACIÓN DIGITAL-EQUIPO DEL CUSTODIO</t>
        </is>
      </c>
      <c r="M32" s="10" t="inlineStr">
        <is>
          <t>DISCOS DUROS, SERVIDORES, DISCOS O MEDIOS PORTÁTILES, CINTAS O MEDIOS DE VIDEO Y AUDIO, ETC.</t>
        </is>
      </c>
      <c r="N32" s="10" t="inlineStr">
        <is>
          <t>PRIMARIOS</t>
        </is>
      </c>
      <c r="O32" s="10" t="inlineStr">
        <is>
          <t>COMUNICACIÓN INTERNA</t>
        </is>
      </c>
      <c r="P32" s="10" t="inlineStr">
        <is>
          <t>USO INTERNO(2)</t>
        </is>
      </c>
      <c r="Q32" s="10" t="inlineStr">
        <is>
          <t>MEDIA(2)</t>
        </is>
      </c>
      <c r="R32" s="10" t="inlineStr">
        <is>
          <t>MEDIA(2)</t>
        </is>
      </c>
      <c r="S32" s="10">
        <f>+(IF(P32="PUBLICA(1)",1,IF(P32="USO INTERNO(2)",2,IF(P32="RESTRINGIDO(3)",3,3))))+(IF(Q32="BAJA(1)",1,IF(Q32="MEDIA(2)",2,IF(Q32="ALTA(3)",3,3))))+(IF(R32="BAJA(1)",1,IF(R32="MEDIA(2)",2,IF(R32="ALTA(3)",3,3))))</f>
        <v/>
      </c>
      <c r="T32" s="10">
        <f>+IF(S32&lt;6,"BAJA",IF(S32&lt;8,"MEDIA","ALTA"))</f>
        <v/>
      </c>
      <c r="U32" s="10" t="inlineStr">
        <is>
          <t>-</t>
        </is>
      </c>
      <c r="V32" s="24" t="n">
        <v>45680</v>
      </c>
      <c r="W32" s="19" t="inlineStr">
        <is>
          <t>N/A</t>
        </is>
      </c>
      <c r="X32" s="10">
        <f>+IFERROR(IF(VLOOKUP(Tabla2[[#This Row],[ID]],'EVALUACION DE RIESGO'!A:A,1,FALSE)=Tabla2[[#This Row],[ID]],"SI","NO"),"NO")</f>
        <v/>
      </c>
      <c r="AD32">
        <f>IF(AND(Y32="",AA32=""),"",IF(OR(LEFT(AA32,2)="L0",LEFT(AA32,2)="L1",Y32="No Iniciado"),"CRÍTICO - Incumplimiento Normativo SEPS",IF(AND(OR(LEFT(AA32,2)="L4",LEFT(AA32,2)="L5"),AND(AC32&lt;&gt;"",AC32&lt;&gt;"N/A")),"CONFORME - Control Efectivo ISO 27001","OBSERVACIÓN - Revisar Controles")))</f>
        <v/>
      </c>
    </row>
    <row r="33">
      <c r="A33" s="99" t="inlineStr">
        <is>
          <t>31-GAD</t>
        </is>
      </c>
      <c r="B33" s="10" t="inlineStr">
        <is>
          <t>APOYO</t>
        </is>
      </c>
      <c r="C33" s="10" t="inlineStr">
        <is>
          <t xml:space="preserve">Gestión Administrativa </t>
        </is>
      </c>
      <c r="D33" s="10" t="inlineStr">
        <is>
          <t>GAD</t>
        </is>
      </c>
      <c r="E33" s="10" t="inlineStr">
        <is>
          <t>Gestión de Seguros</t>
        </is>
      </c>
      <c r="F33" s="10" t="inlineStr">
        <is>
          <t>-</t>
        </is>
      </c>
      <c r="G33" s="10" t="inlineStr">
        <is>
          <t xml:space="preserve">Convenios de gestión de cobranza y/o uso de red  </t>
        </is>
      </c>
      <c r="H33" s="10" t="inlineStr">
        <is>
          <t>Factura electrónica</t>
        </is>
      </c>
      <c r="I33" s="10" t="inlineStr">
        <is>
          <t>Factura emitidad por Administrativo Financiero con el detalle de los valores</t>
        </is>
      </c>
      <c r="J33" s="10" t="inlineStr">
        <is>
          <t>Jefe Administrativo</t>
        </is>
      </c>
      <c r="K33" s="10" t="inlineStr">
        <is>
          <t>Jefe Administrativo</t>
        </is>
      </c>
      <c r="L33" s="10" t="inlineStr">
        <is>
          <t>UBICACIÓN DIGITAL-EQUIPO DEL CUSTODIO</t>
        </is>
      </c>
      <c r="M33" s="10" t="inlineStr">
        <is>
          <t>DISCOS DUROS, SERVIDORES, DISCOS O MEDIOS PORTÁTILES, CINTAS O MEDIOS DE VIDEO Y AUDIO, ETC.</t>
        </is>
      </c>
      <c r="N33" s="10" t="inlineStr">
        <is>
          <t>PRIMARIOS</t>
        </is>
      </c>
      <c r="O33" s="10" t="inlineStr">
        <is>
          <t>DOCUMENTOS HABILITANTES</t>
        </is>
      </c>
      <c r="P33" s="10" t="inlineStr">
        <is>
          <t>USO INTERNO(2)</t>
        </is>
      </c>
      <c r="Q33" s="10" t="inlineStr">
        <is>
          <t>MEDIA(2)</t>
        </is>
      </c>
      <c r="R33" s="10" t="inlineStr">
        <is>
          <t>MEDIA(2)</t>
        </is>
      </c>
      <c r="S33" s="10">
        <f>+(IF(P33="PUBLICA(1)",1,IF(P33="USO INTERNO(2)",2,IF(P33="RESTRINGIDO(3)",3,3))))+(IF(Q33="BAJA(1)",1,IF(Q33="MEDIA(2)",2,IF(Q33="ALTA(3)",3,3))))+(IF(R33="BAJA(1)",1,IF(R33="MEDIA(2)",2,IF(R33="ALTA(3)",3,3))))</f>
        <v/>
      </c>
      <c r="T33" s="10">
        <f>+IF(S33&lt;6,"BAJA",IF(S33&lt;8,"MEDIA","ALTA"))</f>
        <v/>
      </c>
      <c r="U33" s="10" t="inlineStr">
        <is>
          <t>-</t>
        </is>
      </c>
      <c r="V33" s="24" t="n">
        <v>45680</v>
      </c>
      <c r="W33" s="19" t="inlineStr">
        <is>
          <t>N/A</t>
        </is>
      </c>
      <c r="X33" s="10">
        <f>+IFERROR(IF(VLOOKUP(Tabla2[[#This Row],[ID]],'EVALUACION DE RIESGO'!A:A,1,FALSE)=Tabla2[[#This Row],[ID]],"SI","NO"),"NO")</f>
        <v/>
      </c>
      <c r="AD33">
        <f>IF(AND(Y33="",AA33=""),"",IF(OR(LEFT(AA33,2)="L0",LEFT(AA33,2)="L1",Y33="No Iniciado"),"CRÍTICO - Incumplimiento Normativo SEPS",IF(AND(OR(LEFT(AA33,2)="L4",LEFT(AA33,2)="L5"),AND(AC33&lt;&gt;"",AC33&lt;&gt;"N/A")),"CONFORME - Control Efectivo ISO 27001","OBSERVACIÓN - Revisar Controles")))</f>
        <v/>
      </c>
    </row>
    <row r="34">
      <c r="A34" s="99" t="inlineStr">
        <is>
          <t>32-GAD</t>
        </is>
      </c>
      <c r="B34" s="10" t="inlineStr">
        <is>
          <t>APOYO</t>
        </is>
      </c>
      <c r="C34" s="10" t="inlineStr">
        <is>
          <t xml:space="preserve">Gestión Administrativa </t>
        </is>
      </c>
      <c r="D34" s="10" t="inlineStr">
        <is>
          <t>GAD</t>
        </is>
      </c>
      <c r="E34" s="10" t="inlineStr">
        <is>
          <t>Gestión de Seguros</t>
        </is>
      </c>
      <c r="F34" s="10" t="inlineStr">
        <is>
          <t>-</t>
        </is>
      </c>
      <c r="G34" s="10" t="inlineStr">
        <is>
          <t xml:space="preserve">Reclamo de siniestros de terceros  </t>
        </is>
      </c>
      <c r="H34" s="10" t="inlineStr">
        <is>
          <t>Finiquito de aseguradora</t>
        </is>
      </c>
      <c r="I34" s="10" t="inlineStr">
        <is>
          <t>Finiquito regalizado por el Asesor Productor de Seguros</t>
        </is>
      </c>
      <c r="J34" s="10" t="inlineStr">
        <is>
          <t>Jefe Administrativo</t>
        </is>
      </c>
      <c r="K34" s="10" t="inlineStr">
        <is>
          <t>Jefe Administrativo</t>
        </is>
      </c>
      <c r="L34" s="10" t="inlineStr">
        <is>
          <t>UBICACIÓN DIGITAL-EQUIPO DEL CUSTODIO</t>
        </is>
      </c>
      <c r="M34" s="10" t="inlineStr">
        <is>
          <t>DISCOS DUROS, SERVIDORES, DISCOS O MEDIOS PORTÁTILES, CINTAS O MEDIOS DE VIDEO Y AUDIO, ETC.</t>
        </is>
      </c>
      <c r="N34" s="10" t="inlineStr">
        <is>
          <t>PRIMARIOS</t>
        </is>
      </c>
      <c r="O34" s="10" t="inlineStr">
        <is>
          <t>DOCUMENTOS HABILITANTES</t>
        </is>
      </c>
      <c r="P34" s="10" t="inlineStr">
        <is>
          <t>USO INTERNO(2)</t>
        </is>
      </c>
      <c r="Q34" s="10" t="inlineStr">
        <is>
          <t>MEDIA(2)</t>
        </is>
      </c>
      <c r="R34" s="10" t="inlineStr">
        <is>
          <t>ALTA(3)</t>
        </is>
      </c>
      <c r="S34" s="10">
        <f>+(IF(P34="PUBLICA(1)",1,IF(P34="USO INTERNO(2)",2,IF(P34="RESTRINGIDO(3)",3,3))))+(IF(Q34="BAJA(1)",1,IF(Q34="MEDIA(2)",2,IF(Q34="ALTA(3)",3,3))))+(IF(R34="BAJA(1)",1,IF(R34="MEDIA(2)",2,IF(R34="ALTA(3)",3,3))))</f>
        <v/>
      </c>
      <c r="T34" s="10">
        <f>+IF(S34&lt;6,"BAJA",IF(S34&lt;8,"MEDIA","ALTA"))</f>
        <v/>
      </c>
      <c r="U34" s="10" t="inlineStr">
        <is>
          <t>-</t>
        </is>
      </c>
      <c r="V34" s="24" t="n">
        <v>45680</v>
      </c>
      <c r="W34" s="19" t="inlineStr">
        <is>
          <t>N/A</t>
        </is>
      </c>
      <c r="X34" s="10">
        <f>+IFERROR(IF(VLOOKUP(Tabla2[[#This Row],[ID]],'EVALUACION DE RIESGO'!A:A,1,FALSE)=Tabla2[[#This Row],[ID]],"SI","NO"),"NO")</f>
        <v/>
      </c>
      <c r="AD34">
        <f>IF(AND(Y34="",AA34=""),"",IF(OR(LEFT(AA34,2)="L0",LEFT(AA34,2)="L1",Y34="No Iniciado"),"CRÍTICO - Incumplimiento Normativo SEPS",IF(AND(OR(LEFT(AA34,2)="L4",LEFT(AA34,2)="L5"),AND(AC34&lt;&gt;"",AC34&lt;&gt;"N/A")),"CONFORME - Control Efectivo ISO 27001","OBSERVACIÓN - Revisar Controles")))</f>
        <v/>
      </c>
    </row>
    <row r="35">
      <c r="A35" s="99" t="inlineStr">
        <is>
          <t>33-GAD</t>
        </is>
      </c>
      <c r="B35" s="10" t="inlineStr">
        <is>
          <t>APOYO</t>
        </is>
      </c>
      <c r="C35" s="10" t="inlineStr">
        <is>
          <t xml:space="preserve">Gestión Administrativa </t>
        </is>
      </c>
      <c r="D35" s="10" t="inlineStr">
        <is>
          <t>GAD</t>
        </is>
      </c>
      <c r="E35" s="10" t="inlineStr">
        <is>
          <t>Gestión de Seguros</t>
        </is>
      </c>
      <c r="F35" s="10" t="inlineStr">
        <is>
          <t>-</t>
        </is>
      </c>
      <c r="G35" s="10" t="inlineStr">
        <is>
          <t xml:space="preserve">Reclamo de siniestros de terceros  </t>
        </is>
      </c>
      <c r="H35" s="10" t="inlineStr">
        <is>
          <t>Registro de siniestros</t>
        </is>
      </c>
      <c r="I35" s="10" t="inlineStr">
        <is>
          <t>Registro de siniestro compartido por el Jefe de Oficina o Jefe Administrativo</t>
        </is>
      </c>
      <c r="J35" s="10" t="inlineStr">
        <is>
          <t>Jefe Administrativo</t>
        </is>
      </c>
      <c r="K35" s="10" t="inlineStr">
        <is>
          <t>Jefe Administrativo</t>
        </is>
      </c>
      <c r="L35" s="10" t="inlineStr">
        <is>
          <t>UBICACIÓN DIGITAL-EQUIPO DEL CUSTODIO</t>
        </is>
      </c>
      <c r="M35" s="10" t="inlineStr">
        <is>
          <t>DISCOS DUROS, SERVIDORES, DISCOS O MEDIOS PORTÁTILES, CINTAS O MEDIOS DE VIDEO Y AUDIO, ETC.</t>
        </is>
      </c>
      <c r="N35" s="10" t="inlineStr">
        <is>
          <t>PRIMARIOS</t>
        </is>
      </c>
      <c r="O35" s="10" t="inlineStr">
        <is>
          <t>DOCUMENTOS TÉCNICOS</t>
        </is>
      </c>
      <c r="P35" s="10" t="inlineStr">
        <is>
          <t>USO INTERNO(2)</t>
        </is>
      </c>
      <c r="Q35" s="10" t="inlineStr">
        <is>
          <t>MEDIA(2)</t>
        </is>
      </c>
      <c r="R35" s="10" t="inlineStr">
        <is>
          <t>ALTA(3)</t>
        </is>
      </c>
      <c r="S35" s="10">
        <f>+(IF(P35="PUBLICA(1)",1,IF(P35="USO INTERNO(2)",2,IF(P35="RESTRINGIDO(3)",3,3))))+(IF(Q35="BAJA(1)",1,IF(Q35="MEDIA(2)",2,IF(Q35="ALTA(3)",3,3))))+(IF(R35="BAJA(1)",1,IF(R35="MEDIA(2)",2,IF(R35="ALTA(3)",3,3))))</f>
        <v/>
      </c>
      <c r="T35" s="10">
        <f>+IF(S35&lt;6,"BAJA",IF(S35&lt;8,"MEDIA","ALTA"))</f>
        <v/>
      </c>
      <c r="U35" s="10" t="inlineStr">
        <is>
          <t>-</t>
        </is>
      </c>
      <c r="V35" s="24" t="n">
        <v>45680</v>
      </c>
      <c r="W35" s="19" t="inlineStr">
        <is>
          <t>N/A</t>
        </is>
      </c>
      <c r="X35" s="10">
        <f>+IFERROR(IF(VLOOKUP(Tabla2[[#This Row],[ID]],'EVALUACION DE RIESGO'!A:A,1,FALSE)=Tabla2[[#This Row],[ID]],"SI","NO"),"NO")</f>
        <v/>
      </c>
      <c r="AD35">
        <f>IF(AND(Y35="",AA35=""),"",IF(OR(LEFT(AA35,2)="L0",LEFT(AA35,2)="L1",Y35="No Iniciado"),"CRÍTICO - Incumplimiento Normativo SEPS",IF(AND(OR(LEFT(AA35,2)="L4",LEFT(AA35,2)="L5"),AND(AC35&lt;&gt;"",AC35&lt;&gt;"N/A")),"CONFORME - Control Efectivo ISO 27001","OBSERVACIÓN - Revisar Controles")))</f>
        <v/>
      </c>
    </row>
    <row r="36">
      <c r="A36" s="99" t="inlineStr">
        <is>
          <t>34-GAD</t>
        </is>
      </c>
      <c r="B36" s="10" t="inlineStr">
        <is>
          <t>APOYO</t>
        </is>
      </c>
      <c r="C36" s="10" t="inlineStr">
        <is>
          <t xml:space="preserve">Gestión Administrativa </t>
        </is>
      </c>
      <c r="D36" s="10" t="inlineStr">
        <is>
          <t>GAD</t>
        </is>
      </c>
      <c r="E36" s="10" t="inlineStr">
        <is>
          <t>Gestión de Seguros</t>
        </is>
      </c>
      <c r="F36" s="10" t="inlineStr">
        <is>
          <t>-</t>
        </is>
      </c>
      <c r="G36" s="10" t="inlineStr">
        <is>
          <t xml:space="preserve">Reclamo de siniestros de terceros  </t>
        </is>
      </c>
      <c r="H36" s="10" t="inlineStr">
        <is>
          <t>Informe del siniestro</t>
        </is>
      </c>
      <c r="I36" s="10" t="inlineStr">
        <is>
          <t>Informe del siniestro y sustentos legales necesarios</t>
        </is>
      </c>
      <c r="J36" s="10" t="inlineStr">
        <is>
          <t>Jefe Administrativo</t>
        </is>
      </c>
      <c r="K36" s="10" t="inlineStr">
        <is>
          <t>Jefe Administrativo</t>
        </is>
      </c>
      <c r="L36" s="10" t="inlineStr">
        <is>
          <t>UBICACIÓN DIGITAL-EQUIPO DEL CUSTODIO</t>
        </is>
      </c>
      <c r="M36" s="10" t="inlineStr">
        <is>
          <t>DISCOS DUROS, SERVIDORES, DISCOS O MEDIOS PORTÁTILES, CINTAS O MEDIOS DE VIDEO Y AUDIO, ETC.</t>
        </is>
      </c>
      <c r="N36" s="10" t="inlineStr">
        <is>
          <t>PRIMARIOS</t>
        </is>
      </c>
      <c r="O36" s="10" t="inlineStr">
        <is>
          <t>DOCUMENTOS TÉCNICOS</t>
        </is>
      </c>
      <c r="P36" s="10" t="inlineStr">
        <is>
          <t>USO INTERNO(2)</t>
        </is>
      </c>
      <c r="Q36" s="10" t="inlineStr">
        <is>
          <t>MEDIA(2)</t>
        </is>
      </c>
      <c r="R36" s="10" t="inlineStr">
        <is>
          <t>MEDIA(2)</t>
        </is>
      </c>
      <c r="S36" s="10">
        <f>+(IF(P36="PUBLICA(1)",1,IF(P36="USO INTERNO(2)",2,IF(P36="RESTRINGIDO(3)",3,3))))+(IF(Q36="BAJA(1)",1,IF(Q36="MEDIA(2)",2,IF(Q36="ALTA(3)",3,3))))+(IF(R36="BAJA(1)",1,IF(R36="MEDIA(2)",2,IF(R36="ALTA(3)",3,3))))</f>
        <v/>
      </c>
      <c r="T36" s="10">
        <f>+IF(S36&lt;6,"BAJA",IF(S36&lt;8,"MEDIA","ALTA"))</f>
        <v/>
      </c>
      <c r="U36" s="10" t="inlineStr">
        <is>
          <t>-</t>
        </is>
      </c>
      <c r="V36" s="24" t="n">
        <v>45680</v>
      </c>
      <c r="W36" s="19" t="inlineStr">
        <is>
          <t>N/A</t>
        </is>
      </c>
      <c r="X36" s="10">
        <f>+IFERROR(IF(VLOOKUP(Tabla2[[#This Row],[ID]],'EVALUACION DE RIESGO'!A:A,1,FALSE)=Tabla2[[#This Row],[ID]],"SI","NO"),"NO")</f>
        <v/>
      </c>
      <c r="AD36">
        <f>IF(AND(Y36="",AA36=""),"",IF(OR(LEFT(AA36,2)="L0",LEFT(AA36,2)="L1",Y36="No Iniciado"),"CRÍTICO - Incumplimiento Normativo SEPS",IF(AND(OR(LEFT(AA36,2)="L4",LEFT(AA36,2)="L5"),AND(AC36&lt;&gt;"",AC36&lt;&gt;"N/A")),"CONFORME - Control Efectivo ISO 27001","OBSERVACIÓN - Revisar Controles")))</f>
        <v/>
      </c>
    </row>
    <row r="37">
      <c r="A37" s="99" t="inlineStr">
        <is>
          <t>35-GAD</t>
        </is>
      </c>
      <c r="B37" s="10" t="inlineStr">
        <is>
          <t>APOYO</t>
        </is>
      </c>
      <c r="C37" s="10" t="inlineStr">
        <is>
          <t xml:space="preserve">Gestión Administrativa </t>
        </is>
      </c>
      <c r="D37" s="10" t="inlineStr">
        <is>
          <t>GAD</t>
        </is>
      </c>
      <c r="E37" s="10" t="inlineStr">
        <is>
          <t>Gestión de Seguros</t>
        </is>
      </c>
      <c r="F37" s="10" t="inlineStr">
        <is>
          <t>-</t>
        </is>
      </c>
      <c r="G37" s="10" t="inlineStr">
        <is>
          <t xml:space="preserve">Pago a empresas aseguradoras        </t>
        </is>
      </c>
      <c r="H37" s="10" t="inlineStr">
        <is>
          <t>Facturas</t>
        </is>
      </c>
      <c r="I37" s="10" t="inlineStr">
        <is>
          <t>Facturas del pago a la empresa aseguradora</t>
        </is>
      </c>
      <c r="J37" s="10" t="inlineStr">
        <is>
          <t>Jefe Administrativo</t>
        </is>
      </c>
      <c r="K37" s="10" t="inlineStr">
        <is>
          <t>Jefe Administrativo</t>
        </is>
      </c>
      <c r="L37" s="10" t="inlineStr">
        <is>
          <t>UBICACIÓN DIGITAL-EQUIPO DEL CUSTODIO</t>
        </is>
      </c>
      <c r="M37" s="10" t="inlineStr">
        <is>
          <t>DISCOS DUROS, SERVIDORES, DISCOS O MEDIOS PORTÁTILES, CINTAS O MEDIOS DE VIDEO Y AUDIO, ETC.</t>
        </is>
      </c>
      <c r="N37" s="10" t="inlineStr">
        <is>
          <t>PRIMARIOS</t>
        </is>
      </c>
      <c r="O37" s="10" t="inlineStr">
        <is>
          <t>DOCUMENTOS HABILITANTES</t>
        </is>
      </c>
      <c r="P37" s="10" t="inlineStr">
        <is>
          <t>USO INTERNO(2)</t>
        </is>
      </c>
      <c r="Q37" s="10" t="inlineStr">
        <is>
          <t>MEDIA(2)</t>
        </is>
      </c>
      <c r="R37" s="10" t="inlineStr">
        <is>
          <t>ALTA(3)</t>
        </is>
      </c>
      <c r="S37" s="10">
        <f>+(IF(P37="PUBLICA(1)",1,IF(P37="USO INTERNO(2)",2,IF(P37="RESTRINGIDO(3)",3,3))))+(IF(Q37="BAJA(1)",1,IF(Q37="MEDIA(2)",2,IF(Q37="ALTA(3)",3,3))))+(IF(R37="BAJA(1)",1,IF(R37="MEDIA(2)",2,IF(R37="ALTA(3)",3,3))))</f>
        <v/>
      </c>
      <c r="T37" s="10">
        <f>+IF(S37&lt;6,"BAJA",IF(S37&lt;8,"MEDIA","ALTA"))</f>
        <v/>
      </c>
      <c r="U37" s="10" t="inlineStr">
        <is>
          <t>-</t>
        </is>
      </c>
      <c r="V37" s="24" t="n">
        <v>45680</v>
      </c>
      <c r="W37" s="19" t="inlineStr">
        <is>
          <t>N/A</t>
        </is>
      </c>
      <c r="X37" s="10">
        <f>+IFERROR(IF(VLOOKUP(Tabla2[[#This Row],[ID]],'EVALUACION DE RIESGO'!A:A,1,FALSE)=Tabla2[[#This Row],[ID]],"SI","NO"),"NO")</f>
        <v/>
      </c>
      <c r="AD37">
        <f>IF(AND(Y37="",AA37=""),"",IF(OR(LEFT(AA37,2)="L0",LEFT(AA37,2)="L1",Y37="No Iniciado"),"CRÍTICO - Incumplimiento Normativo SEPS",IF(AND(OR(LEFT(AA37,2)="L4",LEFT(AA37,2)="L5"),AND(AC37&lt;&gt;"",AC37&lt;&gt;"N/A")),"CONFORME - Control Efectivo ISO 27001","OBSERVACIÓN - Revisar Controles")))</f>
        <v/>
      </c>
    </row>
    <row r="38">
      <c r="A38" s="99" t="inlineStr">
        <is>
          <t>36-GAD</t>
        </is>
      </c>
      <c r="B38" s="10" t="inlineStr">
        <is>
          <t>APOYO</t>
        </is>
      </c>
      <c r="C38" s="10" t="inlineStr">
        <is>
          <t xml:space="preserve">Gestión Administrativa </t>
        </is>
      </c>
      <c r="D38" s="10" t="inlineStr">
        <is>
          <t>GAD</t>
        </is>
      </c>
      <c r="E38" s="10" t="inlineStr">
        <is>
          <t>Administración de Vehículos</t>
        </is>
      </c>
      <c r="F38" s="10" t="inlineStr">
        <is>
          <t>-</t>
        </is>
      </c>
      <c r="G38" s="10" t="inlineStr">
        <is>
          <t xml:space="preserve">Solicitud de vehículo </t>
        </is>
      </c>
      <c r="H38" s="10" t="inlineStr">
        <is>
          <t>Formulario de uso de vehículo/Análisis de unidades de transporte / Reporte vehicular Hunter</t>
        </is>
      </c>
      <c r="I38" s="10" t="inlineStr">
        <is>
          <t>Formulario enviado vía correo electrónico donde se detalla placa marca modelo color matrícula, Reporte vehicular Hunter, telepass, detalle de multas y puntos de licencia del conductor asignado</t>
        </is>
      </c>
      <c r="J38" s="10" t="inlineStr">
        <is>
          <t>Jefe Administrativo</t>
        </is>
      </c>
      <c r="K38" s="10" t="inlineStr">
        <is>
          <t>Asistente administrativo</t>
        </is>
      </c>
      <c r="L38" s="10" t="inlineStr">
        <is>
          <t>UBICACIÓN DIGITAL-EQUIPO DEL CUSTODIO</t>
        </is>
      </c>
      <c r="M38" s="10" t="inlineStr">
        <is>
          <t>DISCOS DUROS, SERVIDORES, DISCOS O MEDIOS PORTÁTILES, CINTAS O MEDIOS DE VIDEO Y AUDIO, ETC.</t>
        </is>
      </c>
      <c r="N38" s="10" t="inlineStr">
        <is>
          <t>PRIMARIOS</t>
        </is>
      </c>
      <c r="O38" s="10" t="inlineStr">
        <is>
          <t>DOCUMENTOS TÉCNICOS</t>
        </is>
      </c>
      <c r="P38" s="10" t="inlineStr">
        <is>
          <t>USO INTERNO(2)</t>
        </is>
      </c>
      <c r="Q38" s="10" t="inlineStr">
        <is>
          <t>BAJA(1)</t>
        </is>
      </c>
      <c r="R38" s="10" t="inlineStr">
        <is>
          <t>BAJA(1)</t>
        </is>
      </c>
      <c r="S38" s="10">
        <f>+(IF(P38="PUBLICA(1)",1,IF(P38="USO INTERNO(2)",2,IF(P38="RESTRINGIDO(3)",3,3))))+(IF(Q38="BAJA(1)",1,IF(Q38="MEDIA(2)",2,IF(Q38="ALTA(3)",3,3))))+(IF(R38="BAJA(1)",1,IF(R38="MEDIA(2)",2,IF(R38="ALTA(3)",3,3))))</f>
        <v/>
      </c>
      <c r="T38" s="10">
        <f>+IF(S38&lt;6,"BAJA",IF(S38&lt;8,"MEDIA","ALTA"))</f>
        <v/>
      </c>
      <c r="U38" s="10" t="inlineStr">
        <is>
          <t>-</t>
        </is>
      </c>
      <c r="V38" s="24" t="n">
        <v>45680</v>
      </c>
      <c r="W38" s="19" t="inlineStr">
        <is>
          <t>N/A</t>
        </is>
      </c>
      <c r="X38" s="10">
        <f>+IFERROR(IF(VLOOKUP(Tabla2[[#This Row],[ID]],'EVALUACION DE RIESGO'!A:A,1,FALSE)=Tabla2[[#This Row],[ID]],"SI","NO"),"NO")</f>
        <v/>
      </c>
      <c r="AD38">
        <f>IF(AND(Y38="",AA38=""),"",IF(OR(LEFT(AA38,2)="L0",LEFT(AA38,2)="L1",Y38="No Iniciado"),"CRÍTICO - Incumplimiento Normativo SEPS",IF(AND(OR(LEFT(AA38,2)="L4",LEFT(AA38,2)="L5"),AND(AC38&lt;&gt;"",AC38&lt;&gt;"N/A")),"CONFORME - Control Efectivo ISO 27001","OBSERVACIÓN - Revisar Controles")))</f>
        <v/>
      </c>
    </row>
    <row r="39">
      <c r="A39" s="99" t="inlineStr">
        <is>
          <t>37-GAD</t>
        </is>
      </c>
      <c r="B39" s="10" t="inlineStr">
        <is>
          <t>APOYO</t>
        </is>
      </c>
      <c r="C39" s="10" t="inlineStr">
        <is>
          <t xml:space="preserve">Gestión Administrativa </t>
        </is>
      </c>
      <c r="D39" s="10" t="inlineStr">
        <is>
          <t>GAD</t>
        </is>
      </c>
      <c r="E39" s="10" t="inlineStr">
        <is>
          <t>Administración de Vehículos</t>
        </is>
      </c>
      <c r="F39" s="10" t="inlineStr">
        <is>
          <t>-</t>
        </is>
      </c>
      <c r="G39" s="10" t="inlineStr">
        <is>
          <t>Uso de transporte externo</t>
        </is>
      </c>
      <c r="H39" s="10" t="inlineStr">
        <is>
          <t>Solicitud de adquisiciones</t>
        </is>
      </c>
      <c r="I39" s="10" t="inlineStr">
        <is>
          <t>Correo de solicitud donde se detalla la actividad a realizar</t>
        </is>
      </c>
      <c r="J39" s="10" t="inlineStr">
        <is>
          <t>Jefe Administrativo</t>
        </is>
      </c>
      <c r="K39" s="10" t="inlineStr">
        <is>
          <t>Asistente administrativo</t>
        </is>
      </c>
      <c r="L39" s="10" t="inlineStr">
        <is>
          <t>UBICACIÓN DIGITAL-EQUIPO DEL CUSTODIO</t>
        </is>
      </c>
      <c r="M39" s="10" t="inlineStr">
        <is>
          <t>DISCOS DUROS, SERVIDORES, DISCOS O MEDIOS PORTÁTILES, CINTAS O MEDIOS DE VIDEO Y AUDIO, ETC.</t>
        </is>
      </c>
      <c r="N39" s="10" t="inlineStr">
        <is>
          <t>PRIMARIOS</t>
        </is>
      </c>
      <c r="O39" s="10" t="inlineStr">
        <is>
          <t>DOCUMENTOS HABILITANTES</t>
        </is>
      </c>
      <c r="P39" s="10" t="inlineStr">
        <is>
          <t>USO INTERNO(2)</t>
        </is>
      </c>
      <c r="Q39" s="10" t="inlineStr">
        <is>
          <t>BAJA(1)</t>
        </is>
      </c>
      <c r="R39" s="10" t="inlineStr">
        <is>
          <t>BAJA(1)</t>
        </is>
      </c>
      <c r="S39" s="10">
        <f>+(IF(P39="PUBLICA(1)",1,IF(P39="USO INTERNO(2)",2,IF(P39="RESTRINGIDO(3)",3,3))))+(IF(Q39="BAJA(1)",1,IF(Q39="MEDIA(2)",2,IF(Q39="ALTA(3)",3,3))))+(IF(R39="BAJA(1)",1,IF(R39="MEDIA(2)",2,IF(R39="ALTA(3)",3,3))))</f>
        <v/>
      </c>
      <c r="T39" s="10">
        <f>+IF(S39&lt;6,"BAJA",IF(S39&lt;8,"MEDIA","ALTA"))</f>
        <v/>
      </c>
      <c r="U39" s="10" t="inlineStr">
        <is>
          <t>-</t>
        </is>
      </c>
      <c r="V39" s="24" t="n">
        <v>45680</v>
      </c>
      <c r="W39" s="19" t="inlineStr">
        <is>
          <t>N/A</t>
        </is>
      </c>
      <c r="X39" s="10">
        <f>+IFERROR(IF(VLOOKUP(Tabla2[[#This Row],[ID]],'EVALUACION DE RIESGO'!A:A,1,FALSE)=Tabla2[[#This Row],[ID]],"SI","NO"),"NO")</f>
        <v/>
      </c>
      <c r="AD39">
        <f>IF(AND(Y39="",AA39=""),"",IF(OR(LEFT(AA39,2)="L0",LEFT(AA39,2)="L1",Y39="No Iniciado"),"CRÍTICO - Incumplimiento Normativo SEPS",IF(AND(OR(LEFT(AA39,2)="L4",LEFT(AA39,2)="L5"),AND(AC39&lt;&gt;"",AC39&lt;&gt;"N/A")),"CONFORME - Control Efectivo ISO 27001","OBSERVACIÓN - Revisar Controles")))</f>
        <v/>
      </c>
    </row>
    <row r="40">
      <c r="A40" s="99" t="inlineStr">
        <is>
          <t>38-GAD</t>
        </is>
      </c>
      <c r="B40" s="10" t="inlineStr">
        <is>
          <t>APOYO</t>
        </is>
      </c>
      <c r="C40" s="10" t="inlineStr">
        <is>
          <t xml:space="preserve">Gestión Administrativa </t>
        </is>
      </c>
      <c r="D40" s="10" t="inlineStr">
        <is>
          <t>GAD</t>
        </is>
      </c>
      <c r="E40" s="10" t="inlineStr">
        <is>
          <t>Administración de Vehículos</t>
        </is>
      </c>
      <c r="F40" s="10" t="inlineStr">
        <is>
          <t>-</t>
        </is>
      </c>
      <c r="G40" s="10" t="inlineStr">
        <is>
          <t>Uso de transporte externo</t>
        </is>
      </c>
      <c r="H40" s="10" t="inlineStr">
        <is>
          <t>Autorización para uso de transporte</t>
        </is>
      </c>
      <c r="I40" s="10" t="inlineStr">
        <is>
          <t xml:space="preserve">Correo de aceptación enviado por correo electrónico por parte del área administrativa </t>
        </is>
      </c>
      <c r="J40" s="10" t="inlineStr">
        <is>
          <t>Jefe Administrativo</t>
        </is>
      </c>
      <c r="K40" s="10" t="inlineStr">
        <is>
          <t>Asistente administrativo</t>
        </is>
      </c>
      <c r="L40" s="10" t="inlineStr">
        <is>
          <t>UBICACIÓN DIGITAL-EQUIPO DEL CUSTODIO</t>
        </is>
      </c>
      <c r="M40" s="10" t="inlineStr">
        <is>
          <t>DISCOS DUROS, SERVIDORES, DISCOS O MEDIOS PORTÁTILES, CINTAS O MEDIOS DE VIDEO Y AUDIO, ETC.</t>
        </is>
      </c>
      <c r="N40" s="10" t="inlineStr">
        <is>
          <t>PRIMARIOS</t>
        </is>
      </c>
      <c r="O40" s="10" t="inlineStr">
        <is>
          <t>DOCUMENTOS HABILITANTES</t>
        </is>
      </c>
      <c r="P40" s="10" t="inlineStr">
        <is>
          <t>USO INTERNO(2)</t>
        </is>
      </c>
      <c r="Q40" s="10" t="inlineStr">
        <is>
          <t>BAJA(1)</t>
        </is>
      </c>
      <c r="R40" s="10" t="inlineStr">
        <is>
          <t>BAJA(1)</t>
        </is>
      </c>
      <c r="S40" s="10">
        <f>+(IF(P40="PUBLICA(1)",1,IF(P40="USO INTERNO(2)",2,IF(P40="RESTRINGIDO(3)",3,3))))+(IF(Q40="BAJA(1)",1,IF(Q40="MEDIA(2)",2,IF(Q40="ALTA(3)",3,3))))+(IF(R40="BAJA(1)",1,IF(R40="MEDIA(2)",2,IF(R40="ALTA(3)",3,3))))</f>
        <v/>
      </c>
      <c r="T40" s="10">
        <f>+IF(S40&lt;6,"BAJA",IF(S40&lt;8,"MEDIA","ALTA"))</f>
        <v/>
      </c>
      <c r="U40" s="10" t="inlineStr">
        <is>
          <t>-</t>
        </is>
      </c>
      <c r="V40" s="24" t="n">
        <v>45680</v>
      </c>
      <c r="W40" s="19" t="inlineStr">
        <is>
          <t>N/A</t>
        </is>
      </c>
      <c r="X40" s="10">
        <f>+IFERROR(IF(VLOOKUP(Tabla2[[#This Row],[ID]],'EVALUACION DE RIESGO'!A:A,1,FALSE)=Tabla2[[#This Row],[ID]],"SI","NO"),"NO")</f>
        <v/>
      </c>
      <c r="AD40">
        <f>IF(AND(Y40="",AA40=""),"",IF(OR(LEFT(AA40,2)="L0",LEFT(AA40,2)="L1",Y40="No Iniciado"),"CRÍTICO - Incumplimiento Normativo SEPS",IF(AND(OR(LEFT(AA40,2)="L4",LEFT(AA40,2)="L5"),AND(AC40&lt;&gt;"",AC40&lt;&gt;"N/A")),"CONFORME - Control Efectivo ISO 27001","OBSERVACIÓN - Revisar Controles")))</f>
        <v/>
      </c>
    </row>
    <row r="41">
      <c r="A41" s="99" t="inlineStr">
        <is>
          <t>39-GAD</t>
        </is>
      </c>
      <c r="B41" s="10" t="inlineStr">
        <is>
          <t>APOYO</t>
        </is>
      </c>
      <c r="C41" s="10" t="inlineStr">
        <is>
          <t xml:space="preserve">Gestión Administrativa </t>
        </is>
      </c>
      <c r="D41" s="10" t="inlineStr">
        <is>
          <t>GAD</t>
        </is>
      </c>
      <c r="E41" s="10" t="inlineStr">
        <is>
          <t>Administración de Vehículos</t>
        </is>
      </c>
      <c r="F41" s="10" t="inlineStr">
        <is>
          <t>-</t>
        </is>
      </c>
      <c r="G41" s="10" t="inlineStr">
        <is>
          <t>Uso de transporte externo</t>
        </is>
      </c>
      <c r="H41" s="10" t="inlineStr">
        <is>
          <t>Factura del transportista</t>
        </is>
      </c>
      <c r="I41" s="10" t="inlineStr">
        <is>
          <t>Facturas receptadas en el correo facturas@atuntaqui.fin.ec</t>
        </is>
      </c>
      <c r="J41" s="10" t="inlineStr">
        <is>
          <t>Jefe Administrativo</t>
        </is>
      </c>
      <c r="K41" s="10" t="inlineStr">
        <is>
          <t>Asistente administrativo</t>
        </is>
      </c>
      <c r="L41" s="10" t="inlineStr">
        <is>
          <t>DOCUMENTOS FISICOS-ARCHIVOS DE LA OFICINA</t>
        </is>
      </c>
      <c r="M41" s="10" t="inlineStr">
        <is>
          <t>DOCUMENTO DE ARCHIVO-FÍSICO</t>
        </is>
      </c>
      <c r="N41" s="10" t="inlineStr">
        <is>
          <t>PRIMARIOS</t>
        </is>
      </c>
      <c r="O41" s="10" t="inlineStr">
        <is>
          <t>DOCUMENTOS HABILITANTES</t>
        </is>
      </c>
      <c r="P41" s="10" t="inlineStr">
        <is>
          <t>USO INTERNO(2)</t>
        </is>
      </c>
      <c r="Q41" s="10" t="inlineStr">
        <is>
          <t>MEDIA(2)</t>
        </is>
      </c>
      <c r="R41" s="10" t="inlineStr">
        <is>
          <t>MEDIA(2)</t>
        </is>
      </c>
      <c r="S41" s="10">
        <f>+(IF(P41="PUBLICA(1)",1,IF(P41="USO INTERNO(2)",2,IF(P41="RESTRINGIDO(3)",3,3))))+(IF(Q41="BAJA(1)",1,IF(Q41="MEDIA(2)",2,IF(Q41="ALTA(3)",3,3))))+(IF(R41="BAJA(1)",1,IF(R41="MEDIA(2)",2,IF(R41="ALTA(3)",3,3))))</f>
        <v/>
      </c>
      <c r="T41" s="10">
        <f>+IF(S41&lt;6,"BAJA",IF(S41&lt;8,"MEDIA","ALTA"))</f>
        <v/>
      </c>
      <c r="U41" s="10" t="inlineStr">
        <is>
          <t>-</t>
        </is>
      </c>
      <c r="V41" s="24" t="n">
        <v>45680</v>
      </c>
      <c r="W41" s="19" t="inlineStr">
        <is>
          <t>N/A</t>
        </is>
      </c>
      <c r="X41" s="10">
        <f>+IFERROR(IF(VLOOKUP(Tabla2[[#This Row],[ID]],'EVALUACION DE RIESGO'!A:A,1,FALSE)=Tabla2[[#This Row],[ID]],"SI","NO"),"NO")</f>
        <v/>
      </c>
      <c r="AD41">
        <f>IF(AND(Y41="",AA41=""),"",IF(OR(LEFT(AA41,2)="L0",LEFT(AA41,2)="L1",Y41="No Iniciado"),"CRÍTICO - Incumplimiento Normativo SEPS",IF(AND(OR(LEFT(AA41,2)="L4",LEFT(AA41,2)="L5"),AND(AC41&lt;&gt;"",AC41&lt;&gt;"N/A")),"CONFORME - Control Efectivo ISO 27001","OBSERVACIÓN - Revisar Controles")))</f>
        <v/>
      </c>
    </row>
    <row r="42">
      <c r="A42" s="99" t="inlineStr">
        <is>
          <t>40-GAD</t>
        </is>
      </c>
      <c r="B42" s="10" t="inlineStr">
        <is>
          <t>APOYO</t>
        </is>
      </c>
      <c r="C42" s="10" t="inlineStr">
        <is>
          <t xml:space="preserve">Gestión Administrativa </t>
        </is>
      </c>
      <c r="D42" s="10" t="inlineStr">
        <is>
          <t>GAD</t>
        </is>
      </c>
      <c r="E42" s="10" t="inlineStr">
        <is>
          <t>Administración de Vehículos</t>
        </is>
      </c>
      <c r="F42" s="10" t="inlineStr">
        <is>
          <t>-</t>
        </is>
      </c>
      <c r="G42" s="10" t="inlineStr">
        <is>
          <t>Control consumo de combustible</t>
        </is>
      </c>
      <c r="H42" s="10" t="inlineStr">
        <is>
          <t>Tickets para el abastecimiento de gasolina</t>
        </is>
      </c>
      <c r="I42" s="10" t="inlineStr">
        <is>
          <t xml:space="preserve"> Tickets de comprobación que contiene el numero de comprobante, fecha, código, cupo, cliente, información del vehículo, valores</t>
        </is>
      </c>
      <c r="J42" s="10" t="inlineStr">
        <is>
          <t>Jefe Administrativo</t>
        </is>
      </c>
      <c r="K42" s="10" t="inlineStr">
        <is>
          <t>Asistente administrativo</t>
        </is>
      </c>
      <c r="L42" s="10" t="inlineStr">
        <is>
          <t>DOCUMENTOS FISICOS-ARCHIVOS DE LA OFICINA</t>
        </is>
      </c>
      <c r="M42" s="10" t="inlineStr">
        <is>
          <t>DOCUMENTO DE ARCHIVO-FÍSICO</t>
        </is>
      </c>
      <c r="N42" s="10" t="inlineStr">
        <is>
          <t>PRIMARIOS</t>
        </is>
      </c>
      <c r="O42" s="10" t="inlineStr">
        <is>
          <t>DOCUMENTOS HABILITANTES</t>
        </is>
      </c>
      <c r="P42" s="10" t="inlineStr">
        <is>
          <t>USO INTERNO(2)</t>
        </is>
      </c>
      <c r="Q42" s="10" t="inlineStr">
        <is>
          <t>BAJA(1)</t>
        </is>
      </c>
      <c r="R42" s="10" t="inlineStr">
        <is>
          <t>BAJA(1)</t>
        </is>
      </c>
      <c r="S42" s="10">
        <f>+(IF(P42="PUBLICA(1)",1,IF(P42="USO INTERNO(2)",2,IF(P42="RESTRINGIDO(3)",3,3))))+(IF(Q42="BAJA(1)",1,IF(Q42="MEDIA(2)",2,IF(Q42="ALTA(3)",3,3))))+(IF(R42="BAJA(1)",1,IF(R42="MEDIA(2)",2,IF(R42="ALTA(3)",3,3))))</f>
        <v/>
      </c>
      <c r="T42" s="10">
        <f>+IF(S42&lt;6,"BAJA",IF(S42&lt;8,"MEDIA","ALTA"))</f>
        <v/>
      </c>
      <c r="U42" s="10" t="inlineStr">
        <is>
          <t>-</t>
        </is>
      </c>
      <c r="V42" s="24" t="n">
        <v>45680</v>
      </c>
      <c r="W42" s="19" t="inlineStr">
        <is>
          <t>N/A</t>
        </is>
      </c>
      <c r="X42" s="10">
        <f>+IFERROR(IF(VLOOKUP(Tabla2[[#This Row],[ID]],'EVALUACION DE RIESGO'!A:A,1,FALSE)=Tabla2[[#This Row],[ID]],"SI","NO"),"NO")</f>
        <v/>
      </c>
      <c r="AD42">
        <f>IF(AND(Y42="",AA42=""),"",IF(OR(LEFT(AA42,2)="L0",LEFT(AA42,2)="L1",Y42="No Iniciado"),"CRÍTICO - Incumplimiento Normativo SEPS",IF(AND(OR(LEFT(AA42,2)="L4",LEFT(AA42,2)="L5"),AND(AC42&lt;&gt;"",AC42&lt;&gt;"N/A")),"CONFORME - Control Efectivo ISO 27001","OBSERVACIÓN - Revisar Controles")))</f>
        <v/>
      </c>
    </row>
    <row r="43">
      <c r="A43" s="99" t="inlineStr">
        <is>
          <t>41-GAD</t>
        </is>
      </c>
      <c r="B43" s="10" t="inlineStr">
        <is>
          <t>APOYO</t>
        </is>
      </c>
      <c r="C43" s="10" t="inlineStr">
        <is>
          <t xml:space="preserve">Gestión Administrativa </t>
        </is>
      </c>
      <c r="D43" s="10" t="inlineStr">
        <is>
          <t>GAD</t>
        </is>
      </c>
      <c r="E43" s="10" t="inlineStr">
        <is>
          <t>Administración de Vehículos</t>
        </is>
      </c>
      <c r="F43" s="10" t="inlineStr">
        <is>
          <t>-</t>
        </is>
      </c>
      <c r="G43" s="10" t="inlineStr">
        <is>
          <t>Control consumo de combustible</t>
        </is>
      </c>
      <c r="H43" s="10" t="inlineStr">
        <is>
          <t>Factura gasolinera</t>
        </is>
      </c>
      <c r="I43" s="10" t="inlineStr">
        <is>
          <t>Facturas receptadas en el correo facturas@atuntaqui.fin.ec, los físicos se receptan en oficina matriz</t>
        </is>
      </c>
      <c r="J43" s="10" t="inlineStr">
        <is>
          <t>Jefe Administrativo</t>
        </is>
      </c>
      <c r="K43" s="10" t="inlineStr">
        <is>
          <t>Asistente administrativo</t>
        </is>
      </c>
      <c r="L43" s="10" t="inlineStr">
        <is>
          <t>UBICACIÓN DIGITAL-EQUIPO DEL CUSTODIO</t>
        </is>
      </c>
      <c r="M43" s="10" t="inlineStr">
        <is>
          <t>DISCOS DUROS, SERVIDORES, DISCOS O MEDIOS PORTÁTILES, CINTAS O MEDIOS DE VIDEO Y AUDIO, ETC.</t>
        </is>
      </c>
      <c r="N43" s="10" t="inlineStr">
        <is>
          <t>PRIMARIOS</t>
        </is>
      </c>
      <c r="O43" s="10" t="inlineStr">
        <is>
          <t>DOCUMENTOS HABILITANTES</t>
        </is>
      </c>
      <c r="P43" s="10" t="inlineStr">
        <is>
          <t>USO INTERNO(2)</t>
        </is>
      </c>
      <c r="Q43" s="10" t="inlineStr">
        <is>
          <t>BAJA(1)</t>
        </is>
      </c>
      <c r="R43" s="10" t="inlineStr">
        <is>
          <t>BAJA(1)</t>
        </is>
      </c>
      <c r="S43" s="10">
        <f>+(IF(P43="PUBLICA(1)",1,IF(P43="USO INTERNO(2)",2,IF(P43="RESTRINGIDO(3)",3,3))))+(IF(Q43="BAJA(1)",1,IF(Q43="MEDIA(2)",2,IF(Q43="ALTA(3)",3,3))))+(IF(R43="BAJA(1)",1,IF(R43="MEDIA(2)",2,IF(R43="ALTA(3)",3,3))))</f>
        <v/>
      </c>
      <c r="T43" s="10">
        <f>+IF(S43&lt;6,"BAJA",IF(S43&lt;8,"MEDIA","ALTA"))</f>
        <v/>
      </c>
      <c r="U43" s="10" t="inlineStr">
        <is>
          <t>-</t>
        </is>
      </c>
      <c r="V43" s="24" t="n">
        <v>45680</v>
      </c>
      <c r="W43" s="19" t="inlineStr">
        <is>
          <t>N/A</t>
        </is>
      </c>
      <c r="X43" s="10">
        <f>+IFERROR(IF(VLOOKUP(Tabla2[[#This Row],[ID]],'EVALUACION DE RIESGO'!A:A,1,FALSE)=Tabla2[[#This Row],[ID]],"SI","NO"),"NO")</f>
        <v/>
      </c>
      <c r="AD43">
        <f>IF(AND(Y43="",AA43=""),"",IF(OR(LEFT(AA43,2)="L0",LEFT(AA43,2)="L1",Y43="No Iniciado"),"CRÍTICO - Incumplimiento Normativo SEPS",IF(AND(OR(LEFT(AA43,2)="L4",LEFT(AA43,2)="L5"),AND(AC43&lt;&gt;"",AC43&lt;&gt;"N/A")),"CONFORME - Control Efectivo ISO 27001","OBSERVACIÓN - Revisar Controles")))</f>
        <v/>
      </c>
    </row>
    <row r="44">
      <c r="A44" s="99" t="inlineStr">
        <is>
          <t>42-GAD</t>
        </is>
      </c>
      <c r="B44" s="10" t="inlineStr">
        <is>
          <t>APOYO</t>
        </is>
      </c>
      <c r="C44" s="10" t="inlineStr">
        <is>
          <t xml:space="preserve">Gestión Administrativa </t>
        </is>
      </c>
      <c r="D44" s="10" t="inlineStr">
        <is>
          <t>GAD</t>
        </is>
      </c>
      <c r="E44" s="10" t="inlineStr">
        <is>
          <t>Administración de Vehículos</t>
        </is>
      </c>
      <c r="F44" s="10" t="inlineStr">
        <is>
          <t>-</t>
        </is>
      </c>
      <c r="G44" s="10" t="inlineStr">
        <is>
          <t>Control consumo de combustible</t>
        </is>
      </c>
      <c r="H44" s="10" t="inlineStr">
        <is>
          <t>Reporte de consumo de combustible</t>
        </is>
      </c>
      <c r="I44" s="10" t="inlineStr">
        <is>
          <t xml:space="preserve">Matriz de consumo de vehículos, tabla de consumo física del proveedor </t>
        </is>
      </c>
      <c r="J44" s="10" t="inlineStr">
        <is>
          <t>Jefe Administrativo</t>
        </is>
      </c>
      <c r="K44" s="10" t="inlineStr">
        <is>
          <t>Asistente administrativo</t>
        </is>
      </c>
      <c r="L44" s="10" t="inlineStr">
        <is>
          <t>DOCUMENTOS FISICOS-ARCHIVOS DE LA OFICINA</t>
        </is>
      </c>
      <c r="M44" s="10" t="inlineStr">
        <is>
          <t>DOCUMENTO DE ARCHIVO-FÍSICO</t>
        </is>
      </c>
      <c r="N44" s="10" t="inlineStr">
        <is>
          <t>PRIMARIOS</t>
        </is>
      </c>
      <c r="O44" s="10" t="inlineStr">
        <is>
          <t>COMUNICACIÓN INTERNA</t>
        </is>
      </c>
      <c r="P44" s="10" t="inlineStr">
        <is>
          <t>USO INTERNO(2)</t>
        </is>
      </c>
      <c r="Q44" s="10" t="inlineStr">
        <is>
          <t>BAJA(1)</t>
        </is>
      </c>
      <c r="R44" s="10" t="inlineStr">
        <is>
          <t>BAJA(1)</t>
        </is>
      </c>
      <c r="S44" s="10">
        <f>+(IF(P44="PUBLICA(1)",1,IF(P44="USO INTERNO(2)",2,IF(P44="RESTRINGIDO(3)",3,3))))+(IF(Q44="BAJA(1)",1,IF(Q44="MEDIA(2)",2,IF(Q44="ALTA(3)",3,3))))+(IF(R44="BAJA(1)",1,IF(R44="MEDIA(2)",2,IF(R44="ALTA(3)",3,3))))</f>
        <v/>
      </c>
      <c r="T44" s="10">
        <f>+IF(S44&lt;6,"BAJA",IF(S44&lt;8,"MEDIA","ALTA"))</f>
        <v/>
      </c>
      <c r="U44" s="10" t="inlineStr">
        <is>
          <t>-</t>
        </is>
      </c>
      <c r="V44" s="24" t="n">
        <v>45680</v>
      </c>
      <c r="W44" s="19" t="inlineStr">
        <is>
          <t>N/A</t>
        </is>
      </c>
      <c r="X44" s="10">
        <f>+IFERROR(IF(VLOOKUP(Tabla2[[#This Row],[ID]],'EVALUACION DE RIESGO'!A:A,1,FALSE)=Tabla2[[#This Row],[ID]],"SI","NO"),"NO")</f>
        <v/>
      </c>
      <c r="AD44">
        <f>IF(AND(Y44="",AA44=""),"",IF(OR(LEFT(AA44,2)="L0",LEFT(AA44,2)="L1",Y44="No Iniciado"),"CRÍTICO - Incumplimiento Normativo SEPS",IF(AND(OR(LEFT(AA44,2)="L4",LEFT(AA44,2)="L5"),AND(AC44&lt;&gt;"",AC44&lt;&gt;"N/A")),"CONFORME - Control Efectivo ISO 27001","OBSERVACIÓN - Revisar Controles")))</f>
        <v/>
      </c>
    </row>
    <row r="45">
      <c r="A45" s="99" t="inlineStr">
        <is>
          <t>43-GAD</t>
        </is>
      </c>
      <c r="B45" s="10" t="inlineStr">
        <is>
          <t>APOYO</t>
        </is>
      </c>
      <c r="C45" s="10" t="inlineStr">
        <is>
          <t xml:space="preserve">Gestión Administrativa </t>
        </is>
      </c>
      <c r="D45" s="10" t="inlineStr">
        <is>
          <t>GAD</t>
        </is>
      </c>
      <c r="E45" s="10" t="inlineStr">
        <is>
          <t>Administración de Vehículos</t>
        </is>
      </c>
      <c r="F45" s="10" t="inlineStr">
        <is>
          <t>-</t>
        </is>
      </c>
      <c r="G45" s="10" t="inlineStr">
        <is>
          <t xml:space="preserve">Mantenimiento preventivo de vehículos </t>
        </is>
      </c>
      <c r="H45" s="10" t="inlineStr">
        <is>
          <t>Plan anual de mantenimiento preventivo vehicular</t>
        </is>
      </c>
      <c r="I45" s="10" t="inlineStr">
        <is>
          <t>Plan de mantenimiento anual cargado en el sistema de adquisiciones Sara donde se detalla el valor asignado para cada mes.</t>
        </is>
      </c>
      <c r="J45" s="10" t="inlineStr">
        <is>
          <t>Jefe Administrativo</t>
        </is>
      </c>
      <c r="K45" s="10" t="inlineStr">
        <is>
          <t>Asistente administrativo</t>
        </is>
      </c>
      <c r="L45" s="10" t="inlineStr">
        <is>
          <t>UBICACIÓN DIGITAL-EQUIPO DEL CUSTODIO</t>
        </is>
      </c>
      <c r="M45" s="10" t="inlineStr">
        <is>
          <t>DISCOS DUROS, SERVIDORES, DISCOS O MEDIOS PORTÁTILES, CINTAS O MEDIOS DE VIDEO Y AUDIO, ETC.</t>
        </is>
      </c>
      <c r="N45" s="10" t="inlineStr">
        <is>
          <t>PRIMARIOS</t>
        </is>
      </c>
      <c r="O45" s="10" t="inlineStr">
        <is>
          <t>DOCUMENTOS TÉCNICOS</t>
        </is>
      </c>
      <c r="P45" s="10" t="inlineStr">
        <is>
          <t>USO INTERNO(2)</t>
        </is>
      </c>
      <c r="Q45" s="10" t="inlineStr">
        <is>
          <t>BAJA(1)</t>
        </is>
      </c>
      <c r="R45" s="10" t="inlineStr">
        <is>
          <t>BAJA(1)</t>
        </is>
      </c>
      <c r="S45" s="10">
        <f>+(IF(P45="PUBLICA(1)",1,IF(P45="USO INTERNO(2)",2,IF(P45="RESTRINGIDO(3)",3,3))))+(IF(Q45="BAJA(1)",1,IF(Q45="MEDIA(2)",2,IF(Q45="ALTA(3)",3,3))))+(IF(R45="BAJA(1)",1,IF(R45="MEDIA(2)",2,IF(R45="ALTA(3)",3,3))))</f>
        <v/>
      </c>
      <c r="T45" s="10">
        <f>+IF(S45&lt;6,"BAJA",IF(S45&lt;8,"MEDIA","ALTA"))</f>
        <v/>
      </c>
      <c r="U45" s="10" t="inlineStr">
        <is>
          <t>-</t>
        </is>
      </c>
      <c r="V45" s="24" t="n">
        <v>45680</v>
      </c>
      <c r="W45" s="19" t="inlineStr">
        <is>
          <t>N/A</t>
        </is>
      </c>
      <c r="X45" s="10">
        <f>+IFERROR(IF(VLOOKUP(Tabla2[[#This Row],[ID]],'EVALUACION DE RIESGO'!A:A,1,FALSE)=Tabla2[[#This Row],[ID]],"SI","NO"),"NO")</f>
        <v/>
      </c>
      <c r="AD45">
        <f>IF(AND(Y45="",AA45=""),"",IF(OR(LEFT(AA45,2)="L0",LEFT(AA45,2)="L1",Y45="No Iniciado"),"CRÍTICO - Incumplimiento Normativo SEPS",IF(AND(OR(LEFT(AA45,2)="L4",LEFT(AA45,2)="L5"),AND(AC45&lt;&gt;"",AC45&lt;&gt;"N/A")),"CONFORME - Control Efectivo ISO 27001","OBSERVACIÓN - Revisar Controles")))</f>
        <v/>
      </c>
    </row>
    <row r="46">
      <c r="A46" s="99" t="inlineStr">
        <is>
          <t>44-GAD</t>
        </is>
      </c>
      <c r="B46" s="10" t="inlineStr">
        <is>
          <t>APOYO</t>
        </is>
      </c>
      <c r="C46" s="10" t="inlineStr">
        <is>
          <t xml:space="preserve">Gestión Administrativa </t>
        </is>
      </c>
      <c r="D46" s="10" t="inlineStr">
        <is>
          <t>GAD</t>
        </is>
      </c>
      <c r="E46" s="10" t="inlineStr">
        <is>
          <t>Administración de Vehículos</t>
        </is>
      </c>
      <c r="F46" s="10" t="inlineStr">
        <is>
          <t>-</t>
        </is>
      </c>
      <c r="G46" s="10" t="inlineStr">
        <is>
          <t xml:space="preserve">Mantenimiento preventivo/correctivo de vehículos </t>
        </is>
      </c>
      <c r="H46" s="10" t="inlineStr">
        <is>
          <t>Solicitud de adquisiciones y contratación</t>
        </is>
      </c>
      <c r="I46" s="10" t="inlineStr">
        <is>
          <t>Solicitud enviada por correo electrónico donde se detalla el vehículo y la necesidad</t>
        </is>
      </c>
      <c r="J46" s="10" t="inlineStr">
        <is>
          <t>Jefe Administrativo</t>
        </is>
      </c>
      <c r="K46" s="10" t="inlineStr">
        <is>
          <t>Asistente administrativo</t>
        </is>
      </c>
      <c r="L46" s="10" t="inlineStr">
        <is>
          <t>UBICACIÓN DIGITAL-EQUIPO DEL CUSTODIO</t>
        </is>
      </c>
      <c r="M46" s="10" t="inlineStr">
        <is>
          <t>DISCOS DUROS, SERVIDORES, DISCOS O MEDIOS PORTÁTILES, CINTAS O MEDIOS DE VIDEO Y AUDIO, ETC.</t>
        </is>
      </c>
      <c r="N46" s="10" t="inlineStr">
        <is>
          <t>PRIMARIOS</t>
        </is>
      </c>
      <c r="O46" s="10" t="inlineStr">
        <is>
          <t>DOCUMENTOS HABILITANTES</t>
        </is>
      </c>
      <c r="P46" s="10" t="inlineStr">
        <is>
          <t>USO INTERNO(2)</t>
        </is>
      </c>
      <c r="Q46" s="10" t="inlineStr">
        <is>
          <t>MEDIA(2)</t>
        </is>
      </c>
      <c r="R46" s="10" t="inlineStr">
        <is>
          <t>BAJA(1)</t>
        </is>
      </c>
      <c r="S46" s="10">
        <f>+(IF(P46="PUBLICA(1)",1,IF(P46="USO INTERNO(2)",2,IF(P46="RESTRINGIDO(3)",3,3))))+(IF(Q46="BAJA(1)",1,IF(Q46="MEDIA(2)",2,IF(Q46="ALTA(3)",3,3))))+(IF(R46="BAJA(1)",1,IF(R46="MEDIA(2)",2,IF(R46="ALTA(3)",3,3))))</f>
        <v/>
      </c>
      <c r="T46" s="10">
        <f>+IF(S46&lt;6,"BAJA",IF(S46&lt;8,"MEDIA","ALTA"))</f>
        <v/>
      </c>
      <c r="U46" s="10" t="inlineStr">
        <is>
          <t>-</t>
        </is>
      </c>
      <c r="V46" s="24" t="n">
        <v>45680</v>
      </c>
      <c r="W46" s="19" t="inlineStr">
        <is>
          <t>N/A</t>
        </is>
      </c>
      <c r="X46" s="10">
        <f>+IFERROR(IF(VLOOKUP(Tabla2[[#This Row],[ID]],'EVALUACION DE RIESGO'!A:A,1,FALSE)=Tabla2[[#This Row],[ID]],"SI","NO"),"NO")</f>
        <v/>
      </c>
      <c r="AD46">
        <f>IF(AND(Y46="",AA46=""),"",IF(OR(LEFT(AA46,2)="L0",LEFT(AA46,2)="L1",Y46="No Iniciado"),"CRÍTICO - Incumplimiento Normativo SEPS",IF(AND(OR(LEFT(AA46,2)="L4",LEFT(AA46,2)="L5"),AND(AC46&lt;&gt;"",AC46&lt;&gt;"N/A")),"CONFORME - Control Efectivo ISO 27001","OBSERVACIÓN - Revisar Controles")))</f>
        <v/>
      </c>
    </row>
    <row r="47">
      <c r="A47" s="99" t="inlineStr">
        <is>
          <t>45-GAD</t>
        </is>
      </c>
      <c r="B47" s="10" t="inlineStr">
        <is>
          <t>APOYO</t>
        </is>
      </c>
      <c r="C47" s="10" t="inlineStr">
        <is>
          <t xml:space="preserve">Gestión Administrativa </t>
        </is>
      </c>
      <c r="D47" s="10" t="inlineStr">
        <is>
          <t>GAD</t>
        </is>
      </c>
      <c r="E47" s="10" t="inlineStr">
        <is>
          <t>Administración de Vehículos</t>
        </is>
      </c>
      <c r="F47" s="10" t="inlineStr">
        <is>
          <t>-</t>
        </is>
      </c>
      <c r="G47" s="10" t="inlineStr">
        <is>
          <t xml:space="preserve">Mantenimiento preventivo/correctivo de vehículos </t>
        </is>
      </c>
      <c r="H47" s="10" t="inlineStr">
        <is>
          <t>Factura del servicio</t>
        </is>
      </c>
      <c r="I47" s="10" t="inlineStr">
        <is>
          <t>Facturas receptadas en el correo facturas@atuntaqui.fin.ec enviadas por el proveedor</t>
        </is>
      </c>
      <c r="J47" s="10" t="inlineStr">
        <is>
          <t>Jefe Administrativo</t>
        </is>
      </c>
      <c r="K47" s="10" t="inlineStr">
        <is>
          <t>Asistente administrativo</t>
        </is>
      </c>
      <c r="L47" s="10" t="inlineStr">
        <is>
          <t>UBICACIÓN DIGITAL-EQUIPO DEL CUSTODIO</t>
        </is>
      </c>
      <c r="M47" s="10" t="inlineStr">
        <is>
          <t>DISCOS DUROS, SERVIDORES, DISCOS O MEDIOS PORTÁTILES, CINTAS O MEDIOS DE VIDEO Y AUDIO, ETC.</t>
        </is>
      </c>
      <c r="N47" s="10" t="inlineStr">
        <is>
          <t>PRIMARIOS</t>
        </is>
      </c>
      <c r="O47" s="10" t="inlineStr">
        <is>
          <t>DOCUMENTOS HABILITANTES</t>
        </is>
      </c>
      <c r="P47" s="10" t="inlineStr">
        <is>
          <t>USO INTERNO(2)</t>
        </is>
      </c>
      <c r="Q47" s="10" t="inlineStr">
        <is>
          <t>BAJA(1)</t>
        </is>
      </c>
      <c r="R47" s="10" t="inlineStr">
        <is>
          <t>BAJA(1)</t>
        </is>
      </c>
      <c r="S47" s="10">
        <f>+(IF(P47="PUBLICA(1)",1,IF(P47="USO INTERNO(2)",2,IF(P47="RESTRINGIDO(3)",3,3))))+(IF(Q47="BAJA(1)",1,IF(Q47="MEDIA(2)",2,IF(Q47="ALTA(3)",3,3))))+(IF(R47="BAJA(1)",1,IF(R47="MEDIA(2)",2,IF(R47="ALTA(3)",3,3))))</f>
        <v/>
      </c>
      <c r="T47" s="10">
        <f>+IF(S47&lt;6,"BAJA",IF(S47&lt;8,"MEDIA","ALTA"))</f>
        <v/>
      </c>
      <c r="U47" s="10" t="inlineStr">
        <is>
          <t>-</t>
        </is>
      </c>
      <c r="V47" s="24" t="n">
        <v>45680</v>
      </c>
      <c r="W47" s="19" t="inlineStr">
        <is>
          <t>N/A</t>
        </is>
      </c>
      <c r="X47" s="10">
        <f>+IFERROR(IF(VLOOKUP(Tabla2[[#This Row],[ID]],'EVALUACION DE RIESGO'!A:A,1,FALSE)=Tabla2[[#This Row],[ID]],"SI","NO"),"NO")</f>
        <v/>
      </c>
      <c r="AD47">
        <f>IF(AND(Y47="",AA47=""),"",IF(OR(LEFT(AA47,2)="L0",LEFT(AA47,2)="L1",Y47="No Iniciado"),"CRÍTICO - Incumplimiento Normativo SEPS",IF(AND(OR(LEFT(AA47,2)="L4",LEFT(AA47,2)="L5"),AND(AC47&lt;&gt;"",AC47&lt;&gt;"N/A")),"CONFORME - Control Efectivo ISO 27001","OBSERVACIÓN - Revisar Controles")))</f>
        <v/>
      </c>
    </row>
    <row r="48">
      <c r="A48" s="99" t="inlineStr">
        <is>
          <t>46-GAD</t>
        </is>
      </c>
      <c r="B48" s="10" t="inlineStr">
        <is>
          <t>APOYO</t>
        </is>
      </c>
      <c r="C48" s="10" t="inlineStr">
        <is>
          <t xml:space="preserve">Gestión Administrativa </t>
        </is>
      </c>
      <c r="D48" s="10" t="inlineStr">
        <is>
          <t>GAD</t>
        </is>
      </c>
      <c r="E48" s="10" t="inlineStr">
        <is>
          <t>Administración de Vehículos</t>
        </is>
      </c>
      <c r="F48" s="10" t="inlineStr">
        <is>
          <t>-</t>
        </is>
      </c>
      <c r="G48" s="10" t="inlineStr">
        <is>
          <t xml:space="preserve">Mantenimiento preventivo de vehículos </t>
        </is>
      </c>
      <c r="H48" s="10" t="inlineStr">
        <is>
          <t>Historial de recorrido vehicular/Historial de vida vehicular</t>
        </is>
      </c>
      <c r="I48" s="10" t="inlineStr">
        <is>
          <t>Formato digital donde se detalla el vehículo, consumo, estado del mantenimiento</t>
        </is>
      </c>
      <c r="J48" s="10" t="inlineStr">
        <is>
          <t>Jefe Administrativo</t>
        </is>
      </c>
      <c r="K48" s="10" t="inlineStr">
        <is>
          <t>Asistente administrativo</t>
        </is>
      </c>
      <c r="L48" s="10" t="inlineStr">
        <is>
          <t>UBICACIÓN DIGITAL-EQUIPO DEL CUSTODIO</t>
        </is>
      </c>
      <c r="M48" s="10" t="inlineStr">
        <is>
          <t>DISCOS DUROS, SERVIDORES, DISCOS O MEDIOS PORTÁTILES, CINTAS O MEDIOS DE VIDEO Y AUDIO, ETC.</t>
        </is>
      </c>
      <c r="N48" s="10" t="inlineStr">
        <is>
          <t>PRIMARIOS</t>
        </is>
      </c>
      <c r="O48" s="10" t="inlineStr">
        <is>
          <t>DOCUMENTOS TÉCNICOS</t>
        </is>
      </c>
      <c r="P48" s="10" t="inlineStr">
        <is>
          <t>USO INTERNO(2)</t>
        </is>
      </c>
      <c r="Q48" s="10" t="inlineStr">
        <is>
          <t>BAJA(1)</t>
        </is>
      </c>
      <c r="R48" s="10" t="inlineStr">
        <is>
          <t>BAJA(1)</t>
        </is>
      </c>
      <c r="S48" s="10">
        <f>+(IF(P48="PUBLICA(1)",1,IF(P48="USO INTERNO(2)",2,IF(P48="RESTRINGIDO(3)",3,3))))+(IF(Q48="BAJA(1)",1,IF(Q48="MEDIA(2)",2,IF(Q48="ALTA(3)",3,3))))+(IF(R48="BAJA(1)",1,IF(R48="MEDIA(2)",2,IF(R48="ALTA(3)",3,3))))</f>
        <v/>
      </c>
      <c r="T48" s="10">
        <f>+IF(S48&lt;6,"BAJA",IF(S48&lt;8,"MEDIA","ALTA"))</f>
        <v/>
      </c>
      <c r="U48" s="10" t="inlineStr">
        <is>
          <t>-</t>
        </is>
      </c>
      <c r="V48" s="24" t="n">
        <v>45680</v>
      </c>
      <c r="W48" s="19" t="inlineStr">
        <is>
          <t>N/A</t>
        </is>
      </c>
      <c r="X48" s="10">
        <f>+IFERROR(IF(VLOOKUP(Tabla2[[#This Row],[ID]],'EVALUACION DE RIESGO'!A:A,1,FALSE)=Tabla2[[#This Row],[ID]],"SI","NO"),"NO")</f>
        <v/>
      </c>
      <c r="AD48">
        <f>IF(AND(Y48="",AA48=""),"",IF(OR(LEFT(AA48,2)="L0",LEFT(AA48,2)="L1",Y48="No Iniciado"),"CRÍTICO - Incumplimiento Normativo SEPS",IF(AND(OR(LEFT(AA48,2)="L4",LEFT(AA48,2)="L5"),AND(AC48&lt;&gt;"",AC48&lt;&gt;"N/A")),"CONFORME - Control Efectivo ISO 27001","OBSERVACIÓN - Revisar Controles")))</f>
        <v/>
      </c>
    </row>
    <row r="49">
      <c r="A49" s="99" t="inlineStr">
        <is>
          <t>47-GAD</t>
        </is>
      </c>
      <c r="B49" s="10" t="inlineStr">
        <is>
          <t>APOYO</t>
        </is>
      </c>
      <c r="C49" s="10" t="inlineStr">
        <is>
          <t xml:space="preserve">Gestión Administrativa </t>
        </is>
      </c>
      <c r="D49" s="10" t="inlineStr">
        <is>
          <t>GAD</t>
        </is>
      </c>
      <c r="E49" s="10" t="inlineStr">
        <is>
          <t>Administración de Vehículos</t>
        </is>
      </c>
      <c r="F49" s="10" t="inlineStr">
        <is>
          <t>-</t>
        </is>
      </c>
      <c r="G49" s="10" t="inlineStr">
        <is>
          <t xml:space="preserve">Trámites por accidentes de tránsito </t>
        </is>
      </c>
      <c r="H49" s="10" t="inlineStr">
        <is>
          <t>Informe estado del vehículo</t>
        </is>
      </c>
      <c r="I49" s="10" t="inlineStr">
        <is>
          <t>Detalle del incidente enviado por correo electrónico donde se indica el suceso y la gestión realizada</t>
        </is>
      </c>
      <c r="J49" s="10" t="inlineStr">
        <is>
          <t>Jefe Administrativo</t>
        </is>
      </c>
      <c r="K49" s="10" t="inlineStr">
        <is>
          <t>Asistente administrativo</t>
        </is>
      </c>
      <c r="L49" s="10" t="inlineStr">
        <is>
          <t>UBICACIÓN DIGITAL-EQUIPO DEL CUSTODIO</t>
        </is>
      </c>
      <c r="M49" s="10" t="inlineStr">
        <is>
          <t>DISCOS DUROS, SERVIDORES, DISCOS O MEDIOS PORTÁTILES, CINTAS O MEDIOS DE VIDEO Y AUDIO, ETC.</t>
        </is>
      </c>
      <c r="N49" s="10" t="inlineStr">
        <is>
          <t>PRIMARIOS</t>
        </is>
      </c>
      <c r="O49" s="10" t="inlineStr">
        <is>
          <t>DOCUMENTOS TÉCNICOS</t>
        </is>
      </c>
      <c r="P49" s="10" t="inlineStr">
        <is>
          <t>PUBLICA(1)</t>
        </is>
      </c>
      <c r="Q49" s="10" t="inlineStr">
        <is>
          <t>BAJA(1)</t>
        </is>
      </c>
      <c r="R49" s="10" t="inlineStr">
        <is>
          <t>BAJA(1)</t>
        </is>
      </c>
      <c r="S49" s="10">
        <f>+(IF(P49="PUBLICA(1)",1,IF(P49="USO INTERNO(2)",2,IF(P49="RESTRINGIDO(3)",3,3))))+(IF(Q49="BAJA(1)",1,IF(Q49="MEDIA(2)",2,IF(Q49="ALTA(3)",3,3))))+(IF(R49="BAJA(1)",1,IF(R49="MEDIA(2)",2,IF(R49="ALTA(3)",3,3))))</f>
        <v/>
      </c>
      <c r="T49" s="10">
        <f>+IF(S49&lt;6,"BAJA",IF(S49&lt;8,"MEDIA","ALTA"))</f>
        <v/>
      </c>
      <c r="U49" s="10" t="inlineStr">
        <is>
          <t>-</t>
        </is>
      </c>
      <c r="V49" s="24" t="n">
        <v>45680</v>
      </c>
      <c r="W49" s="19" t="inlineStr">
        <is>
          <t>N/A</t>
        </is>
      </c>
      <c r="X49" s="10">
        <f>+IFERROR(IF(VLOOKUP(Tabla2[[#This Row],[ID]],'EVALUACION DE RIESGO'!A:A,1,FALSE)=Tabla2[[#This Row],[ID]],"SI","NO"),"NO")</f>
        <v/>
      </c>
      <c r="AD49">
        <f>IF(AND(Y49="",AA49=""),"",IF(OR(LEFT(AA49,2)="L0",LEFT(AA49,2)="L1",Y49="No Iniciado"),"CRÍTICO - Incumplimiento Normativo SEPS",IF(AND(OR(LEFT(AA49,2)="L4",LEFT(AA49,2)="L5"),AND(AC49&lt;&gt;"",AC49&lt;&gt;"N/A")),"CONFORME - Control Efectivo ISO 27001","OBSERVACIÓN - Revisar Controles")))</f>
        <v/>
      </c>
    </row>
    <row r="50">
      <c r="A50" s="99" t="inlineStr">
        <is>
          <t>48-GAD</t>
        </is>
      </c>
      <c r="B50" s="10" t="inlineStr">
        <is>
          <t>APOYO</t>
        </is>
      </c>
      <c r="C50" s="10" t="inlineStr">
        <is>
          <t xml:space="preserve">Gestión Administrativa </t>
        </is>
      </c>
      <c r="D50" s="10" t="inlineStr">
        <is>
          <t>GAD</t>
        </is>
      </c>
      <c r="E50" s="10" t="inlineStr">
        <is>
          <t>Administración de Vehículos</t>
        </is>
      </c>
      <c r="F50" s="10" t="inlineStr">
        <is>
          <t>-</t>
        </is>
      </c>
      <c r="G50" s="10" t="inlineStr">
        <is>
          <t xml:space="preserve">Asignación de Conductores o custodios de los vehículos </t>
        </is>
      </c>
      <c r="H50" s="10" t="inlineStr">
        <is>
          <t>Acta de entrega recepción</t>
        </is>
      </c>
      <c r="I50" s="10" t="inlineStr">
        <is>
          <t>Cada vehículo tiene un conductor asignado por cada vehículo, donde son asignados desde el sistema FIT y aceptados en el mismo sistema</t>
        </is>
      </c>
      <c r="J50" s="10" t="inlineStr">
        <is>
          <t>Jefe Administrativo</t>
        </is>
      </c>
      <c r="K50" s="10" t="inlineStr">
        <is>
          <t>Asistente administrativo</t>
        </is>
      </c>
      <c r="L50" s="10" t="inlineStr">
        <is>
          <t>UBICACIÓN DIGITAL-EQUIPO DEL CUSTODIO</t>
        </is>
      </c>
      <c r="M50" s="10" t="inlineStr">
        <is>
          <t>DISCOS DUROS, SERVIDORES, DISCOS O MEDIOS PORTÁTILES, CINTAS O MEDIOS DE VIDEO Y AUDIO, ETC.</t>
        </is>
      </c>
      <c r="N50" s="10" t="inlineStr">
        <is>
          <t>PRIMARIOS</t>
        </is>
      </c>
      <c r="O50" s="10" t="inlineStr">
        <is>
          <t>DOCUMENTOS HABILITANTES</t>
        </is>
      </c>
      <c r="P50" s="10" t="inlineStr">
        <is>
          <t>PUBLICA(1)</t>
        </is>
      </c>
      <c r="Q50" s="10" t="inlineStr">
        <is>
          <t>BAJA(1)</t>
        </is>
      </c>
      <c r="R50" s="10" t="inlineStr">
        <is>
          <t>BAJA(1)</t>
        </is>
      </c>
      <c r="S50" s="10">
        <f>+(IF(P50="PUBLICA(1)",1,IF(P50="USO INTERNO(2)",2,IF(P50="RESTRINGIDO(3)",3,3))))+(IF(Q50="BAJA(1)",1,IF(Q50="MEDIA(2)",2,IF(Q50="ALTA(3)",3,3))))+(IF(R50="BAJA(1)",1,IF(R50="MEDIA(2)",2,IF(R50="ALTA(3)",3,3))))</f>
        <v/>
      </c>
      <c r="T50" s="10">
        <f>+IF(S50&lt;6,"BAJA",IF(S50&lt;8,"MEDIA","ALTA"))</f>
        <v/>
      </c>
      <c r="U50" s="10" t="inlineStr">
        <is>
          <t>-</t>
        </is>
      </c>
      <c r="V50" s="24" t="n">
        <v>45680</v>
      </c>
      <c r="W50" s="19" t="inlineStr">
        <is>
          <t>N/A</t>
        </is>
      </c>
      <c r="X50" s="10">
        <f>+IFERROR(IF(VLOOKUP(Tabla2[[#This Row],[ID]],'EVALUACION DE RIESGO'!A:A,1,FALSE)=Tabla2[[#This Row],[ID]],"SI","NO"),"NO")</f>
        <v/>
      </c>
      <c r="AD50">
        <f>IF(AND(Y50="",AA50=""),"",IF(OR(LEFT(AA50,2)="L0",LEFT(AA50,2)="L1",Y50="No Iniciado"),"CRÍTICO - Incumplimiento Normativo SEPS",IF(AND(OR(LEFT(AA50,2)="L4",LEFT(AA50,2)="L5"),AND(AC50&lt;&gt;"",AC50&lt;&gt;"N/A")),"CONFORME - Control Efectivo ISO 27001","OBSERVACIÓN - Revisar Controles")))</f>
        <v/>
      </c>
    </row>
    <row r="51">
      <c r="A51" s="99" t="inlineStr">
        <is>
          <t>49-GAD</t>
        </is>
      </c>
      <c r="B51" s="10" t="inlineStr">
        <is>
          <t>APOYO</t>
        </is>
      </c>
      <c r="C51" s="10" t="inlineStr">
        <is>
          <t xml:space="preserve">Gestión Administrativa </t>
        </is>
      </c>
      <c r="D51" s="10" t="inlineStr">
        <is>
          <t>GAD</t>
        </is>
      </c>
      <c r="E51" s="10" t="inlineStr">
        <is>
          <t>Gestión de Proveeduría</t>
        </is>
      </c>
      <c r="F51" s="10" t="inlineStr">
        <is>
          <t>-</t>
        </is>
      </c>
      <c r="G51" s="10" t="inlineStr">
        <is>
          <t xml:space="preserve">Solicitud de materiales y suministros	</t>
        </is>
      </c>
      <c r="H51" s="10" t="inlineStr">
        <is>
          <t>Solicitud de materiales y suministros / Solicitud de adquisiciones</t>
        </is>
      </c>
      <c r="I51" s="10" t="inlineStr">
        <is>
          <t>Requerimiento que se comparte por correo electrónico, donde se detalla el solicitante, área, oficina, fecha, detalle de cantidades, artículos</t>
        </is>
      </c>
      <c r="J51" s="10" t="inlineStr">
        <is>
          <t>Jefe Administrativo</t>
        </is>
      </c>
      <c r="K51" s="10" t="inlineStr">
        <is>
          <t>Asistente administrativo</t>
        </is>
      </c>
      <c r="L51" s="10" t="inlineStr">
        <is>
          <t>DOCUMENTOS FISICOS-ARCHIVOS DE LA OFICINA</t>
        </is>
      </c>
      <c r="M51" s="10" t="inlineStr">
        <is>
          <t>DOCUMENTO DE ARCHIVO-FÍSICO</t>
        </is>
      </c>
      <c r="N51" s="10" t="inlineStr">
        <is>
          <t>PRIMARIOS</t>
        </is>
      </c>
      <c r="O51" s="10" t="inlineStr">
        <is>
          <t>COMUNICACIÓN INTERNA</t>
        </is>
      </c>
      <c r="P51" s="10" t="inlineStr">
        <is>
          <t>PUBLICA(1)</t>
        </is>
      </c>
      <c r="Q51" s="10" t="inlineStr">
        <is>
          <t>BAJA(1)</t>
        </is>
      </c>
      <c r="R51" s="10" t="inlineStr">
        <is>
          <t>BAJA(1)</t>
        </is>
      </c>
      <c r="S51" s="10">
        <f>+(IF(P51="PUBLICA(1)",1,IF(P51="USO INTERNO(2)",2,IF(P51="RESTRINGIDO(3)",3,3))))+(IF(Q51="BAJA(1)",1,IF(Q51="MEDIA(2)",2,IF(Q51="ALTA(3)",3,3))))+(IF(R51="BAJA(1)",1,IF(R51="MEDIA(2)",2,IF(R51="ALTA(3)",3,3))))</f>
        <v/>
      </c>
      <c r="T51" s="10">
        <f>+IF(S51&lt;6,"BAJA",IF(S51&lt;8,"MEDIA","ALTA"))</f>
        <v/>
      </c>
      <c r="U51" s="10" t="inlineStr">
        <is>
          <t>-</t>
        </is>
      </c>
      <c r="V51" s="24" t="n">
        <v>45680</v>
      </c>
      <c r="W51" s="19" t="inlineStr">
        <is>
          <t>N/A</t>
        </is>
      </c>
      <c r="X51" s="10">
        <f>+IFERROR(IF(VLOOKUP(Tabla2[[#This Row],[ID]],'EVALUACION DE RIESGO'!A:A,1,FALSE)=Tabla2[[#This Row],[ID]],"SI","NO"),"NO")</f>
        <v/>
      </c>
      <c r="AD51">
        <f>IF(AND(Y51="",AA51=""),"",IF(OR(LEFT(AA51,2)="L0",LEFT(AA51,2)="L1",Y51="No Iniciado"),"CRÍTICO - Incumplimiento Normativo SEPS",IF(AND(OR(LEFT(AA51,2)="L4",LEFT(AA51,2)="L5"),AND(AC51&lt;&gt;"",AC51&lt;&gt;"N/A")),"CONFORME - Control Efectivo ISO 27001","OBSERVACIÓN - Revisar Controles")))</f>
        <v/>
      </c>
    </row>
    <row r="52">
      <c r="A52" s="99" t="inlineStr">
        <is>
          <t>50-GAD</t>
        </is>
      </c>
      <c r="B52" s="10" t="inlineStr">
        <is>
          <t>APOYO</t>
        </is>
      </c>
      <c r="C52" s="10" t="inlineStr">
        <is>
          <t xml:space="preserve">Gestión Administrativa </t>
        </is>
      </c>
      <c r="D52" s="10" t="inlineStr">
        <is>
          <t>GAD</t>
        </is>
      </c>
      <c r="E52" s="10" t="inlineStr">
        <is>
          <t>Gestión de Proveeduría</t>
        </is>
      </c>
      <c r="F52" s="10" t="inlineStr">
        <is>
          <t>-</t>
        </is>
      </c>
      <c r="G52" s="10" t="inlineStr">
        <is>
          <t xml:space="preserve">Recepción de materiales y suministros	</t>
        </is>
      </c>
      <c r="H52" s="10" t="inlineStr">
        <is>
          <t>Factura/ Comprobante de compra</t>
        </is>
      </c>
      <c r="I52" s="10" t="inlineStr">
        <is>
          <t xml:space="preserve">Facturas de la adquisición </t>
        </is>
      </c>
      <c r="J52" s="10" t="inlineStr">
        <is>
          <t>Jefe Administrativo</t>
        </is>
      </c>
      <c r="K52" s="10" t="inlineStr">
        <is>
          <t>Asistente administrativo</t>
        </is>
      </c>
      <c r="L52" s="10" t="inlineStr">
        <is>
          <t>DOCUMENTOS FISICOS-ARCHIVOS DE LA OFICINA</t>
        </is>
      </c>
      <c r="M52" s="10" t="inlineStr">
        <is>
          <t>DOCUMENTO DE ARCHIVO-FÍSICO</t>
        </is>
      </c>
      <c r="N52" s="10" t="inlineStr">
        <is>
          <t>PRIMARIOS</t>
        </is>
      </c>
      <c r="O52" s="10" t="inlineStr">
        <is>
          <t>DOCUMENTOS HABILITANTES</t>
        </is>
      </c>
      <c r="P52" s="10" t="inlineStr">
        <is>
          <t>USO INTERNO(2)</t>
        </is>
      </c>
      <c r="Q52" s="10" t="inlineStr">
        <is>
          <t>MEDIA(2)</t>
        </is>
      </c>
      <c r="R52" s="10" t="inlineStr">
        <is>
          <t>MEDIA(2)</t>
        </is>
      </c>
      <c r="S52" s="10">
        <f>+(IF(P52="PUBLICA(1)",1,IF(P52="USO INTERNO(2)",2,IF(P52="RESTRINGIDO(3)",3,3))))+(IF(Q52="BAJA(1)",1,IF(Q52="MEDIA(2)",2,IF(Q52="ALTA(3)",3,3))))+(IF(R52="BAJA(1)",1,IF(R52="MEDIA(2)",2,IF(R52="ALTA(3)",3,3))))</f>
        <v/>
      </c>
      <c r="T52" s="10">
        <f>+IF(S52&lt;6,"BAJA",IF(S52&lt;8,"MEDIA","ALTA"))</f>
        <v/>
      </c>
      <c r="U52" s="10" t="inlineStr">
        <is>
          <t>-</t>
        </is>
      </c>
      <c r="V52" s="24" t="n">
        <v>45680</v>
      </c>
      <c r="W52" s="19" t="inlineStr">
        <is>
          <t>N/A</t>
        </is>
      </c>
      <c r="X52" s="10">
        <f>+IFERROR(IF(VLOOKUP(Tabla2[[#This Row],[ID]],'EVALUACION DE RIESGO'!A:A,1,FALSE)=Tabla2[[#This Row],[ID]],"SI","NO"),"NO")</f>
        <v/>
      </c>
      <c r="AD52">
        <f>IF(AND(Y52="",AA52=""),"",IF(OR(LEFT(AA52,2)="L0",LEFT(AA52,2)="L1",Y52="No Iniciado"),"CRÍTICO - Incumplimiento Normativo SEPS",IF(AND(OR(LEFT(AA52,2)="L4",LEFT(AA52,2)="L5"),AND(AC52&lt;&gt;"",AC52&lt;&gt;"N/A")),"CONFORME - Control Efectivo ISO 27001","OBSERVACIÓN - Revisar Controles")))</f>
        <v/>
      </c>
    </row>
    <row r="53">
      <c r="A53" s="99" t="inlineStr">
        <is>
          <t>51-GAD</t>
        </is>
      </c>
      <c r="B53" s="10" t="inlineStr">
        <is>
          <t>APOYO</t>
        </is>
      </c>
      <c r="C53" s="10" t="inlineStr">
        <is>
          <t xml:space="preserve">Gestión Administrativa </t>
        </is>
      </c>
      <c r="D53" s="10" t="inlineStr">
        <is>
          <t>GAD</t>
        </is>
      </c>
      <c r="E53" s="10" t="inlineStr">
        <is>
          <t>Gestión de Proveeduría</t>
        </is>
      </c>
      <c r="F53" s="10" t="inlineStr">
        <is>
          <t>-</t>
        </is>
      </c>
      <c r="G53" s="10" t="inlineStr">
        <is>
          <t xml:space="preserve">Distribución de materiales y suministros	</t>
        </is>
      </c>
      <c r="H53" s="10" t="inlineStr">
        <is>
          <t>Reportes de requisición de materiales y suministros</t>
        </is>
      </c>
      <c r="I53" s="10" t="inlineStr">
        <is>
          <t>Registro en el sistema FIT</t>
        </is>
      </c>
      <c r="J53" s="10" t="inlineStr">
        <is>
          <t>Jefe Administrativo</t>
        </is>
      </c>
      <c r="K53" s="10" t="inlineStr">
        <is>
          <t>Asistente administrativo</t>
        </is>
      </c>
      <c r="L53" s="10" t="inlineStr">
        <is>
          <t>UBICACIÓN DIGITAL-CORE FINANCIERO</t>
        </is>
      </c>
      <c r="M53" s="10" t="inlineStr">
        <is>
          <t>SISTEMAS DE INFORMACIÓN CORPORATIVOS</t>
        </is>
      </c>
      <c r="N53" s="10" t="inlineStr">
        <is>
          <t>PRIMARIOS</t>
        </is>
      </c>
      <c r="O53" s="10" t="inlineStr">
        <is>
          <t>COMUNICACIÓN INTERNA</t>
        </is>
      </c>
      <c r="P53" s="10" t="inlineStr">
        <is>
          <t>USO INTERNO(2)</t>
        </is>
      </c>
      <c r="Q53" s="10" t="inlineStr">
        <is>
          <t>MEDIA(2)</t>
        </is>
      </c>
      <c r="R53" s="10" t="inlineStr">
        <is>
          <t>BAJA(1)</t>
        </is>
      </c>
      <c r="S53" s="10">
        <f>+(IF(P53="PUBLICA(1)",1,IF(P53="USO INTERNO(2)",2,IF(P53="RESTRINGIDO(3)",3,3))))+(IF(Q53="BAJA(1)",1,IF(Q53="MEDIA(2)",2,IF(Q53="ALTA(3)",3,3))))+(IF(R53="BAJA(1)",1,IF(R53="MEDIA(2)",2,IF(R53="ALTA(3)",3,3))))</f>
        <v/>
      </c>
      <c r="T53" s="10">
        <f>+IF(S53&lt;6,"BAJA",IF(S53&lt;8,"MEDIA","ALTA"))</f>
        <v/>
      </c>
      <c r="U53" s="10" t="inlineStr">
        <is>
          <t>-</t>
        </is>
      </c>
      <c r="V53" s="24" t="n">
        <v>45680</v>
      </c>
      <c r="W53" s="19" t="inlineStr">
        <is>
          <t>N/A</t>
        </is>
      </c>
      <c r="X53" s="10">
        <f>+IFERROR(IF(VLOOKUP(Tabla2[[#This Row],[ID]],'EVALUACION DE RIESGO'!A:A,1,FALSE)=Tabla2[[#This Row],[ID]],"SI","NO"),"NO")</f>
        <v/>
      </c>
      <c r="AD53">
        <f>IF(AND(Y53="",AA53=""),"",IF(OR(LEFT(AA53,2)="L0",LEFT(AA53,2)="L1",Y53="No Iniciado"),"CRÍTICO - Incumplimiento Normativo SEPS",IF(AND(OR(LEFT(AA53,2)="L4",LEFT(AA53,2)="L5"),AND(AC53&lt;&gt;"",AC53&lt;&gt;"N/A")),"CONFORME - Control Efectivo ISO 27001","OBSERVACIÓN - Revisar Controles")))</f>
        <v/>
      </c>
    </row>
    <row r="54">
      <c r="A54" s="99" t="inlineStr">
        <is>
          <t>52-GAD</t>
        </is>
      </c>
      <c r="B54" s="10" t="inlineStr">
        <is>
          <t>APOYO</t>
        </is>
      </c>
      <c r="C54" s="10" t="inlineStr">
        <is>
          <t xml:space="preserve">Gestión Administrativa </t>
        </is>
      </c>
      <c r="D54" s="10" t="inlineStr">
        <is>
          <t>GAD</t>
        </is>
      </c>
      <c r="E54" s="10" t="inlineStr">
        <is>
          <t>Gestión de Proveeduría</t>
        </is>
      </c>
      <c r="F54" s="10" t="inlineStr">
        <is>
          <t>-</t>
        </is>
      </c>
      <c r="G54" s="10" t="inlineStr">
        <is>
          <t xml:space="preserve">Distribución de materiales y suministros	</t>
        </is>
      </c>
      <c r="H54" s="10" t="inlineStr">
        <is>
          <t>Salida de inventario por bodega</t>
        </is>
      </c>
      <c r="I54" s="10" t="inlineStr">
        <is>
          <t>Reporte de salida impreso desde el sistema FIT, contiene el detalle de los activos, cantidad, costo , totales y firmas de responsabilidad</t>
        </is>
      </c>
      <c r="J54" s="10" t="inlineStr">
        <is>
          <t>Jefe Administrativo</t>
        </is>
      </c>
      <c r="K54" s="10" t="inlineStr">
        <is>
          <t>Asistente administrativo</t>
        </is>
      </c>
      <c r="L54" s="10" t="inlineStr">
        <is>
          <t>DOCUMENTOS FISICOS-ARCHIVOS DE LA OFICINA</t>
        </is>
      </c>
      <c r="M54" s="10" t="inlineStr">
        <is>
          <t>DOCUMENTO DE ARCHIVO-FÍSICO</t>
        </is>
      </c>
      <c r="N54" s="10" t="inlineStr">
        <is>
          <t>PRIMARIOS</t>
        </is>
      </c>
      <c r="O54" s="10" t="inlineStr">
        <is>
          <t>COMUNICACIÓN INTERNA</t>
        </is>
      </c>
      <c r="P54" s="10" t="inlineStr">
        <is>
          <t>PUBLICA(1)</t>
        </is>
      </c>
      <c r="Q54" s="10" t="inlineStr">
        <is>
          <t>MEDIA(2)</t>
        </is>
      </c>
      <c r="R54" s="10" t="inlineStr">
        <is>
          <t>MEDIA(2)</t>
        </is>
      </c>
      <c r="S54" s="10">
        <f>+(IF(P54="PUBLICA(1)",1,IF(P54="USO INTERNO(2)",2,IF(P54="RESTRINGIDO(3)",3,3))))+(IF(Q54="BAJA(1)",1,IF(Q54="MEDIA(2)",2,IF(Q54="ALTA(3)",3,3))))+(IF(R54="BAJA(1)",1,IF(R54="MEDIA(2)",2,IF(R54="ALTA(3)",3,3))))</f>
        <v/>
      </c>
      <c r="T54" s="10">
        <f>+IF(S54&lt;6,"BAJA",IF(S54&lt;8,"MEDIA","ALTA"))</f>
        <v/>
      </c>
      <c r="U54" s="10" t="inlineStr">
        <is>
          <t>-</t>
        </is>
      </c>
      <c r="V54" s="24" t="n">
        <v>45680</v>
      </c>
      <c r="W54" s="19" t="inlineStr">
        <is>
          <t>N/A</t>
        </is>
      </c>
      <c r="X54" s="10">
        <f>+IFERROR(IF(VLOOKUP(Tabla2[[#This Row],[ID]],'EVALUACION DE RIESGO'!A:A,1,FALSE)=Tabla2[[#This Row],[ID]],"SI","NO"),"NO")</f>
        <v/>
      </c>
      <c r="AD54">
        <f>IF(AND(Y54="",AA54=""),"",IF(OR(LEFT(AA54,2)="L0",LEFT(AA54,2)="L1",Y54="No Iniciado"),"CRÍTICO - Incumplimiento Normativo SEPS",IF(AND(OR(LEFT(AA54,2)="L4",LEFT(AA54,2)="L5"),AND(AC54&lt;&gt;"",AC54&lt;&gt;"N/A")),"CONFORME - Control Efectivo ISO 27001","OBSERVACIÓN - Revisar Controles")))</f>
        <v/>
      </c>
    </row>
    <row r="55">
      <c r="A55" s="99" t="inlineStr">
        <is>
          <t>53-GAD</t>
        </is>
      </c>
      <c r="B55" s="10" t="inlineStr">
        <is>
          <t>APOYO</t>
        </is>
      </c>
      <c r="C55" s="10" t="inlineStr">
        <is>
          <t xml:space="preserve">Gestión Administrativa </t>
        </is>
      </c>
      <c r="D55" s="10" t="inlineStr">
        <is>
          <t>GAD</t>
        </is>
      </c>
      <c r="E55" s="10" t="inlineStr">
        <is>
          <t>Gestión de Proveeduría</t>
        </is>
      </c>
      <c r="F55" s="10" t="inlineStr">
        <is>
          <t>-</t>
        </is>
      </c>
      <c r="G55" s="10" t="inlineStr">
        <is>
          <t>Control de inventario</t>
        </is>
      </c>
      <c r="H55" s="10" t="inlineStr">
        <is>
          <t>Inventario de constatación</t>
        </is>
      </c>
      <c r="I55" s="10" t="inlineStr">
        <is>
          <t>Registro que se imprime desde Fit que se valida en situ con información y detalle del activo, listado anterior, actual</t>
        </is>
      </c>
      <c r="J55" s="10" t="inlineStr">
        <is>
          <t>Jefe Administrativo</t>
        </is>
      </c>
      <c r="K55" s="10" t="inlineStr">
        <is>
          <t>Asistente administrativo</t>
        </is>
      </c>
      <c r="L55" s="10" t="inlineStr">
        <is>
          <t>DOCUMENTOS FISICOS-ARCHIVOS DE LA OFICINA</t>
        </is>
      </c>
      <c r="M55" s="10" t="inlineStr">
        <is>
          <t>DOCUMENTO DE ARCHIVO-FÍSICO</t>
        </is>
      </c>
      <c r="N55" s="10" t="inlineStr">
        <is>
          <t>PRIMARIOS</t>
        </is>
      </c>
      <c r="O55" s="10" t="inlineStr">
        <is>
          <t>DOCUMENTOS TÉCNICOS</t>
        </is>
      </c>
      <c r="P55" s="10" t="inlineStr">
        <is>
          <t>USO INTERNO(2)</t>
        </is>
      </c>
      <c r="Q55" s="10" t="inlineStr">
        <is>
          <t>MEDIA(2)</t>
        </is>
      </c>
      <c r="R55" s="10" t="inlineStr">
        <is>
          <t>MEDIA(2)</t>
        </is>
      </c>
      <c r="S55" s="10">
        <f>+(IF(P55="PUBLICA(1)",1,IF(P55="USO INTERNO(2)",2,IF(P55="RESTRINGIDO(3)",3,3))))+(IF(Q55="BAJA(1)",1,IF(Q55="MEDIA(2)",2,IF(Q55="ALTA(3)",3,3))))+(IF(R55="BAJA(1)",1,IF(R55="MEDIA(2)",2,IF(R55="ALTA(3)",3,3))))</f>
        <v/>
      </c>
      <c r="T55" s="10">
        <f>+IF(S55&lt;6,"BAJA",IF(S55&lt;8,"MEDIA","ALTA"))</f>
        <v/>
      </c>
      <c r="U55" s="10" t="inlineStr">
        <is>
          <t>-</t>
        </is>
      </c>
      <c r="V55" s="24" t="n">
        <v>45680</v>
      </c>
      <c r="W55" s="19" t="inlineStr">
        <is>
          <t>N/A</t>
        </is>
      </c>
      <c r="X55" s="10">
        <f>+IFERROR(IF(VLOOKUP(Tabla2[[#This Row],[ID]],'EVALUACION DE RIESGO'!A:A,1,FALSE)=Tabla2[[#This Row],[ID]],"SI","NO"),"NO")</f>
        <v/>
      </c>
      <c r="AD55">
        <f>IF(AND(Y55="",AA55=""),"",IF(OR(LEFT(AA55,2)="L0",LEFT(AA55,2)="L1",Y55="No Iniciado"),"CRÍTICO - Incumplimiento Normativo SEPS",IF(AND(OR(LEFT(AA55,2)="L4",LEFT(AA55,2)="L5"),AND(AC55&lt;&gt;"",AC55&lt;&gt;"N/A")),"CONFORME - Control Efectivo ISO 27001","OBSERVACIÓN - Revisar Controles")))</f>
        <v/>
      </c>
    </row>
    <row r="56">
      <c r="A56" s="99" t="inlineStr">
        <is>
          <t>54-GAD</t>
        </is>
      </c>
      <c r="B56" s="10" t="inlineStr">
        <is>
          <t>APOYO</t>
        </is>
      </c>
      <c r="C56" s="10" t="inlineStr">
        <is>
          <t xml:space="preserve">Gestión Administrativa </t>
        </is>
      </c>
      <c r="D56" s="10" t="inlineStr">
        <is>
          <t>GAD</t>
        </is>
      </c>
      <c r="E56" s="10" t="inlineStr">
        <is>
          <t>Gestión de Proveeduría</t>
        </is>
      </c>
      <c r="F56" s="10" t="inlineStr">
        <is>
          <t>-</t>
        </is>
      </c>
      <c r="G56" s="10" t="inlineStr">
        <is>
          <t xml:space="preserve">Baja de materiales de proveeduría.	</t>
        </is>
      </c>
      <c r="H56" s="10" t="inlineStr">
        <is>
          <t>Salida de inventario por bodega</t>
        </is>
      </c>
      <c r="I56" s="10" t="inlineStr">
        <is>
          <t>Reporte de salida impreso desde el sistema FIT, contiene el detalle de los activos, cantidad, costo , totales y firmas de responsabilidad</t>
        </is>
      </c>
      <c r="J56" s="10" t="inlineStr">
        <is>
          <t>Jefe Administrativo</t>
        </is>
      </c>
      <c r="K56" s="10" t="inlineStr">
        <is>
          <t>Asistente administrativo</t>
        </is>
      </c>
      <c r="L56" s="10" t="inlineStr">
        <is>
          <t>UBICACIÓN DIGITAL-CORE FINANCIERO</t>
        </is>
      </c>
      <c r="M56" s="10" t="inlineStr">
        <is>
          <t>SISTEMAS DE INFORMACIÓN CORPORATIVOS</t>
        </is>
      </c>
      <c r="N56" s="10" t="inlineStr">
        <is>
          <t>PRIMARIOS</t>
        </is>
      </c>
      <c r="O56" s="10" t="inlineStr">
        <is>
          <t>COMUNICACIÓN INTERNA</t>
        </is>
      </c>
      <c r="P56" s="10" t="inlineStr">
        <is>
          <t>USO INTERNO(2)</t>
        </is>
      </c>
      <c r="Q56" s="10" t="inlineStr">
        <is>
          <t>MEDIA(2)</t>
        </is>
      </c>
      <c r="R56" s="10" t="inlineStr">
        <is>
          <t>MEDIA(2)</t>
        </is>
      </c>
      <c r="S56" s="10">
        <f>+(IF(P56="PUBLICA(1)",1,IF(P56="USO INTERNO(2)",2,IF(P56="RESTRINGIDO(3)",3,3))))+(IF(Q56="BAJA(1)",1,IF(Q56="MEDIA(2)",2,IF(Q56="ALTA(3)",3,3))))+(IF(R56="BAJA(1)",1,IF(R56="MEDIA(2)",2,IF(R56="ALTA(3)",3,3))))</f>
        <v/>
      </c>
      <c r="T56" s="10">
        <f>+IF(S56&lt;6,"BAJA",IF(S56&lt;8,"MEDIA","ALTA"))</f>
        <v/>
      </c>
      <c r="U56" s="10" t="inlineStr">
        <is>
          <t>-</t>
        </is>
      </c>
      <c r="V56" s="24" t="n">
        <v>45680</v>
      </c>
      <c r="W56" s="19" t="inlineStr">
        <is>
          <t>N/A</t>
        </is>
      </c>
      <c r="X56" s="10">
        <f>+IFERROR(IF(VLOOKUP(Tabla2[[#This Row],[ID]],'EVALUACION DE RIESGO'!A:A,1,FALSE)=Tabla2[[#This Row],[ID]],"SI","NO"),"NO")</f>
        <v/>
      </c>
      <c r="AD56">
        <f>IF(AND(Y56="",AA56=""),"",IF(OR(LEFT(AA56,2)="L0",LEFT(AA56,2)="L1",Y56="No Iniciado"),"CRÍTICO - Incumplimiento Normativo SEPS",IF(AND(OR(LEFT(AA56,2)="L4",LEFT(AA56,2)="L5"),AND(AC56&lt;&gt;"",AC56&lt;&gt;"N/A")),"CONFORME - Control Efectivo ISO 27001","OBSERVACIÓN - Revisar Controles")))</f>
        <v/>
      </c>
    </row>
    <row r="57">
      <c r="A57" s="99" t="inlineStr">
        <is>
          <t>55-GAD</t>
        </is>
      </c>
      <c r="B57" s="10" t="inlineStr">
        <is>
          <t>APOYO</t>
        </is>
      </c>
      <c r="C57" s="10" t="inlineStr">
        <is>
          <t xml:space="preserve">Gestión Administrativa </t>
        </is>
      </c>
      <c r="D57" s="10" t="inlineStr">
        <is>
          <t>GAD</t>
        </is>
      </c>
      <c r="E57" s="10" t="inlineStr">
        <is>
          <t>Gestión de Archivo Pasivo</t>
        </is>
      </c>
      <c r="F57" s="10" t="inlineStr">
        <is>
          <t>-</t>
        </is>
      </c>
      <c r="G57" s="10" t="inlineStr">
        <is>
          <t xml:space="preserve">Envío de documentos al archivo pasivo	</t>
        </is>
      </c>
      <c r="H57" s="10" t="inlineStr">
        <is>
          <t>Envío de documentos del archivo pasivo</t>
        </is>
      </c>
      <c r="I57" s="10" t="inlineStr">
        <is>
          <t>Registro que se envía por correo electrónico indicando la serie de caja y el contenido.</t>
        </is>
      </c>
      <c r="J57" s="10" t="inlineStr">
        <is>
          <t>Jefe Administrativo</t>
        </is>
      </c>
      <c r="K57" s="10" t="inlineStr">
        <is>
          <t>Asistente administrativo</t>
        </is>
      </c>
      <c r="L57" s="10" t="inlineStr">
        <is>
          <t>UBICACIÓN DIGITAL - SISTEMA SARA</t>
        </is>
      </c>
      <c r="M57" s="10" t="inlineStr">
        <is>
          <t>SISTEMAS DE INFORMACIÓN CORPORATIVOS</t>
        </is>
      </c>
      <c r="N57" s="10" t="inlineStr">
        <is>
          <t>PRIMARIOS</t>
        </is>
      </c>
      <c r="O57" s="10" t="inlineStr">
        <is>
          <t>COMUNICACIÓN INTERNA</t>
        </is>
      </c>
      <c r="P57" s="10" t="inlineStr">
        <is>
          <t>RESTRINGIDO(3)</t>
        </is>
      </c>
      <c r="Q57" s="10" t="inlineStr">
        <is>
          <t>MEDIA(2)</t>
        </is>
      </c>
      <c r="R57" s="10" t="inlineStr">
        <is>
          <t>MEDIA(2)</t>
        </is>
      </c>
      <c r="S57" s="10">
        <f>+(IF(P57="PUBLICA(1)",1,IF(P57="USO INTERNO(2)",2,IF(P57="RESTRINGIDO(3)",3,3))))+(IF(Q57="BAJA(1)",1,IF(Q57="MEDIA(2)",2,IF(Q57="ALTA(3)",3,3))))+(IF(R57="BAJA(1)",1,IF(R57="MEDIA(2)",2,IF(R57="ALTA(3)",3,3))))</f>
        <v/>
      </c>
      <c r="T57" s="10">
        <f>+IF(S57&lt;6,"BAJA",IF(S57&lt;8,"MEDIA","ALTA"))</f>
        <v/>
      </c>
      <c r="U57" s="10" t="inlineStr">
        <is>
          <t>-</t>
        </is>
      </c>
      <c r="V57" s="24" t="n">
        <v>45680</v>
      </c>
      <c r="W57" s="19" t="inlineStr">
        <is>
          <t>N/A</t>
        </is>
      </c>
      <c r="X57" s="10">
        <f>+IFERROR(IF(VLOOKUP(Tabla2[[#This Row],[ID]],'EVALUACION DE RIESGO'!A:A,1,FALSE)=Tabla2[[#This Row],[ID]],"SI","NO"),"NO")</f>
        <v/>
      </c>
      <c r="AD57">
        <f>IF(AND(Y57="",AA57=""),"",IF(OR(LEFT(AA57,2)="L0",LEFT(AA57,2)="L1",Y57="No Iniciado"),"CRÍTICO - Incumplimiento Normativo SEPS",IF(AND(OR(LEFT(AA57,2)="L4",LEFT(AA57,2)="L5"),AND(AC57&lt;&gt;"",AC57&lt;&gt;"N/A")),"CONFORME - Control Efectivo ISO 27001","OBSERVACIÓN - Revisar Controles")))</f>
        <v/>
      </c>
    </row>
    <row r="58">
      <c r="A58" s="99" t="inlineStr">
        <is>
          <t>56-GAD</t>
        </is>
      </c>
      <c r="B58" s="10" t="inlineStr">
        <is>
          <t>APOYO</t>
        </is>
      </c>
      <c r="C58" s="10" t="inlineStr">
        <is>
          <t xml:space="preserve">Gestión Administrativa </t>
        </is>
      </c>
      <c r="D58" s="10" t="inlineStr">
        <is>
          <t>GAD</t>
        </is>
      </c>
      <c r="E58" s="10" t="inlineStr">
        <is>
          <t>Gestión de Archivo Pasivo</t>
        </is>
      </c>
      <c r="F58" s="10" t="inlineStr">
        <is>
          <t>-</t>
        </is>
      </c>
      <c r="G58" s="10" t="inlineStr">
        <is>
          <t xml:space="preserve">Envío de documentos al archivo pasivo	</t>
        </is>
      </c>
      <c r="H58" s="10" t="inlineStr">
        <is>
          <t>Registro de control del archivo pasivo</t>
        </is>
      </c>
      <c r="I58" s="10" t="inlineStr">
        <is>
          <t>Registro de control obtenido desde el sistema del proveedor, donde se detallan las cajas y contenidos</t>
        </is>
      </c>
      <c r="J58" s="10" t="inlineStr">
        <is>
          <t>Jefe Administrativo</t>
        </is>
      </c>
      <c r="K58" s="10" t="inlineStr">
        <is>
          <t>Asistente administrativo</t>
        </is>
      </c>
      <c r="L58" s="10" t="inlineStr">
        <is>
          <t>UBICACIÓN DIGITAL-EQUIPO DEL CUSTODIO</t>
        </is>
      </c>
      <c r="M58" s="10" t="inlineStr">
        <is>
          <t>SISTEMAS DE INFORMACIÓN CORPORATIVOS</t>
        </is>
      </c>
      <c r="N58" s="10" t="inlineStr">
        <is>
          <t>PRIMARIOS</t>
        </is>
      </c>
      <c r="O58" s="10" t="inlineStr">
        <is>
          <t>DOCUMENTOS TÉCNICOS</t>
        </is>
      </c>
      <c r="P58" s="10" t="inlineStr">
        <is>
          <t>USO INTERNO(2)</t>
        </is>
      </c>
      <c r="Q58" s="10" t="inlineStr">
        <is>
          <t>MEDIA(2)</t>
        </is>
      </c>
      <c r="R58" s="10" t="inlineStr">
        <is>
          <t>BAJA(1)</t>
        </is>
      </c>
      <c r="S58" s="10">
        <f>+(IF(P58="PUBLICA(1)",1,IF(P58="USO INTERNO(2)",2,IF(P58="RESTRINGIDO(3)",3,3))))+(IF(Q58="BAJA(1)",1,IF(Q58="MEDIA(2)",2,IF(Q58="ALTA(3)",3,3))))+(IF(R58="BAJA(1)",1,IF(R58="MEDIA(2)",2,IF(R58="ALTA(3)",3,3))))</f>
        <v/>
      </c>
      <c r="T58" s="10">
        <f>+IF(S58&lt;6,"BAJA",IF(S58&lt;8,"MEDIA","ALTA"))</f>
        <v/>
      </c>
      <c r="U58" s="10" t="inlineStr">
        <is>
          <t>-</t>
        </is>
      </c>
      <c r="V58" s="24" t="n">
        <v>45680</v>
      </c>
      <c r="W58" s="19" t="inlineStr">
        <is>
          <t>N/A</t>
        </is>
      </c>
      <c r="X58" s="10">
        <f>+IFERROR(IF(VLOOKUP(Tabla2[[#This Row],[ID]],'EVALUACION DE RIESGO'!A:A,1,FALSE)=Tabla2[[#This Row],[ID]],"SI","NO"),"NO")</f>
        <v/>
      </c>
      <c r="AD58">
        <f>IF(AND(Y58="",AA58=""),"",IF(OR(LEFT(AA58,2)="L0",LEFT(AA58,2)="L1",Y58="No Iniciado"),"CRÍTICO - Incumplimiento Normativo SEPS",IF(AND(OR(LEFT(AA58,2)="L4",LEFT(AA58,2)="L5"),AND(AC58&lt;&gt;"",AC58&lt;&gt;"N/A")),"CONFORME - Control Efectivo ISO 27001","OBSERVACIÓN - Revisar Controles")))</f>
        <v/>
      </c>
    </row>
    <row r="59">
      <c r="A59" s="99" t="inlineStr">
        <is>
          <t>57-GAD</t>
        </is>
      </c>
      <c r="B59" s="10" t="inlineStr">
        <is>
          <t>APOYO</t>
        </is>
      </c>
      <c r="C59" s="10" t="inlineStr">
        <is>
          <t xml:space="preserve">Gestión Administrativa </t>
        </is>
      </c>
      <c r="D59" s="10" t="inlineStr">
        <is>
          <t>GAD</t>
        </is>
      </c>
      <c r="E59" s="10" t="inlineStr">
        <is>
          <t>Gestión de Archivo Pasivo</t>
        </is>
      </c>
      <c r="F59" s="10" t="inlineStr">
        <is>
          <t>-</t>
        </is>
      </c>
      <c r="G59" s="10" t="inlineStr">
        <is>
          <t xml:space="preserve">Envío de documentos al archivo pasivo	</t>
        </is>
      </c>
      <c r="H59" s="10" t="inlineStr">
        <is>
          <t>Acta entrega</t>
        </is>
      </c>
      <c r="I59" s="10" t="inlineStr">
        <is>
          <t>Documento de respaldo de la entrega con firmas de responsabilidad y detalle del archivo o files de crédito</t>
        </is>
      </c>
      <c r="J59" s="10" t="inlineStr">
        <is>
          <t>Jefe Administrativo</t>
        </is>
      </c>
      <c r="K59" s="10" t="inlineStr">
        <is>
          <t>Asistente administrativo</t>
        </is>
      </c>
      <c r="L59" s="10" t="inlineStr">
        <is>
          <t>DOCUMENTOS FISICOS-ARCHIVOS DE LA OFICINA</t>
        </is>
      </c>
      <c r="M59" s="10" t="inlineStr">
        <is>
          <t>DOCUMENTO DE ARCHIVO-FÍSICO</t>
        </is>
      </c>
      <c r="N59" s="10" t="inlineStr">
        <is>
          <t>PRIMARIOS</t>
        </is>
      </c>
      <c r="O59" s="10" t="inlineStr">
        <is>
          <t>DOCUMENTOS HABILITANTES</t>
        </is>
      </c>
      <c r="P59" s="10" t="inlineStr">
        <is>
          <t>USO INTERNO(2)</t>
        </is>
      </c>
      <c r="Q59" s="10" t="inlineStr">
        <is>
          <t>MEDIA(2)</t>
        </is>
      </c>
      <c r="R59" s="10" t="inlineStr">
        <is>
          <t>MEDIA(2)</t>
        </is>
      </c>
      <c r="S59" s="10">
        <f>+(IF(P59="PUBLICA(1)",1,IF(P59="USO INTERNO(2)",2,IF(P59="RESTRINGIDO(3)",3,3))))+(IF(Q59="BAJA(1)",1,IF(Q59="MEDIA(2)",2,IF(Q59="ALTA(3)",3,3))))+(IF(R59="BAJA(1)",1,IF(R59="MEDIA(2)",2,IF(R59="ALTA(3)",3,3))))</f>
        <v/>
      </c>
      <c r="T59" s="10">
        <f>+IF(S59&lt;6,"BAJA",IF(S59&lt;8,"MEDIA","ALTA"))</f>
        <v/>
      </c>
      <c r="U59" s="10" t="inlineStr">
        <is>
          <t>-</t>
        </is>
      </c>
      <c r="V59" s="24" t="n">
        <v>45680</v>
      </c>
      <c r="W59" s="19" t="inlineStr">
        <is>
          <t>N/A</t>
        </is>
      </c>
      <c r="X59" s="10">
        <f>+IFERROR(IF(VLOOKUP(Tabla2[[#This Row],[ID]],'EVALUACION DE RIESGO'!A:A,1,FALSE)=Tabla2[[#This Row],[ID]],"SI","NO"),"NO")</f>
        <v/>
      </c>
      <c r="AD59">
        <f>IF(AND(Y59="",AA59=""),"",IF(OR(LEFT(AA59,2)="L0",LEFT(AA59,2)="L1",Y59="No Iniciado"),"CRÍTICO - Incumplimiento Normativo SEPS",IF(AND(OR(LEFT(AA59,2)="L4",LEFT(AA59,2)="L5"),AND(AC59&lt;&gt;"",AC59&lt;&gt;"N/A")),"CONFORME - Control Efectivo ISO 27001","OBSERVACIÓN - Revisar Controles")))</f>
        <v/>
      </c>
    </row>
    <row r="60">
      <c r="A60" s="99" t="inlineStr">
        <is>
          <t>58-GAD</t>
        </is>
      </c>
      <c r="B60" s="10" t="inlineStr">
        <is>
          <t>APOYO</t>
        </is>
      </c>
      <c r="C60" s="10" t="inlineStr">
        <is>
          <t xml:space="preserve">Gestión Administrativa </t>
        </is>
      </c>
      <c r="D60" s="10" t="inlineStr">
        <is>
          <t>GAD</t>
        </is>
      </c>
      <c r="E60" s="10" t="inlineStr">
        <is>
          <t>Gestión de Archivo Pasivo</t>
        </is>
      </c>
      <c r="F60" s="10" t="inlineStr">
        <is>
          <t>-</t>
        </is>
      </c>
      <c r="G60" s="10" t="inlineStr">
        <is>
          <t>Consulta, retiro o reproducción de documentos del archivo externo</t>
        </is>
      </c>
      <c r="H60" s="10" t="inlineStr">
        <is>
          <t>Reporte mensual de consulta, entrega y recepción de documentos</t>
        </is>
      </c>
      <c r="I60" s="10" t="inlineStr">
        <is>
          <t>Información visualizada desde el sistema FILESTORAGE del proveedor</t>
        </is>
      </c>
      <c r="J60" s="10" t="inlineStr">
        <is>
          <t>Jefe Administrativo</t>
        </is>
      </c>
      <c r="K60" s="10" t="inlineStr">
        <is>
          <t>Asistente administrativo</t>
        </is>
      </c>
      <c r="L60" s="10" t="inlineStr">
        <is>
          <t>UBICACIÓN DIGITAL-EQUIPO DEL CUSTODIO</t>
        </is>
      </c>
      <c r="M60" s="10" t="inlineStr">
        <is>
          <t>SISTEMAS DE INFORMACIÓN CORPORATIVOS</t>
        </is>
      </c>
      <c r="N60" s="10" t="inlineStr">
        <is>
          <t>PRIMARIOS</t>
        </is>
      </c>
      <c r="O60" s="10" t="inlineStr">
        <is>
          <t>DOCUMENTOS TÉCNICOS</t>
        </is>
      </c>
      <c r="P60" s="10" t="inlineStr">
        <is>
          <t>USO INTERNO(2)</t>
        </is>
      </c>
      <c r="Q60" s="10" t="inlineStr">
        <is>
          <t>MEDIA(2)</t>
        </is>
      </c>
      <c r="R60" s="10" t="inlineStr">
        <is>
          <t>MEDIA(2)</t>
        </is>
      </c>
      <c r="S60" s="10">
        <f>+(IF(P60="PUBLICA(1)",1,IF(P60="USO INTERNO(2)",2,IF(P60="RESTRINGIDO(3)",3,3))))+(IF(Q60="BAJA(1)",1,IF(Q60="MEDIA(2)",2,IF(Q60="ALTA(3)",3,3))))+(IF(R60="BAJA(1)",1,IF(R60="MEDIA(2)",2,IF(R60="ALTA(3)",3,3))))</f>
        <v/>
      </c>
      <c r="T60" s="10">
        <f>+IF(S60&lt;6,"BAJA",IF(S60&lt;8,"MEDIA","ALTA"))</f>
        <v/>
      </c>
      <c r="U60" s="10" t="inlineStr">
        <is>
          <t>-</t>
        </is>
      </c>
      <c r="V60" s="24" t="n">
        <v>45680</v>
      </c>
      <c r="W60" s="19" t="inlineStr">
        <is>
          <t>N/A</t>
        </is>
      </c>
      <c r="X60" s="10">
        <f>+IFERROR(IF(VLOOKUP(Tabla2[[#This Row],[ID]],'EVALUACION DE RIESGO'!A:A,1,FALSE)=Tabla2[[#This Row],[ID]],"SI","NO"),"NO")</f>
        <v/>
      </c>
      <c r="AD60">
        <f>IF(AND(Y60="",AA60=""),"",IF(OR(LEFT(AA60,2)="L0",LEFT(AA60,2)="L1",Y60="No Iniciado"),"CRÍTICO - Incumplimiento Normativo SEPS",IF(AND(OR(LEFT(AA60,2)="L4",LEFT(AA60,2)="L5"),AND(AC60&lt;&gt;"",AC60&lt;&gt;"N/A")),"CONFORME - Control Efectivo ISO 27001","OBSERVACIÓN - Revisar Controles")))</f>
        <v/>
      </c>
    </row>
    <row r="61">
      <c r="A61" s="99" t="inlineStr">
        <is>
          <t>59-GAD</t>
        </is>
      </c>
      <c r="B61" s="10" t="inlineStr">
        <is>
          <t>APOYO</t>
        </is>
      </c>
      <c r="C61" s="10" t="inlineStr">
        <is>
          <t xml:space="preserve">Gestión Administrativa </t>
        </is>
      </c>
      <c r="D61" s="10" t="inlineStr">
        <is>
          <t>GAD</t>
        </is>
      </c>
      <c r="E61" s="10" t="inlineStr">
        <is>
          <t>Gestión de Archivo Pasivo</t>
        </is>
      </c>
      <c r="F61" s="10" t="inlineStr">
        <is>
          <t>-</t>
        </is>
      </c>
      <c r="G61" s="10" t="inlineStr">
        <is>
          <t>Baja de documentos desde archivo externo</t>
        </is>
      </c>
      <c r="H61" s="10" t="inlineStr">
        <is>
          <t>Inventario de documentos</t>
        </is>
      </c>
      <c r="I61" s="10" t="inlineStr">
        <is>
          <t>Reporte de File Storage enviado por correo electrónico</t>
        </is>
      </c>
      <c r="J61" s="10" t="inlineStr">
        <is>
          <t>Jefe Administrativo</t>
        </is>
      </c>
      <c r="K61" s="10" t="inlineStr">
        <is>
          <t>Asistente administrativo</t>
        </is>
      </c>
      <c r="L61" s="10" t="inlineStr">
        <is>
          <t>UBICACIÓN DIGITAL-EQUIPO DEL CUSTODIO</t>
        </is>
      </c>
      <c r="M61" s="10" t="inlineStr">
        <is>
          <t>SISTEMAS DE INFORMACIÓN CORPORATIVOS</t>
        </is>
      </c>
      <c r="N61" s="10" t="inlineStr">
        <is>
          <t>PRIMARIOS</t>
        </is>
      </c>
      <c r="O61" s="10" t="inlineStr">
        <is>
          <t>DOCUMENTOS TÉCNICOS</t>
        </is>
      </c>
      <c r="P61" s="10" t="inlineStr">
        <is>
          <t>USO INTERNO(2)</t>
        </is>
      </c>
      <c r="Q61" s="10" t="inlineStr">
        <is>
          <t>MEDIA(2)</t>
        </is>
      </c>
      <c r="R61" s="10" t="inlineStr">
        <is>
          <t>MEDIA(2)</t>
        </is>
      </c>
      <c r="S61" s="10">
        <f>+(IF(P61="PUBLICA(1)",1,IF(P61="USO INTERNO(2)",2,IF(P61="RESTRINGIDO(3)",3,3))))+(IF(Q61="BAJA(1)",1,IF(Q61="MEDIA(2)",2,IF(Q61="ALTA(3)",3,3))))+(IF(R61="BAJA(1)",1,IF(R61="MEDIA(2)",2,IF(R61="ALTA(3)",3,3))))</f>
        <v/>
      </c>
      <c r="T61" s="10">
        <f>+IF(S61&lt;6,"BAJA",IF(S61&lt;8,"MEDIA","ALTA"))</f>
        <v/>
      </c>
      <c r="U61" s="10" t="inlineStr">
        <is>
          <t>-</t>
        </is>
      </c>
      <c r="V61" s="24" t="n">
        <v>45680</v>
      </c>
      <c r="W61" s="19" t="inlineStr">
        <is>
          <t>N/A</t>
        </is>
      </c>
      <c r="X61" s="10">
        <f>+IFERROR(IF(VLOOKUP(Tabla2[[#This Row],[ID]],'EVALUACION DE RIESGO'!A:A,1,FALSE)=Tabla2[[#This Row],[ID]],"SI","NO"),"NO")</f>
        <v/>
      </c>
      <c r="AD61">
        <f>IF(AND(Y61="",AA61=""),"",IF(OR(LEFT(AA61,2)="L0",LEFT(AA61,2)="L1",Y61="No Iniciado"),"CRÍTICO - Incumplimiento Normativo SEPS",IF(AND(OR(LEFT(AA61,2)="L4",LEFT(AA61,2)="L5"),AND(AC61&lt;&gt;"",AC61&lt;&gt;"N/A")),"CONFORME - Control Efectivo ISO 27001","OBSERVACIÓN - Revisar Controles")))</f>
        <v/>
      </c>
    </row>
    <row r="62">
      <c r="A62" s="99" t="inlineStr">
        <is>
          <t>60-GAD</t>
        </is>
      </c>
      <c r="B62" s="10" t="inlineStr">
        <is>
          <t>APOYO</t>
        </is>
      </c>
      <c r="C62" s="10" t="inlineStr">
        <is>
          <t xml:space="preserve">Gestión Administrativa </t>
        </is>
      </c>
      <c r="D62" s="10" t="inlineStr">
        <is>
          <t>GAD</t>
        </is>
      </c>
      <c r="E62" s="10" t="inlineStr">
        <is>
          <t>Gestión de Archivo Pasivo</t>
        </is>
      </c>
      <c r="F62" s="10" t="inlineStr">
        <is>
          <t>-</t>
        </is>
      </c>
      <c r="G62" s="10" t="inlineStr">
        <is>
          <t>Baja de documentos desde archivo externo</t>
        </is>
      </c>
      <c r="H62" s="10" t="inlineStr">
        <is>
          <t>Informe de baja de documentos/Certificado de destrucción</t>
        </is>
      </c>
      <c r="I62" s="10" t="inlineStr">
        <is>
          <t>File de baja de documentos realizados con firmas de responsabilidad</t>
        </is>
      </c>
      <c r="J62" s="10" t="inlineStr">
        <is>
          <t>Jefe Administrativo</t>
        </is>
      </c>
      <c r="K62" s="10" t="inlineStr">
        <is>
          <t>Asistente administrativo</t>
        </is>
      </c>
      <c r="L62" s="10" t="inlineStr">
        <is>
          <t>UBICACIÓN DIGITAL-EQUIPO DEL CUSTODIO</t>
        </is>
      </c>
      <c r="M62" s="10" t="inlineStr">
        <is>
          <t>SISTEMAS DE INFORMACIÓN CORPORATIVOS</t>
        </is>
      </c>
      <c r="N62" s="10" t="inlineStr">
        <is>
          <t>PRIMARIOS</t>
        </is>
      </c>
      <c r="O62" s="10" t="inlineStr">
        <is>
          <t>DOCUMENTOS TÉCNICOS</t>
        </is>
      </c>
      <c r="P62" s="10" t="inlineStr">
        <is>
          <t>USO INTERNO(2)</t>
        </is>
      </c>
      <c r="Q62" s="10" t="inlineStr">
        <is>
          <t>MEDIA(2)</t>
        </is>
      </c>
      <c r="R62" s="10" t="inlineStr">
        <is>
          <t>MEDIA(2)</t>
        </is>
      </c>
      <c r="S62" s="10">
        <f>+(IF(P62="PUBLICA(1)",1,IF(P62="USO INTERNO(2)",2,IF(P62="RESTRINGIDO(3)",3,3))))+(IF(Q62="BAJA(1)",1,IF(Q62="MEDIA(2)",2,IF(Q62="ALTA(3)",3,3))))+(IF(R62="BAJA(1)",1,IF(R62="MEDIA(2)",2,IF(R62="ALTA(3)",3,3))))</f>
        <v/>
      </c>
      <c r="T62" s="10">
        <f>+IF(S62&lt;6,"BAJA",IF(S62&lt;8,"MEDIA","ALTA"))</f>
        <v/>
      </c>
      <c r="U62" s="10" t="inlineStr">
        <is>
          <t>-</t>
        </is>
      </c>
      <c r="V62" s="24" t="n">
        <v>45680</v>
      </c>
      <c r="W62" s="19" t="inlineStr">
        <is>
          <t>N/A</t>
        </is>
      </c>
      <c r="X62" s="10">
        <f>+IFERROR(IF(VLOOKUP(Tabla2[[#This Row],[ID]],'EVALUACION DE RIESGO'!A:A,1,FALSE)=Tabla2[[#This Row],[ID]],"SI","NO"),"NO")</f>
        <v/>
      </c>
      <c r="AD62">
        <f>IF(AND(Y62="",AA62=""),"",IF(OR(LEFT(AA62,2)="L0",LEFT(AA62,2)="L1",Y62="No Iniciado"),"CRÍTICO - Incumplimiento Normativo SEPS",IF(AND(OR(LEFT(AA62,2)="L4",LEFT(AA62,2)="L5"),AND(AC62&lt;&gt;"",AC62&lt;&gt;"N/A")),"CONFORME - Control Efectivo ISO 27001","OBSERVACIÓN - Revisar Controles")))</f>
        <v/>
      </c>
    </row>
    <row r="63">
      <c r="A63" s="99" t="inlineStr">
        <is>
          <t>61-GAD</t>
        </is>
      </c>
      <c r="B63" s="10" t="inlineStr">
        <is>
          <t>APOYO</t>
        </is>
      </c>
      <c r="C63" s="10" t="inlineStr">
        <is>
          <t xml:space="preserve">Gestión Administrativa </t>
        </is>
      </c>
      <c r="D63" s="10" t="inlineStr">
        <is>
          <t>GAD</t>
        </is>
      </c>
      <c r="E63" s="10" t="inlineStr">
        <is>
          <t>Gestión de Archivo Pasivo</t>
        </is>
      </c>
      <c r="F63" s="10" t="inlineStr">
        <is>
          <t>-</t>
        </is>
      </c>
      <c r="G63" s="10" t="inlineStr">
        <is>
          <t>Baja de documentos en la Institución</t>
        </is>
      </c>
      <c r="H63" s="10" t="inlineStr">
        <is>
          <t>Acta de baja de documentos</t>
        </is>
      </c>
      <c r="I63" s="10" t="inlineStr">
        <is>
          <t>Acta realizada de baja de documentos realizada en conjunto con el Oficial de Seguridad de la Información</t>
        </is>
      </c>
      <c r="J63" s="10" t="inlineStr">
        <is>
          <t>Jefe Administrativo</t>
        </is>
      </c>
      <c r="K63" s="10" t="inlineStr">
        <is>
          <t>Asistente administrativo</t>
        </is>
      </c>
      <c r="L63" s="10" t="inlineStr">
        <is>
          <t>DOCUMENTOS FISICOS-ARCHIVOS DE LA OFICINA</t>
        </is>
      </c>
      <c r="M63" s="10" t="inlineStr">
        <is>
          <t>DOCUMENTO DE ARCHIVO-FÍSICO</t>
        </is>
      </c>
      <c r="N63" s="10" t="inlineStr">
        <is>
          <t>PRIMARIOS</t>
        </is>
      </c>
      <c r="O63" s="10" t="inlineStr">
        <is>
          <t>DOCUMENTOS HABILITANTES</t>
        </is>
      </c>
      <c r="P63" s="10" t="inlineStr">
        <is>
          <t>USO INTERNO(2)</t>
        </is>
      </c>
      <c r="Q63" s="10" t="inlineStr">
        <is>
          <t>MEDIA(2)</t>
        </is>
      </c>
      <c r="R63" s="10" t="inlineStr">
        <is>
          <t>MEDIA(2)</t>
        </is>
      </c>
      <c r="S63" s="10">
        <f>+(IF(P63="PUBLICA(1)",1,IF(P63="USO INTERNO(2)",2,IF(P63="RESTRINGIDO(3)",3,3))))+(IF(Q63="BAJA(1)",1,IF(Q63="MEDIA(2)",2,IF(Q63="ALTA(3)",3,3))))+(IF(R63="BAJA(1)",1,IF(R63="MEDIA(2)",2,IF(R63="ALTA(3)",3,3))))</f>
        <v/>
      </c>
      <c r="T63" s="10">
        <f>+IF(S63&lt;6,"BAJA",IF(S63&lt;8,"MEDIA","ALTA"))</f>
        <v/>
      </c>
      <c r="U63" s="10" t="inlineStr">
        <is>
          <t>-</t>
        </is>
      </c>
      <c r="V63" s="24" t="n">
        <v>45680</v>
      </c>
      <c r="W63" s="19" t="inlineStr">
        <is>
          <t>N/A</t>
        </is>
      </c>
      <c r="X63" s="10">
        <f>+IFERROR(IF(VLOOKUP(Tabla2[[#This Row],[ID]],'EVALUACION DE RIESGO'!A:A,1,FALSE)=Tabla2[[#This Row],[ID]],"SI","NO"),"NO")</f>
        <v/>
      </c>
      <c r="AD63">
        <f>IF(AND(Y63="",AA63=""),"",IF(OR(LEFT(AA63,2)="L0",LEFT(AA63,2)="L1",Y63="No Iniciado"),"CRÍTICO - Incumplimiento Normativo SEPS",IF(AND(OR(LEFT(AA63,2)="L4",LEFT(AA63,2)="L5"),AND(AC63&lt;&gt;"",AC63&lt;&gt;"N/A")),"CONFORME - Control Efectivo ISO 27001","OBSERVACIÓN - Revisar Controles")))</f>
        <v/>
      </c>
    </row>
    <row r="64">
      <c r="A64" s="99" t="inlineStr">
        <is>
          <t>62-GAD</t>
        </is>
      </c>
      <c r="B64" s="10" t="inlineStr">
        <is>
          <t>APOYO</t>
        </is>
      </c>
      <c r="C64" s="10" t="inlineStr">
        <is>
          <t xml:space="preserve">Gestión Administrativa </t>
        </is>
      </c>
      <c r="D64" s="10" t="inlineStr">
        <is>
          <t>GAD</t>
        </is>
      </c>
      <c r="E64" s="10" t="inlineStr">
        <is>
          <t>Gestión de Archivo Pasivo</t>
        </is>
      </c>
      <c r="F64" s="10" t="inlineStr">
        <is>
          <t>-</t>
        </is>
      </c>
      <c r="G64" s="10" t="inlineStr">
        <is>
          <t>Baja de documentos en la Institución</t>
        </is>
      </c>
      <c r="H64" s="10" t="inlineStr">
        <is>
          <t>Inventario de documentos a darse de baja</t>
        </is>
      </c>
      <c r="I64" s="10" t="inlineStr">
        <is>
          <t>Inventario de activos que contiene detalle de activos a darse de baja, detalle del archivo pasivo, tipo de documento, año, observaciones</t>
        </is>
      </c>
      <c r="J64" s="10" t="inlineStr">
        <is>
          <t>Jefe Administrativo</t>
        </is>
      </c>
      <c r="K64" s="10" t="inlineStr">
        <is>
          <t>Asistente administrativo</t>
        </is>
      </c>
      <c r="L64" s="10" t="inlineStr">
        <is>
          <t>UBICACIÓN DIGITAL-EQUIPO DEL CUSTODIO</t>
        </is>
      </c>
      <c r="M64" s="10" t="inlineStr">
        <is>
          <t>SISTEMAS DE INFORMACIÓN CORPORATIVOS</t>
        </is>
      </c>
      <c r="N64" s="10" t="inlineStr">
        <is>
          <t>PRIMARIOS</t>
        </is>
      </c>
      <c r="O64" s="10" t="inlineStr">
        <is>
          <t>DOCUMENTOS TÉCNICOS</t>
        </is>
      </c>
      <c r="P64" s="10" t="inlineStr">
        <is>
          <t>USO INTERNO(2)</t>
        </is>
      </c>
      <c r="Q64" s="10" t="inlineStr">
        <is>
          <t>MEDIA(2)</t>
        </is>
      </c>
      <c r="R64" s="10" t="inlineStr">
        <is>
          <t>MEDIA(2)</t>
        </is>
      </c>
      <c r="S64" s="10">
        <f>+(IF(P64="PUBLICA(1)",1,IF(P64="USO INTERNO(2)",2,IF(P64="RESTRINGIDO(3)",3,3))))+(IF(Q64="BAJA(1)",1,IF(Q64="MEDIA(2)",2,IF(Q64="ALTA(3)",3,3))))+(IF(R64="BAJA(1)",1,IF(R64="MEDIA(2)",2,IF(R64="ALTA(3)",3,3))))</f>
        <v/>
      </c>
      <c r="T64" s="10">
        <f>+IF(S64&lt;6,"BAJA",IF(S64&lt;8,"MEDIA","ALTA"))</f>
        <v/>
      </c>
      <c r="U64" s="10" t="inlineStr">
        <is>
          <t>-</t>
        </is>
      </c>
      <c r="V64" s="24" t="n">
        <v>45680</v>
      </c>
      <c r="W64" s="19" t="inlineStr">
        <is>
          <t>N/A</t>
        </is>
      </c>
      <c r="X64" s="10">
        <f>+IFERROR(IF(VLOOKUP(Tabla2[[#This Row],[ID]],'EVALUACION DE RIESGO'!A:A,1,FALSE)=Tabla2[[#This Row],[ID]],"SI","NO"),"NO")</f>
        <v/>
      </c>
      <c r="AD64">
        <f>IF(AND(Y64="",AA64=""),"",IF(OR(LEFT(AA64,2)="L0",LEFT(AA64,2)="L1",Y64="No Iniciado"),"CRÍTICO - Incumplimiento Normativo SEPS",IF(AND(OR(LEFT(AA64,2)="L4",LEFT(AA64,2)="L5"),AND(AC64&lt;&gt;"",AC64&lt;&gt;"N/A")),"CONFORME - Control Efectivo ISO 27001","OBSERVACIÓN - Revisar Controles")))</f>
        <v/>
      </c>
    </row>
    <row r="65">
      <c r="A65" s="99" t="inlineStr">
        <is>
          <t>63-GAD</t>
        </is>
      </c>
      <c r="B65" s="10" t="inlineStr">
        <is>
          <t>APOYO</t>
        </is>
      </c>
      <c r="C65" s="10" t="inlineStr">
        <is>
          <t xml:space="preserve">Gestión Administrativa </t>
        </is>
      </c>
      <c r="D65" s="10" t="inlineStr">
        <is>
          <t>GAD</t>
        </is>
      </c>
      <c r="E65" s="10" t="inlineStr">
        <is>
          <t>Gestión de Archivo Pasivo</t>
        </is>
      </c>
      <c r="F65" s="10" t="inlineStr">
        <is>
          <t>-</t>
        </is>
      </c>
      <c r="G65" s="10" t="inlineStr">
        <is>
          <t>Baja de documentos en la Institución</t>
        </is>
      </c>
      <c r="H65" s="10" t="inlineStr">
        <is>
          <t>Certificado de destrucción</t>
        </is>
      </c>
      <c r="I65" s="10" t="inlineStr">
        <is>
          <t>Documento de respaldo de la destrucción realizada por el proveedor</t>
        </is>
      </c>
      <c r="J65" s="10" t="inlineStr">
        <is>
          <t>Jefe Administrativo</t>
        </is>
      </c>
      <c r="K65" s="10" t="inlineStr">
        <is>
          <t>Asistente Administrativo</t>
        </is>
      </c>
      <c r="L65" s="10" t="inlineStr">
        <is>
          <t>UBICACIÓN DIGITAL-EQUIPO DEL CUSTODIO</t>
        </is>
      </c>
      <c r="M65" s="10" t="inlineStr">
        <is>
          <t>SISTEMAS DE INFORMACIÓN CORPORATIVOS</t>
        </is>
      </c>
      <c r="N65" s="10" t="inlineStr">
        <is>
          <t>PRIMARIOS</t>
        </is>
      </c>
      <c r="O65" s="10" t="inlineStr">
        <is>
          <t>DOCUMENTOS HABILITANTES</t>
        </is>
      </c>
      <c r="P65" s="10" t="inlineStr">
        <is>
          <t>USO INTERNO(2)</t>
        </is>
      </c>
      <c r="Q65" s="10" t="inlineStr">
        <is>
          <t>MEDIA(2)</t>
        </is>
      </c>
      <c r="R65" s="10" t="inlineStr">
        <is>
          <t>MEDIA(2)</t>
        </is>
      </c>
      <c r="S65" s="10">
        <f>+(IF(P65="PUBLICA(1)",1,IF(P65="USO INTERNO(2)",2,IF(P65="RESTRINGIDO(3)",3,3))))+(IF(Q65="BAJA(1)",1,IF(Q65="MEDIA(2)",2,IF(Q65="ALTA(3)",3,3))))+(IF(R65="BAJA(1)",1,IF(R65="MEDIA(2)",2,IF(R65="ALTA(3)",3,3))))</f>
        <v/>
      </c>
      <c r="T65" s="10">
        <f>+IF(S65&lt;6,"BAJA",IF(S65&lt;8,"MEDIA","ALTA"))</f>
        <v/>
      </c>
      <c r="U65" s="10" t="inlineStr">
        <is>
          <t>-</t>
        </is>
      </c>
      <c r="V65" s="24" t="n">
        <v>45680</v>
      </c>
      <c r="W65" s="19" t="inlineStr">
        <is>
          <t>N/A</t>
        </is>
      </c>
      <c r="X65" s="10">
        <f>+IFERROR(IF(VLOOKUP(Tabla2[[#This Row],[ID]],'EVALUACION DE RIESGO'!A:A,1,FALSE)=Tabla2[[#This Row],[ID]],"SI","NO"),"NO")</f>
        <v/>
      </c>
      <c r="AD65">
        <f>IF(AND(Y65="",AA65=""),"",IF(OR(LEFT(AA65,2)="L0",LEFT(AA65,2)="L1",Y65="No Iniciado"),"CRÍTICO - Incumplimiento Normativo SEPS",IF(AND(OR(LEFT(AA65,2)="L4",LEFT(AA65,2)="L5"),AND(AC65&lt;&gt;"",AC65&lt;&gt;"N/A")),"CONFORME - Control Efectivo ISO 27001","OBSERVACIÓN - Revisar Controles")))</f>
        <v/>
      </c>
    </row>
    <row r="66">
      <c r="A66" s="99" t="inlineStr">
        <is>
          <t>64-GAD</t>
        </is>
      </c>
      <c r="B66" s="10" t="inlineStr">
        <is>
          <t>APOYO</t>
        </is>
      </c>
      <c r="C66" s="10" t="inlineStr">
        <is>
          <t xml:space="preserve">Gestión Administrativa </t>
        </is>
      </c>
      <c r="D66" s="10" t="inlineStr">
        <is>
          <t>GAD</t>
        </is>
      </c>
      <c r="E66" s="10" t="inlineStr">
        <is>
          <t>Gestión de Adquisiciones</t>
        </is>
      </c>
      <c r="F66" s="10" t="inlineStr">
        <is>
          <t>-</t>
        </is>
      </c>
      <c r="G66" s="10" t="inlineStr">
        <is>
          <t>Planificación de adquisiciones</t>
        </is>
      </c>
      <c r="H66" s="10" t="inlineStr">
        <is>
          <t>Plan anual de adquisiciones</t>
        </is>
      </c>
      <c r="I66" s="10" t="inlineStr">
        <is>
          <t>Planificación realizada en el sistema SARA, información detallada por años y por departamento</t>
        </is>
      </c>
      <c r="J66" s="10" t="inlineStr">
        <is>
          <t>Jefe Administrativo</t>
        </is>
      </c>
      <c r="K66" s="10" t="inlineStr">
        <is>
          <t>Asistente administrativo</t>
        </is>
      </c>
      <c r="L66" s="10" t="inlineStr">
        <is>
          <t>UBICACIÓN DIGITAL - SISTEMA SARA</t>
        </is>
      </c>
      <c r="M66" s="10" t="inlineStr">
        <is>
          <t>SISTEMAS DE INFORMACIÓN CORPORATIVOS</t>
        </is>
      </c>
      <c r="N66" s="10" t="inlineStr">
        <is>
          <t>PRIMARIOS</t>
        </is>
      </c>
      <c r="O66" s="10" t="inlineStr">
        <is>
          <t>DOCUMENTOS HABILITANTES</t>
        </is>
      </c>
      <c r="P66" s="10" t="inlineStr">
        <is>
          <t>USO INTERNO(2)</t>
        </is>
      </c>
      <c r="Q66" s="10" t="inlineStr">
        <is>
          <t>BAJA(1)</t>
        </is>
      </c>
      <c r="R66" s="10" t="inlineStr">
        <is>
          <t>MEDIA(2)</t>
        </is>
      </c>
      <c r="S66" s="10">
        <f>+(IF(P66="PUBLICA(1)",1,IF(P66="USO INTERNO(2)",2,IF(P66="RESTRINGIDO(3)",3,3))))+(IF(Q66="BAJA(1)",1,IF(Q66="MEDIA(2)",2,IF(Q66="ALTA(3)",3,3))))+(IF(R66="BAJA(1)",1,IF(R66="MEDIA(2)",2,IF(R66="ALTA(3)",3,3))))</f>
        <v/>
      </c>
      <c r="T66" s="10">
        <f>+IF(S66&lt;6,"BAJA",IF(S66&lt;8,"MEDIA","ALTA"))</f>
        <v/>
      </c>
      <c r="U66" s="10" t="inlineStr">
        <is>
          <t>-</t>
        </is>
      </c>
      <c r="V66" s="24" t="n">
        <v>45680</v>
      </c>
      <c r="W66" s="19" t="inlineStr">
        <is>
          <t>N/A</t>
        </is>
      </c>
      <c r="X66" s="10">
        <f>+IFERROR(IF(VLOOKUP(Tabla2[[#This Row],[ID]],'EVALUACION DE RIESGO'!A:A,1,FALSE)=Tabla2[[#This Row],[ID]],"SI","NO"),"NO")</f>
        <v/>
      </c>
      <c r="AD66">
        <f>IF(AND(Y66="",AA66=""),"",IF(OR(LEFT(AA66,2)="L0",LEFT(AA66,2)="L1",Y66="No Iniciado"),"CRÍTICO - Incumplimiento Normativo SEPS",IF(AND(OR(LEFT(AA66,2)="L4",LEFT(AA66,2)="L5"),AND(AC66&lt;&gt;"",AC66&lt;&gt;"N/A")),"CONFORME - Control Efectivo ISO 27001","OBSERVACIÓN - Revisar Controles")))</f>
        <v/>
      </c>
    </row>
    <row r="67">
      <c r="A67" s="99" t="inlineStr">
        <is>
          <t>65-GAD</t>
        </is>
      </c>
      <c r="B67" s="10" t="inlineStr">
        <is>
          <t>APOYO</t>
        </is>
      </c>
      <c r="C67" s="10" t="inlineStr">
        <is>
          <t xml:space="preserve">Gestión Administrativa </t>
        </is>
      </c>
      <c r="D67" s="10" t="inlineStr">
        <is>
          <t>GAD</t>
        </is>
      </c>
      <c r="E67" s="10" t="inlineStr">
        <is>
          <t>Gestión de Adquisiciones</t>
        </is>
      </c>
      <c r="F67" s="10" t="inlineStr">
        <is>
          <t>-</t>
        </is>
      </c>
      <c r="G67" s="10" t="inlineStr">
        <is>
          <t>Planificación de adquisiciones</t>
        </is>
      </c>
      <c r="H67" s="10" t="inlineStr">
        <is>
          <t>Resolución del comité de Adquisiciones</t>
        </is>
      </c>
      <c r="I67" s="10" t="inlineStr">
        <is>
          <t>Documentos de actas de resoluciones, convcatorias y sumillas</t>
        </is>
      </c>
      <c r="J67" s="10" t="inlineStr">
        <is>
          <t>Jefe Administrativo</t>
        </is>
      </c>
      <c r="K67" s="10" t="inlineStr">
        <is>
          <t>Jefe Administrativo</t>
        </is>
      </c>
      <c r="L67" s="10" t="inlineStr">
        <is>
          <t>UBICACIÓN DIGITAL - SISTEMA SARA</t>
        </is>
      </c>
      <c r="M67" s="10" t="inlineStr">
        <is>
          <t>SISTEMAS DE INFORMACIÓN CORPORATIVOS</t>
        </is>
      </c>
      <c r="N67" s="10" t="inlineStr">
        <is>
          <t>PRIMARIOS</t>
        </is>
      </c>
      <c r="O67" s="10" t="inlineStr">
        <is>
          <t>COMUNICACIÓN INTERNA</t>
        </is>
      </c>
      <c r="P67" s="10" t="inlineStr">
        <is>
          <t>USO INTERNO(2)</t>
        </is>
      </c>
      <c r="Q67" s="10" t="inlineStr">
        <is>
          <t>MEDIA(2)</t>
        </is>
      </c>
      <c r="R67" s="10" t="inlineStr">
        <is>
          <t>MEDIA(2)</t>
        </is>
      </c>
      <c r="S67" s="10">
        <f>+(IF(P67="PUBLICA(1)",1,IF(P67="USO INTERNO(2)",2,IF(P67="RESTRINGIDO(3)",3,3))))+(IF(Q67="BAJA(1)",1,IF(Q67="MEDIA(2)",2,IF(Q67="ALTA(3)",3,3))))+(IF(R67="BAJA(1)",1,IF(R67="MEDIA(2)",2,IF(R67="ALTA(3)",3,3))))</f>
        <v/>
      </c>
      <c r="T67" s="10">
        <f>+IF(S67&lt;6,"BAJA",IF(S67&lt;8,"MEDIA","ALTA"))</f>
        <v/>
      </c>
      <c r="U67" s="10" t="inlineStr">
        <is>
          <t>-</t>
        </is>
      </c>
      <c r="V67" s="24" t="n">
        <v>45680</v>
      </c>
      <c r="W67" s="19" t="inlineStr">
        <is>
          <t>N/A</t>
        </is>
      </c>
      <c r="X67" s="10">
        <f>+IFERROR(IF(VLOOKUP(Tabla2[[#This Row],[ID]],'EVALUACION DE RIESGO'!A:A,1,FALSE)=Tabla2[[#This Row],[ID]],"SI","NO"),"NO")</f>
        <v/>
      </c>
      <c r="AD67">
        <f>IF(AND(Y67="",AA67=""),"",IF(OR(LEFT(AA67,2)="L0",LEFT(AA67,2)="L1",Y67="No Iniciado"),"CRÍTICO - Incumplimiento Normativo SEPS",IF(AND(OR(LEFT(AA67,2)="L4",LEFT(AA67,2)="L5"),AND(AC67&lt;&gt;"",AC67&lt;&gt;"N/A")),"CONFORME - Control Efectivo ISO 27001","OBSERVACIÓN - Revisar Controles")))</f>
        <v/>
      </c>
    </row>
    <row r="68">
      <c r="A68" s="99" t="inlineStr">
        <is>
          <t>66-GAD</t>
        </is>
      </c>
      <c r="B68" s="10" t="inlineStr">
        <is>
          <t>APOYO</t>
        </is>
      </c>
      <c r="C68" s="10" t="inlineStr">
        <is>
          <t xml:space="preserve">Gestión Administrativa </t>
        </is>
      </c>
      <c r="D68" s="10" t="inlineStr">
        <is>
          <t>GAD</t>
        </is>
      </c>
      <c r="E68" s="10" t="inlineStr">
        <is>
          <t>Gestión de Adquisiciones</t>
        </is>
      </c>
      <c r="F68" s="10" t="inlineStr">
        <is>
          <t>-</t>
        </is>
      </c>
      <c r="G68" s="10" t="inlineStr">
        <is>
          <t>Calificación de proveedores</t>
        </is>
      </c>
      <c r="H68" s="10" t="inlineStr">
        <is>
          <t>Registro de proveedores</t>
        </is>
      </c>
      <c r="I68" s="10" t="inlineStr">
        <is>
          <t>Registro de reporteria de proveedores con calificación promedio y por fechas , información registrada en el sistema SARA</t>
        </is>
      </c>
      <c r="J68" s="10" t="inlineStr">
        <is>
          <t>Jefe Administrativo</t>
        </is>
      </c>
      <c r="K68" s="10" t="inlineStr">
        <is>
          <t>Asistente administrativo</t>
        </is>
      </c>
      <c r="L68" s="10" t="inlineStr">
        <is>
          <t>UBICACIÓN DIGITAL - SISTEMA SARA</t>
        </is>
      </c>
      <c r="M68" s="10" t="inlineStr">
        <is>
          <t>SISTEMAS DE INFORMACIÓN CORPORATIVOS</t>
        </is>
      </c>
      <c r="N68" s="10" t="inlineStr">
        <is>
          <t>PRIMARIOS</t>
        </is>
      </c>
      <c r="O68" s="10" t="inlineStr">
        <is>
          <t>DOCUMENTOS TÉCNICOS</t>
        </is>
      </c>
      <c r="P68" s="10" t="inlineStr">
        <is>
          <t>USO INTERNO(2)</t>
        </is>
      </c>
      <c r="Q68" s="10" t="inlineStr">
        <is>
          <t>MEDIA(2)</t>
        </is>
      </c>
      <c r="R68" s="10" t="inlineStr">
        <is>
          <t>MEDIA(2)</t>
        </is>
      </c>
      <c r="S68" s="10">
        <f>+(IF(P68="PUBLICA(1)",1,IF(P68="USO INTERNO(2)",2,IF(P68="RESTRINGIDO(3)",3,3))))+(IF(Q68="BAJA(1)",1,IF(Q68="MEDIA(2)",2,IF(Q68="ALTA(3)",3,3))))+(IF(R68="BAJA(1)",1,IF(R68="MEDIA(2)",2,IF(R68="ALTA(3)",3,3))))</f>
        <v/>
      </c>
      <c r="T68" s="10">
        <f>+IF(S68&lt;6,"BAJA",IF(S68&lt;8,"MEDIA","ALTA"))</f>
        <v/>
      </c>
      <c r="U68" s="10" t="inlineStr">
        <is>
          <t>-</t>
        </is>
      </c>
      <c r="V68" s="24" t="n">
        <v>45680</v>
      </c>
      <c r="W68" s="19" t="inlineStr">
        <is>
          <t>N/A</t>
        </is>
      </c>
      <c r="X68" s="10">
        <f>+IFERROR(IF(VLOOKUP(Tabla2[[#This Row],[ID]],'EVALUACION DE RIESGO'!A:A,1,FALSE)=Tabla2[[#This Row],[ID]],"SI","NO"),"NO")</f>
        <v/>
      </c>
      <c r="AD68">
        <f>IF(AND(Y68="",AA68=""),"",IF(OR(LEFT(AA68,2)="L0",LEFT(AA68,2)="L1",Y68="No Iniciado"),"CRÍTICO - Incumplimiento Normativo SEPS",IF(AND(OR(LEFT(AA68,2)="L4",LEFT(AA68,2)="L5"),AND(AC68&lt;&gt;"",AC68&lt;&gt;"N/A")),"CONFORME - Control Efectivo ISO 27001","OBSERVACIÓN - Revisar Controles")))</f>
        <v/>
      </c>
    </row>
    <row r="69">
      <c r="A69" s="99" t="inlineStr">
        <is>
          <t>67-GAD</t>
        </is>
      </c>
      <c r="B69" s="10" t="inlineStr">
        <is>
          <t>APOYO</t>
        </is>
      </c>
      <c r="C69" s="10" t="inlineStr">
        <is>
          <t xml:space="preserve">Gestión Administrativa </t>
        </is>
      </c>
      <c r="D69" s="10" t="inlineStr">
        <is>
          <t>GAD</t>
        </is>
      </c>
      <c r="E69" s="10" t="inlineStr">
        <is>
          <t>Gestión de Adquisiciones</t>
        </is>
      </c>
      <c r="F69" s="10" t="inlineStr">
        <is>
          <t>-</t>
        </is>
      </c>
      <c r="G69" s="10" t="inlineStr">
        <is>
          <t>Calificación de proveedores</t>
        </is>
      </c>
      <c r="H69" s="10" t="inlineStr">
        <is>
          <t>Reporte de inhabilitados</t>
        </is>
      </c>
      <c r="I69" s="10" t="inlineStr">
        <is>
          <t>Reporte de provvedores inhabilitados y su motivo, información registrada en el sisitema SARA</t>
        </is>
      </c>
      <c r="J69" s="10" t="inlineStr">
        <is>
          <t>Jefe Administrativo</t>
        </is>
      </c>
      <c r="K69" s="10" t="inlineStr">
        <is>
          <t>Asistente administrativo</t>
        </is>
      </c>
      <c r="L69" s="10" t="inlineStr">
        <is>
          <t>UBICACIÓN DIGITAL - SISTEMA SARA</t>
        </is>
      </c>
      <c r="M69" s="10" t="inlineStr">
        <is>
          <t>SISTEMAS DE INFORMACIÓN CORPORATIVOS</t>
        </is>
      </c>
      <c r="N69" s="10" t="inlineStr">
        <is>
          <t>PRIMARIOS</t>
        </is>
      </c>
      <c r="O69" s="10" t="inlineStr">
        <is>
          <t>DOCUMENTOS TÉCNICOS</t>
        </is>
      </c>
      <c r="P69" s="10" t="inlineStr">
        <is>
          <t>USO INTERNO(2)</t>
        </is>
      </c>
      <c r="Q69" s="10" t="inlineStr">
        <is>
          <t>MEDIA(2)</t>
        </is>
      </c>
      <c r="R69" s="10" t="inlineStr">
        <is>
          <t>MEDIA(2)</t>
        </is>
      </c>
      <c r="S69" s="10">
        <f>+(IF(P69="PUBLICA(1)",1,IF(P69="USO INTERNO(2)",2,IF(P69="RESTRINGIDO(3)",3,3))))+(IF(Q69="BAJA(1)",1,IF(Q69="MEDIA(2)",2,IF(Q69="ALTA(3)",3,3))))+(IF(R69="BAJA(1)",1,IF(R69="MEDIA(2)",2,IF(R69="ALTA(3)",3,3))))</f>
        <v/>
      </c>
      <c r="T69" s="10">
        <f>+IF(S69&lt;6,"BAJA",IF(S69&lt;8,"MEDIA","ALTA"))</f>
        <v/>
      </c>
      <c r="U69" s="10" t="inlineStr">
        <is>
          <t>-</t>
        </is>
      </c>
      <c r="V69" s="24" t="n">
        <v>45680</v>
      </c>
      <c r="W69" s="19" t="inlineStr">
        <is>
          <t>N/A</t>
        </is>
      </c>
      <c r="X69" s="10">
        <f>+IFERROR(IF(VLOOKUP(Tabla2[[#This Row],[ID]],'EVALUACION DE RIESGO'!A:A,1,FALSE)=Tabla2[[#This Row],[ID]],"SI","NO"),"NO")</f>
        <v/>
      </c>
      <c r="AD69">
        <f>IF(AND(Y69="",AA69=""),"",IF(OR(LEFT(AA69,2)="L0",LEFT(AA69,2)="L1",Y69="No Iniciado"),"CRÍTICO - Incumplimiento Normativo SEPS",IF(AND(OR(LEFT(AA69,2)="L4",LEFT(AA69,2)="L5"),AND(AC69&lt;&gt;"",AC69&lt;&gt;"N/A")),"CONFORME - Control Efectivo ISO 27001","OBSERVACIÓN - Revisar Controles")))</f>
        <v/>
      </c>
    </row>
    <row r="70">
      <c r="A70" s="99" t="inlineStr">
        <is>
          <t>68-GAD</t>
        </is>
      </c>
      <c r="B70" s="10" t="inlineStr">
        <is>
          <t>APOYO</t>
        </is>
      </c>
      <c r="C70" s="10" t="inlineStr">
        <is>
          <t xml:space="preserve">Gestión Administrativa </t>
        </is>
      </c>
      <c r="D70" s="10" t="inlineStr">
        <is>
          <t>GAD</t>
        </is>
      </c>
      <c r="E70" s="10" t="inlineStr">
        <is>
          <t>Gestión de Adquisiciones</t>
        </is>
      </c>
      <c r="F70" s="10" t="inlineStr">
        <is>
          <t>-</t>
        </is>
      </c>
      <c r="G70" s="10" t="inlineStr">
        <is>
          <t>Contratación de bienes y servicios menores</t>
        </is>
      </c>
      <c r="H70" s="10" t="inlineStr">
        <is>
          <t>Proceso de contratación</t>
        </is>
      </c>
      <c r="I70" s="10" t="inlineStr">
        <is>
          <t xml:space="preserve">Proceso que se realiza en SARA </t>
        </is>
      </c>
      <c r="J70" s="10" t="inlineStr">
        <is>
          <t>Jefe Administrativo</t>
        </is>
      </c>
      <c r="K70" s="10" t="inlineStr">
        <is>
          <t>Asistente administrativo</t>
        </is>
      </c>
      <c r="L70" s="10" t="inlineStr">
        <is>
          <t>UBICACIÓN DIGITAL - SISTEMA SARA</t>
        </is>
      </c>
      <c r="M70" s="10" t="inlineStr">
        <is>
          <t>SISTEMAS DE INFORMACIÓN CORPORATIVOS</t>
        </is>
      </c>
      <c r="N70" s="10" t="inlineStr">
        <is>
          <t>PRIMARIOS</t>
        </is>
      </c>
      <c r="O70" s="10" t="inlineStr">
        <is>
          <t>COMUNICACIÓN INTERNA</t>
        </is>
      </c>
      <c r="P70" s="10" t="inlineStr">
        <is>
          <t>USO INTERNO(2)</t>
        </is>
      </c>
      <c r="Q70" s="10" t="inlineStr">
        <is>
          <t>BAJA(1)</t>
        </is>
      </c>
      <c r="R70" s="10" t="inlineStr">
        <is>
          <t>MEDIA(2)</t>
        </is>
      </c>
      <c r="S70" s="10">
        <f>+(IF(P70="PUBLICA(1)",1,IF(P70="USO INTERNO(2)",2,IF(P70="RESTRINGIDO(3)",3,3))))+(IF(Q70="BAJA(1)",1,IF(Q70="MEDIA(2)",2,IF(Q70="ALTA(3)",3,3))))+(IF(R70="BAJA(1)",1,IF(R70="MEDIA(2)",2,IF(R70="ALTA(3)",3,3))))</f>
        <v/>
      </c>
      <c r="T70" s="10">
        <f>+IF(S70&lt;6,"BAJA",IF(S70&lt;8,"MEDIA","ALTA"))</f>
        <v/>
      </c>
      <c r="U70" s="10" t="inlineStr">
        <is>
          <t>-</t>
        </is>
      </c>
      <c r="V70" s="24" t="n">
        <v>45680</v>
      </c>
      <c r="W70" s="19" t="inlineStr">
        <is>
          <t>N/A</t>
        </is>
      </c>
      <c r="X70" s="10">
        <f>+IFERROR(IF(VLOOKUP(Tabla2[[#This Row],[ID]],'EVALUACION DE RIESGO'!A:A,1,FALSE)=Tabla2[[#This Row],[ID]],"SI","NO"),"NO")</f>
        <v/>
      </c>
      <c r="AD70">
        <f>IF(AND(Y70="",AA70=""),"",IF(OR(LEFT(AA70,2)="L0",LEFT(AA70,2)="L1",Y70="No Iniciado"),"CRÍTICO - Incumplimiento Normativo SEPS",IF(AND(OR(LEFT(AA70,2)="L4",LEFT(AA70,2)="L5"),AND(AC70&lt;&gt;"",AC70&lt;&gt;"N/A")),"CONFORME - Control Efectivo ISO 27001","OBSERVACIÓN - Revisar Controles")))</f>
        <v/>
      </c>
    </row>
    <row r="71">
      <c r="A71" s="99" t="inlineStr">
        <is>
          <t>69-GAD</t>
        </is>
      </c>
      <c r="B71" s="10" t="inlineStr">
        <is>
          <t>APOYO</t>
        </is>
      </c>
      <c r="C71" s="10" t="inlineStr">
        <is>
          <t xml:space="preserve">Gestión Administrativa </t>
        </is>
      </c>
      <c r="D71" s="10" t="inlineStr">
        <is>
          <t>GAD</t>
        </is>
      </c>
      <c r="E71" s="10" t="inlineStr">
        <is>
          <t>Gestión de Adquisiciones</t>
        </is>
      </c>
      <c r="F71" s="10" t="inlineStr">
        <is>
          <t>-</t>
        </is>
      </c>
      <c r="G71" s="10" t="inlineStr">
        <is>
          <t>Contratación de bienes y servicios menores</t>
        </is>
      </c>
      <c r="H71" s="10" t="inlineStr">
        <is>
          <t>Solicitud de elaboración de contrato</t>
        </is>
      </c>
      <c r="I71" s="10" t="inlineStr">
        <is>
          <t>Documento donde se registra el detalle del proveedor, datos del contrato, representante legal, objeto de la contratación, condiciones del contrato, precio, pago, plazo, garantías, detalle de anexos y documentos habilitantes, contactos, firmas de responsabilidad</t>
        </is>
      </c>
      <c r="J71" s="10" t="inlineStr">
        <is>
          <t>Jefe Administrativo</t>
        </is>
      </c>
      <c r="K71" s="10" t="inlineStr">
        <is>
          <t>Asistente administrativo</t>
        </is>
      </c>
      <c r="L71" s="10" t="inlineStr">
        <is>
          <t>UBICACIÓN DIGITAL - SISTEMA SARA</t>
        </is>
      </c>
      <c r="M71" s="10" t="inlineStr">
        <is>
          <t>SISTEMAS DE INFORMACIÓN CORPORATIVOS</t>
        </is>
      </c>
      <c r="N71" s="10" t="inlineStr">
        <is>
          <t>PRIMARIOS</t>
        </is>
      </c>
      <c r="O71" s="10" t="inlineStr">
        <is>
          <t>COMUNICACIÓN INTERNA</t>
        </is>
      </c>
      <c r="P71" s="10" t="inlineStr">
        <is>
          <t>USO INTERNO(2)</t>
        </is>
      </c>
      <c r="Q71" s="10" t="inlineStr">
        <is>
          <t>BAJA(1)</t>
        </is>
      </c>
      <c r="R71" s="10" t="inlineStr">
        <is>
          <t>MEDIA(2)</t>
        </is>
      </c>
      <c r="S71" s="10">
        <f>+(IF(P71="PUBLICA(1)",1,IF(P71="USO INTERNO(2)",2,IF(P71="RESTRINGIDO(3)",3,3))))+(IF(Q71="BAJA(1)",1,IF(Q71="MEDIA(2)",2,IF(Q71="ALTA(3)",3,3))))+(IF(R71="BAJA(1)",1,IF(R71="MEDIA(2)",2,IF(R71="ALTA(3)",3,3))))</f>
        <v/>
      </c>
      <c r="T71" s="10">
        <f>+IF(S71&lt;6,"BAJA",IF(S71&lt;8,"MEDIA","ALTA"))</f>
        <v/>
      </c>
      <c r="U71" s="10" t="inlineStr">
        <is>
          <t>-</t>
        </is>
      </c>
      <c r="V71" s="24" t="n">
        <v>45680</v>
      </c>
      <c r="W71" s="19" t="inlineStr">
        <is>
          <t>N/A</t>
        </is>
      </c>
      <c r="X71" s="10">
        <f>+IFERROR(IF(VLOOKUP(Tabla2[[#This Row],[ID]],'EVALUACION DE RIESGO'!A:A,1,FALSE)=Tabla2[[#This Row],[ID]],"SI","NO"),"NO")</f>
        <v/>
      </c>
      <c r="AD71">
        <f>IF(AND(Y71="",AA71=""),"",IF(OR(LEFT(AA71,2)="L0",LEFT(AA71,2)="L1",Y71="No Iniciado"),"CRÍTICO - Incumplimiento Normativo SEPS",IF(AND(OR(LEFT(AA71,2)="L4",LEFT(AA71,2)="L5"),AND(AC71&lt;&gt;"",AC71&lt;&gt;"N/A")),"CONFORME - Control Efectivo ISO 27001","OBSERVACIÓN - Revisar Controles")))</f>
        <v/>
      </c>
    </row>
    <row r="72">
      <c r="A72" s="99" t="inlineStr">
        <is>
          <t>70-GAD</t>
        </is>
      </c>
      <c r="B72" s="10" t="inlineStr">
        <is>
          <t>APOYO</t>
        </is>
      </c>
      <c r="C72" s="10" t="inlineStr">
        <is>
          <t xml:space="preserve">Gestión Administrativa </t>
        </is>
      </c>
      <c r="D72" s="10" t="inlineStr">
        <is>
          <t>GAD</t>
        </is>
      </c>
      <c r="E72" s="10" t="inlineStr">
        <is>
          <t>Gestión de Adquisiciones</t>
        </is>
      </c>
      <c r="F72" s="10" t="inlineStr">
        <is>
          <t>-</t>
        </is>
      </c>
      <c r="G72" s="10" t="inlineStr">
        <is>
          <t>Contratación de bienes y servicios mayores</t>
        </is>
      </c>
      <c r="H72" s="10" t="inlineStr">
        <is>
          <t>File del proceso de contratación</t>
        </is>
      </c>
      <c r="I72" s="10" t="inlineStr">
        <is>
          <t>Hoja del resumen del proceso que detalla todo el proceso que se realizó en el sistema hasta que se adjudica el contrato</t>
        </is>
      </c>
      <c r="J72" s="10" t="inlineStr">
        <is>
          <t>Jefe Administrativo</t>
        </is>
      </c>
      <c r="K72" s="10" t="inlineStr">
        <is>
          <t>Asistente administrativo</t>
        </is>
      </c>
      <c r="L72" s="10" t="inlineStr">
        <is>
          <t>UBICACIÓN DIGITAL - SISTEMA SARA</t>
        </is>
      </c>
      <c r="M72" s="10" t="inlineStr">
        <is>
          <t>SISTEMAS DE INFORMACIÓN CORPORATIVOS</t>
        </is>
      </c>
      <c r="N72" s="10" t="inlineStr">
        <is>
          <t>PRIMARIOS</t>
        </is>
      </c>
      <c r="O72" s="10" t="inlineStr">
        <is>
          <t>DOCUMENTOS TÉCNICOS</t>
        </is>
      </c>
      <c r="P72" s="10" t="inlineStr">
        <is>
          <t>USO INTERNO(2)</t>
        </is>
      </c>
      <c r="Q72" s="10" t="inlineStr">
        <is>
          <t>MEDIA(2)</t>
        </is>
      </c>
      <c r="R72" s="10" t="inlineStr">
        <is>
          <t>MEDIA(2)</t>
        </is>
      </c>
      <c r="S72" s="10">
        <f>+(IF(P72="PUBLICA(1)",1,IF(P72="USO INTERNO(2)",2,IF(P72="RESTRINGIDO(3)",3,3))))+(IF(Q72="BAJA(1)",1,IF(Q72="MEDIA(2)",2,IF(Q72="ALTA(3)",3,3))))+(IF(R72="BAJA(1)",1,IF(R72="MEDIA(2)",2,IF(R72="ALTA(3)",3,3))))</f>
        <v/>
      </c>
      <c r="T72" s="10">
        <f>+IF(S72&lt;6,"BAJA",IF(S72&lt;8,"MEDIA","ALTA"))</f>
        <v/>
      </c>
      <c r="U72" s="10" t="inlineStr">
        <is>
          <t>-</t>
        </is>
      </c>
      <c r="V72" s="24" t="n">
        <v>45680</v>
      </c>
      <c r="W72" s="19" t="inlineStr">
        <is>
          <t>N/A</t>
        </is>
      </c>
      <c r="X72" s="10">
        <f>+IFERROR(IF(VLOOKUP(Tabla2[[#This Row],[ID]],'EVALUACION DE RIESGO'!A:A,1,FALSE)=Tabla2[[#This Row],[ID]],"SI","NO"),"NO")</f>
        <v/>
      </c>
      <c r="AD72">
        <f>IF(AND(Y72="",AA72=""),"",IF(OR(LEFT(AA72,2)="L0",LEFT(AA72,2)="L1",Y72="No Iniciado"),"CRÍTICO - Incumplimiento Normativo SEPS",IF(AND(OR(LEFT(AA72,2)="L4",LEFT(AA72,2)="L5"),AND(AC72&lt;&gt;"",AC72&lt;&gt;"N/A")),"CONFORME - Control Efectivo ISO 27001","OBSERVACIÓN - Revisar Controles")))</f>
        <v/>
      </c>
    </row>
    <row r="73" ht="41.1" customHeight="1" s="106">
      <c r="A73" s="99" t="inlineStr">
        <is>
          <t>71-GAD</t>
        </is>
      </c>
      <c r="B73" s="10" t="inlineStr">
        <is>
          <t>APOYO</t>
        </is>
      </c>
      <c r="C73" s="10" t="inlineStr">
        <is>
          <t xml:space="preserve">Gestión Administrativa </t>
        </is>
      </c>
      <c r="D73" s="10" t="inlineStr">
        <is>
          <t>GAD</t>
        </is>
      </c>
      <c r="E73" s="10" t="inlineStr">
        <is>
          <t>Gestión de Adquisiciones</t>
        </is>
      </c>
      <c r="F73" s="10" t="inlineStr">
        <is>
          <t>-</t>
        </is>
      </c>
      <c r="G73" s="10" t="inlineStr">
        <is>
          <t>Contratación de bienes y servicios mayores</t>
        </is>
      </c>
      <c r="H73" s="17" t="inlineStr">
        <is>
          <t>Contrato</t>
        </is>
      </c>
      <c r="I73" s="17" t="inlineStr">
        <is>
          <t>Contrato receptado por Jurídico Físico o digital con sumilla legalizado por los responsables, y se entrega jurídico el físico y el digital se sube a SARA.</t>
        </is>
      </c>
      <c r="J73" s="10" t="inlineStr">
        <is>
          <t>Jefe Administrativo</t>
        </is>
      </c>
      <c r="K73" s="10" t="inlineStr">
        <is>
          <t>Asistente administrativo</t>
        </is>
      </c>
      <c r="L73" s="10" t="inlineStr">
        <is>
          <t>UBICACIÓN DIGITAL - SISTEMA SARA</t>
        </is>
      </c>
      <c r="M73" s="10" t="inlineStr">
        <is>
          <t>SISTEMAS DE INFORMACIÓN CORPORATIVOS</t>
        </is>
      </c>
      <c r="N73" s="10" t="inlineStr">
        <is>
          <t>PRIMARIOS</t>
        </is>
      </c>
      <c r="O73" s="10" t="inlineStr">
        <is>
          <t>DOCUMENTOS HABILITANTES</t>
        </is>
      </c>
      <c r="P73" s="10" t="inlineStr">
        <is>
          <t>RESTRINGIDO(3)</t>
        </is>
      </c>
      <c r="Q73" s="10" t="inlineStr">
        <is>
          <t>MEDIA(2)</t>
        </is>
      </c>
      <c r="R73" s="10" t="inlineStr">
        <is>
          <t>ALTA(3)</t>
        </is>
      </c>
      <c r="S73" s="10">
        <f>+(IF(P73="PUBLICA(1)",1,IF(P73="USO INTERNO(2)",2,IF(P73="RESTRINGIDO(3)",3,3))))+(IF(Q73="BAJA(1)",1,IF(Q73="MEDIA(2)",2,IF(Q73="ALTA(3)",3,3))))+(IF(R73="BAJA(1)",1,IF(R73="MEDIA(2)",2,IF(R73="ALTA(3)",3,3))))</f>
        <v/>
      </c>
      <c r="T73" s="10">
        <f>+IF(S73&lt;6,"BAJA",IF(S73&lt;8,"MEDIA","ALTA"))</f>
        <v/>
      </c>
      <c r="U73" s="10" t="inlineStr">
        <is>
          <t>-</t>
        </is>
      </c>
      <c r="V73" s="24" t="n">
        <v>45680</v>
      </c>
      <c r="W73" s="19" t="inlineStr">
        <is>
          <t>N/A</t>
        </is>
      </c>
      <c r="X73" s="10">
        <f>+IFERROR(IF(VLOOKUP(Tabla2[[#This Row],[ID]],'EVALUACION DE RIESGO'!A:A,1,FALSE)=Tabla2[[#This Row],[ID]],"SI","NO"),"NO")</f>
        <v/>
      </c>
      <c r="AD73">
        <f>IF(AND(Y73="",AA73=""),"",IF(OR(LEFT(AA73,2)="L0",LEFT(AA73,2)="L1",Y73="No Iniciado"),"CRÍTICO - Incumplimiento Normativo SEPS",IF(AND(OR(LEFT(AA73,2)="L4",LEFT(AA73,2)="L5"),AND(AC73&lt;&gt;"",AC73&lt;&gt;"N/A")),"CONFORME - Control Efectivo ISO 27001","OBSERVACIÓN - Revisar Controles")))</f>
        <v/>
      </c>
    </row>
    <row r="74">
      <c r="A74" s="99" t="inlineStr">
        <is>
          <t>72-GAD</t>
        </is>
      </c>
      <c r="B74" s="10" t="inlineStr">
        <is>
          <t>APOYO</t>
        </is>
      </c>
      <c r="C74" s="10" t="inlineStr">
        <is>
          <t xml:space="preserve">Gestión Administrativa </t>
        </is>
      </c>
      <c r="D74" s="10" t="inlineStr">
        <is>
          <t>GAD</t>
        </is>
      </c>
      <c r="E74" s="10" t="inlineStr">
        <is>
          <t>Gestión de Adquisiciones</t>
        </is>
      </c>
      <c r="F74" s="10" t="inlineStr">
        <is>
          <t>-</t>
        </is>
      </c>
      <c r="G74" s="10" t="inlineStr">
        <is>
          <t>Renovación de contratos</t>
        </is>
      </c>
      <c r="H74" s="10" t="inlineStr">
        <is>
          <t>Formulario de evaluación</t>
        </is>
      </c>
      <c r="I74" s="10" t="inlineStr">
        <is>
          <t>Respaldo de autorización o certificación enviada por el área requiriente para la renovación</t>
        </is>
      </c>
      <c r="J74" s="10" t="inlineStr">
        <is>
          <t>Jefe Administrativo</t>
        </is>
      </c>
      <c r="K74" s="10" t="inlineStr">
        <is>
          <t>Asistente administrativo</t>
        </is>
      </c>
      <c r="L74" s="10" t="inlineStr">
        <is>
          <t>UBICACIÓN DIGITAL - SISTEMA SARA</t>
        </is>
      </c>
      <c r="M74" s="10" t="inlineStr">
        <is>
          <t>SISTEMAS DE INFORMACIÓN CORPORATIVOS</t>
        </is>
      </c>
      <c r="N74" s="10" t="inlineStr">
        <is>
          <t>PRIMARIOS</t>
        </is>
      </c>
      <c r="O74" s="10" t="inlineStr">
        <is>
          <t>DOCUMENTOS TÉCNICOS</t>
        </is>
      </c>
      <c r="P74" s="10" t="inlineStr">
        <is>
          <t>USO INTERNO(2)</t>
        </is>
      </c>
      <c r="Q74" s="10" t="inlineStr">
        <is>
          <t>BAJA(1)</t>
        </is>
      </c>
      <c r="R74" s="10" t="inlineStr">
        <is>
          <t>BAJA(1)</t>
        </is>
      </c>
      <c r="S74" s="10">
        <f>+(IF(P74="PUBLICA(1)",1,IF(P74="USO INTERNO(2)",2,IF(P74="RESTRINGIDO(3)",3,3))))+(IF(Q74="BAJA(1)",1,IF(Q74="MEDIA(2)",2,IF(Q74="ALTA(3)",3,3))))+(IF(R74="BAJA(1)",1,IF(R74="MEDIA(2)",2,IF(R74="ALTA(3)",3,3))))</f>
        <v/>
      </c>
      <c r="T74" s="10">
        <f>+IF(S74&lt;6,"BAJA",IF(S74&lt;8,"MEDIA","ALTA"))</f>
        <v/>
      </c>
      <c r="U74" s="10" t="inlineStr">
        <is>
          <t>-</t>
        </is>
      </c>
      <c r="V74" s="24" t="n">
        <v>45680</v>
      </c>
      <c r="W74" s="19" t="inlineStr">
        <is>
          <t>N/A</t>
        </is>
      </c>
      <c r="X74" s="10">
        <f>+IFERROR(IF(VLOOKUP(Tabla2[[#This Row],[ID]],'EVALUACION DE RIESGO'!A:A,1,FALSE)=Tabla2[[#This Row],[ID]],"SI","NO"),"NO")</f>
        <v/>
      </c>
      <c r="AD74">
        <f>IF(AND(Y74="",AA74=""),"",IF(OR(LEFT(AA74,2)="L0",LEFT(AA74,2)="L1",Y74="No Iniciado"),"CRÍTICO - Incumplimiento Normativo SEPS",IF(AND(OR(LEFT(AA74,2)="L4",LEFT(AA74,2)="L5"),AND(AC74&lt;&gt;"",AC74&lt;&gt;"N/A")),"CONFORME - Control Efectivo ISO 27001","OBSERVACIÓN - Revisar Controles")))</f>
        <v/>
      </c>
    </row>
    <row r="75">
      <c r="A75" s="99" t="inlineStr">
        <is>
          <t>73-GAD</t>
        </is>
      </c>
      <c r="B75" s="10" t="inlineStr">
        <is>
          <t>APOYO</t>
        </is>
      </c>
      <c r="C75" s="10" t="inlineStr">
        <is>
          <t xml:space="preserve">Gestión Administrativa </t>
        </is>
      </c>
      <c r="D75" s="10" t="inlineStr">
        <is>
          <t>GAD</t>
        </is>
      </c>
      <c r="E75" s="10" t="inlineStr">
        <is>
          <t>Gestión de Adquisiciones</t>
        </is>
      </c>
      <c r="F75" s="10" t="inlineStr">
        <is>
          <t>-</t>
        </is>
      </c>
      <c r="G75" s="10" t="inlineStr">
        <is>
          <t>Renovación de contratos</t>
        </is>
      </c>
      <c r="H75" s="10" t="inlineStr">
        <is>
          <t>Solicitud de renovación de contrato</t>
        </is>
      </c>
      <c r="I75" s="10" t="inlineStr">
        <is>
          <t>Informe donde se solicita la renovación por parte del área adquiriente</t>
        </is>
      </c>
      <c r="J75" s="10" t="inlineStr">
        <is>
          <t>Jefe Administrativo</t>
        </is>
      </c>
      <c r="K75" s="10" t="inlineStr">
        <is>
          <t>Asistente administrativo</t>
        </is>
      </c>
      <c r="L75" s="10" t="inlineStr">
        <is>
          <t>UBICACIÓN DIGITAL - SISTEMA SARA</t>
        </is>
      </c>
      <c r="M75" s="10" t="inlineStr">
        <is>
          <t>SISTEMAS DE INFORMACIÓN CORPORATIVOS</t>
        </is>
      </c>
      <c r="N75" s="10" t="inlineStr">
        <is>
          <t>PRIMARIOS</t>
        </is>
      </c>
      <c r="O75" s="10" t="inlineStr">
        <is>
          <t>COMUNICACIÓN INTERNA</t>
        </is>
      </c>
      <c r="P75" s="10" t="inlineStr">
        <is>
          <t>USO INTERNO(2)</t>
        </is>
      </c>
      <c r="Q75" s="10" t="inlineStr">
        <is>
          <t>MEDIA(2)</t>
        </is>
      </c>
      <c r="R75" s="10" t="inlineStr">
        <is>
          <t>BAJA(1)</t>
        </is>
      </c>
      <c r="S75" s="10">
        <f>+(IF(P75="PUBLICA(1)",1,IF(P75="USO INTERNO(2)",2,IF(P75="RESTRINGIDO(3)",3,3))))+(IF(Q75="BAJA(1)",1,IF(Q75="MEDIA(2)",2,IF(Q75="ALTA(3)",3,3))))+(IF(R75="BAJA(1)",1,IF(R75="MEDIA(2)",2,IF(R75="ALTA(3)",3,3))))</f>
        <v/>
      </c>
      <c r="T75" s="10">
        <f>+IF(S75&lt;6,"BAJA",IF(S75&lt;8,"MEDIA","ALTA"))</f>
        <v/>
      </c>
      <c r="U75" s="10" t="inlineStr">
        <is>
          <t>-</t>
        </is>
      </c>
      <c r="V75" s="24" t="n">
        <v>45680</v>
      </c>
      <c r="W75" s="19" t="inlineStr">
        <is>
          <t>N/A</t>
        </is>
      </c>
      <c r="X75" s="10">
        <f>+IFERROR(IF(VLOOKUP(Tabla2[[#This Row],[ID]],'EVALUACION DE RIESGO'!A:A,1,FALSE)=Tabla2[[#This Row],[ID]],"SI","NO"),"NO")</f>
        <v/>
      </c>
      <c r="AD75">
        <f>IF(AND(Y75="",AA75=""),"",IF(OR(LEFT(AA75,2)="L0",LEFT(AA75,2)="L1",Y75="No Iniciado"),"CRÍTICO - Incumplimiento Normativo SEPS",IF(AND(OR(LEFT(AA75,2)="L4",LEFT(AA75,2)="L5"),AND(AC75&lt;&gt;"",AC75&lt;&gt;"N/A")),"CONFORME - Control Efectivo ISO 27001","OBSERVACIÓN - Revisar Controles")))</f>
        <v/>
      </c>
    </row>
    <row r="76">
      <c r="A76" s="99" t="inlineStr">
        <is>
          <t>74-GAD</t>
        </is>
      </c>
      <c r="B76" s="10" t="inlineStr">
        <is>
          <t>APOYO</t>
        </is>
      </c>
      <c r="C76" s="10" t="inlineStr">
        <is>
          <t xml:space="preserve">Gestión Administrativa </t>
        </is>
      </c>
      <c r="D76" s="10" t="inlineStr">
        <is>
          <t>GAD</t>
        </is>
      </c>
      <c r="E76" s="10" t="inlineStr">
        <is>
          <t>Gestión de Adquisiciones</t>
        </is>
      </c>
      <c r="F76" s="10" t="inlineStr">
        <is>
          <t>-</t>
        </is>
      </c>
      <c r="G76" s="10" t="inlineStr">
        <is>
          <t>Renovación de contratos</t>
        </is>
      </c>
      <c r="H76" s="10" t="inlineStr">
        <is>
          <t>Registro de proveedores</t>
        </is>
      </c>
      <c r="I76" s="10" t="inlineStr">
        <is>
          <t>Informe o registro de los contratos realizados</t>
        </is>
      </c>
      <c r="J76" s="10" t="inlineStr">
        <is>
          <t>Jefe Administrativo</t>
        </is>
      </c>
      <c r="K76" s="10" t="inlineStr">
        <is>
          <t>Asistente administrativo</t>
        </is>
      </c>
      <c r="L76" s="10" t="inlineStr">
        <is>
          <t>UBICACIÓN DIGITAL - SISTEMA SARA</t>
        </is>
      </c>
      <c r="M76" s="10" t="inlineStr">
        <is>
          <t>SISTEMAS DE INFORMACIÓN CORPORATIVOS</t>
        </is>
      </c>
      <c r="N76" s="10" t="inlineStr">
        <is>
          <t>PRIMARIOS</t>
        </is>
      </c>
      <c r="O76" s="10" t="inlineStr">
        <is>
          <t>DOCUMENTOS TÉCNICOS</t>
        </is>
      </c>
      <c r="P76" s="10" t="inlineStr">
        <is>
          <t>USO INTERNO(2)</t>
        </is>
      </c>
      <c r="Q76" s="10" t="inlineStr">
        <is>
          <t>MEDIA(2)</t>
        </is>
      </c>
      <c r="R76" s="10" t="inlineStr">
        <is>
          <t>BAJA(1)</t>
        </is>
      </c>
      <c r="S76" s="10">
        <f>+(IF(P76="PUBLICA(1)",1,IF(P76="USO INTERNO(2)",2,IF(P76="RESTRINGIDO(3)",3,3))))+(IF(Q76="BAJA(1)",1,IF(Q76="MEDIA(2)",2,IF(Q76="ALTA(3)",3,3))))+(IF(R76="BAJA(1)",1,IF(R76="MEDIA(2)",2,IF(R76="ALTA(3)",3,3))))</f>
        <v/>
      </c>
      <c r="T76" s="10">
        <f>+IF(S76&lt;6,"BAJA",IF(S76&lt;8,"MEDIA","ALTA"))</f>
        <v/>
      </c>
      <c r="U76" s="10" t="inlineStr">
        <is>
          <t>-</t>
        </is>
      </c>
      <c r="V76" s="24" t="n">
        <v>45680</v>
      </c>
      <c r="W76" s="19" t="inlineStr">
        <is>
          <t>N/A</t>
        </is>
      </c>
      <c r="X76" s="10">
        <f>+IFERROR(IF(VLOOKUP(Tabla2[[#This Row],[ID]],'EVALUACION DE RIESGO'!A:A,1,FALSE)=Tabla2[[#This Row],[ID]],"SI","NO"),"NO")</f>
        <v/>
      </c>
      <c r="AD76">
        <f>IF(AND(Y76="",AA76=""),"",IF(OR(LEFT(AA76,2)="L0",LEFT(AA76,2)="L1",Y76="No Iniciado"),"CRÍTICO - Incumplimiento Normativo SEPS",IF(AND(OR(LEFT(AA76,2)="L4",LEFT(AA76,2)="L5"),AND(AC76&lt;&gt;"",AC76&lt;&gt;"N/A")),"CONFORME - Control Efectivo ISO 27001","OBSERVACIÓN - Revisar Controles")))</f>
        <v/>
      </c>
    </row>
    <row r="77">
      <c r="A77" s="99" t="inlineStr">
        <is>
          <t>75-GAD</t>
        </is>
      </c>
      <c r="B77" s="10" t="inlineStr">
        <is>
          <t>APOYO</t>
        </is>
      </c>
      <c r="C77" s="10" t="inlineStr">
        <is>
          <t xml:space="preserve">Gestión Administrativa </t>
        </is>
      </c>
      <c r="D77" s="10" t="inlineStr">
        <is>
          <t>GAD</t>
        </is>
      </c>
      <c r="E77" s="10" t="inlineStr">
        <is>
          <t>Gestión de Adquisiciones</t>
        </is>
      </c>
      <c r="F77" s="10" t="inlineStr">
        <is>
          <t>-</t>
        </is>
      </c>
      <c r="G77" s="10" t="inlineStr">
        <is>
          <t xml:space="preserve">Pago a proveedores  </t>
        </is>
      </c>
      <c r="H77" s="10" t="inlineStr">
        <is>
          <t>Aval Técnico de Recepción</t>
        </is>
      </c>
      <c r="I77" s="10" t="inlineStr">
        <is>
          <t>Documento donde se detalla el producto o servicio que se adquiere, entrega satisfacción</t>
        </is>
      </c>
      <c r="J77" s="10" t="inlineStr">
        <is>
          <t>Jefe Administrativo</t>
        </is>
      </c>
      <c r="K77" s="10" t="inlineStr">
        <is>
          <t>Asistente administrativo</t>
        </is>
      </c>
      <c r="L77" s="10" t="inlineStr">
        <is>
          <t>UBICACIÓN DIGITAL-PÁGINA WEB</t>
        </is>
      </c>
      <c r="M77" s="10" t="inlineStr">
        <is>
          <t>SISTEMAS DE INFORMACIÓN CORPORATIVOS</t>
        </is>
      </c>
      <c r="N77" s="10" t="inlineStr">
        <is>
          <t>PRIMARIOS</t>
        </is>
      </c>
      <c r="O77" s="10" t="inlineStr">
        <is>
          <t>DOCUMENTOS HABILITANTES</t>
        </is>
      </c>
      <c r="P77" s="10" t="inlineStr">
        <is>
          <t>USO INTERNO(2)</t>
        </is>
      </c>
      <c r="Q77" s="10" t="inlineStr">
        <is>
          <t>MEDIA(2)</t>
        </is>
      </c>
      <c r="R77" s="10" t="inlineStr">
        <is>
          <t>MEDIA(2)</t>
        </is>
      </c>
      <c r="S77" s="10">
        <f>+(IF(P77="PUBLICA(1)",1,IF(P77="USO INTERNO(2)",2,IF(P77="RESTRINGIDO(3)",3,3))))+(IF(Q77="BAJA(1)",1,IF(Q77="MEDIA(2)",2,IF(Q77="ALTA(3)",3,3))))+(IF(R77="BAJA(1)",1,IF(R77="MEDIA(2)",2,IF(R77="ALTA(3)",3,3))))</f>
        <v/>
      </c>
      <c r="T77" s="10">
        <f>+IF(S77&lt;6,"BAJA",IF(S77&lt;8,"MEDIA","ALTA"))</f>
        <v/>
      </c>
      <c r="U77" s="10" t="inlineStr">
        <is>
          <t>-</t>
        </is>
      </c>
      <c r="V77" s="24" t="n">
        <v>45680</v>
      </c>
      <c r="W77" s="19" t="inlineStr">
        <is>
          <t>N/A</t>
        </is>
      </c>
      <c r="X77" s="10">
        <f>+IFERROR(IF(VLOOKUP(Tabla2[[#This Row],[ID]],'EVALUACION DE RIESGO'!A:A,1,FALSE)=Tabla2[[#This Row],[ID]],"SI","NO"),"NO")</f>
        <v/>
      </c>
      <c r="AD77">
        <f>IF(AND(Y77="",AA77=""),"",IF(OR(LEFT(AA77,2)="L0",LEFT(AA77,2)="L1",Y77="No Iniciado"),"CRÍTICO - Incumplimiento Normativo SEPS",IF(AND(OR(LEFT(AA77,2)="L4",LEFT(AA77,2)="L5"),AND(AC77&lt;&gt;"",AC77&lt;&gt;"N/A")),"CONFORME - Control Efectivo ISO 27001","OBSERVACIÓN - Revisar Controles")))</f>
        <v/>
      </c>
    </row>
    <row r="78">
      <c r="A78" s="99" t="inlineStr">
        <is>
          <t>76-GAD</t>
        </is>
      </c>
      <c r="B78" s="10" t="inlineStr">
        <is>
          <t>APOYO</t>
        </is>
      </c>
      <c r="C78" s="10" t="inlineStr">
        <is>
          <t xml:space="preserve">Gestión Administrativa </t>
        </is>
      </c>
      <c r="D78" s="10" t="inlineStr">
        <is>
          <t>GAD</t>
        </is>
      </c>
      <c r="E78" s="10" t="inlineStr">
        <is>
          <t>Gestión de Adquisiciones</t>
        </is>
      </c>
      <c r="F78" s="10" t="inlineStr">
        <is>
          <t>-</t>
        </is>
      </c>
      <c r="G78" s="10" t="inlineStr">
        <is>
          <t xml:space="preserve">Pago a proveedores  </t>
        </is>
      </c>
      <c r="H78" s="10" t="inlineStr">
        <is>
          <t>Acta Entrega Recepción</t>
        </is>
      </c>
      <c r="I78" s="10" t="inlineStr">
        <is>
          <t>Acta entrega recepción que se almacena en el sistema Sara donde se detallan todos los valores del producto adquirido / se adjunta toda la información posible que se recibe del proveedor</t>
        </is>
      </c>
      <c r="J78" s="10" t="inlineStr">
        <is>
          <t>Jefe Administrativo</t>
        </is>
      </c>
      <c r="K78" s="10" t="inlineStr">
        <is>
          <t>Asistente administrativo</t>
        </is>
      </c>
      <c r="L78" s="10" t="inlineStr">
        <is>
          <t>UBICACIÓN DIGITAL-PÁGINA WEB</t>
        </is>
      </c>
      <c r="M78" s="10" t="inlineStr">
        <is>
          <t>SISTEMAS DE INFORMACIÓN CORPORATIVOS</t>
        </is>
      </c>
      <c r="N78" s="10" t="inlineStr">
        <is>
          <t>PRIMARIOS</t>
        </is>
      </c>
      <c r="O78" s="10" t="inlineStr">
        <is>
          <t>DOCUMENTOS HABILITANTES</t>
        </is>
      </c>
      <c r="P78" s="10" t="inlineStr">
        <is>
          <t>USO INTERNO(2)</t>
        </is>
      </c>
      <c r="Q78" s="10" t="inlineStr">
        <is>
          <t>MEDIA(2)</t>
        </is>
      </c>
      <c r="R78" s="10" t="inlineStr">
        <is>
          <t>MEDIA(2)</t>
        </is>
      </c>
      <c r="S78" s="10">
        <f>+(IF(P78="PUBLICA(1)",1,IF(P78="USO INTERNO(2)",2,IF(P78="RESTRINGIDO(3)",3,3))))+(IF(Q78="BAJA(1)",1,IF(Q78="MEDIA(2)",2,IF(Q78="ALTA(3)",3,3))))+(IF(R78="BAJA(1)",1,IF(R78="MEDIA(2)",2,IF(R78="ALTA(3)",3,3))))</f>
        <v/>
      </c>
      <c r="T78" s="10">
        <f>+IF(S78&lt;6,"BAJA",IF(S78&lt;8,"MEDIA","ALTA"))</f>
        <v/>
      </c>
      <c r="U78" s="10" t="inlineStr">
        <is>
          <t>-</t>
        </is>
      </c>
      <c r="V78" s="24" t="n">
        <v>45680</v>
      </c>
      <c r="W78" s="19" t="inlineStr">
        <is>
          <t>N/A</t>
        </is>
      </c>
      <c r="X78" s="10">
        <f>+IFERROR(IF(VLOOKUP(Tabla2[[#This Row],[ID]],'EVALUACION DE RIESGO'!A:A,1,FALSE)=Tabla2[[#This Row],[ID]],"SI","NO"),"NO")</f>
        <v/>
      </c>
      <c r="AD78">
        <f>IF(AND(Y78="",AA78=""),"",IF(OR(LEFT(AA78,2)="L0",LEFT(AA78,2)="L1",Y78="No Iniciado"),"CRÍTICO - Incumplimiento Normativo SEPS",IF(AND(OR(LEFT(AA78,2)="L4",LEFT(AA78,2)="L5"),AND(AC78&lt;&gt;"",AC78&lt;&gt;"N/A")),"CONFORME - Control Efectivo ISO 27001","OBSERVACIÓN - Revisar Controles")))</f>
        <v/>
      </c>
    </row>
    <row r="79">
      <c r="A79" s="99" t="inlineStr">
        <is>
          <t>77-GAD</t>
        </is>
      </c>
      <c r="B79" s="10" t="inlineStr">
        <is>
          <t>APOYO</t>
        </is>
      </c>
      <c r="C79" s="10" t="inlineStr">
        <is>
          <t xml:space="preserve">Gestión Administrativa </t>
        </is>
      </c>
      <c r="D79" s="10" t="inlineStr">
        <is>
          <t>GAD</t>
        </is>
      </c>
      <c r="E79" s="10" t="inlineStr">
        <is>
          <t>Gestión de Adquisiciones</t>
        </is>
      </c>
      <c r="F79" s="10" t="inlineStr">
        <is>
          <t>-</t>
        </is>
      </c>
      <c r="G79" s="10" t="inlineStr">
        <is>
          <t xml:space="preserve">Pago a proveedores  </t>
        </is>
      </c>
      <c r="H79" s="10" t="inlineStr">
        <is>
          <t>Orden de pago</t>
        </is>
      </c>
      <c r="I79" s="10" t="inlineStr">
        <is>
          <t>Orden de pago donde se detalla el numero de contrato empresa institución valores impuestos fecha dirigido , información que se dirige a contabilidad</t>
        </is>
      </c>
      <c r="J79" s="10" t="inlineStr">
        <is>
          <t>Jefe Administrativo</t>
        </is>
      </c>
      <c r="K79" s="10" t="inlineStr">
        <is>
          <t>Asistente administrativo</t>
        </is>
      </c>
      <c r="L79" s="10" t="inlineStr">
        <is>
          <t>DOCUMENTOS FISICOS-ARCHIVOS DE LA OFICINA</t>
        </is>
      </c>
      <c r="M79" s="10" t="inlineStr">
        <is>
          <t>DOCUMENTO DE ARCHIVO-FÍSICO</t>
        </is>
      </c>
      <c r="N79" s="10" t="inlineStr">
        <is>
          <t>PRIMARIOS</t>
        </is>
      </c>
      <c r="O79" s="10" t="inlineStr">
        <is>
          <t>DOCUMENTOS HABILITANTES</t>
        </is>
      </c>
      <c r="P79" s="10" t="inlineStr">
        <is>
          <t>USO INTERNO(2)</t>
        </is>
      </c>
      <c r="Q79" s="10" t="inlineStr">
        <is>
          <t>MEDIA(2)</t>
        </is>
      </c>
      <c r="R79" s="10" t="inlineStr">
        <is>
          <t>MEDIA(2)</t>
        </is>
      </c>
      <c r="S79" s="10">
        <f>+(IF(P79="PUBLICA(1)",1,IF(P79="USO INTERNO(2)",2,IF(P79="RESTRINGIDO(3)",3,3))))+(IF(Q79="BAJA(1)",1,IF(Q79="MEDIA(2)",2,IF(Q79="ALTA(3)",3,3))))+(IF(R79="BAJA(1)",1,IF(R79="MEDIA(2)",2,IF(R79="ALTA(3)",3,3))))</f>
        <v/>
      </c>
      <c r="T79" s="10">
        <f>+IF(S79&lt;6,"BAJA",IF(S79&lt;8,"MEDIA","ALTA"))</f>
        <v/>
      </c>
      <c r="U79" s="10" t="inlineStr">
        <is>
          <t>-</t>
        </is>
      </c>
      <c r="V79" s="24" t="n">
        <v>45680</v>
      </c>
      <c r="W79" s="19" t="inlineStr">
        <is>
          <t>N/A</t>
        </is>
      </c>
      <c r="X79" s="10">
        <f>+IFERROR(IF(VLOOKUP(Tabla2[[#This Row],[ID]],'EVALUACION DE RIESGO'!A:A,1,FALSE)=Tabla2[[#This Row],[ID]],"SI","NO"),"NO")</f>
        <v/>
      </c>
      <c r="AD79">
        <f>IF(AND(Y79="",AA79=""),"",IF(OR(LEFT(AA79,2)="L0",LEFT(AA79,2)="L1",Y79="No Iniciado"),"CRÍTICO - Incumplimiento Normativo SEPS",IF(AND(OR(LEFT(AA79,2)="L4",LEFT(AA79,2)="L5"),AND(AC79&lt;&gt;"",AC79&lt;&gt;"N/A")),"CONFORME - Control Efectivo ISO 27001","OBSERVACIÓN - Revisar Controles")))</f>
        <v/>
      </c>
    </row>
    <row r="80">
      <c r="A80" s="99" t="inlineStr">
        <is>
          <t>78-GAD</t>
        </is>
      </c>
      <c r="B80" s="10" t="inlineStr">
        <is>
          <t>APOYO</t>
        </is>
      </c>
      <c r="C80" s="10" t="inlineStr">
        <is>
          <t xml:space="preserve">Gestión Administrativa </t>
        </is>
      </c>
      <c r="D80" s="10" t="inlineStr">
        <is>
          <t>GAD</t>
        </is>
      </c>
      <c r="E80" s="10" t="inlineStr">
        <is>
          <t>Gestión de Adquisiciones</t>
        </is>
      </c>
      <c r="F80" s="10" t="inlineStr">
        <is>
          <t>-</t>
        </is>
      </c>
      <c r="G80" s="10" t="inlineStr">
        <is>
          <t xml:space="preserve">Pago a proveedores  </t>
        </is>
      </c>
      <c r="H80" s="10" t="inlineStr">
        <is>
          <t>Comprobante de venta</t>
        </is>
      </c>
      <c r="I80" s="10" t="inlineStr">
        <is>
          <t>Facturas o notas de venta que llegan a administrativo en físico o digital</t>
        </is>
      </c>
      <c r="J80" s="10" t="inlineStr">
        <is>
          <t>Jefe Administrativo</t>
        </is>
      </c>
      <c r="K80" s="10" t="inlineStr">
        <is>
          <t>Asistente administrativo</t>
        </is>
      </c>
      <c r="L80" s="10" t="inlineStr">
        <is>
          <t>UBICACIÓN DIGITAL-PÁGINA WEB</t>
        </is>
      </c>
      <c r="M80" s="10" t="inlineStr">
        <is>
          <t>SISTEMAS DE INFORMACIÓN CORPORATIVOS</t>
        </is>
      </c>
      <c r="N80" s="10" t="inlineStr">
        <is>
          <t>PRIMARIOS</t>
        </is>
      </c>
      <c r="O80" s="10" t="inlineStr">
        <is>
          <t>DOCUMENTOS HABILITANTES</t>
        </is>
      </c>
      <c r="P80" s="10" t="inlineStr">
        <is>
          <t>USO INTERNO(2)</t>
        </is>
      </c>
      <c r="Q80" s="10" t="inlineStr">
        <is>
          <t>MEDIA(2)</t>
        </is>
      </c>
      <c r="R80" s="10" t="inlineStr">
        <is>
          <t>MEDIA(2)</t>
        </is>
      </c>
      <c r="S80" s="10">
        <f>+(IF(P80="PUBLICA(1)",1,IF(P80="USO INTERNO(2)",2,IF(P80="RESTRINGIDO(3)",3,3))))+(IF(Q80="BAJA(1)",1,IF(Q80="MEDIA(2)",2,IF(Q80="ALTA(3)",3,3))))+(IF(R80="BAJA(1)",1,IF(R80="MEDIA(2)",2,IF(R80="ALTA(3)",3,3))))</f>
        <v/>
      </c>
      <c r="T80" s="10">
        <f>+IF(S80&lt;6,"BAJA",IF(S80&lt;8,"MEDIA","ALTA"))</f>
        <v/>
      </c>
      <c r="U80" s="10" t="inlineStr">
        <is>
          <t>-</t>
        </is>
      </c>
      <c r="V80" s="24" t="n">
        <v>45680</v>
      </c>
      <c r="W80" s="19" t="inlineStr">
        <is>
          <t>N/A</t>
        </is>
      </c>
      <c r="X80" s="10">
        <f>+IFERROR(IF(VLOOKUP(Tabla2[[#This Row],[ID]],'EVALUACION DE RIESGO'!A:A,1,FALSE)=Tabla2[[#This Row],[ID]],"SI","NO"),"NO")</f>
        <v/>
      </c>
      <c r="AD80">
        <f>IF(AND(Y80="",AA80=""),"",IF(OR(LEFT(AA80,2)="L0",LEFT(AA80,2)="L1",Y80="No Iniciado"),"CRÍTICO - Incumplimiento Normativo SEPS",IF(AND(OR(LEFT(AA80,2)="L4",LEFT(AA80,2)="L5"),AND(AC80&lt;&gt;"",AC80&lt;&gt;"N/A")),"CONFORME - Control Efectivo ISO 27001","OBSERVACIÓN - Revisar Controles")))</f>
        <v/>
      </c>
    </row>
    <row r="81">
      <c r="A81" s="99" t="inlineStr">
        <is>
          <t>79-GAD</t>
        </is>
      </c>
      <c r="B81" s="10" t="inlineStr">
        <is>
          <t>APOYO</t>
        </is>
      </c>
      <c r="C81" s="10" t="inlineStr">
        <is>
          <t xml:space="preserve">Gestión Administrativa </t>
        </is>
      </c>
      <c r="D81" s="10" t="inlineStr">
        <is>
          <t>GAD</t>
        </is>
      </c>
      <c r="E81" s="10" t="inlineStr">
        <is>
          <t>Gestión de Adquisiciones</t>
        </is>
      </c>
      <c r="F81" s="10" t="inlineStr">
        <is>
          <t>-</t>
        </is>
      </c>
      <c r="G81" s="10" t="inlineStr">
        <is>
          <t xml:space="preserve">Pago a proveedores  </t>
        </is>
      </c>
      <c r="H81" s="10" t="inlineStr">
        <is>
          <t>Registro de adquisiciones</t>
        </is>
      </c>
      <c r="I81" s="10" t="inlineStr">
        <is>
          <t>Registro de actividades que se realizan en el sistema Sara para la adquisición</t>
        </is>
      </c>
      <c r="J81" s="10" t="inlineStr">
        <is>
          <t>Jefe Administrativo</t>
        </is>
      </c>
      <c r="K81" s="10" t="inlineStr">
        <is>
          <t>Asistente administrativo</t>
        </is>
      </c>
      <c r="L81" s="10" t="inlineStr">
        <is>
          <t>UBICACIÓN DIGITAL-PÁGINA WEB</t>
        </is>
      </c>
      <c r="M81" s="10" t="inlineStr">
        <is>
          <t>SISTEMAS DE INFORMACIÓN CORPORATIVOS</t>
        </is>
      </c>
      <c r="N81" s="10" t="inlineStr">
        <is>
          <t>PRIMARIOS</t>
        </is>
      </c>
      <c r="O81" s="10" t="inlineStr">
        <is>
          <t>DOCUMENTOS HABILITANTES</t>
        </is>
      </c>
      <c r="P81" s="10" t="inlineStr">
        <is>
          <t>USO INTERNO(2)</t>
        </is>
      </c>
      <c r="Q81" s="10" t="inlineStr">
        <is>
          <t>BAJA(1)</t>
        </is>
      </c>
      <c r="R81" s="10" t="inlineStr">
        <is>
          <t>BAJA(1)</t>
        </is>
      </c>
      <c r="S81" s="10">
        <f>+(IF(P81="PUBLICA(1)",1,IF(P81="USO INTERNO(2)",2,IF(P81="RESTRINGIDO(3)",3,3))))+(IF(Q81="BAJA(1)",1,IF(Q81="MEDIA(2)",2,IF(Q81="ALTA(3)",3,3))))+(IF(R81="BAJA(1)",1,IF(R81="MEDIA(2)",2,IF(R81="ALTA(3)",3,3))))</f>
        <v/>
      </c>
      <c r="T81" s="10">
        <f>+IF(S81&lt;6,"BAJA",IF(S81&lt;8,"MEDIA","ALTA"))</f>
        <v/>
      </c>
      <c r="U81" s="10" t="inlineStr">
        <is>
          <t>-</t>
        </is>
      </c>
      <c r="V81" s="24" t="n">
        <v>45680</v>
      </c>
      <c r="W81" s="19" t="inlineStr">
        <is>
          <t>N/A</t>
        </is>
      </c>
      <c r="X81" s="10">
        <f>+IFERROR(IF(VLOOKUP(Tabla2[[#This Row],[ID]],'EVALUACION DE RIESGO'!A:A,1,FALSE)=Tabla2[[#This Row],[ID]],"SI","NO"),"NO")</f>
        <v/>
      </c>
      <c r="AD81">
        <f>IF(AND(Y81="",AA81=""),"",IF(OR(LEFT(AA81,2)="L0",LEFT(AA81,2)="L1",Y81="No Iniciado"),"CRÍTICO - Incumplimiento Normativo SEPS",IF(AND(OR(LEFT(AA81,2)="L4",LEFT(AA81,2)="L5"),AND(AC81&lt;&gt;"",AC81&lt;&gt;"N/A")),"CONFORME - Control Efectivo ISO 27001","OBSERVACIÓN - Revisar Controles")))</f>
        <v/>
      </c>
    </row>
    <row r="82">
      <c r="A82" s="99" t="inlineStr">
        <is>
          <t>80-GAD</t>
        </is>
      </c>
      <c r="B82" s="10" t="inlineStr">
        <is>
          <t>APOYO</t>
        </is>
      </c>
      <c r="C82" s="10" t="inlineStr">
        <is>
          <t xml:space="preserve">Gestión Administrativa </t>
        </is>
      </c>
      <c r="D82" s="10" t="inlineStr">
        <is>
          <t>GAD</t>
        </is>
      </c>
      <c r="E82" s="10" t="inlineStr">
        <is>
          <t>Gestión de Adquisiciones</t>
        </is>
      </c>
      <c r="F82" s="10" t="inlineStr">
        <is>
          <t>-</t>
        </is>
      </c>
      <c r="G82" s="10" t="inlineStr">
        <is>
          <t>Pago periódico a proveedores de servicio</t>
        </is>
      </c>
      <c r="H82" s="10" t="inlineStr">
        <is>
          <t>Orden de pago</t>
        </is>
      </c>
      <c r="I82" s="10" t="inlineStr">
        <is>
          <t>Orden de pago donde se detalla el numero de contrato empresa institución valores impuestos fecha dirigido , información que se dirige a contabilidad</t>
        </is>
      </c>
      <c r="J82" s="10" t="inlineStr">
        <is>
          <t>Jefe Administrativo</t>
        </is>
      </c>
      <c r="K82" s="10" t="inlineStr">
        <is>
          <t>Asistente administrativo</t>
        </is>
      </c>
      <c r="L82" s="10" t="inlineStr">
        <is>
          <t>UBICACIÓN DIGITAL - SISTEMA SARA</t>
        </is>
      </c>
      <c r="M82" s="10" t="inlineStr">
        <is>
          <t>SISTEMAS DE INFORMACIÓN CORPORATIVOS</t>
        </is>
      </c>
      <c r="N82" s="10" t="inlineStr">
        <is>
          <t>PRIMARIOS</t>
        </is>
      </c>
      <c r="O82" s="10" t="inlineStr">
        <is>
          <t>DOCUMENTOS HABILITANTES</t>
        </is>
      </c>
      <c r="P82" s="10" t="inlineStr">
        <is>
          <t>USO INTERNO(2)</t>
        </is>
      </c>
      <c r="Q82" s="10" t="inlineStr">
        <is>
          <t>MEDIA(2)</t>
        </is>
      </c>
      <c r="R82" s="10" t="inlineStr">
        <is>
          <t>MEDIA(2)</t>
        </is>
      </c>
      <c r="S82" s="10">
        <f>+(IF(P82="PUBLICA(1)",1,IF(P82="USO INTERNO(2)",2,IF(P82="RESTRINGIDO(3)",3,3))))+(IF(Q82="BAJA(1)",1,IF(Q82="MEDIA(2)",2,IF(Q82="ALTA(3)",3,3))))+(IF(R82="BAJA(1)",1,IF(R82="MEDIA(2)",2,IF(R82="ALTA(3)",3,3))))</f>
        <v/>
      </c>
      <c r="T82" s="10">
        <f>+IF(S82&lt;6,"BAJA",IF(S82&lt;8,"MEDIA","ALTA"))</f>
        <v/>
      </c>
      <c r="U82" s="10" t="inlineStr">
        <is>
          <t>-</t>
        </is>
      </c>
      <c r="V82" s="24" t="n">
        <v>45680</v>
      </c>
      <c r="W82" s="19" t="inlineStr">
        <is>
          <t>N/A</t>
        </is>
      </c>
      <c r="X82" s="10">
        <f>+IFERROR(IF(VLOOKUP(Tabla2[[#This Row],[ID]],'EVALUACION DE RIESGO'!A:A,1,FALSE)=Tabla2[[#This Row],[ID]],"SI","NO"),"NO")</f>
        <v/>
      </c>
      <c r="AD82">
        <f>IF(AND(Y82="",AA82=""),"",IF(OR(LEFT(AA82,2)="L0",LEFT(AA82,2)="L1",Y82="No Iniciado"),"CRÍTICO - Incumplimiento Normativo SEPS",IF(AND(OR(LEFT(AA82,2)="L4",LEFT(AA82,2)="L5"),AND(AC82&lt;&gt;"",AC82&lt;&gt;"N/A")),"CONFORME - Control Efectivo ISO 27001","OBSERVACIÓN - Revisar Controles")))</f>
        <v/>
      </c>
    </row>
    <row r="83">
      <c r="A83" s="99" t="inlineStr">
        <is>
          <t>81-GAD</t>
        </is>
      </c>
      <c r="B83" s="10" t="inlineStr">
        <is>
          <t>APOYO</t>
        </is>
      </c>
      <c r="C83" s="10" t="inlineStr">
        <is>
          <t xml:space="preserve">Gestión Administrativa </t>
        </is>
      </c>
      <c r="D83" s="10" t="inlineStr">
        <is>
          <t>GAD</t>
        </is>
      </c>
      <c r="E83" s="10" t="inlineStr">
        <is>
          <t>Gestión de Adquisiciones</t>
        </is>
      </c>
      <c r="F83" s="10" t="inlineStr">
        <is>
          <t>-</t>
        </is>
      </c>
      <c r="G83" s="10" t="inlineStr">
        <is>
          <t>Pago periódico a proveedores de servicio</t>
        </is>
      </c>
      <c r="H83" s="10" t="inlineStr">
        <is>
          <t>Comprobante de venta</t>
        </is>
      </c>
      <c r="I83" s="10" t="inlineStr">
        <is>
          <t>Facturas o notas de venta que llegan a administrativo en físico o digital</t>
        </is>
      </c>
      <c r="J83" s="10" t="inlineStr">
        <is>
          <t>Jefe Administrativo</t>
        </is>
      </c>
      <c r="K83" s="10" t="inlineStr">
        <is>
          <t>Asistente administrativo</t>
        </is>
      </c>
      <c r="L83" s="10" t="inlineStr">
        <is>
          <t>UBICACIÓN DIGITAL - SISTEMA SARA</t>
        </is>
      </c>
      <c r="M83" s="10" t="inlineStr">
        <is>
          <t>SISTEMAS DE INFORMACIÓN CORPORATIVOS</t>
        </is>
      </c>
      <c r="N83" s="10" t="inlineStr">
        <is>
          <t>PRIMARIOS</t>
        </is>
      </c>
      <c r="O83" s="10" t="inlineStr">
        <is>
          <t>DOCUMENTOS HABILITANTES</t>
        </is>
      </c>
      <c r="P83" s="10" t="inlineStr">
        <is>
          <t>USO INTERNO(2)</t>
        </is>
      </c>
      <c r="Q83" s="10" t="inlineStr">
        <is>
          <t>MEDIA(2)</t>
        </is>
      </c>
      <c r="R83" s="10" t="inlineStr">
        <is>
          <t>MEDIA(2)</t>
        </is>
      </c>
      <c r="S83" s="10">
        <f>+(IF(P83="PUBLICA(1)",1,IF(P83="USO INTERNO(2)",2,IF(P83="RESTRINGIDO(3)",3,3))))+(IF(Q83="BAJA(1)",1,IF(Q83="MEDIA(2)",2,IF(Q83="ALTA(3)",3,3))))+(IF(R83="BAJA(1)",1,IF(R83="MEDIA(2)",2,IF(R83="ALTA(3)",3,3))))</f>
        <v/>
      </c>
      <c r="T83" s="10">
        <f>+IF(S83&lt;6,"BAJA",IF(S83&lt;8,"MEDIA","ALTA"))</f>
        <v/>
      </c>
      <c r="U83" s="10" t="inlineStr">
        <is>
          <t>-</t>
        </is>
      </c>
      <c r="V83" s="24" t="n">
        <v>45680</v>
      </c>
      <c r="W83" s="19" t="inlineStr">
        <is>
          <t>N/A</t>
        </is>
      </c>
      <c r="X83" s="10">
        <f>+IFERROR(IF(VLOOKUP(Tabla2[[#This Row],[ID]],'EVALUACION DE RIESGO'!A:A,1,FALSE)=Tabla2[[#This Row],[ID]],"SI","NO"),"NO")</f>
        <v/>
      </c>
      <c r="AD83">
        <f>IF(AND(Y83="",AA83=""),"",IF(OR(LEFT(AA83,2)="L0",LEFT(AA83,2)="L1",Y83="No Iniciado"),"CRÍTICO - Incumplimiento Normativo SEPS",IF(AND(OR(LEFT(AA83,2)="L4",LEFT(AA83,2)="L5"),AND(AC83&lt;&gt;"",AC83&lt;&gt;"N/A")),"CONFORME - Control Efectivo ISO 27001","OBSERVACIÓN - Revisar Controles")))</f>
        <v/>
      </c>
    </row>
    <row r="84">
      <c r="A84" s="99" t="inlineStr">
        <is>
          <t>82-GAD</t>
        </is>
      </c>
      <c r="B84" s="10" t="inlineStr">
        <is>
          <t>APOYO</t>
        </is>
      </c>
      <c r="C84" s="10" t="inlineStr">
        <is>
          <t xml:space="preserve">Gestión Administrativa </t>
        </is>
      </c>
      <c r="D84" s="10" t="inlineStr">
        <is>
          <t>GAD</t>
        </is>
      </c>
      <c r="E84" s="10" t="inlineStr">
        <is>
          <t>Gestión de Adquisiciones</t>
        </is>
      </c>
      <c r="F84" s="10" t="inlineStr">
        <is>
          <t>-</t>
        </is>
      </c>
      <c r="G84" s="10" t="inlineStr">
        <is>
          <t xml:space="preserve">Evaluación del plan de adquisiciones </t>
        </is>
      </c>
      <c r="H84" s="10" t="inlineStr">
        <is>
          <t>Informe de evaluación del plan de adquisiciones</t>
        </is>
      </c>
      <c r="I84" s="10" t="inlineStr">
        <is>
          <t xml:space="preserve">Informe trimestral de la gestión realizada y presentada en el Cómité de Adquisciones </t>
        </is>
      </c>
      <c r="J84" s="10" t="inlineStr">
        <is>
          <t>Jefe Administrativo</t>
        </is>
      </c>
      <c r="K84" s="10" t="inlineStr">
        <is>
          <t>Jefe Administrativo</t>
        </is>
      </c>
      <c r="L84" s="10" t="inlineStr">
        <is>
          <t>UBICACIÓN DIGITAL-EQUIPO DEL RESPONSABLE</t>
        </is>
      </c>
      <c r="M84" s="10" t="inlineStr">
        <is>
          <t>DOCUMENTO DE ARCHIVO-ELECTRÓNICO</t>
        </is>
      </c>
      <c r="N84" s="10" t="inlineStr">
        <is>
          <t>PRIMARIOS</t>
        </is>
      </c>
      <c r="O84" s="10" t="inlineStr">
        <is>
          <t>DOCUMENTOS TÉCNICOS</t>
        </is>
      </c>
      <c r="P84" s="10" t="inlineStr">
        <is>
          <t>USO INTERNO(2)</t>
        </is>
      </c>
      <c r="Q84" s="10" t="inlineStr">
        <is>
          <t>MEDIA(2)</t>
        </is>
      </c>
      <c r="R84" s="10" t="inlineStr">
        <is>
          <t>MEDIA(2)</t>
        </is>
      </c>
      <c r="S84" s="10">
        <f>+(IF(P84="PUBLICA(1)",1,IF(P84="USO INTERNO(2)",2,IF(P84="RESTRINGIDO(3)",3,3))))+(IF(Q84="BAJA(1)",1,IF(Q84="MEDIA(2)",2,IF(Q84="ALTA(3)",3,3))))+(IF(R84="BAJA(1)",1,IF(R84="MEDIA(2)",2,IF(R84="ALTA(3)",3,3))))</f>
        <v/>
      </c>
      <c r="T84" s="10">
        <f>+IF(S84&lt;6,"BAJA",IF(S84&lt;8,"MEDIA","ALTA"))</f>
        <v/>
      </c>
      <c r="U84" s="10" t="inlineStr">
        <is>
          <t>-</t>
        </is>
      </c>
      <c r="V84" s="24" t="n">
        <v>45680</v>
      </c>
      <c r="W84" s="19" t="inlineStr">
        <is>
          <t>N/A</t>
        </is>
      </c>
      <c r="X84" s="10">
        <f>+IFERROR(IF(VLOOKUP(Tabla2[[#This Row],[ID]],'EVALUACION DE RIESGO'!A:A,1,FALSE)=Tabla2[[#This Row],[ID]],"SI","NO"),"NO")</f>
        <v/>
      </c>
      <c r="AD84">
        <f>IF(AND(Y84="",AA84=""),"",IF(OR(LEFT(AA84,2)="L0",LEFT(AA84,2)="L1",Y84="No Iniciado"),"CRÍTICO - Incumplimiento Normativo SEPS",IF(AND(OR(LEFT(AA84,2)="L4",LEFT(AA84,2)="L5"),AND(AC84&lt;&gt;"",AC84&lt;&gt;"N/A")),"CONFORME - Control Efectivo ISO 27001","OBSERVACIÓN - Revisar Controles")))</f>
        <v/>
      </c>
    </row>
    <row r="85">
      <c r="A85" s="99" t="inlineStr">
        <is>
          <t>83-GAD</t>
        </is>
      </c>
      <c r="B85" s="10" t="inlineStr">
        <is>
          <t>APOYO</t>
        </is>
      </c>
      <c r="C85" s="10" t="inlineStr">
        <is>
          <t xml:space="preserve">Gestión Administrativa </t>
        </is>
      </c>
      <c r="D85" s="10" t="inlineStr">
        <is>
          <t>GAD</t>
        </is>
      </c>
      <c r="E85" s="10" t="inlineStr">
        <is>
          <t>N/A</t>
        </is>
      </c>
      <c r="F85" s="10" t="inlineStr">
        <is>
          <t>-</t>
        </is>
      </c>
      <c r="G85" s="10" t="inlineStr">
        <is>
          <t>N/A</t>
        </is>
      </c>
      <c r="H85" s="10" t="inlineStr">
        <is>
          <t xml:space="preserve">Equipos de computación </t>
        </is>
      </c>
      <c r="I85" s="10" t="inlineStr">
        <is>
          <t>Equipos de computación donde se realiza la gestión del área</t>
        </is>
      </c>
      <c r="J85" s="10" t="inlineStr">
        <is>
          <t>Jefe Administrativo</t>
        </is>
      </c>
      <c r="K85" s="10" t="inlineStr">
        <is>
          <t>Jefe Administrativo</t>
        </is>
      </c>
      <c r="L85" s="10" t="inlineStr">
        <is>
          <t>UBICACIÓN FISICA-MATRIZ ATUNTAQUI</t>
        </is>
      </c>
      <c r="M85" s="10" t="inlineStr">
        <is>
          <t>DISCOS DUROS, SERVIDORES, DISCOS O MEDIOS PORTÁTILES, CINTAS O MEDIOS DE VIDEO Y AUDIO, ETC.</t>
        </is>
      </c>
      <c r="N85" s="10" t="inlineStr">
        <is>
          <t>APOYO</t>
        </is>
      </c>
      <c r="O85" s="10" t="inlineStr">
        <is>
          <t>HARDWARE</t>
        </is>
      </c>
      <c r="P85" s="10" t="inlineStr">
        <is>
          <t>RESTRINGIDO(3)</t>
        </is>
      </c>
      <c r="Q85" s="10" t="inlineStr">
        <is>
          <t>MEDIA(2)</t>
        </is>
      </c>
      <c r="R85" s="10" t="inlineStr">
        <is>
          <t>MEDIA(2)</t>
        </is>
      </c>
      <c r="S85" s="10">
        <f>+(IF(P85="PUBLICA(1)",1,IF(P85="USO INTERNO(2)",2,IF(P85="RESTRINGIDO(3)",3,3))))+(IF(Q85="BAJA(1)",1,IF(Q85="MEDIA(2)",2,IF(Q85="ALTA(3)",3,3))))+(IF(R85="BAJA(1)",1,IF(R85="MEDIA(2)",2,IF(R85="ALTA(3)",3,3))))</f>
        <v/>
      </c>
      <c r="T85" s="10">
        <f>+IF(S85&lt;6,"BAJA",IF(S85&lt;8,"MEDIA","ALTA"))</f>
        <v/>
      </c>
      <c r="U85" s="10" t="inlineStr">
        <is>
          <t>-</t>
        </is>
      </c>
      <c r="V85" s="24" t="n">
        <v>45680</v>
      </c>
      <c r="W85" s="19" t="inlineStr">
        <is>
          <t>N/A</t>
        </is>
      </c>
      <c r="X85" s="10">
        <f>+IFERROR(IF(VLOOKUP(Tabla2[[#This Row],[ID]],'EVALUACION DE RIESGO'!A:A,1,FALSE)=Tabla2[[#This Row],[ID]],"SI","NO"),"NO")</f>
        <v/>
      </c>
      <c r="AD85">
        <f>IF(AND(Y85="",AA85=""),"",IF(OR(LEFT(AA85,2)="L0",LEFT(AA85,2)="L1",Y85="No Iniciado"),"CRÍTICO - Incumplimiento Normativo SEPS",IF(AND(OR(LEFT(AA85,2)="L4",LEFT(AA85,2)="L5"),AND(AC85&lt;&gt;"",AC85&lt;&gt;"N/A")),"CONFORME - Control Efectivo ISO 27001","OBSERVACIÓN - Revisar Controles")))</f>
        <v/>
      </c>
    </row>
    <row r="86">
      <c r="A86" s="99" t="inlineStr">
        <is>
          <t>84-GAD</t>
        </is>
      </c>
      <c r="B86" s="10" t="inlineStr">
        <is>
          <t>APOYO</t>
        </is>
      </c>
      <c r="C86" s="10" t="inlineStr">
        <is>
          <t xml:space="preserve">Gestión Administrativa </t>
        </is>
      </c>
      <c r="D86" s="10" t="inlineStr">
        <is>
          <t>GAD</t>
        </is>
      </c>
      <c r="E86" s="10" t="inlineStr">
        <is>
          <t>N/A</t>
        </is>
      </c>
      <c r="F86" s="10" t="inlineStr">
        <is>
          <t>-</t>
        </is>
      </c>
      <c r="G86" s="10" t="inlineStr">
        <is>
          <t>N/A</t>
        </is>
      </c>
      <c r="H86" s="10" t="inlineStr">
        <is>
          <t>Jefe Administrativo</t>
        </is>
      </c>
      <c r="I86" s="10" t="inlineStr">
        <is>
          <t>N/A</t>
        </is>
      </c>
      <c r="J86" s="10" t="inlineStr">
        <is>
          <t>Jefe Administrativo</t>
        </is>
      </c>
      <c r="K86" s="10" t="inlineStr">
        <is>
          <t>N/A</t>
        </is>
      </c>
      <c r="L86" s="10" t="inlineStr">
        <is>
          <t>N/A</t>
        </is>
      </c>
      <c r="M86" s="10" t="inlineStr">
        <is>
          <t>N/A</t>
        </is>
      </c>
      <c r="N86" s="10" t="inlineStr">
        <is>
          <t>APOYO</t>
        </is>
      </c>
      <c r="O86" s="10" t="inlineStr">
        <is>
          <t>RECURSO HUMANO</t>
        </is>
      </c>
      <c r="P86" s="10" t="inlineStr">
        <is>
          <t>USO INTERNO(2)</t>
        </is>
      </c>
      <c r="Q86" s="10" t="inlineStr">
        <is>
          <t>MEDIA(2)</t>
        </is>
      </c>
      <c r="R86" s="10" t="inlineStr">
        <is>
          <t>MEDIA(2)</t>
        </is>
      </c>
      <c r="S86" s="10">
        <f>+(IF(P86="PUBLICA(1)",1,IF(P86="USO INTERNO(2)",2,IF(P86="RESTRINGIDO(3)",3,3))))+(IF(Q86="BAJA(1)",1,IF(Q86="MEDIA(2)",2,IF(Q86="ALTA(3)",3,3))))+(IF(R86="BAJA(1)",1,IF(R86="MEDIA(2)",2,IF(R86="ALTA(3)",3,3))))</f>
        <v/>
      </c>
      <c r="T86" s="10">
        <f>+IF(S86&lt;6,"BAJA",IF(S86&lt;8,"MEDIA","ALTA"))</f>
        <v/>
      </c>
      <c r="U86" s="10" t="inlineStr">
        <is>
          <t>-</t>
        </is>
      </c>
      <c r="V86" s="24" t="n">
        <v>45680</v>
      </c>
      <c r="W86" s="19" t="inlineStr">
        <is>
          <t>N/A</t>
        </is>
      </c>
      <c r="X86" s="10">
        <f>+IFERROR(IF(VLOOKUP(Tabla2[[#This Row],[ID]],'EVALUACION DE RIESGO'!A:A,1,FALSE)=Tabla2[[#This Row],[ID]],"SI","NO"),"NO")</f>
        <v/>
      </c>
      <c r="AD86">
        <f>IF(AND(Y86="",AA86=""),"",IF(OR(LEFT(AA86,2)="L0",LEFT(AA86,2)="L1",Y86="No Iniciado"),"CRÍTICO - Incumplimiento Normativo SEPS",IF(AND(OR(LEFT(AA86,2)="L4",LEFT(AA86,2)="L5"),AND(AC86&lt;&gt;"",AC86&lt;&gt;"N/A")),"CONFORME - Control Efectivo ISO 27001","OBSERVACIÓN - Revisar Controles")))</f>
        <v/>
      </c>
    </row>
    <row r="87">
      <c r="A87" s="99" t="inlineStr">
        <is>
          <t>1-GCP</t>
        </is>
      </c>
      <c r="B87" s="10" t="inlineStr">
        <is>
          <t>ESTRATÉGICO</t>
        </is>
      </c>
      <c r="C87" s="10" t="inlineStr">
        <is>
          <t xml:space="preserve">Gestión de Calidad </t>
        </is>
      </c>
      <c r="D87" s="10" t="inlineStr">
        <is>
          <t>GCP</t>
        </is>
      </c>
      <c r="E87" s="10" t="inlineStr">
        <is>
          <t>Gestión de Procesos</t>
        </is>
      </c>
      <c r="F87" s="10" t="inlineStr">
        <is>
          <t>-</t>
        </is>
      </c>
      <c r="G87" s="10" t="inlineStr">
        <is>
          <t>Planificación de procesos</t>
        </is>
      </c>
      <c r="H87" s="10" t="inlineStr">
        <is>
          <t>Plan Operativo Institucional - E</t>
        </is>
      </c>
      <c r="I87" s="10" t="inlineStr">
        <is>
          <t>Contiene los proyectos estratégicos anuales de la institución</t>
        </is>
      </c>
      <c r="J87" s="10" t="inlineStr">
        <is>
          <t>Jefe de Planificación y  Procesos</t>
        </is>
      </c>
      <c r="K87" s="10" t="inlineStr">
        <is>
          <t>Jefe de Planificación y  Procesos</t>
        </is>
      </c>
      <c r="L87" s="10" t="inlineStr">
        <is>
          <t>UBICACIÓN DIGITAL-WEBCOOP</t>
        </is>
      </c>
      <c r="M87" s="10" t="inlineStr">
        <is>
          <t>SISTEMA DE ADMINISTRACIÓN DE DOCUMENTOS</t>
        </is>
      </c>
      <c r="N87" s="10" t="inlineStr">
        <is>
          <t>PRIMARIOS</t>
        </is>
      </c>
      <c r="O87" s="10" t="inlineStr">
        <is>
          <t>COMUNICACIÓN INTERNA</t>
        </is>
      </c>
      <c r="P87" s="10" t="inlineStr">
        <is>
          <t>USO INTERNO(2)</t>
        </is>
      </c>
      <c r="Q87" s="10" t="inlineStr">
        <is>
          <t>BAJA(1)</t>
        </is>
      </c>
      <c r="R87" s="10" t="inlineStr">
        <is>
          <t>BAJA(1)</t>
        </is>
      </c>
      <c r="S87" s="10">
        <f>+(IF(P87="PUBLICA(1)",1,IF(P87="USO INTERNO(2)",2,IF(P87="RESTRINGIDO(3)",3,3))))+(IF(Q87="BAJA(1)",1,IF(Q87="MEDIA(2)",2,IF(Q87="ALTA(3)",3,3))))+(IF(R87="BAJA(1)",1,IF(R87="MEDIA(2)",2,IF(R87="ALTA(3)",3,3))))</f>
        <v/>
      </c>
      <c r="T87" s="10">
        <f>+IF(S87&lt;6,"BAJA",IF(S87&lt;8,"MEDIA","ALTA"))</f>
        <v/>
      </c>
      <c r="U87" s="10" t="inlineStr">
        <is>
          <t>-</t>
        </is>
      </c>
      <c r="V87" s="24" t="n">
        <v>45580</v>
      </c>
      <c r="W87" s="19" t="inlineStr">
        <is>
          <t>N/A</t>
        </is>
      </c>
      <c r="X87" s="10">
        <f>+IFERROR(IF(VLOOKUP(Tabla2[[#This Row],[ID]],'EVALUACION DE RIESGO'!A:A,1,FALSE)=Tabla2[[#This Row],[ID]],"SI","NO"),"NO")</f>
        <v/>
      </c>
      <c r="AD87">
        <f>IF(AND(Y87="",AA87=""),"",IF(OR(LEFT(AA87,2)="L0",LEFT(AA87,2)="L1",Y87="No Iniciado"),"CRÍTICO - Incumplimiento Normativo SEPS",IF(AND(OR(LEFT(AA87,2)="L4",LEFT(AA87,2)="L5"),AND(AC87&lt;&gt;"",AC87&lt;&gt;"N/A")),"CONFORME - Control Efectivo ISO 27001","OBSERVACIÓN - Revisar Controles")))</f>
        <v/>
      </c>
    </row>
    <row r="88">
      <c r="A88" s="99" t="inlineStr">
        <is>
          <t>2-GCP</t>
        </is>
      </c>
      <c r="B88" s="10" t="inlineStr">
        <is>
          <t>ESTRATÉGICO</t>
        </is>
      </c>
      <c r="C88" s="10" t="inlineStr">
        <is>
          <t xml:space="preserve">Gestión de Calidad </t>
        </is>
      </c>
      <c r="D88" s="10" t="inlineStr">
        <is>
          <t>GCP</t>
        </is>
      </c>
      <c r="E88" s="10" t="inlineStr">
        <is>
          <t>Gestión de Procesos</t>
        </is>
      </c>
      <c r="F88" s="10" t="inlineStr">
        <is>
          <t>-</t>
        </is>
      </c>
      <c r="G88" s="10" t="inlineStr">
        <is>
          <t>Planificación de procesos</t>
        </is>
      </c>
      <c r="H88" s="10" t="inlineStr">
        <is>
          <t>Plan Anual de Planificación y Procesos</t>
        </is>
      </c>
      <c r="I88" s="10" t="inlineStr">
        <is>
          <t>Es un cronograma de actividades del Planificación y Procesos anual</t>
        </is>
      </c>
      <c r="J88" s="10" t="inlineStr">
        <is>
          <t>Jefe de Planificación y  Procesos</t>
        </is>
      </c>
      <c r="K88" s="10" t="inlineStr">
        <is>
          <t xml:space="preserve">Jefe de Planificación y  Procesos / Analista de Procesos </t>
        </is>
      </c>
      <c r="L88" s="10" t="inlineStr">
        <is>
          <t>UBICACIÓN DIGITAL-EQUIPO DEL RESPONSABLE</t>
        </is>
      </c>
      <c r="M88" s="10" t="inlineStr">
        <is>
          <t>DISCOS DUROS, SERVIDORES, DISCOS O MEDIOS PORTÁTILES, CINTAS O MEDIOS DE VIDEO Y AUDIO, ETC.</t>
        </is>
      </c>
      <c r="N88" s="10" t="inlineStr">
        <is>
          <t>PRIMARIOS</t>
        </is>
      </c>
      <c r="O88" s="10" t="inlineStr">
        <is>
          <t>COMUNICACIÓN INTERNA</t>
        </is>
      </c>
      <c r="P88" s="10" t="inlineStr">
        <is>
          <t>USO INTERNO(2)</t>
        </is>
      </c>
      <c r="Q88" s="10" t="inlineStr">
        <is>
          <t>BAJA(1)</t>
        </is>
      </c>
      <c r="R88" s="10" t="inlineStr">
        <is>
          <t>MEDIA(2)</t>
        </is>
      </c>
      <c r="S88" s="10">
        <f>+(IF(P88="PUBLICA(1)",1,IF(P88="USO INTERNO(2)",2,IF(P88="RESTRINGIDO(3)",3,3))))+(IF(Q88="BAJA(1)",1,IF(Q88="MEDIA(2)",2,IF(Q88="ALTA(3)",3,3))))+(IF(R88="BAJA(1)",1,IF(R88="MEDIA(2)",2,IF(R88="ALTA(3)",3,3))))</f>
        <v/>
      </c>
      <c r="T88" s="10">
        <f>+IF(S88&lt;6,"BAJA",IF(S88&lt;8,"MEDIA","ALTA"))</f>
        <v/>
      </c>
      <c r="U88" s="10" t="inlineStr">
        <is>
          <t>-</t>
        </is>
      </c>
      <c r="V88" s="24" t="n">
        <v>45580</v>
      </c>
      <c r="W88" s="19" t="inlineStr">
        <is>
          <t>N/A</t>
        </is>
      </c>
      <c r="X88" s="10">
        <f>+IFERROR(IF(VLOOKUP(Tabla2[[#This Row],[ID]],'EVALUACION DE RIESGO'!A:A,1,FALSE)=Tabla2[[#This Row],[ID]],"SI","NO"),"NO")</f>
        <v/>
      </c>
      <c r="AD88">
        <f>IF(AND(Y88="",AA88=""),"",IF(OR(LEFT(AA88,2)="L0",LEFT(AA88,2)="L1",Y88="No Iniciado"),"CRÍTICO - Incumplimiento Normativo SEPS",IF(AND(OR(LEFT(AA88,2)="L4",LEFT(AA88,2)="L5"),AND(AC88&lt;&gt;"",AC88&lt;&gt;"N/A")),"CONFORME - Control Efectivo ISO 27001","OBSERVACIÓN - Revisar Controles")))</f>
        <v/>
      </c>
    </row>
    <row r="89">
      <c r="A89" s="99" t="inlineStr">
        <is>
          <t>3-GCP</t>
        </is>
      </c>
      <c r="B89" s="10" t="inlineStr">
        <is>
          <t>ESTRATÉGICO</t>
        </is>
      </c>
      <c r="C89" s="10" t="inlineStr">
        <is>
          <t xml:space="preserve">Gestión de Calidad </t>
        </is>
      </c>
      <c r="D89" s="10" t="inlineStr">
        <is>
          <t>GCP</t>
        </is>
      </c>
      <c r="E89" s="10" t="inlineStr">
        <is>
          <t>Gestión de Procesos</t>
        </is>
      </c>
      <c r="F89" s="10" t="inlineStr">
        <is>
          <t>-</t>
        </is>
      </c>
      <c r="G89" s="10" t="inlineStr">
        <is>
          <t>Documentación de Procesos (Elaboración y actualización de documentos)</t>
        </is>
      </c>
      <c r="H89" s="10" t="inlineStr">
        <is>
          <t>Documento actualizado</t>
        </is>
      </c>
      <c r="I89" s="10" t="inlineStr">
        <is>
          <t>Toda la documentación normativa interna de cada Proceso institucional</t>
        </is>
      </c>
      <c r="J89" s="10" t="inlineStr">
        <is>
          <t>Jefe de Planificación y  Procesos</t>
        </is>
      </c>
      <c r="K89" s="10" t="inlineStr">
        <is>
          <t>Jefe de Planificación y  Procesos</t>
        </is>
      </c>
      <c r="L89" s="10" t="inlineStr">
        <is>
          <t>UBICACIÓN DIGITAL-WEBCOOP</t>
        </is>
      </c>
      <c r="M89" s="10" t="inlineStr">
        <is>
          <t>SISTEMA DE ADMINISTRACIÓN DE DOCUMENTOS</t>
        </is>
      </c>
      <c r="N89" s="10" t="inlineStr">
        <is>
          <t>PRIMARIOS</t>
        </is>
      </c>
      <c r="O89" s="10" t="inlineStr">
        <is>
          <t>NORMATIVA INTERNA</t>
        </is>
      </c>
      <c r="P89" s="10" t="inlineStr">
        <is>
          <t>USO INTERNO(2)</t>
        </is>
      </c>
      <c r="Q89" s="10" t="inlineStr">
        <is>
          <t>MEDIA(2)</t>
        </is>
      </c>
      <c r="R89" s="10" t="inlineStr">
        <is>
          <t>MEDIA(2)</t>
        </is>
      </c>
      <c r="S89" s="10">
        <f>+(IF(P89="PUBLICA(1)",1,IF(P89="USO INTERNO(2)",2,IF(P89="RESTRINGIDO(3)",3,3))))+(IF(Q89="BAJA(1)",1,IF(Q89="MEDIA(2)",2,IF(Q89="ALTA(3)",3,3))))+(IF(R89="BAJA(1)",1,IF(R89="MEDIA(2)",2,IF(R89="ALTA(3)",3,3))))</f>
        <v/>
      </c>
      <c r="T89" s="10">
        <f>+IF(S89&lt;6,"BAJA",IF(S89&lt;8,"MEDIA","ALTA"))</f>
        <v/>
      </c>
      <c r="U89" s="10" t="inlineStr">
        <is>
          <t>-</t>
        </is>
      </c>
      <c r="V89" s="24" t="n">
        <v>45580</v>
      </c>
      <c r="W89" s="19" t="inlineStr">
        <is>
          <t>N/A</t>
        </is>
      </c>
      <c r="X89" s="10">
        <f>+IFERROR(IF(VLOOKUP(Tabla2[[#This Row],[ID]],'EVALUACION DE RIESGO'!A:A,1,FALSE)=Tabla2[[#This Row],[ID]],"SI","NO"),"NO")</f>
        <v/>
      </c>
      <c r="AD89">
        <f>IF(AND(Y89="",AA89=""),"",IF(OR(LEFT(AA89,2)="L0",LEFT(AA89,2)="L1",Y89="No Iniciado"),"CRÍTICO - Incumplimiento Normativo SEPS",IF(AND(OR(LEFT(AA89,2)="L4",LEFT(AA89,2)="L5"),AND(AC89&lt;&gt;"",AC89&lt;&gt;"N/A")),"CONFORME - Control Efectivo ISO 27001","OBSERVACIÓN - Revisar Controles")))</f>
        <v/>
      </c>
    </row>
    <row r="90">
      <c r="A90" s="99" t="inlineStr">
        <is>
          <t>4-GCP</t>
        </is>
      </c>
      <c r="B90" s="10" t="inlineStr">
        <is>
          <t>ESTRATÉGICO</t>
        </is>
      </c>
      <c r="C90" s="10" t="inlineStr">
        <is>
          <t xml:space="preserve">Gestión de Calidad </t>
        </is>
      </c>
      <c r="D90" s="10" t="inlineStr">
        <is>
          <t>GCP</t>
        </is>
      </c>
      <c r="E90" s="10" t="inlineStr">
        <is>
          <t>Gestión de Procesos</t>
        </is>
      </c>
      <c r="F90" s="10" t="inlineStr">
        <is>
          <t>-</t>
        </is>
      </c>
      <c r="G90" s="10" t="inlineStr">
        <is>
          <t>Documentación de Procesos (Elaboración y actualización de documentos)</t>
        </is>
      </c>
      <c r="H90" s="10" t="inlineStr">
        <is>
          <t>Control de Cambios</t>
        </is>
      </c>
      <c r="I90" s="10" t="inlineStr">
        <is>
          <t>Documento que contiene el historial de cambios de los diferentes manuales</t>
        </is>
      </c>
      <c r="J90" s="10" t="inlineStr">
        <is>
          <t>Jefe de Planificación y  Procesos</t>
        </is>
      </c>
      <c r="K90" s="10" t="inlineStr">
        <is>
          <t>Jefe de Planificación y  Procesos</t>
        </is>
      </c>
      <c r="L90" s="10" t="inlineStr">
        <is>
          <t>UBICACIÓN DIGITAL-EQUIPO DEL RESPONSABLE</t>
        </is>
      </c>
      <c r="M90" s="10" t="inlineStr">
        <is>
          <t>DISCOS DUROS, SERVIDORES, DISCOS O MEDIOS PORTÁTILES, CINTAS O MEDIOS DE VIDEO Y AUDIO, ETC.</t>
        </is>
      </c>
      <c r="N90" s="10" t="inlineStr">
        <is>
          <t>PRIMARIOS</t>
        </is>
      </c>
      <c r="O90" s="10" t="inlineStr">
        <is>
          <t>DOCUMENTOS TÉCNICOS</t>
        </is>
      </c>
      <c r="P90" s="10" t="inlineStr">
        <is>
          <t>USO INTERNO(2)</t>
        </is>
      </c>
      <c r="Q90" s="10" t="inlineStr">
        <is>
          <t>BAJA(1)</t>
        </is>
      </c>
      <c r="R90" s="10" t="inlineStr">
        <is>
          <t>BAJA(1)</t>
        </is>
      </c>
      <c r="S90" s="10">
        <f>+(IF(P90="PUBLICA(1)",1,IF(P90="USO INTERNO(2)",2,IF(P90="RESTRINGIDO(3)",3,3))))+(IF(Q90="BAJA(1)",1,IF(Q90="MEDIA(2)",2,IF(Q90="ALTA(3)",3,3))))+(IF(R90="BAJA(1)",1,IF(R90="MEDIA(2)",2,IF(R90="ALTA(3)",3,3))))</f>
        <v/>
      </c>
      <c r="T90" s="10">
        <f>+IF(S90&lt;6,"BAJA",IF(S90&lt;8,"MEDIA","ALTA"))</f>
        <v/>
      </c>
      <c r="U90" s="10" t="inlineStr">
        <is>
          <t>-</t>
        </is>
      </c>
      <c r="V90" s="24" t="n">
        <v>45580</v>
      </c>
      <c r="W90" s="19" t="inlineStr">
        <is>
          <t>N/A</t>
        </is>
      </c>
      <c r="X90" s="10">
        <f>+IFERROR(IF(VLOOKUP(Tabla2[[#This Row],[ID]],'EVALUACION DE RIESGO'!A:A,1,FALSE)=Tabla2[[#This Row],[ID]],"SI","NO"),"NO")</f>
        <v/>
      </c>
      <c r="AD90">
        <f>IF(AND(Y90="",AA90=""),"",IF(OR(LEFT(AA90,2)="L0",LEFT(AA90,2)="L1",Y90="No Iniciado"),"CRÍTICO - Incumplimiento Normativo SEPS",IF(AND(OR(LEFT(AA90,2)="L4",LEFT(AA90,2)="L5"),AND(AC90&lt;&gt;"",AC90&lt;&gt;"N/A")),"CONFORME - Control Efectivo ISO 27001","OBSERVACIÓN - Revisar Controles")))</f>
        <v/>
      </c>
    </row>
    <row r="91">
      <c r="A91" s="99" t="inlineStr">
        <is>
          <t>5-GCP</t>
        </is>
      </c>
      <c r="B91" s="10" t="inlineStr">
        <is>
          <t>ESTRATÉGICO</t>
        </is>
      </c>
      <c r="C91" s="10" t="inlineStr">
        <is>
          <t xml:space="preserve">Gestión de Calidad </t>
        </is>
      </c>
      <c r="D91" s="10" t="inlineStr">
        <is>
          <t>GCP</t>
        </is>
      </c>
      <c r="E91" s="10" t="inlineStr">
        <is>
          <t>Gestión de Procesos</t>
        </is>
      </c>
      <c r="F91" s="10" t="inlineStr">
        <is>
          <t>-</t>
        </is>
      </c>
      <c r="G91" s="10" t="inlineStr">
        <is>
          <t>Documentación de Procesos (Elaboración y actualización de documentos)</t>
        </is>
      </c>
      <c r="H91" s="10" t="inlineStr">
        <is>
          <t>Certificación de Revisión de la Normativa Interna</t>
        </is>
      </c>
      <c r="I91" s="10" t="inlineStr">
        <is>
          <t xml:space="preserve">Anexo de certificación de las actualizaciones realizadas a los documentos / Certificación de aprobación </t>
        </is>
      </c>
      <c r="J91" s="10" t="inlineStr">
        <is>
          <t>Jefe de Planificación y  Procesos</t>
        </is>
      </c>
      <c r="K91" s="10" t="inlineStr">
        <is>
          <t>Jefe de Planificación y  Procesos</t>
        </is>
      </c>
      <c r="L91" s="10" t="inlineStr">
        <is>
          <t>UBICACIÓN DIGITAL-WEBCOOP</t>
        </is>
      </c>
      <c r="M91" s="10" t="inlineStr">
        <is>
          <t>SISTEMA DE ADMINISTRACIÓN DE DOCUMENTOS</t>
        </is>
      </c>
      <c r="N91" s="10" t="inlineStr">
        <is>
          <t>PRIMARIOS</t>
        </is>
      </c>
      <c r="O91" s="10" t="inlineStr">
        <is>
          <t>DOCUMENTOS HABILITANTES</t>
        </is>
      </c>
      <c r="P91" s="10" t="inlineStr">
        <is>
          <t>USO INTERNO(2)</t>
        </is>
      </c>
      <c r="Q91" s="10" t="inlineStr">
        <is>
          <t>BAJA(1)</t>
        </is>
      </c>
      <c r="R91" s="10" t="inlineStr">
        <is>
          <t>BAJA(1)</t>
        </is>
      </c>
      <c r="S91" s="10">
        <f>+(IF(P91="PUBLICA(1)",1,IF(P91="USO INTERNO(2)",2,IF(P91="RESTRINGIDO(3)",3,3))))+(IF(Q91="BAJA(1)",1,IF(Q91="MEDIA(2)",2,IF(Q91="ALTA(3)",3,3))))+(IF(R91="BAJA(1)",1,IF(R91="MEDIA(2)",2,IF(R91="ALTA(3)",3,3))))</f>
        <v/>
      </c>
      <c r="T91" s="10">
        <f>+IF(S91&lt;6,"BAJA",IF(S91&lt;8,"MEDIA","ALTA"))</f>
        <v/>
      </c>
      <c r="U91" s="10" t="inlineStr">
        <is>
          <t>-</t>
        </is>
      </c>
      <c r="V91" s="24" t="n">
        <v>45580</v>
      </c>
      <c r="W91" s="19" t="inlineStr">
        <is>
          <t>N/A</t>
        </is>
      </c>
      <c r="X91" s="10">
        <f>+IFERROR(IF(VLOOKUP(Tabla2[[#This Row],[ID]],'EVALUACION DE RIESGO'!A:A,1,FALSE)=Tabla2[[#This Row],[ID]],"SI","NO"),"NO")</f>
        <v/>
      </c>
      <c r="AD91">
        <f>IF(AND(Y91="",AA91=""),"",IF(OR(LEFT(AA91,2)="L0",LEFT(AA91,2)="L1",Y91="No Iniciado"),"CRÍTICO - Incumplimiento Normativo SEPS",IF(AND(OR(LEFT(AA91,2)="L4",LEFT(AA91,2)="L5"),AND(AC91&lt;&gt;"",AC91&lt;&gt;"N/A")),"CONFORME - Control Efectivo ISO 27001","OBSERVACIÓN - Revisar Controles")))</f>
        <v/>
      </c>
    </row>
    <row r="92">
      <c r="A92" s="99" t="inlineStr">
        <is>
          <t>6-GCP</t>
        </is>
      </c>
      <c r="B92" s="10" t="inlineStr">
        <is>
          <t>ESTRATÉGICO</t>
        </is>
      </c>
      <c r="C92" s="10" t="inlineStr">
        <is>
          <t xml:space="preserve">Gestión de Calidad </t>
        </is>
      </c>
      <c r="D92" s="10" t="inlineStr">
        <is>
          <t>GCP</t>
        </is>
      </c>
      <c r="E92" s="10" t="inlineStr">
        <is>
          <t>Gestión de Procesos</t>
        </is>
      </c>
      <c r="F92" s="10" t="inlineStr">
        <is>
          <t>-</t>
        </is>
      </c>
      <c r="G92" s="10" t="inlineStr">
        <is>
          <t>Documentación de Procesos (Elaboración y actualización de documentos)</t>
        </is>
      </c>
      <c r="H92" s="10" t="inlineStr">
        <is>
          <t>Portafolio de Procesos</t>
        </is>
      </c>
      <c r="I92" s="10" t="inlineStr">
        <is>
          <t>Matriz de procesos institucionales</t>
        </is>
      </c>
      <c r="J92" s="10" t="inlineStr">
        <is>
          <t>Jefe de Planificación y  Procesos</t>
        </is>
      </c>
      <c r="K92" s="10" t="inlineStr">
        <is>
          <t>Jefe de Planificación y  Procesos</t>
        </is>
      </c>
      <c r="L92" s="10" t="inlineStr">
        <is>
          <t>UBICACIÓN DIGITAL-WEBCOOP</t>
        </is>
      </c>
      <c r="M92" s="10" t="inlineStr">
        <is>
          <t>SISTEMA DE ADMINISTRACIÓN DE DOCUMENTOS</t>
        </is>
      </c>
      <c r="N92" s="10" t="inlineStr">
        <is>
          <t>PRIMARIOS</t>
        </is>
      </c>
      <c r="O92" s="10" t="inlineStr">
        <is>
          <t>DOCUMENTOS TÉCNICOS</t>
        </is>
      </c>
      <c r="P92" s="10" t="inlineStr">
        <is>
          <t>USO INTERNO(2)</t>
        </is>
      </c>
      <c r="Q92" s="10" t="inlineStr">
        <is>
          <t>BAJA(1)</t>
        </is>
      </c>
      <c r="R92" s="10" t="inlineStr">
        <is>
          <t>BAJA(1)</t>
        </is>
      </c>
      <c r="S92" s="10">
        <f>+(IF(P92="PUBLICA(1)",1,IF(P92="USO INTERNO(2)",2,IF(P92="RESTRINGIDO(3)",3,3))))+(IF(Q92="BAJA(1)",1,IF(Q92="MEDIA(2)",2,IF(Q92="ALTA(3)",3,3))))+(IF(R92="BAJA(1)",1,IF(R92="MEDIA(2)",2,IF(R92="ALTA(3)",3,3))))</f>
        <v/>
      </c>
      <c r="T92" s="10">
        <f>+IF(S92&lt;6,"BAJA",IF(S92&lt;8,"MEDIA","ALTA"))</f>
        <v/>
      </c>
      <c r="U92" s="10" t="inlineStr">
        <is>
          <t>-</t>
        </is>
      </c>
      <c r="V92" s="24" t="n">
        <v>45580</v>
      </c>
      <c r="W92" s="19" t="inlineStr">
        <is>
          <t>N/A</t>
        </is>
      </c>
      <c r="X92" s="10">
        <f>+IFERROR(IF(VLOOKUP(Tabla2[[#This Row],[ID]],'EVALUACION DE RIESGO'!A:A,1,FALSE)=Tabla2[[#This Row],[ID]],"SI","NO"),"NO")</f>
        <v/>
      </c>
      <c r="AD92">
        <f>IF(AND(Y92="",AA92=""),"",IF(OR(LEFT(AA92,2)="L0",LEFT(AA92,2)="L1",Y92="No Iniciado"),"CRÍTICO - Incumplimiento Normativo SEPS",IF(AND(OR(LEFT(AA92,2)="L4",LEFT(AA92,2)="L5"),AND(AC92&lt;&gt;"",AC92&lt;&gt;"N/A")),"CONFORME - Control Efectivo ISO 27001","OBSERVACIÓN - Revisar Controles")))</f>
        <v/>
      </c>
    </row>
    <row r="93">
      <c r="A93" s="99" t="inlineStr">
        <is>
          <t>7-GCP</t>
        </is>
      </c>
      <c r="B93" s="10" t="inlineStr">
        <is>
          <t>ESTRATÉGICO</t>
        </is>
      </c>
      <c r="C93" s="10" t="inlineStr">
        <is>
          <t xml:space="preserve">Gestión de Calidad </t>
        </is>
      </c>
      <c r="D93" s="10" t="inlineStr">
        <is>
          <t>GCP</t>
        </is>
      </c>
      <c r="E93" s="10" t="inlineStr">
        <is>
          <t>Gestión de Procesos</t>
        </is>
      </c>
      <c r="F93" s="10" t="inlineStr">
        <is>
          <t>-</t>
        </is>
      </c>
      <c r="G93" s="10" t="inlineStr">
        <is>
          <t>Documentación de Procesos (Elaboración y actualización de documentos)</t>
        </is>
      </c>
      <c r="H93" s="10" t="inlineStr">
        <is>
          <t>Inventario de Documentación</t>
        </is>
      </c>
      <c r="I93" s="10" t="inlineStr">
        <is>
          <t>Matriz donde se registran los procesos normativos vigentes y sus versiones</t>
        </is>
      </c>
      <c r="J93" s="10" t="inlineStr">
        <is>
          <t>Jefe de Planificación y  Procesos</t>
        </is>
      </c>
      <c r="K93" s="10" t="inlineStr">
        <is>
          <t>Jefe de Planificación y  Procesos</t>
        </is>
      </c>
      <c r="L93" s="10" t="inlineStr">
        <is>
          <t>UBICACIÓN DIGITAL-EQUIPO DEL RESPONSABLE</t>
        </is>
      </c>
      <c r="M93" s="10" t="inlineStr">
        <is>
          <t>DISCOS DUROS, SERVIDORES, DISCOS O MEDIOS PORTÁTILES, CINTAS O MEDIOS DE VIDEO Y AUDIO, ETC.</t>
        </is>
      </c>
      <c r="N93" s="10" t="inlineStr">
        <is>
          <t>PRIMARIOS</t>
        </is>
      </c>
      <c r="O93" s="10" t="inlineStr">
        <is>
          <t>DOCUMENTOS TÉCNICOS</t>
        </is>
      </c>
      <c r="P93" s="10" t="inlineStr">
        <is>
          <t>USO INTERNO(2)</t>
        </is>
      </c>
      <c r="Q93" s="10" t="inlineStr">
        <is>
          <t>BAJA(1)</t>
        </is>
      </c>
      <c r="R93" s="10" t="inlineStr">
        <is>
          <t>BAJA(1)</t>
        </is>
      </c>
      <c r="S93" s="10">
        <f>+(IF(P93="PUBLICA(1)",1,IF(P93="USO INTERNO(2)",2,IF(P93="RESTRINGIDO(3)",3,3))))+(IF(Q93="BAJA(1)",1,IF(Q93="MEDIA(2)",2,IF(Q93="ALTA(3)",3,3))))+(IF(R93="BAJA(1)",1,IF(R93="MEDIA(2)",2,IF(R93="ALTA(3)",3,3))))</f>
        <v/>
      </c>
      <c r="T93" s="10">
        <f>+IF(S93&lt;6,"BAJA",IF(S93&lt;8,"MEDIA","ALTA"))</f>
        <v/>
      </c>
      <c r="U93" s="10" t="inlineStr">
        <is>
          <t>-</t>
        </is>
      </c>
      <c r="V93" s="24" t="n">
        <v>45580</v>
      </c>
      <c r="W93" s="19" t="inlineStr">
        <is>
          <t>N/A</t>
        </is>
      </c>
      <c r="X93" s="10">
        <f>+IFERROR(IF(VLOOKUP(Tabla2[[#This Row],[ID]],'EVALUACION DE RIESGO'!A:A,1,FALSE)=Tabla2[[#This Row],[ID]],"SI","NO"),"NO")</f>
        <v/>
      </c>
      <c r="AD93">
        <f>IF(AND(Y93="",AA93=""),"",IF(OR(LEFT(AA93,2)="L0",LEFT(AA93,2)="L1",Y93="No Iniciado"),"CRÍTICO - Incumplimiento Normativo SEPS",IF(AND(OR(LEFT(AA93,2)="L4",LEFT(AA93,2)="L5"),AND(AC93&lt;&gt;"",AC93&lt;&gt;"N/A")),"CONFORME - Control Efectivo ISO 27001","OBSERVACIÓN - Revisar Controles")))</f>
        <v/>
      </c>
    </row>
    <row r="94">
      <c r="A94" s="99" t="inlineStr">
        <is>
          <t>8-GCP</t>
        </is>
      </c>
      <c r="B94" s="10" t="inlineStr">
        <is>
          <t>ESTRATÉGICO</t>
        </is>
      </c>
      <c r="C94" s="10" t="inlineStr">
        <is>
          <t xml:space="preserve">Gestión de Calidad </t>
        </is>
      </c>
      <c r="D94" s="10" t="inlineStr">
        <is>
          <t>GCP</t>
        </is>
      </c>
      <c r="E94" s="10" t="inlineStr">
        <is>
          <t>Gestión de Procesos</t>
        </is>
      </c>
      <c r="F94" s="10" t="inlineStr">
        <is>
          <t>-</t>
        </is>
      </c>
      <c r="G94" s="10" t="inlineStr">
        <is>
          <t>Publicación y difusión de documentos</t>
        </is>
      </c>
      <c r="H94" s="10" t="inlineStr">
        <is>
          <t>Autorización de Acceso a la Documentación</t>
        </is>
      </c>
      <c r="I94" s="10" t="inlineStr">
        <is>
          <t>El dueño del proceso indica a que roles se debe dar acceso al documento</t>
        </is>
      </c>
      <c r="J94" s="10" t="inlineStr">
        <is>
          <t>Jefe de Planificación y  Procesos</t>
        </is>
      </c>
      <c r="K94" s="10" t="inlineStr">
        <is>
          <t>Jefe de Planificación y  Procesos</t>
        </is>
      </c>
      <c r="L94" s="10" t="inlineStr">
        <is>
          <t>UBICACIÓN DIGITAL-EQUIPO DEL RESPONSABLE</t>
        </is>
      </c>
      <c r="M94" s="10" t="inlineStr">
        <is>
          <t>CINTAS Y MEDIOS DE SOPORTE BACKUP CONTINGENCIA</t>
        </is>
      </c>
      <c r="N94" s="10" t="inlineStr">
        <is>
          <t>PRIMARIOS</t>
        </is>
      </c>
      <c r="O94" s="10" t="inlineStr">
        <is>
          <t>DOCUMENTOS TÉCNICOS</t>
        </is>
      </c>
      <c r="P94" s="10" t="inlineStr">
        <is>
          <t>USO INTERNO(2)</t>
        </is>
      </c>
      <c r="Q94" s="10" t="inlineStr">
        <is>
          <t>BAJA(1)</t>
        </is>
      </c>
      <c r="R94" s="10" t="inlineStr">
        <is>
          <t>BAJA(1)</t>
        </is>
      </c>
      <c r="S94" s="10">
        <f>+(IF(P94="PUBLICA(1)",1,IF(P94="USO INTERNO(2)",2,IF(P94="RESTRINGIDO(3)",3,3))))+(IF(Q94="BAJA(1)",1,IF(Q94="MEDIA(2)",2,IF(Q94="ALTA(3)",3,3))))+(IF(R94="BAJA(1)",1,IF(R94="MEDIA(2)",2,IF(R94="ALTA(3)",3,3))))</f>
        <v/>
      </c>
      <c r="T94" s="10">
        <f>+IF(S94&lt;6,"BAJA",IF(S94&lt;8,"MEDIA","ALTA"))</f>
        <v/>
      </c>
      <c r="U94" s="10" t="inlineStr">
        <is>
          <t>-</t>
        </is>
      </c>
      <c r="V94" s="24" t="n">
        <v>45580</v>
      </c>
      <c r="W94" s="19" t="inlineStr">
        <is>
          <t>N/A</t>
        </is>
      </c>
      <c r="X94" s="10">
        <f>+IFERROR(IF(VLOOKUP(Tabla2[[#This Row],[ID]],'EVALUACION DE RIESGO'!A:A,1,FALSE)=Tabla2[[#This Row],[ID]],"SI","NO"),"NO")</f>
        <v/>
      </c>
      <c r="AD94">
        <f>IF(AND(Y94="",AA94=""),"",IF(OR(LEFT(AA94,2)="L0",LEFT(AA94,2)="L1",Y94="No Iniciado"),"CRÍTICO - Incumplimiento Normativo SEPS",IF(AND(OR(LEFT(AA94,2)="L4",LEFT(AA94,2)="L5"),AND(AC94&lt;&gt;"",AC94&lt;&gt;"N/A")),"CONFORME - Control Efectivo ISO 27001","OBSERVACIÓN - Revisar Controles")))</f>
        <v/>
      </c>
    </row>
    <row r="95">
      <c r="A95" s="99" t="inlineStr">
        <is>
          <t>9-GCP</t>
        </is>
      </c>
      <c r="B95" s="10" t="inlineStr">
        <is>
          <t>ESTRATÉGICO</t>
        </is>
      </c>
      <c r="C95" s="10" t="inlineStr">
        <is>
          <t xml:space="preserve">Gestión de Calidad </t>
        </is>
      </c>
      <c r="D95" s="10" t="inlineStr">
        <is>
          <t>GCP</t>
        </is>
      </c>
      <c r="E95" s="10" t="inlineStr">
        <is>
          <t>Gestión de Procesos</t>
        </is>
      </c>
      <c r="F95" s="10" t="inlineStr">
        <is>
          <t>-</t>
        </is>
      </c>
      <c r="G95" s="10" t="inlineStr">
        <is>
          <t>Publicación y difusión de documentos</t>
        </is>
      </c>
      <c r="H95" s="10" t="inlineStr">
        <is>
          <t>Documento publicado</t>
        </is>
      </c>
      <c r="I95" s="10" t="inlineStr">
        <is>
          <t>Documento final que se publica en el repositorio institucional</t>
        </is>
      </c>
      <c r="J95" s="10" t="inlineStr">
        <is>
          <t>Jefe de Planificación y  Procesos</t>
        </is>
      </c>
      <c r="K95" s="10" t="inlineStr">
        <is>
          <t>Jefe de Planificación y  Procesos</t>
        </is>
      </c>
      <c r="L95" s="10" t="inlineStr">
        <is>
          <t>UBICACIÓN DIGITAL-WEBCOOP</t>
        </is>
      </c>
      <c r="M95" s="10" t="inlineStr">
        <is>
          <t>SISTEMA DE ADMINISTRACIÓN DE DOCUMENTOS</t>
        </is>
      </c>
      <c r="N95" s="10" t="inlineStr">
        <is>
          <t>PRIMARIOS</t>
        </is>
      </c>
      <c r="O95" s="10" t="inlineStr">
        <is>
          <t>DOCUMENTOS TÉCNICOS</t>
        </is>
      </c>
      <c r="P95" s="10" t="inlineStr">
        <is>
          <t>USO INTERNO(2)</t>
        </is>
      </c>
      <c r="Q95" s="10" t="inlineStr">
        <is>
          <t>BAJA(1)</t>
        </is>
      </c>
      <c r="R95" s="10" t="inlineStr">
        <is>
          <t>MEDIA(2)</t>
        </is>
      </c>
      <c r="S95" s="10">
        <f>+(IF(P95="PUBLICA(1)",1,IF(P95="USO INTERNO(2)",2,IF(P95="RESTRINGIDO(3)",3,3))))+(IF(Q95="BAJA(1)",1,IF(Q95="MEDIA(2)",2,IF(Q95="ALTA(3)",3,3))))+(IF(R95="BAJA(1)",1,IF(R95="MEDIA(2)",2,IF(R95="ALTA(3)",3,3))))</f>
        <v/>
      </c>
      <c r="T95" s="10">
        <f>+IF(S95&lt;6,"BAJA",IF(S95&lt;8,"MEDIA","ALTA"))</f>
        <v/>
      </c>
      <c r="U95" s="10" t="inlineStr">
        <is>
          <t>-</t>
        </is>
      </c>
      <c r="V95" s="24" t="n">
        <v>45580</v>
      </c>
      <c r="W95" s="19" t="inlineStr">
        <is>
          <t>N/A</t>
        </is>
      </c>
      <c r="X95" s="10">
        <f>+IFERROR(IF(VLOOKUP(Tabla2[[#This Row],[ID]],'EVALUACION DE RIESGO'!A:A,1,FALSE)=Tabla2[[#This Row],[ID]],"SI","NO"),"NO")</f>
        <v/>
      </c>
      <c r="AD95">
        <f>IF(AND(Y95="",AA95=""),"",IF(OR(LEFT(AA95,2)="L0",LEFT(AA95,2)="L1",Y95="No Iniciado"),"CRÍTICO - Incumplimiento Normativo SEPS",IF(AND(OR(LEFT(AA95,2)="L4",LEFT(AA95,2)="L5"),AND(AC95&lt;&gt;"",AC95&lt;&gt;"N/A")),"CONFORME - Control Efectivo ISO 27001","OBSERVACIÓN - Revisar Controles")))</f>
        <v/>
      </c>
    </row>
    <row r="96">
      <c r="A96" s="99" t="inlineStr">
        <is>
          <t>10-GCP</t>
        </is>
      </c>
      <c r="B96" s="10" t="inlineStr">
        <is>
          <t>ESTRATÉGICO</t>
        </is>
      </c>
      <c r="C96" s="10" t="inlineStr">
        <is>
          <t xml:space="preserve">Gestión de Calidad </t>
        </is>
      </c>
      <c r="D96" s="10" t="inlineStr">
        <is>
          <t>GCP</t>
        </is>
      </c>
      <c r="E96" s="10" t="inlineStr">
        <is>
          <t>Gestión de Procesos</t>
        </is>
      </c>
      <c r="F96" s="10" t="inlineStr">
        <is>
          <t>-</t>
        </is>
      </c>
      <c r="G96" s="10" t="inlineStr">
        <is>
          <t>Publicación y difusión de documentos</t>
        </is>
      </c>
      <c r="H96" s="10" t="inlineStr">
        <is>
          <t>Circular de Procesos</t>
        </is>
      </c>
      <c r="I96" s="10" t="inlineStr">
        <is>
          <t>Es un correo donde se comunica a los interesados la actualización de un documento</t>
        </is>
      </c>
      <c r="J96" s="10" t="inlineStr">
        <is>
          <t>Jefe de Planificación y  Procesos</t>
        </is>
      </c>
      <c r="K96" s="10" t="inlineStr">
        <is>
          <t>Jefe de Planificación y  Procesos</t>
        </is>
      </c>
      <c r="L96" s="10" t="inlineStr">
        <is>
          <t>UBICACIÓN DIGITAL-EQUIPO DEL RESPONSABLE</t>
        </is>
      </c>
      <c r="M96" s="10" t="inlineStr">
        <is>
          <t>SISTEMA DE MENSAJERÍA ELECTRÓNICA</t>
        </is>
      </c>
      <c r="N96" s="10" t="inlineStr">
        <is>
          <t>PRIMARIOS</t>
        </is>
      </c>
      <c r="O96" s="10" t="inlineStr">
        <is>
          <t>COMUNICACIÓN INTERNA</t>
        </is>
      </c>
      <c r="P96" s="10" t="inlineStr">
        <is>
          <t>USO INTERNO(2)</t>
        </is>
      </c>
      <c r="Q96" s="10" t="inlineStr">
        <is>
          <t>BAJA(1)</t>
        </is>
      </c>
      <c r="R96" s="10" t="inlineStr">
        <is>
          <t>BAJA(1)</t>
        </is>
      </c>
      <c r="S96" s="10">
        <f>+(IF(P96="PUBLICA(1)",1,IF(P96="USO INTERNO(2)",2,IF(P96="RESTRINGIDO(3)",3,3))))+(IF(Q96="BAJA(1)",1,IF(Q96="MEDIA(2)",2,IF(Q96="ALTA(3)",3,3))))+(IF(R96="BAJA(1)",1,IF(R96="MEDIA(2)",2,IF(R96="ALTA(3)",3,3))))</f>
        <v/>
      </c>
      <c r="T96" s="10">
        <f>+IF(S96&lt;6,"BAJA",IF(S96&lt;8,"MEDIA","ALTA"))</f>
        <v/>
      </c>
      <c r="U96" s="10" t="inlineStr">
        <is>
          <t>-</t>
        </is>
      </c>
      <c r="V96" s="24" t="n">
        <v>45580</v>
      </c>
      <c r="W96" s="19" t="inlineStr">
        <is>
          <t>N/A</t>
        </is>
      </c>
      <c r="X96" s="10">
        <f>+IFERROR(IF(VLOOKUP(Tabla2[[#This Row],[ID]],'EVALUACION DE RIESGO'!A:A,1,FALSE)=Tabla2[[#This Row],[ID]],"SI","NO"),"NO")</f>
        <v/>
      </c>
      <c r="AD96">
        <f>IF(AND(Y96="",AA96=""),"",IF(OR(LEFT(AA96,2)="L0",LEFT(AA96,2)="L1",Y96="No Iniciado"),"CRÍTICO - Incumplimiento Normativo SEPS",IF(AND(OR(LEFT(AA96,2)="L4",LEFT(AA96,2)="L5"),AND(AC96&lt;&gt;"",AC96&lt;&gt;"N/A")),"CONFORME - Control Efectivo ISO 27001","OBSERVACIÓN - Revisar Controles")))</f>
        <v/>
      </c>
    </row>
    <row r="97">
      <c r="A97" s="99" t="inlineStr">
        <is>
          <t>11-GCP</t>
        </is>
      </c>
      <c r="B97" s="10" t="inlineStr">
        <is>
          <t>ESTRATÉGICO</t>
        </is>
      </c>
      <c r="C97" s="10" t="inlineStr">
        <is>
          <t xml:space="preserve">Gestión de Calidad </t>
        </is>
      </c>
      <c r="D97" s="10" t="inlineStr">
        <is>
          <t>GCP</t>
        </is>
      </c>
      <c r="E97" s="10" t="inlineStr">
        <is>
          <t>Gestión de Procesos</t>
        </is>
      </c>
      <c r="F97" s="10" t="inlineStr">
        <is>
          <t>-</t>
        </is>
      </c>
      <c r="G97" s="10" t="inlineStr">
        <is>
          <t>Publicación y difusión de documentos</t>
        </is>
      </c>
      <c r="H97" s="10" t="inlineStr">
        <is>
          <t>Matriz de control de documentos</t>
        </is>
      </c>
      <c r="I97" s="10" t="inlineStr">
        <is>
          <t>Documento de seguimiento interno que se usa también en el proceso de Implementación de Procesos para que el usuario final cumpla los lineamientos actuales de sus manuales</t>
        </is>
      </c>
      <c r="J97" s="10" t="inlineStr">
        <is>
          <t>Jefe de Planificación y  Procesos</t>
        </is>
      </c>
      <c r="K97" s="10" t="inlineStr">
        <is>
          <t>Jefe de Planificación y  Procesos</t>
        </is>
      </c>
      <c r="L97" s="10" t="inlineStr">
        <is>
          <t>UBICACIÓN DIGITAL-EQUIPO DEL RESPONSABLE</t>
        </is>
      </c>
      <c r="M97" s="10" t="inlineStr">
        <is>
          <t>DISCOS DUROS, SERVIDORES, DISCOS O MEDIOS PORTÁTILES, CINTAS O MEDIOS DE VIDEO Y AUDIO, ETC.</t>
        </is>
      </c>
      <c r="N97" s="10" t="inlineStr">
        <is>
          <t>PRIMARIOS</t>
        </is>
      </c>
      <c r="O97" s="10" t="inlineStr">
        <is>
          <t>DOCUMENTOS TÉCNICOS</t>
        </is>
      </c>
      <c r="P97" s="10" t="inlineStr">
        <is>
          <t>USO INTERNO(2)</t>
        </is>
      </c>
      <c r="Q97" s="10" t="inlineStr">
        <is>
          <t>BAJA(1)</t>
        </is>
      </c>
      <c r="R97" s="10" t="inlineStr">
        <is>
          <t>BAJA(1)</t>
        </is>
      </c>
      <c r="S97" s="10">
        <f>+(IF(P97="PUBLICA(1)",1,IF(P97="USO INTERNO(2)",2,IF(P97="RESTRINGIDO(3)",3,3))))+(IF(Q97="BAJA(1)",1,IF(Q97="MEDIA(2)",2,IF(Q97="ALTA(3)",3,3))))+(IF(R97="BAJA(1)",1,IF(R97="MEDIA(2)",2,IF(R97="ALTA(3)",3,3))))</f>
        <v/>
      </c>
      <c r="T97" s="10">
        <f>+IF(S97&lt;6,"BAJA",IF(S97&lt;8,"MEDIA","ALTA"))</f>
        <v/>
      </c>
      <c r="U97" s="10" t="inlineStr">
        <is>
          <t>-</t>
        </is>
      </c>
      <c r="V97" s="24" t="n">
        <v>45580</v>
      </c>
      <c r="W97" s="19" t="inlineStr">
        <is>
          <t>N/A</t>
        </is>
      </c>
      <c r="X97" s="10">
        <f>+IFERROR(IF(VLOOKUP(Tabla2[[#This Row],[ID]],'EVALUACION DE RIESGO'!A:A,1,FALSE)=Tabla2[[#This Row],[ID]],"SI","NO"),"NO")</f>
        <v/>
      </c>
      <c r="AD97">
        <f>IF(AND(Y97="",AA97=""),"",IF(OR(LEFT(AA97,2)="L0",LEFT(AA97,2)="L1",Y97="No Iniciado"),"CRÍTICO - Incumplimiento Normativo SEPS",IF(AND(OR(LEFT(AA97,2)="L4",LEFT(AA97,2)="L5"),AND(AC97&lt;&gt;"",AC97&lt;&gt;"N/A")),"CONFORME - Control Efectivo ISO 27001","OBSERVACIÓN - Revisar Controles")))</f>
        <v/>
      </c>
    </row>
    <row r="98">
      <c r="A98" s="99" t="inlineStr">
        <is>
          <t>12-GCP</t>
        </is>
      </c>
      <c r="B98" s="10" t="inlineStr">
        <is>
          <t>ESTRATÉGICO</t>
        </is>
      </c>
      <c r="C98" s="10" t="inlineStr">
        <is>
          <t xml:space="preserve">Gestión de Calidad </t>
        </is>
      </c>
      <c r="D98" s="10" t="inlineStr">
        <is>
          <t>GCP</t>
        </is>
      </c>
      <c r="E98" s="10" t="inlineStr">
        <is>
          <t>Gestión de Procesos</t>
        </is>
      </c>
      <c r="F98" s="10" t="inlineStr">
        <is>
          <t>-</t>
        </is>
      </c>
      <c r="G98" s="10" t="inlineStr">
        <is>
          <t>Publicación y difusión de documentos</t>
        </is>
      </c>
      <c r="H98" s="10" t="inlineStr">
        <is>
          <t xml:space="preserve">Matriz de Accesos a la Documentación </t>
        </is>
      </c>
      <c r="I98" s="10" t="inlineStr">
        <is>
          <t>Matriz consolida de los accesos a la documentación</t>
        </is>
      </c>
      <c r="J98" s="10" t="inlineStr">
        <is>
          <t>Jefe de Planificación y  Procesos</t>
        </is>
      </c>
      <c r="K98" s="10" t="inlineStr">
        <is>
          <t>Jefe de Planificación y  Procesos</t>
        </is>
      </c>
      <c r="L98" s="10" t="inlineStr">
        <is>
          <t>UBICACIÓN DIGITAL-EQUIPO DEL RESPONSABLE</t>
        </is>
      </c>
      <c r="M98" s="10" t="inlineStr">
        <is>
          <t>DISCOS DUROS, SERVIDORES, DISCOS O MEDIOS PORTÁTILES, CINTAS O MEDIOS DE VIDEO Y AUDIO, ETC.</t>
        </is>
      </c>
      <c r="N98" s="10" t="inlineStr">
        <is>
          <t>PRIMARIOS</t>
        </is>
      </c>
      <c r="O98" s="10" t="inlineStr">
        <is>
          <t>DOCUMENTOS TÉCNICOS</t>
        </is>
      </c>
      <c r="P98" s="10" t="inlineStr">
        <is>
          <t>USO INTERNO(2)</t>
        </is>
      </c>
      <c r="Q98" s="10" t="inlineStr">
        <is>
          <t>BAJA(1)</t>
        </is>
      </c>
      <c r="R98" s="10" t="inlineStr">
        <is>
          <t>BAJA(1)</t>
        </is>
      </c>
      <c r="S98" s="10">
        <f>+(IF(P98="PUBLICA(1)",1,IF(P98="USO INTERNO(2)",2,IF(P98="RESTRINGIDO(3)",3,3))))+(IF(Q98="BAJA(1)",1,IF(Q98="MEDIA(2)",2,IF(Q98="ALTA(3)",3,3))))+(IF(R98="BAJA(1)",1,IF(R98="MEDIA(2)",2,IF(R98="ALTA(3)",3,3))))</f>
        <v/>
      </c>
      <c r="T98" s="10">
        <f>+IF(S98&lt;6,"BAJA",IF(S98&lt;8,"MEDIA","ALTA"))</f>
        <v/>
      </c>
      <c r="U98" s="10" t="inlineStr">
        <is>
          <t>-</t>
        </is>
      </c>
      <c r="V98" s="24" t="n">
        <v>45580</v>
      </c>
      <c r="W98" s="19" t="inlineStr">
        <is>
          <t>N/A</t>
        </is>
      </c>
      <c r="X98" s="10">
        <f>+IFERROR(IF(VLOOKUP(Tabla2[[#This Row],[ID]],'EVALUACION DE RIESGO'!A:A,1,FALSE)=Tabla2[[#This Row],[ID]],"SI","NO"),"NO")</f>
        <v/>
      </c>
      <c r="AD98">
        <f>IF(AND(Y98="",AA98=""),"",IF(OR(LEFT(AA98,2)="L0",LEFT(AA98,2)="L1",Y98="No Iniciado"),"CRÍTICO - Incumplimiento Normativo SEPS",IF(AND(OR(LEFT(AA98,2)="L4",LEFT(AA98,2)="L5"),AND(AC98&lt;&gt;"",AC98&lt;&gt;"N/A")),"CONFORME - Control Efectivo ISO 27001","OBSERVACIÓN - Revisar Controles")))</f>
        <v/>
      </c>
    </row>
    <row r="99">
      <c r="A99" s="99" t="inlineStr">
        <is>
          <t>13-GCP</t>
        </is>
      </c>
      <c r="B99" s="10" t="inlineStr">
        <is>
          <t>ESTRATÉGICO</t>
        </is>
      </c>
      <c r="C99" s="10" t="inlineStr">
        <is>
          <t xml:space="preserve">Gestión de Calidad </t>
        </is>
      </c>
      <c r="D99" s="10" t="inlineStr">
        <is>
          <t>GCP</t>
        </is>
      </c>
      <c r="E99" s="10" t="inlineStr">
        <is>
          <t>Gestión de Procesos</t>
        </is>
      </c>
      <c r="F99" s="10" t="inlineStr">
        <is>
          <t>-</t>
        </is>
      </c>
      <c r="G99" s="10" t="inlineStr">
        <is>
          <t xml:space="preserve">Implementación de Procesos </t>
        </is>
      </c>
      <c r="H99" s="10" t="inlineStr">
        <is>
          <t>Correo de comunicación de la implementación del proceso</t>
        </is>
      </c>
      <c r="I99" s="10" t="inlineStr">
        <is>
          <t>Correo de respuesta al Circular de Procesos donde el responsable da a conocer la socialización y capacitación de sus subordinados.</t>
        </is>
      </c>
      <c r="J99" s="10" t="inlineStr">
        <is>
          <t>Jefe de Planificación y  Procesos</t>
        </is>
      </c>
      <c r="K99" s="10" t="inlineStr">
        <is>
          <t>Jefe de Planificación y  Procesos</t>
        </is>
      </c>
      <c r="L99" s="10" t="inlineStr">
        <is>
          <t>UBICACIÓN DIGITAL-EQUIPO DEL RESPONSABLE</t>
        </is>
      </c>
      <c r="M99" s="10" t="inlineStr">
        <is>
          <t>SISTEMA DE MENSAJERÍA ELECTRÓNICA</t>
        </is>
      </c>
      <c r="N99" s="10" t="inlineStr">
        <is>
          <t>PRIMARIOS</t>
        </is>
      </c>
      <c r="O99" s="10" t="inlineStr">
        <is>
          <t>COMUNICACIÓN INTERNA</t>
        </is>
      </c>
      <c r="P99" s="10" t="inlineStr">
        <is>
          <t>USO INTERNO(2)</t>
        </is>
      </c>
      <c r="Q99" s="10" t="inlineStr">
        <is>
          <t>BAJA(1)</t>
        </is>
      </c>
      <c r="R99" s="10" t="inlineStr">
        <is>
          <t>BAJA(1)</t>
        </is>
      </c>
      <c r="S99" s="10">
        <f>+(IF(P99="PUBLICA(1)",1,IF(P99="USO INTERNO(2)",2,IF(P99="RESTRINGIDO(3)",3,3))))+(IF(Q99="BAJA(1)",1,IF(Q99="MEDIA(2)",2,IF(Q99="ALTA(3)",3,3))))+(IF(R99="BAJA(1)",1,IF(R99="MEDIA(2)",2,IF(R99="ALTA(3)",3,3))))</f>
        <v/>
      </c>
      <c r="T99" s="10">
        <f>+IF(S99&lt;6,"BAJA",IF(S99&lt;8,"MEDIA","ALTA"))</f>
        <v/>
      </c>
      <c r="U99" s="10" t="inlineStr">
        <is>
          <t>-</t>
        </is>
      </c>
      <c r="V99" s="24" t="n">
        <v>45580</v>
      </c>
      <c r="W99" s="19" t="inlineStr">
        <is>
          <t>N/A</t>
        </is>
      </c>
      <c r="X99" s="10">
        <f>+IFERROR(IF(VLOOKUP(Tabla2[[#This Row],[ID]],'EVALUACION DE RIESGO'!A:A,1,FALSE)=Tabla2[[#This Row],[ID]],"SI","NO"),"NO")</f>
        <v/>
      </c>
      <c r="AD99">
        <f>IF(AND(Y99="",AA99=""),"",IF(OR(LEFT(AA99,2)="L0",LEFT(AA99,2)="L1",Y99="No Iniciado"),"CRÍTICO - Incumplimiento Normativo SEPS",IF(AND(OR(LEFT(AA99,2)="L4",LEFT(AA99,2)="L5"),AND(AC99&lt;&gt;"",AC99&lt;&gt;"N/A")),"CONFORME - Control Efectivo ISO 27001","OBSERVACIÓN - Revisar Controles")))</f>
        <v/>
      </c>
    </row>
    <row r="100">
      <c r="A100" s="99" t="inlineStr">
        <is>
          <t>14-GCP</t>
        </is>
      </c>
      <c r="B100" s="10" t="inlineStr">
        <is>
          <t>ESTRATÉGICO</t>
        </is>
      </c>
      <c r="C100" s="10" t="inlineStr">
        <is>
          <t xml:space="preserve">Gestión de Calidad </t>
        </is>
      </c>
      <c r="D100" s="10" t="inlineStr">
        <is>
          <t>GCP</t>
        </is>
      </c>
      <c r="E100" s="10" t="inlineStr">
        <is>
          <t>Gestión de Procesos</t>
        </is>
      </c>
      <c r="F100" s="10" t="inlineStr">
        <is>
          <t>-</t>
        </is>
      </c>
      <c r="G100" s="10" t="inlineStr">
        <is>
          <t xml:space="preserve">Implementación de Procesos </t>
        </is>
      </c>
      <c r="H100" s="10" t="inlineStr">
        <is>
          <t>Justificativos de Implementación</t>
        </is>
      </c>
      <c r="I100" s="10" t="inlineStr">
        <is>
          <t xml:space="preserve">Anexo de asistentes a la capacitación de los nuevos procesos </t>
        </is>
      </c>
      <c r="J100" s="10" t="inlineStr">
        <is>
          <t>Jefe de Planificación y  Procesos</t>
        </is>
      </c>
      <c r="K100" s="10" t="inlineStr">
        <is>
          <t>Jefe de Planificación y  Procesos</t>
        </is>
      </c>
      <c r="L100" s="10" t="inlineStr">
        <is>
          <t>UBICACIÓN DIGITAL-EQUIPO DEL RESPONSABLE</t>
        </is>
      </c>
      <c r="M100" s="10" t="inlineStr">
        <is>
          <t>SISTEMA DE MENSAJERÍA ELECTRÓNICA</t>
        </is>
      </c>
      <c r="N100" s="10" t="inlineStr">
        <is>
          <t>PRIMARIOS</t>
        </is>
      </c>
      <c r="O100" s="10" t="inlineStr">
        <is>
          <t>COMUNICACIÓN INTERNA</t>
        </is>
      </c>
      <c r="P100" s="10" t="inlineStr">
        <is>
          <t>USO INTERNO(2)</t>
        </is>
      </c>
      <c r="Q100" s="10" t="inlineStr">
        <is>
          <t>BAJA(1)</t>
        </is>
      </c>
      <c r="R100" s="10" t="inlineStr">
        <is>
          <t>BAJA(1)</t>
        </is>
      </c>
      <c r="S100" s="10">
        <f>+(IF(P100="PUBLICA(1)",1,IF(P100="USO INTERNO(2)",2,IF(P100="RESTRINGIDO(3)",3,3))))+(IF(Q100="BAJA(1)",1,IF(Q100="MEDIA(2)",2,IF(Q100="ALTA(3)",3,3))))+(IF(R100="BAJA(1)",1,IF(R100="MEDIA(2)",2,IF(R100="ALTA(3)",3,3))))</f>
        <v/>
      </c>
      <c r="T100" s="10">
        <f>+IF(S100&lt;6,"BAJA",IF(S100&lt;8,"MEDIA","ALTA"))</f>
        <v/>
      </c>
      <c r="U100" s="10" t="inlineStr">
        <is>
          <t>-</t>
        </is>
      </c>
      <c r="V100" s="24" t="n">
        <v>45580</v>
      </c>
      <c r="W100" s="19" t="inlineStr">
        <is>
          <t>N/A</t>
        </is>
      </c>
      <c r="X100" s="10">
        <f>+IFERROR(IF(VLOOKUP(Tabla2[[#This Row],[ID]],'EVALUACION DE RIESGO'!A:A,1,FALSE)=Tabla2[[#This Row],[ID]],"SI","NO"),"NO")</f>
        <v/>
      </c>
      <c r="AD100">
        <f>IF(AND(Y100="",AA100=""),"",IF(OR(LEFT(AA100,2)="L0",LEFT(AA100,2)="L1",Y100="No Iniciado"),"CRÍTICO - Incumplimiento Normativo SEPS",IF(AND(OR(LEFT(AA100,2)="L4",LEFT(AA100,2)="L5"),AND(AC100&lt;&gt;"",AC100&lt;&gt;"N/A")),"CONFORME - Control Efectivo ISO 27001","OBSERVACIÓN - Revisar Controles")))</f>
        <v/>
      </c>
    </row>
    <row r="101">
      <c r="A101" s="99" t="inlineStr">
        <is>
          <t>15-GCP</t>
        </is>
      </c>
      <c r="B101" s="10" t="inlineStr">
        <is>
          <t>ESTRATÉGICO</t>
        </is>
      </c>
      <c r="C101" s="10" t="inlineStr">
        <is>
          <t xml:space="preserve">Gestión de Calidad </t>
        </is>
      </c>
      <c r="D101" s="10" t="inlineStr">
        <is>
          <t>GCP</t>
        </is>
      </c>
      <c r="E101" s="10" t="inlineStr">
        <is>
          <t>Gestión de Procesos</t>
        </is>
      </c>
      <c r="F101" s="10" t="inlineStr">
        <is>
          <t>-</t>
        </is>
      </c>
      <c r="G101" s="10" t="inlineStr">
        <is>
          <t xml:space="preserve">Entrega de documentos institucionales a terceros </t>
        </is>
      </c>
      <c r="H101" s="10" t="inlineStr">
        <is>
          <t>Entrega de documentos a terceros</t>
        </is>
      </c>
      <c r="I101" s="10" t="inlineStr">
        <is>
          <t>Formulario firmado que la persona externa entrega para solicitar información interna</t>
        </is>
      </c>
      <c r="J101" s="10" t="inlineStr">
        <is>
          <t>Jefe de Planificación y  Procesos</t>
        </is>
      </c>
      <c r="K101" s="10" t="inlineStr">
        <is>
          <t>Jefe de Planificación y  Procesos</t>
        </is>
      </c>
      <c r="L101" s="10" t="inlineStr">
        <is>
          <t>UBICACIÓN DIGITAL-EQUIPO DEL RESPONSABLE</t>
        </is>
      </c>
      <c r="M101" s="10" t="inlineStr">
        <is>
          <t>DISCOS DUROS, SERVIDORES, DISCOS O MEDIOS PORTÁTILES, CINTAS O MEDIOS DE VIDEO Y AUDIO, ETC.</t>
        </is>
      </c>
      <c r="N101" s="10" t="inlineStr">
        <is>
          <t>PRIMARIOS</t>
        </is>
      </c>
      <c r="O101" s="10" t="inlineStr">
        <is>
          <t>DOCUMENTOS HABILITANTES</t>
        </is>
      </c>
      <c r="P101" s="10" t="inlineStr">
        <is>
          <t>USO INTERNO(2)</t>
        </is>
      </c>
      <c r="Q101" s="10" t="inlineStr">
        <is>
          <t>BAJA(1)</t>
        </is>
      </c>
      <c r="R101" s="10" t="inlineStr">
        <is>
          <t>ALTA(3)</t>
        </is>
      </c>
      <c r="S101" s="10">
        <f>+(IF(P101="PUBLICA(1)",1,IF(P101="USO INTERNO(2)",2,IF(P101="RESTRINGIDO(3)",3,3))))+(IF(Q101="BAJA(1)",1,IF(Q101="MEDIA(2)",2,IF(Q101="ALTA(3)",3,3))))+(IF(R101="BAJA(1)",1,IF(R101="MEDIA(2)",2,IF(R101="ALTA(3)",3,3))))</f>
        <v/>
      </c>
      <c r="T101" s="10">
        <f>+IF(S101&lt;6,"BAJA",IF(S101&lt;8,"MEDIA","ALTA"))</f>
        <v/>
      </c>
      <c r="U101" s="10" t="inlineStr">
        <is>
          <t>-</t>
        </is>
      </c>
      <c r="V101" s="24" t="n">
        <v>45580</v>
      </c>
      <c r="W101" s="19" t="inlineStr">
        <is>
          <t>N/A</t>
        </is>
      </c>
      <c r="X101" s="10">
        <f>+IFERROR(IF(VLOOKUP(Tabla2[[#This Row],[ID]],'EVALUACION DE RIESGO'!A:A,1,FALSE)=Tabla2[[#This Row],[ID]],"SI","NO"),"NO")</f>
        <v/>
      </c>
      <c r="AD101">
        <f>IF(AND(Y101="",AA101=""),"",IF(OR(LEFT(AA101,2)="L0",LEFT(AA101,2)="L1",Y101="No Iniciado"),"CRÍTICO - Incumplimiento Normativo SEPS",IF(AND(OR(LEFT(AA101,2)="L4",LEFT(AA101,2)="L5"),AND(AC101&lt;&gt;"",AC101&lt;&gt;"N/A")),"CONFORME - Control Efectivo ISO 27001","OBSERVACIÓN - Revisar Controles")))</f>
        <v/>
      </c>
    </row>
    <row r="102">
      <c r="A102" s="99" t="inlineStr">
        <is>
          <t>16-GCP</t>
        </is>
      </c>
      <c r="B102" s="10" t="inlineStr">
        <is>
          <t>ESTRATÉGICO</t>
        </is>
      </c>
      <c r="C102" s="10" t="inlineStr">
        <is>
          <t xml:space="preserve">Gestión de Calidad </t>
        </is>
      </c>
      <c r="D102" s="10" t="inlineStr">
        <is>
          <t>GCP</t>
        </is>
      </c>
      <c r="E102" s="10" t="inlineStr">
        <is>
          <t xml:space="preserve">Gestión de Calidad </t>
        </is>
      </c>
      <c r="F102" s="10" t="inlineStr">
        <is>
          <t>-</t>
        </is>
      </c>
      <c r="G102" s="10" t="inlineStr">
        <is>
          <t>Revisión Gerencial del Sistema de Gestión de Calidad</t>
        </is>
      </c>
      <c r="H102" s="10" t="inlineStr">
        <is>
          <t>Matriz de Estrategias y/o Proyectos de Mejora Continua</t>
        </is>
      </c>
      <c r="I102" s="10" t="inlineStr">
        <is>
          <t>Matriz que contiene proyectos de mejora para cada proceso y se alimenta de las resoluciones de las actas de comité</t>
        </is>
      </c>
      <c r="J102" s="10" t="inlineStr">
        <is>
          <t>Jefe de Planificación y  Procesos</t>
        </is>
      </c>
      <c r="K102" s="10" t="inlineStr">
        <is>
          <t>Analista de Mejora Continua</t>
        </is>
      </c>
      <c r="L102" s="10" t="inlineStr">
        <is>
          <t>UBICACIÓN DIGITAL-EQUIPO DEL CUSTODIO</t>
        </is>
      </c>
      <c r="M102" s="10" t="inlineStr">
        <is>
          <t>DISCOS DUROS, SERVIDORES, DISCOS O MEDIOS PORTÁTILES, CINTAS O MEDIOS DE VIDEO Y AUDIO, ETC.</t>
        </is>
      </c>
      <c r="N102" s="10" t="inlineStr">
        <is>
          <t>PRIMARIOS</t>
        </is>
      </c>
      <c r="O102" s="10" t="inlineStr">
        <is>
          <t>DOCUMENTOS TÉCNICOS</t>
        </is>
      </c>
      <c r="P102" s="10" t="inlineStr">
        <is>
          <t>USO INTERNO(2)</t>
        </is>
      </c>
      <c r="Q102" s="10" t="inlineStr">
        <is>
          <t>BAJA(1)</t>
        </is>
      </c>
      <c r="R102" s="10" t="inlineStr">
        <is>
          <t>BAJA(1)</t>
        </is>
      </c>
      <c r="S102" s="10">
        <f>+(IF(P102="PUBLICA(1)",1,IF(P102="USO INTERNO(2)",2,IF(P102="RESTRINGIDO(3)",3,3))))+(IF(Q102="BAJA(1)",1,IF(Q102="MEDIA(2)",2,IF(Q102="ALTA(3)",3,3))))+(IF(R102="BAJA(1)",1,IF(R102="MEDIA(2)",2,IF(R102="ALTA(3)",3,3))))</f>
        <v/>
      </c>
      <c r="T102" s="10">
        <f>+IF(S102&lt;6,"BAJA",IF(S102&lt;8,"MEDIA","ALTA"))</f>
        <v/>
      </c>
      <c r="U102" s="10" t="inlineStr">
        <is>
          <t>-</t>
        </is>
      </c>
      <c r="V102" s="24" t="n">
        <v>45580</v>
      </c>
      <c r="W102" s="19" t="inlineStr">
        <is>
          <t>N/A</t>
        </is>
      </c>
      <c r="X102" s="10">
        <f>+IFERROR(IF(VLOOKUP(Tabla2[[#This Row],[ID]],'EVALUACION DE RIESGO'!A:A,1,FALSE)=Tabla2[[#This Row],[ID]],"SI","NO"),"NO")</f>
        <v/>
      </c>
      <c r="AD102">
        <f>IF(AND(Y102="",AA102=""),"",IF(OR(LEFT(AA102,2)="L0",LEFT(AA102,2)="L1",Y102="No Iniciado"),"CRÍTICO - Incumplimiento Normativo SEPS",IF(AND(OR(LEFT(AA102,2)="L4",LEFT(AA102,2)="L5"),AND(AC102&lt;&gt;"",AC102&lt;&gt;"N/A")),"CONFORME - Control Efectivo ISO 27001","OBSERVACIÓN - Revisar Controles")))</f>
        <v/>
      </c>
    </row>
    <row r="103">
      <c r="A103" s="99" t="inlineStr">
        <is>
          <t>17-GCP</t>
        </is>
      </c>
      <c r="B103" s="10" t="inlineStr">
        <is>
          <t>ESTRATÉGICO</t>
        </is>
      </c>
      <c r="C103" s="10" t="inlineStr">
        <is>
          <t xml:space="preserve">Gestión de Calidad </t>
        </is>
      </c>
      <c r="D103" s="10" t="inlineStr">
        <is>
          <t>GCP</t>
        </is>
      </c>
      <c r="E103" s="10" t="inlineStr">
        <is>
          <t xml:space="preserve">Gestión de Calidad </t>
        </is>
      </c>
      <c r="F103" s="10" t="inlineStr">
        <is>
          <t>-</t>
        </is>
      </c>
      <c r="G103" s="10" t="inlineStr">
        <is>
          <t>Revisión Gerencial del Sistema de Gestión de Calidad</t>
        </is>
      </c>
      <c r="H103" s="10" t="inlineStr">
        <is>
          <t>Acta del Comité de Planificación, Procesos e Innovación.</t>
        </is>
      </c>
      <c r="I103" s="10" t="inlineStr">
        <is>
          <t>Acta de resolución del Comité de Planificación Procesos e Innovación</t>
        </is>
      </c>
      <c r="J103" s="10" t="inlineStr">
        <is>
          <t>Jefe de Planificación y  Procesos</t>
        </is>
      </c>
      <c r="K103" s="10" t="inlineStr">
        <is>
          <t>Jefe de Planificación y  Procesos</t>
        </is>
      </c>
      <c r="L103" s="10" t="inlineStr">
        <is>
          <t>UBICACIÓN DIGITAL-EQUIPO DEL RESPONSABLE</t>
        </is>
      </c>
      <c r="M103" s="10" t="inlineStr">
        <is>
          <t>DISCOS DUROS, SERVIDORES, DISCOS O MEDIOS PORTÁTILES, CINTAS O MEDIOS DE VIDEO Y AUDIO, ETC.</t>
        </is>
      </c>
      <c r="N103" s="10" t="inlineStr">
        <is>
          <t>PRIMARIOS</t>
        </is>
      </c>
      <c r="O103" s="10" t="inlineStr">
        <is>
          <t>DOCUMENTOS HABILITANTES</t>
        </is>
      </c>
      <c r="P103" s="10" t="inlineStr">
        <is>
          <t>RESTRINGIDO(3)</t>
        </is>
      </c>
      <c r="Q103" s="10" t="inlineStr">
        <is>
          <t>BAJA(1)</t>
        </is>
      </c>
      <c r="R103" s="10" t="inlineStr">
        <is>
          <t>BAJA(1)</t>
        </is>
      </c>
      <c r="S103" s="10">
        <f>+(IF(P103="PUBLICA(1)",1,IF(P103="USO INTERNO(2)",2,IF(P103="RESTRINGIDO(3)",3,3))))+(IF(Q103="BAJA(1)",1,IF(Q103="MEDIA(2)",2,IF(Q103="ALTA(3)",3,3))))+(IF(R103="BAJA(1)",1,IF(R103="MEDIA(2)",2,IF(R103="ALTA(3)",3,3))))</f>
        <v/>
      </c>
      <c r="T103" s="10">
        <f>+IF(S103&lt;6,"BAJA",IF(S103&lt;8,"MEDIA","ALTA"))</f>
        <v/>
      </c>
      <c r="U103" s="10" t="inlineStr">
        <is>
          <t>-</t>
        </is>
      </c>
      <c r="V103" s="24" t="n">
        <v>45580</v>
      </c>
      <c r="W103" s="19" t="inlineStr">
        <is>
          <t>N/A</t>
        </is>
      </c>
      <c r="X103" s="10">
        <f>+IFERROR(IF(VLOOKUP(Tabla2[[#This Row],[ID]],'EVALUACION DE RIESGO'!A:A,1,FALSE)=Tabla2[[#This Row],[ID]],"SI","NO"),"NO")</f>
        <v/>
      </c>
      <c r="AD103">
        <f>IF(AND(Y103="",AA103=""),"",IF(OR(LEFT(AA103,2)="L0",LEFT(AA103,2)="L1",Y103="No Iniciado"),"CRÍTICO - Incumplimiento Normativo SEPS",IF(AND(OR(LEFT(AA103,2)="L4",LEFT(AA103,2)="L5"),AND(AC103&lt;&gt;"",AC103&lt;&gt;"N/A")),"CONFORME - Control Efectivo ISO 27001","OBSERVACIÓN - Revisar Controles")))</f>
        <v/>
      </c>
    </row>
    <row r="104">
      <c r="A104" s="99" t="inlineStr">
        <is>
          <t>18-GCP</t>
        </is>
      </c>
      <c r="B104" s="10" t="inlineStr">
        <is>
          <t>ESTRATÉGICO</t>
        </is>
      </c>
      <c r="C104" s="10" t="inlineStr">
        <is>
          <t xml:space="preserve">Gestión de Calidad </t>
        </is>
      </c>
      <c r="D104" s="10" t="inlineStr">
        <is>
          <t>GCP</t>
        </is>
      </c>
      <c r="E104" s="10" t="inlineStr">
        <is>
          <t xml:space="preserve">Gestión de Calidad </t>
        </is>
      </c>
      <c r="F104" s="10" t="inlineStr">
        <is>
          <t>-</t>
        </is>
      </c>
      <c r="G104" s="10" t="inlineStr">
        <is>
          <t>Revisión Gerencial del Sistema de Gestión de Calidad</t>
        </is>
      </c>
      <c r="H104" s="10" t="inlineStr">
        <is>
          <t>Informe del estado de la Gestión de Calidad con corte a octubre de cada año.</t>
        </is>
      </c>
      <c r="I104" s="10" t="inlineStr">
        <is>
          <t>Informe anual del Sistema de Gestión de Calidad</t>
        </is>
      </c>
      <c r="J104" s="10" t="inlineStr">
        <is>
          <t>Jefe de Planificación y  Procesos</t>
        </is>
      </c>
      <c r="K104" s="10" t="inlineStr">
        <is>
          <t>Jefe de Planificación y  Procesos</t>
        </is>
      </c>
      <c r="L104" s="10" t="inlineStr">
        <is>
          <t>UBICACIÓN DIGITAL-EQUIPO DEL RESPONSABLE</t>
        </is>
      </c>
      <c r="M104" s="10" t="inlineStr">
        <is>
          <t>DISCOS DUROS, SERVIDORES, DISCOS O MEDIOS PORTÁTILES, CINTAS O MEDIOS DE VIDEO Y AUDIO, ETC.</t>
        </is>
      </c>
      <c r="N104" s="10" t="inlineStr">
        <is>
          <t>PRIMARIOS</t>
        </is>
      </c>
      <c r="O104" s="10" t="inlineStr">
        <is>
          <t>DOCUMENTOS TÉCNICOS</t>
        </is>
      </c>
      <c r="P104" s="10" t="inlineStr">
        <is>
          <t>USO INTERNO(2)</t>
        </is>
      </c>
      <c r="Q104" s="10" t="inlineStr">
        <is>
          <t>BAJA(1)</t>
        </is>
      </c>
      <c r="R104" s="10" t="inlineStr">
        <is>
          <t>BAJA(1)</t>
        </is>
      </c>
      <c r="S104" s="10">
        <f>+(IF(P104="PUBLICA(1)",1,IF(P104="USO INTERNO(2)",2,IF(P104="RESTRINGIDO(3)",3,3))))+(IF(Q104="BAJA(1)",1,IF(Q104="MEDIA(2)",2,IF(Q104="ALTA(3)",3,3))))+(IF(R104="BAJA(1)",1,IF(R104="MEDIA(2)",2,IF(R104="ALTA(3)",3,3))))</f>
        <v/>
      </c>
      <c r="T104" s="10">
        <f>+IF(S104&lt;6,"BAJA",IF(S104&lt;8,"MEDIA","ALTA"))</f>
        <v/>
      </c>
      <c r="U104" s="10" t="inlineStr">
        <is>
          <t>-</t>
        </is>
      </c>
      <c r="V104" s="24" t="n">
        <v>45580</v>
      </c>
      <c r="W104" s="19" t="inlineStr">
        <is>
          <t>N/A</t>
        </is>
      </c>
      <c r="X104" s="10">
        <f>+IFERROR(IF(VLOOKUP(Tabla2[[#This Row],[ID]],'EVALUACION DE RIESGO'!A:A,1,FALSE)=Tabla2[[#This Row],[ID]],"SI","NO"),"NO")</f>
        <v/>
      </c>
      <c r="AD104">
        <f>IF(AND(Y104="",AA104=""),"",IF(OR(LEFT(AA104,2)="L0",LEFT(AA104,2)="L1",Y104="No Iniciado"),"CRÍTICO - Incumplimiento Normativo SEPS",IF(AND(OR(LEFT(AA104,2)="L4",LEFT(AA104,2)="L5"),AND(AC104&lt;&gt;"",AC104&lt;&gt;"N/A")),"CONFORME - Control Efectivo ISO 27001","OBSERVACIÓN - Revisar Controles")))</f>
        <v/>
      </c>
    </row>
    <row r="105">
      <c r="A105" s="99" t="inlineStr">
        <is>
          <t>19-GCP</t>
        </is>
      </c>
      <c r="B105" s="10" t="inlineStr">
        <is>
          <t>ESTRATÉGICO</t>
        </is>
      </c>
      <c r="C105" s="10" t="inlineStr">
        <is>
          <t xml:space="preserve">Gestión de Calidad </t>
        </is>
      </c>
      <c r="D105" s="10" t="inlineStr">
        <is>
          <t>GCP</t>
        </is>
      </c>
      <c r="E105" s="10" t="inlineStr">
        <is>
          <t xml:space="preserve">Gestión de Calidad </t>
        </is>
      </c>
      <c r="F105" s="10" t="inlineStr">
        <is>
          <t>-</t>
        </is>
      </c>
      <c r="G105" s="10" t="inlineStr">
        <is>
          <t xml:space="preserve">Auditorías del Sistema de Gestión de Calidad </t>
        </is>
      </c>
      <c r="H105" s="10" t="inlineStr">
        <is>
          <t>Lista de numerales auditables por proceso del SGC</t>
        </is>
      </c>
      <c r="I105" s="10" t="inlineStr">
        <is>
          <t>Formato donde se identifican los procesos auditables y no auditables</t>
        </is>
      </c>
      <c r="J105" s="10" t="inlineStr">
        <is>
          <t>Jefe de Planificación y  Procesos</t>
        </is>
      </c>
      <c r="K105" s="10" t="inlineStr">
        <is>
          <t>Jefe de Planificación y  Procesos</t>
        </is>
      </c>
      <c r="L105" s="10" t="inlineStr">
        <is>
          <t>UBICACIÓN DIGITAL-EQUIPO DEL RESPONSABLE</t>
        </is>
      </c>
      <c r="M105" s="10" t="inlineStr">
        <is>
          <t>DISCOS DUROS, SERVIDORES, DISCOS O MEDIOS PORTÁTILES, CINTAS O MEDIOS DE VIDEO Y AUDIO, ETC.</t>
        </is>
      </c>
      <c r="N105" s="10" t="inlineStr">
        <is>
          <t>PRIMARIOS</t>
        </is>
      </c>
      <c r="O105" s="10" t="inlineStr">
        <is>
          <t>DOCUMENTOS TÉCNICOS</t>
        </is>
      </c>
      <c r="P105" s="10" t="inlineStr">
        <is>
          <t>USO INTERNO(2)</t>
        </is>
      </c>
      <c r="Q105" s="10" t="inlineStr">
        <is>
          <t>BAJA(1)</t>
        </is>
      </c>
      <c r="R105" s="10" t="inlineStr">
        <is>
          <t>BAJA(1)</t>
        </is>
      </c>
      <c r="S105" s="10">
        <f>+(IF(P105="PUBLICA(1)",1,IF(P105="USO INTERNO(2)",2,IF(P105="RESTRINGIDO(3)",3,3))))+(IF(Q105="BAJA(1)",1,IF(Q105="MEDIA(2)",2,IF(Q105="ALTA(3)",3,3))))+(IF(R105="BAJA(1)",1,IF(R105="MEDIA(2)",2,IF(R105="ALTA(3)",3,3))))</f>
        <v/>
      </c>
      <c r="T105" s="10">
        <f>+IF(S105&lt;6,"BAJA",IF(S105&lt;8,"MEDIA","ALTA"))</f>
        <v/>
      </c>
      <c r="U105" s="10" t="inlineStr">
        <is>
          <t>-</t>
        </is>
      </c>
      <c r="V105" s="24" t="n">
        <v>45580</v>
      </c>
      <c r="W105" s="19" t="inlineStr">
        <is>
          <t>N/A</t>
        </is>
      </c>
      <c r="X105" s="10">
        <f>+IFERROR(IF(VLOOKUP(Tabla2[[#This Row],[ID]],'EVALUACION DE RIESGO'!A:A,1,FALSE)=Tabla2[[#This Row],[ID]],"SI","NO"),"NO")</f>
        <v/>
      </c>
      <c r="AD105">
        <f>IF(AND(Y105="",AA105=""),"",IF(OR(LEFT(AA105,2)="L0",LEFT(AA105,2)="L1",Y105="No Iniciado"),"CRÍTICO - Incumplimiento Normativo SEPS",IF(AND(OR(LEFT(AA105,2)="L4",LEFT(AA105,2)="L5"),AND(AC105&lt;&gt;"",AC105&lt;&gt;"N/A")),"CONFORME - Control Efectivo ISO 27001","OBSERVACIÓN - Revisar Controles")))</f>
        <v/>
      </c>
    </row>
    <row r="106">
      <c r="A106" s="99" t="inlineStr">
        <is>
          <t>20-GCP</t>
        </is>
      </c>
      <c r="B106" s="10" t="inlineStr">
        <is>
          <t>ESTRATÉGICO</t>
        </is>
      </c>
      <c r="C106" s="10" t="inlineStr">
        <is>
          <t xml:space="preserve">Gestión de Calidad </t>
        </is>
      </c>
      <c r="D106" s="10" t="inlineStr">
        <is>
          <t>GCP</t>
        </is>
      </c>
      <c r="E106" s="10" t="inlineStr">
        <is>
          <t xml:space="preserve">Gestión de Calidad </t>
        </is>
      </c>
      <c r="F106" s="10" t="inlineStr">
        <is>
          <t>-</t>
        </is>
      </c>
      <c r="G106" s="10" t="inlineStr">
        <is>
          <t xml:space="preserve">Auditorías del Sistema de Gestión de Calidad </t>
        </is>
      </c>
      <c r="H106" s="10" t="inlineStr">
        <is>
          <t>Programa de Auditoría Interna del SGC</t>
        </is>
      </c>
      <c r="I106" s="10" t="inlineStr">
        <is>
          <t>Formato de legalización de programa</t>
        </is>
      </c>
      <c r="J106" s="10" t="inlineStr">
        <is>
          <t>Jefe de Planificación y  Procesos</t>
        </is>
      </c>
      <c r="K106" s="10" t="inlineStr">
        <is>
          <t>Jefe de Planificación y  Procesos</t>
        </is>
      </c>
      <c r="L106" s="10" t="inlineStr">
        <is>
          <t>UBICACIÓN DIGITAL-EQUIPO DEL RESPONSABLE</t>
        </is>
      </c>
      <c r="M106" s="10" t="inlineStr">
        <is>
          <t>DISCOS DUROS, SERVIDORES, DISCOS O MEDIOS PORTÁTILES, CINTAS O MEDIOS DE VIDEO Y AUDIO, ETC.</t>
        </is>
      </c>
      <c r="N106" s="10" t="inlineStr">
        <is>
          <t>PRIMARIOS</t>
        </is>
      </c>
      <c r="O106" s="10" t="inlineStr">
        <is>
          <t>DOCUMENTOS TÉCNICOS</t>
        </is>
      </c>
      <c r="P106" s="10" t="inlineStr">
        <is>
          <t>USO INTERNO(2)</t>
        </is>
      </c>
      <c r="Q106" s="10" t="inlineStr">
        <is>
          <t>BAJA(1)</t>
        </is>
      </c>
      <c r="R106" s="10" t="inlineStr">
        <is>
          <t>BAJA(1)</t>
        </is>
      </c>
      <c r="S106" s="10">
        <f>+(IF(P106="PUBLICA(1)",1,IF(P106="USO INTERNO(2)",2,IF(P106="RESTRINGIDO(3)",3,3))))+(IF(Q106="BAJA(1)",1,IF(Q106="MEDIA(2)",2,IF(Q106="ALTA(3)",3,3))))+(IF(R106="BAJA(1)",1,IF(R106="MEDIA(2)",2,IF(R106="ALTA(3)",3,3))))</f>
        <v/>
      </c>
      <c r="T106" s="10">
        <f>+IF(S106&lt;6,"BAJA",IF(S106&lt;8,"MEDIA","ALTA"))</f>
        <v/>
      </c>
      <c r="U106" s="10" t="inlineStr">
        <is>
          <t>-</t>
        </is>
      </c>
      <c r="V106" s="24" t="n">
        <v>45580</v>
      </c>
      <c r="W106" s="19" t="inlineStr">
        <is>
          <t>N/A</t>
        </is>
      </c>
      <c r="X106" s="10">
        <f>+IFERROR(IF(VLOOKUP(Tabla2[[#This Row],[ID]],'EVALUACION DE RIESGO'!A:A,1,FALSE)=Tabla2[[#This Row],[ID]],"SI","NO"),"NO")</f>
        <v/>
      </c>
      <c r="AD106">
        <f>IF(AND(Y106="",AA106=""),"",IF(OR(LEFT(AA106,2)="L0",LEFT(AA106,2)="L1",Y106="No Iniciado"),"CRÍTICO - Incumplimiento Normativo SEPS",IF(AND(OR(LEFT(AA106,2)="L4",LEFT(AA106,2)="L5"),AND(AC106&lt;&gt;"",AC106&lt;&gt;"N/A")),"CONFORME - Control Efectivo ISO 27001","OBSERVACIÓN - Revisar Controles")))</f>
        <v/>
      </c>
    </row>
    <row r="107">
      <c r="A107" s="99" t="inlineStr">
        <is>
          <t>21-GCP</t>
        </is>
      </c>
      <c r="B107" s="10" t="inlineStr">
        <is>
          <t>ESTRATÉGICO</t>
        </is>
      </c>
      <c r="C107" s="10" t="inlineStr">
        <is>
          <t xml:space="preserve">Gestión de Calidad </t>
        </is>
      </c>
      <c r="D107" s="10" t="inlineStr">
        <is>
          <t>GCP</t>
        </is>
      </c>
      <c r="E107" s="10" t="inlineStr">
        <is>
          <t xml:space="preserve">Gestión de Calidad </t>
        </is>
      </c>
      <c r="F107" s="10" t="inlineStr">
        <is>
          <t>-</t>
        </is>
      </c>
      <c r="G107" s="10" t="inlineStr">
        <is>
          <t xml:space="preserve">Auditorías del Sistema de Gestión de Calidad </t>
        </is>
      </c>
      <c r="H107" s="10" t="inlineStr">
        <is>
          <t>Plan de Auditoría Interna del SGC</t>
        </is>
      </c>
      <c r="I107" s="10" t="inlineStr">
        <is>
          <t>Documento de planificación anual del SGC</t>
        </is>
      </c>
      <c r="J107" s="10" t="inlineStr">
        <is>
          <t>Jefe de Planificación y  Procesos</t>
        </is>
      </c>
      <c r="K107" s="10" t="inlineStr">
        <is>
          <t>Jefe de Planificación y  Procesos</t>
        </is>
      </c>
      <c r="L107" s="10" t="inlineStr">
        <is>
          <t>UBICACIÓN DIGITAL-EQUIPO DEL RESPONSABLE</t>
        </is>
      </c>
      <c r="M107" s="10" t="inlineStr">
        <is>
          <t>DISCOS DUROS, SERVIDORES, DISCOS O MEDIOS PORTÁTILES, CINTAS O MEDIOS DE VIDEO Y AUDIO, ETC.</t>
        </is>
      </c>
      <c r="N107" s="10" t="inlineStr">
        <is>
          <t>PRIMARIOS</t>
        </is>
      </c>
      <c r="O107" s="10" t="inlineStr">
        <is>
          <t>DOCUMENTOS TÉCNICOS</t>
        </is>
      </c>
      <c r="P107" s="10" t="inlineStr">
        <is>
          <t>USO INTERNO(2)</t>
        </is>
      </c>
      <c r="Q107" s="10" t="inlineStr">
        <is>
          <t>BAJA(1)</t>
        </is>
      </c>
      <c r="R107" s="10" t="inlineStr">
        <is>
          <t>BAJA(1)</t>
        </is>
      </c>
      <c r="S107" s="10">
        <f>+(IF(P107="PUBLICA(1)",1,IF(P107="USO INTERNO(2)",2,IF(P107="RESTRINGIDO(3)",3,3))))+(IF(Q107="BAJA(1)",1,IF(Q107="MEDIA(2)",2,IF(Q107="ALTA(3)",3,3))))+(IF(R107="BAJA(1)",1,IF(R107="MEDIA(2)",2,IF(R107="ALTA(3)",3,3))))</f>
        <v/>
      </c>
      <c r="T107" s="10">
        <f>+IF(S107&lt;6,"BAJA",IF(S107&lt;8,"MEDIA","ALTA"))</f>
        <v/>
      </c>
      <c r="U107" s="10" t="inlineStr">
        <is>
          <t>-</t>
        </is>
      </c>
      <c r="V107" s="24" t="n">
        <v>45580</v>
      </c>
      <c r="W107" s="19" t="inlineStr">
        <is>
          <t>N/A</t>
        </is>
      </c>
      <c r="X107" s="10">
        <f>+IFERROR(IF(VLOOKUP(Tabla2[[#This Row],[ID]],'EVALUACION DE RIESGO'!A:A,1,FALSE)=Tabla2[[#This Row],[ID]],"SI","NO"),"NO")</f>
        <v/>
      </c>
      <c r="AD107">
        <f>IF(AND(Y107="",AA107=""),"",IF(OR(LEFT(AA107,2)="L0",LEFT(AA107,2)="L1",Y107="No Iniciado"),"CRÍTICO - Incumplimiento Normativo SEPS",IF(AND(OR(LEFT(AA107,2)="L4",LEFT(AA107,2)="L5"),AND(AC107&lt;&gt;"",AC107&lt;&gt;"N/A")),"CONFORME - Control Efectivo ISO 27001","OBSERVACIÓN - Revisar Controles")))</f>
        <v/>
      </c>
    </row>
    <row r="108">
      <c r="A108" s="99" t="inlineStr">
        <is>
          <t>22-GCP</t>
        </is>
      </c>
      <c r="B108" s="10" t="inlineStr">
        <is>
          <t>ESTRATÉGICO</t>
        </is>
      </c>
      <c r="C108" s="10" t="inlineStr">
        <is>
          <t xml:space="preserve">Gestión de Calidad </t>
        </is>
      </c>
      <c r="D108" s="10" t="inlineStr">
        <is>
          <t>GCP</t>
        </is>
      </c>
      <c r="E108" s="10" t="inlineStr">
        <is>
          <t xml:space="preserve">Gestión de Calidad </t>
        </is>
      </c>
      <c r="F108" s="10" t="inlineStr">
        <is>
          <t>-</t>
        </is>
      </c>
      <c r="G108" s="10" t="inlineStr">
        <is>
          <t xml:space="preserve">Auditorías del Sistema de Gestión de Calidad </t>
        </is>
      </c>
      <c r="H108" s="10" t="inlineStr">
        <is>
          <t>Lista de Verificación de Auditorías del SGC</t>
        </is>
      </c>
      <c r="I108" s="10" t="inlineStr">
        <is>
          <t>Son insumos de los auditores del SGC que se usan para las revisiones</t>
        </is>
      </c>
      <c r="J108" s="10" t="inlineStr">
        <is>
          <t>Jefe de Planificación y  Procesos</t>
        </is>
      </c>
      <c r="K108" s="10" t="inlineStr">
        <is>
          <t>Jefe de Planificación y  Procesos</t>
        </is>
      </c>
      <c r="L108" s="10" t="inlineStr">
        <is>
          <t>UBICACIÓN DIGITAL-EQUIPO DEL RESPONSABLE</t>
        </is>
      </c>
      <c r="M108" s="10" t="inlineStr">
        <is>
          <t>DISCOS DUROS, SERVIDORES, DISCOS O MEDIOS PORTÁTILES, CINTAS O MEDIOS DE VIDEO Y AUDIO, ETC.</t>
        </is>
      </c>
      <c r="N108" s="10" t="inlineStr">
        <is>
          <t>PRIMARIOS</t>
        </is>
      </c>
      <c r="O108" s="10" t="inlineStr">
        <is>
          <t>DOCUMENTOS TÉCNICOS</t>
        </is>
      </c>
      <c r="P108" s="10" t="inlineStr">
        <is>
          <t>USO INTERNO(2)</t>
        </is>
      </c>
      <c r="Q108" s="10" t="inlineStr">
        <is>
          <t>BAJA(1)</t>
        </is>
      </c>
      <c r="R108" s="10" t="inlineStr">
        <is>
          <t>BAJA(1)</t>
        </is>
      </c>
      <c r="S108" s="10">
        <f>+(IF(P108="PUBLICA(1)",1,IF(P108="USO INTERNO(2)",2,IF(P108="RESTRINGIDO(3)",3,3))))+(IF(Q108="BAJA(1)",1,IF(Q108="MEDIA(2)",2,IF(Q108="ALTA(3)",3,3))))+(IF(R108="BAJA(1)",1,IF(R108="MEDIA(2)",2,IF(R108="ALTA(3)",3,3))))</f>
        <v/>
      </c>
      <c r="T108" s="10">
        <f>+IF(S108&lt;6,"BAJA",IF(S108&lt;8,"MEDIA","ALTA"))</f>
        <v/>
      </c>
      <c r="U108" s="10" t="inlineStr">
        <is>
          <t>-</t>
        </is>
      </c>
      <c r="V108" s="24" t="n">
        <v>45580</v>
      </c>
      <c r="W108" s="19" t="inlineStr">
        <is>
          <t>N/A</t>
        </is>
      </c>
      <c r="X108" s="10">
        <f>+IFERROR(IF(VLOOKUP(Tabla2[[#This Row],[ID]],'EVALUACION DE RIESGO'!A:A,1,FALSE)=Tabla2[[#This Row],[ID]],"SI","NO"),"NO")</f>
        <v/>
      </c>
      <c r="AD108">
        <f>IF(AND(Y108="",AA108=""),"",IF(OR(LEFT(AA108,2)="L0",LEFT(AA108,2)="L1",Y108="No Iniciado"),"CRÍTICO - Incumplimiento Normativo SEPS",IF(AND(OR(LEFT(AA108,2)="L4",LEFT(AA108,2)="L5"),AND(AC108&lt;&gt;"",AC108&lt;&gt;"N/A")),"CONFORME - Control Efectivo ISO 27001","OBSERVACIÓN - Revisar Controles")))</f>
        <v/>
      </c>
    </row>
    <row r="109">
      <c r="A109" s="99" t="inlineStr">
        <is>
          <t>23-GCP</t>
        </is>
      </c>
      <c r="B109" s="10" t="inlineStr">
        <is>
          <t>ESTRATÉGICO</t>
        </is>
      </c>
      <c r="C109" s="10" t="inlineStr">
        <is>
          <t xml:space="preserve">Gestión de Calidad </t>
        </is>
      </c>
      <c r="D109" s="10" t="inlineStr">
        <is>
          <t>GCP</t>
        </is>
      </c>
      <c r="E109" s="10" t="inlineStr">
        <is>
          <t xml:space="preserve">Gestión de Calidad </t>
        </is>
      </c>
      <c r="F109" s="10" t="inlineStr">
        <is>
          <t>-</t>
        </is>
      </c>
      <c r="G109" s="10" t="inlineStr">
        <is>
          <t xml:space="preserve">Auditorías del Sistema de Gestión de Calidad </t>
        </is>
      </c>
      <c r="H109" s="10" t="inlineStr">
        <is>
          <t>Matriz de Implementación del sistema de gestión de calidad</t>
        </is>
      </c>
      <c r="I109" s="10" t="inlineStr">
        <is>
          <t xml:space="preserve">Resumen donde se detallan los resultados en relación a las auditorias realizadas </t>
        </is>
      </c>
      <c r="J109" s="10" t="inlineStr">
        <is>
          <t>Jefe de Planificación y  Procesos</t>
        </is>
      </c>
      <c r="K109" s="10" t="inlineStr">
        <is>
          <t>Jefe de Planificación y  Procesos</t>
        </is>
      </c>
      <c r="L109" s="10" t="inlineStr">
        <is>
          <t>UBICACIÓN DIGITAL-EQUIPO DEL RESPONSABLE</t>
        </is>
      </c>
      <c r="M109" s="10" t="inlineStr">
        <is>
          <t>DISCOS DUROS, SERVIDORES, DISCOS O MEDIOS PORTÁTILES, CINTAS O MEDIOS DE VIDEO Y AUDIO, ETC.</t>
        </is>
      </c>
      <c r="N109" s="10" t="inlineStr">
        <is>
          <t>PRIMARIOS</t>
        </is>
      </c>
      <c r="O109" s="10" t="inlineStr">
        <is>
          <t>DOCUMENTOS TÉCNICOS</t>
        </is>
      </c>
      <c r="P109" s="10" t="inlineStr">
        <is>
          <t>USO INTERNO(2)</t>
        </is>
      </c>
      <c r="Q109" s="10" t="inlineStr">
        <is>
          <t>BAJA(1)</t>
        </is>
      </c>
      <c r="R109" s="10" t="inlineStr">
        <is>
          <t>BAJA(1)</t>
        </is>
      </c>
      <c r="S109" s="10">
        <f>+(IF(P109="PUBLICA(1)",1,IF(P109="USO INTERNO(2)",2,IF(P109="RESTRINGIDO(3)",3,3))))+(IF(Q109="BAJA(1)",1,IF(Q109="MEDIA(2)",2,IF(Q109="ALTA(3)",3,3))))+(IF(R109="BAJA(1)",1,IF(R109="MEDIA(2)",2,IF(R109="ALTA(3)",3,3))))</f>
        <v/>
      </c>
      <c r="T109" s="10">
        <f>+IF(S109&lt;6,"BAJA",IF(S109&lt;8,"MEDIA","ALTA"))</f>
        <v/>
      </c>
      <c r="U109" s="10" t="inlineStr">
        <is>
          <t>-</t>
        </is>
      </c>
      <c r="V109" s="24" t="n">
        <v>45580</v>
      </c>
      <c r="W109" s="19" t="inlineStr">
        <is>
          <t>N/A</t>
        </is>
      </c>
      <c r="X109" s="10">
        <f>+IFERROR(IF(VLOOKUP(Tabla2[[#This Row],[ID]],'EVALUACION DE RIESGO'!A:A,1,FALSE)=Tabla2[[#This Row],[ID]],"SI","NO"),"NO")</f>
        <v/>
      </c>
      <c r="AD109">
        <f>IF(AND(Y109="",AA109=""),"",IF(OR(LEFT(AA109,2)="L0",LEFT(AA109,2)="L1",Y109="No Iniciado"),"CRÍTICO - Incumplimiento Normativo SEPS",IF(AND(OR(LEFT(AA109,2)="L4",LEFT(AA109,2)="L5"),AND(AC109&lt;&gt;"",AC109&lt;&gt;"N/A")),"CONFORME - Control Efectivo ISO 27001","OBSERVACIÓN - Revisar Controles")))</f>
        <v/>
      </c>
    </row>
    <row r="110">
      <c r="A110" s="99" t="inlineStr">
        <is>
          <t>24-GCP</t>
        </is>
      </c>
      <c r="B110" s="10" t="inlineStr">
        <is>
          <t>ESTRATÉGICO</t>
        </is>
      </c>
      <c r="C110" s="10" t="inlineStr">
        <is>
          <t xml:space="preserve">Gestión de Calidad </t>
        </is>
      </c>
      <c r="D110" s="10" t="inlineStr">
        <is>
          <t>GCP</t>
        </is>
      </c>
      <c r="E110" s="10" t="inlineStr">
        <is>
          <t xml:space="preserve">Gestión de Calidad </t>
        </is>
      </c>
      <c r="F110" s="10" t="inlineStr">
        <is>
          <t>-</t>
        </is>
      </c>
      <c r="G110" s="10" t="inlineStr">
        <is>
          <t xml:space="preserve">Auditorías del Sistema de Gestión de Calidad </t>
        </is>
      </c>
      <c r="H110" s="10" t="inlineStr">
        <is>
          <t>Informe general de la Auditoría Interna al Sistema
de Gestión de Calidad</t>
        </is>
      </c>
      <c r="I110" s="10" t="inlineStr">
        <is>
          <t>Informe resumen de la auditoria del SGC</t>
        </is>
      </c>
      <c r="J110" s="10" t="inlineStr">
        <is>
          <t>Jefe de Planificación y  Procesos</t>
        </is>
      </c>
      <c r="K110" s="10" t="inlineStr">
        <is>
          <t>Jefe de Planificación y  Procesos</t>
        </is>
      </c>
      <c r="L110" s="10" t="inlineStr">
        <is>
          <t>UBICACIÓN DIGITAL-EQUIPO DEL RESPONSABLE</t>
        </is>
      </c>
      <c r="M110" s="10" t="inlineStr">
        <is>
          <t>DISCOS DUROS, SERVIDORES, DISCOS O MEDIOS PORTÁTILES, CINTAS O MEDIOS DE VIDEO Y AUDIO, ETC.</t>
        </is>
      </c>
      <c r="N110" s="10" t="inlineStr">
        <is>
          <t>PRIMARIOS</t>
        </is>
      </c>
      <c r="O110" s="10" t="inlineStr">
        <is>
          <t>DOCUMENTOS TÉCNICOS</t>
        </is>
      </c>
      <c r="P110" s="10" t="inlineStr">
        <is>
          <t>RESTRINGIDO(3)</t>
        </is>
      </c>
      <c r="Q110" s="10" t="inlineStr">
        <is>
          <t>BAJA(1)</t>
        </is>
      </c>
      <c r="R110" s="10" t="inlineStr">
        <is>
          <t>BAJA(1)</t>
        </is>
      </c>
      <c r="S110" s="10">
        <f>+(IF(P110="PUBLICA(1)",1,IF(P110="USO INTERNO(2)",2,IF(P110="RESTRINGIDO(3)",3,3))))+(IF(Q110="BAJA(1)",1,IF(Q110="MEDIA(2)",2,IF(Q110="ALTA(3)",3,3))))+(IF(R110="BAJA(1)",1,IF(R110="MEDIA(2)",2,IF(R110="ALTA(3)",3,3))))</f>
        <v/>
      </c>
      <c r="T110" s="10">
        <f>+IF(S110&lt;6,"BAJA",IF(S110&lt;8,"MEDIA","ALTA"))</f>
        <v/>
      </c>
      <c r="U110" s="10" t="inlineStr">
        <is>
          <t>-</t>
        </is>
      </c>
      <c r="V110" s="24" t="n">
        <v>45580</v>
      </c>
      <c r="W110" s="19" t="inlineStr">
        <is>
          <t>N/A</t>
        </is>
      </c>
      <c r="X110" s="10">
        <f>+IFERROR(IF(VLOOKUP(Tabla2[[#This Row],[ID]],'EVALUACION DE RIESGO'!A:A,1,FALSE)=Tabla2[[#This Row],[ID]],"SI","NO"),"NO")</f>
        <v/>
      </c>
      <c r="AD110">
        <f>IF(AND(Y110="",AA110=""),"",IF(OR(LEFT(AA110,2)="L0",LEFT(AA110,2)="L1",Y110="No Iniciado"),"CRÍTICO - Incumplimiento Normativo SEPS",IF(AND(OR(LEFT(AA110,2)="L4",LEFT(AA110,2)="L5"),AND(AC110&lt;&gt;"",AC110&lt;&gt;"N/A")),"CONFORME - Control Efectivo ISO 27001","OBSERVACIÓN - Revisar Controles")))</f>
        <v/>
      </c>
    </row>
    <row r="111">
      <c r="A111" s="99" t="inlineStr">
        <is>
          <t>25-GCP</t>
        </is>
      </c>
      <c r="B111" s="10" t="inlineStr">
        <is>
          <t>ESTRATÉGICO</t>
        </is>
      </c>
      <c r="C111" s="10" t="inlineStr">
        <is>
          <t xml:space="preserve">Gestión de Calidad </t>
        </is>
      </c>
      <c r="D111" s="10" t="inlineStr">
        <is>
          <t>GCP</t>
        </is>
      </c>
      <c r="E111" s="10" t="inlineStr">
        <is>
          <t xml:space="preserve">Gestión de Calidad </t>
        </is>
      </c>
      <c r="F111" s="10" t="inlineStr">
        <is>
          <t>-</t>
        </is>
      </c>
      <c r="G111" s="10" t="inlineStr">
        <is>
          <t xml:space="preserve">Auditorías del Sistema de Gestión de Calidad </t>
        </is>
      </c>
      <c r="H111" s="10" t="inlineStr">
        <is>
          <t>Matriz de no conformidades del Sistema de Gestión de Calidad</t>
        </is>
      </c>
      <c r="I111" s="10" t="inlineStr">
        <is>
          <t>Matriz donde se detallan las no conformidades</t>
        </is>
      </c>
      <c r="J111" s="10" t="inlineStr">
        <is>
          <t>Jefe de Planificación y  Procesos</t>
        </is>
      </c>
      <c r="K111" s="10" t="inlineStr">
        <is>
          <t>Jefe de Planificación y  Procesos</t>
        </is>
      </c>
      <c r="L111" s="10" t="inlineStr">
        <is>
          <t>UBICACIÓN DIGITAL-EQUIPO DEL RESPONSABLE</t>
        </is>
      </c>
      <c r="M111" s="10" t="inlineStr">
        <is>
          <t>DISCOS DUROS, SERVIDORES, DISCOS O MEDIOS PORTÁTILES, CINTAS O MEDIOS DE VIDEO Y AUDIO, ETC.</t>
        </is>
      </c>
      <c r="N111" s="10" t="inlineStr">
        <is>
          <t>PRIMARIOS</t>
        </is>
      </c>
      <c r="O111" s="10" t="inlineStr">
        <is>
          <t>DOCUMENTOS TÉCNICOS</t>
        </is>
      </c>
      <c r="P111" s="10" t="inlineStr">
        <is>
          <t>USO INTERNO(2)</t>
        </is>
      </c>
      <c r="Q111" s="10" t="inlineStr">
        <is>
          <t>BAJA(1)</t>
        </is>
      </c>
      <c r="R111" s="10" t="inlineStr">
        <is>
          <t>BAJA(1)</t>
        </is>
      </c>
      <c r="S111" s="10">
        <f>+(IF(P111="PUBLICA(1)",1,IF(P111="USO INTERNO(2)",2,IF(P111="RESTRINGIDO(3)",3,3))))+(IF(Q111="BAJA(1)",1,IF(Q111="MEDIA(2)",2,IF(Q111="ALTA(3)",3,3))))+(IF(R111="BAJA(1)",1,IF(R111="MEDIA(2)",2,IF(R111="ALTA(3)",3,3))))</f>
        <v/>
      </c>
      <c r="T111" s="10">
        <f>+IF(S111&lt;6,"BAJA",IF(S111&lt;8,"MEDIA","ALTA"))</f>
        <v/>
      </c>
      <c r="U111" s="10" t="inlineStr">
        <is>
          <t>-</t>
        </is>
      </c>
      <c r="V111" s="24" t="n">
        <v>45580</v>
      </c>
      <c r="W111" s="19" t="inlineStr">
        <is>
          <t>N/A</t>
        </is>
      </c>
      <c r="X111" s="10">
        <f>+IFERROR(IF(VLOOKUP(Tabla2[[#This Row],[ID]],'EVALUACION DE RIESGO'!A:A,1,FALSE)=Tabla2[[#This Row],[ID]],"SI","NO"),"NO")</f>
        <v/>
      </c>
      <c r="AD111">
        <f>IF(AND(Y111="",AA111=""),"",IF(OR(LEFT(AA111,2)="L0",LEFT(AA111,2)="L1",Y111="No Iniciado"),"CRÍTICO - Incumplimiento Normativo SEPS",IF(AND(OR(LEFT(AA111,2)="L4",LEFT(AA111,2)="L5"),AND(AC111&lt;&gt;"",AC111&lt;&gt;"N/A")),"CONFORME - Control Efectivo ISO 27001","OBSERVACIÓN - Revisar Controles")))</f>
        <v/>
      </c>
    </row>
    <row r="112">
      <c r="A112" s="99" t="inlineStr">
        <is>
          <t>26-GCP</t>
        </is>
      </c>
      <c r="B112" s="10" t="inlineStr">
        <is>
          <t>ESTRATÉGICO</t>
        </is>
      </c>
      <c r="C112" s="10" t="inlineStr">
        <is>
          <t xml:space="preserve">Gestión de Calidad </t>
        </is>
      </c>
      <c r="D112" s="10" t="inlineStr">
        <is>
          <t>GCP</t>
        </is>
      </c>
      <c r="E112" s="10" t="inlineStr">
        <is>
          <t xml:space="preserve">Gestión de Calidad </t>
        </is>
      </c>
      <c r="F112" s="10" t="inlineStr">
        <is>
          <t>-</t>
        </is>
      </c>
      <c r="G112" s="10" t="inlineStr">
        <is>
          <t>Control de procesos a través de Indicadores de Gestión</t>
        </is>
      </c>
      <c r="H112" s="10" t="inlineStr">
        <is>
          <t>Portafolio de Indicadores de Gestión.</t>
        </is>
      </c>
      <c r="I112" s="10" t="inlineStr">
        <is>
          <t>En el portafolio de procesos se agrega una pestaña de inventario de indicadores de gestión del proceso</t>
        </is>
      </c>
      <c r="J112" s="10" t="inlineStr">
        <is>
          <t>Jefe de Planificación y  Procesos</t>
        </is>
      </c>
      <c r="K112" s="10" t="inlineStr">
        <is>
          <t>Jefe de Planificación y  Procesos</t>
        </is>
      </c>
      <c r="L112" s="10" t="inlineStr">
        <is>
          <t>UBICACIÓN DIGITAL-EQUIPO DEL RESPONSABLE</t>
        </is>
      </c>
      <c r="M112" s="10" t="inlineStr">
        <is>
          <t>DISCOS DUROS, SERVIDORES, DISCOS O MEDIOS PORTÁTILES, CINTAS O MEDIOS DE VIDEO Y AUDIO, ETC.</t>
        </is>
      </c>
      <c r="N112" s="10" t="inlineStr">
        <is>
          <t>PRIMARIOS</t>
        </is>
      </c>
      <c r="O112" s="10" t="inlineStr">
        <is>
          <t>DOCUMENTOS TÉCNICOS</t>
        </is>
      </c>
      <c r="P112" s="10" t="inlineStr">
        <is>
          <t>USO INTERNO(2)</t>
        </is>
      </c>
      <c r="Q112" s="10" t="inlineStr">
        <is>
          <t>BAJA(1)</t>
        </is>
      </c>
      <c r="R112" s="10" t="inlineStr">
        <is>
          <t>BAJA(1)</t>
        </is>
      </c>
      <c r="S112" s="10">
        <f>+(IF(P112="PUBLICA(1)",1,IF(P112="USO INTERNO(2)",2,IF(P112="RESTRINGIDO(3)",3,3))))+(IF(Q112="BAJA(1)",1,IF(Q112="MEDIA(2)",2,IF(Q112="ALTA(3)",3,3))))+(IF(R112="BAJA(1)",1,IF(R112="MEDIA(2)",2,IF(R112="ALTA(3)",3,3))))</f>
        <v/>
      </c>
      <c r="T112" s="10">
        <f>+IF(S112&lt;6,"BAJA",IF(S112&lt;8,"MEDIA","ALTA"))</f>
        <v/>
      </c>
      <c r="U112" s="10" t="inlineStr">
        <is>
          <t>-</t>
        </is>
      </c>
      <c r="V112" s="24" t="n">
        <v>45580</v>
      </c>
      <c r="W112" s="19" t="inlineStr">
        <is>
          <t>N/A</t>
        </is>
      </c>
      <c r="X112" s="10">
        <f>+IFERROR(IF(VLOOKUP(Tabla2[[#This Row],[ID]],'EVALUACION DE RIESGO'!A:A,1,FALSE)=Tabla2[[#This Row],[ID]],"SI","NO"),"NO")</f>
        <v/>
      </c>
      <c r="AD112">
        <f>IF(AND(Y112="",AA112=""),"",IF(OR(LEFT(AA112,2)="L0",LEFT(AA112,2)="L1",Y112="No Iniciado"),"CRÍTICO - Incumplimiento Normativo SEPS",IF(AND(OR(LEFT(AA112,2)="L4",LEFT(AA112,2)="L5"),AND(AC112&lt;&gt;"",AC112&lt;&gt;"N/A")),"CONFORME - Control Efectivo ISO 27001","OBSERVACIÓN - Revisar Controles")))</f>
        <v/>
      </c>
    </row>
    <row r="113">
      <c r="A113" s="99" t="inlineStr">
        <is>
          <t>27-GCP</t>
        </is>
      </c>
      <c r="B113" s="10" t="inlineStr">
        <is>
          <t>ESTRATÉGICO</t>
        </is>
      </c>
      <c r="C113" s="10" t="inlineStr">
        <is>
          <t xml:space="preserve">Gestión de Calidad </t>
        </is>
      </c>
      <c r="D113" s="10" t="inlineStr">
        <is>
          <t>GCP</t>
        </is>
      </c>
      <c r="E113" s="10" t="inlineStr">
        <is>
          <t xml:space="preserve">Gestión de Calidad </t>
        </is>
      </c>
      <c r="F113" s="10" t="inlineStr">
        <is>
          <t>-</t>
        </is>
      </c>
      <c r="G113" s="10" t="inlineStr">
        <is>
          <t>Control de procesos a través de Indicadores de Gestión</t>
        </is>
      </c>
      <c r="H113" s="10" t="inlineStr">
        <is>
          <t>Plan de acción</t>
        </is>
      </c>
      <c r="I113" s="10" t="inlineStr">
        <is>
          <t xml:space="preserve">Formato donde se detallan las actividades a realizar para mejorar los indicadores </t>
        </is>
      </c>
      <c r="J113" s="10" t="inlineStr">
        <is>
          <t>Jefe de Planificación y  Procesos</t>
        </is>
      </c>
      <c r="K113" s="10" t="inlineStr">
        <is>
          <t>Jefe de Planificación y  Procesos</t>
        </is>
      </c>
      <c r="L113" s="10" t="inlineStr">
        <is>
          <t>UBICACIÓN DIGITAL-EQUIPO DEL RESPONSABLE</t>
        </is>
      </c>
      <c r="M113" s="10" t="inlineStr">
        <is>
          <t>DISCOS DUROS, SERVIDORES, DISCOS O MEDIOS PORTÁTILES, CINTAS O MEDIOS DE VIDEO Y AUDIO, ETC.</t>
        </is>
      </c>
      <c r="N113" s="10" t="inlineStr">
        <is>
          <t>PRIMARIOS</t>
        </is>
      </c>
      <c r="O113" s="10" t="inlineStr">
        <is>
          <t>DOCUMENTOS TÉCNICOS</t>
        </is>
      </c>
      <c r="P113" s="10" t="inlineStr">
        <is>
          <t>USO INTERNO(2)</t>
        </is>
      </c>
      <c r="Q113" s="10" t="inlineStr">
        <is>
          <t>BAJA(1)</t>
        </is>
      </c>
      <c r="R113" s="10" t="inlineStr">
        <is>
          <t>BAJA(1)</t>
        </is>
      </c>
      <c r="S113" s="10">
        <f>+(IF(P113="PUBLICA(1)",1,IF(P113="USO INTERNO(2)",2,IF(P113="RESTRINGIDO(3)",3,3))))+(IF(Q113="BAJA(1)",1,IF(Q113="MEDIA(2)",2,IF(Q113="ALTA(3)",3,3))))+(IF(R113="BAJA(1)",1,IF(R113="MEDIA(2)",2,IF(R113="ALTA(3)",3,3))))</f>
        <v/>
      </c>
      <c r="T113" s="10">
        <f>+IF(S113&lt;6,"BAJA",IF(S113&lt;8,"MEDIA","ALTA"))</f>
        <v/>
      </c>
      <c r="U113" s="10" t="inlineStr">
        <is>
          <t>-</t>
        </is>
      </c>
      <c r="V113" s="24" t="n">
        <v>45580</v>
      </c>
      <c r="W113" s="19" t="inlineStr">
        <is>
          <t>N/A</t>
        </is>
      </c>
      <c r="X113" s="10">
        <f>+IFERROR(IF(VLOOKUP(Tabla2[[#This Row],[ID]],'EVALUACION DE RIESGO'!A:A,1,FALSE)=Tabla2[[#This Row],[ID]],"SI","NO"),"NO")</f>
        <v/>
      </c>
      <c r="AD113">
        <f>IF(AND(Y113="",AA113=""),"",IF(OR(LEFT(AA113,2)="L0",LEFT(AA113,2)="L1",Y113="No Iniciado"),"CRÍTICO - Incumplimiento Normativo SEPS",IF(AND(OR(LEFT(AA113,2)="L4",LEFT(AA113,2)="L5"),AND(AC113&lt;&gt;"",AC113&lt;&gt;"N/A")),"CONFORME - Control Efectivo ISO 27001","OBSERVACIÓN - Revisar Controles")))</f>
        <v/>
      </c>
    </row>
    <row r="114">
      <c r="A114" s="99" t="inlineStr">
        <is>
          <t>28-GCP</t>
        </is>
      </c>
      <c r="B114" s="10" t="inlineStr">
        <is>
          <t>ESTRATÉGICO</t>
        </is>
      </c>
      <c r="C114" s="10" t="inlineStr">
        <is>
          <t xml:space="preserve">Gestión de Calidad </t>
        </is>
      </c>
      <c r="D114" s="10" t="inlineStr">
        <is>
          <t>GCP</t>
        </is>
      </c>
      <c r="E114" s="10" t="inlineStr">
        <is>
          <t xml:space="preserve">Gestión de Calidad </t>
        </is>
      </c>
      <c r="F114" s="10" t="inlineStr">
        <is>
          <t>-</t>
        </is>
      </c>
      <c r="G114" s="10" t="inlineStr">
        <is>
          <t>Mejora de procesos</t>
        </is>
      </c>
      <c r="H114" s="10" t="inlineStr">
        <is>
          <t>Diagnóstico inicial del proceso o procedimiento en análisis.</t>
        </is>
      </c>
      <c r="I114" s="10" t="inlineStr">
        <is>
          <t>Formato focusgroup o encuestas transformadas a información consolidada que dan origen a procesos de mejora</t>
        </is>
      </c>
      <c r="J114" s="10" t="inlineStr">
        <is>
          <t>Jefe de Planificación y  Procesos</t>
        </is>
      </c>
      <c r="K114" s="10" t="inlineStr">
        <is>
          <t>Jefe de Planificación y  Procesos</t>
        </is>
      </c>
      <c r="L114" s="10" t="inlineStr">
        <is>
          <t>UBICACIÓN DIGITAL-EQUIPO DEL RESPONSABLE</t>
        </is>
      </c>
      <c r="M114" s="10" t="inlineStr">
        <is>
          <t>DISCOS DUROS, SERVIDORES, DISCOS O MEDIOS PORTÁTILES, CINTAS O MEDIOS DE VIDEO Y AUDIO, ETC.</t>
        </is>
      </c>
      <c r="N114" s="10" t="inlineStr">
        <is>
          <t>PRIMARIOS</t>
        </is>
      </c>
      <c r="O114" s="10" t="inlineStr">
        <is>
          <t>DOCUMENTOS TÉCNICOS</t>
        </is>
      </c>
      <c r="P114" s="10" t="inlineStr">
        <is>
          <t>USO INTERNO(2)</t>
        </is>
      </c>
      <c r="Q114" s="10" t="inlineStr">
        <is>
          <t>BAJA(1)</t>
        </is>
      </c>
      <c r="R114" s="10" t="inlineStr">
        <is>
          <t>BAJA(1)</t>
        </is>
      </c>
      <c r="S114" s="10">
        <f>+(IF(P114="PUBLICA(1)",1,IF(P114="USO INTERNO(2)",2,IF(P114="RESTRINGIDO(3)",3,3))))+(IF(Q114="BAJA(1)",1,IF(Q114="MEDIA(2)",2,IF(Q114="ALTA(3)",3,3))))+(IF(R114="BAJA(1)",1,IF(R114="MEDIA(2)",2,IF(R114="ALTA(3)",3,3))))</f>
        <v/>
      </c>
      <c r="T114" s="10">
        <f>+IF(S114&lt;6,"BAJA",IF(S114&lt;8,"MEDIA","ALTA"))</f>
        <v/>
      </c>
      <c r="U114" s="10" t="inlineStr">
        <is>
          <t>-</t>
        </is>
      </c>
      <c r="V114" s="24" t="n">
        <v>45580</v>
      </c>
      <c r="W114" s="19" t="inlineStr">
        <is>
          <t>N/A</t>
        </is>
      </c>
      <c r="X114" s="10">
        <f>+IFERROR(IF(VLOOKUP(Tabla2[[#This Row],[ID]],'EVALUACION DE RIESGO'!A:A,1,FALSE)=Tabla2[[#This Row],[ID]],"SI","NO"),"NO")</f>
        <v/>
      </c>
      <c r="AD114">
        <f>IF(AND(Y114="",AA114=""),"",IF(OR(LEFT(AA114,2)="L0",LEFT(AA114,2)="L1",Y114="No Iniciado"),"CRÍTICO - Incumplimiento Normativo SEPS",IF(AND(OR(LEFT(AA114,2)="L4",LEFT(AA114,2)="L5"),AND(AC114&lt;&gt;"",AC114&lt;&gt;"N/A")),"CONFORME - Control Efectivo ISO 27001","OBSERVACIÓN - Revisar Controles")))</f>
        <v/>
      </c>
    </row>
    <row r="115">
      <c r="A115" s="99" t="inlineStr">
        <is>
          <t>29-GCP</t>
        </is>
      </c>
      <c r="B115" s="10" t="inlineStr">
        <is>
          <t>ESTRATÉGICO</t>
        </is>
      </c>
      <c r="C115" s="10" t="inlineStr">
        <is>
          <t xml:space="preserve">Gestión de Calidad </t>
        </is>
      </c>
      <c r="D115" s="10" t="inlineStr">
        <is>
          <t>GCP</t>
        </is>
      </c>
      <c r="E115" s="10" t="inlineStr">
        <is>
          <t xml:space="preserve">Gestión de Calidad </t>
        </is>
      </c>
      <c r="F115" s="10" t="inlineStr">
        <is>
          <t>-</t>
        </is>
      </c>
      <c r="G115" s="10" t="inlineStr">
        <is>
          <t>Mejora de procesos</t>
        </is>
      </c>
      <c r="H115" s="10" t="inlineStr">
        <is>
          <t>Matriz de identificación de estrategias de mejora</t>
        </is>
      </c>
      <c r="I115" s="10" t="inlineStr">
        <is>
          <t>Matriz que contiene proyectos de mejora para cada proceso y se alimenta de las resoluciones de las actas de comité</t>
        </is>
      </c>
      <c r="J115" s="10" t="inlineStr">
        <is>
          <t>Jefe de Planificación y  Procesos</t>
        </is>
      </c>
      <c r="K115" s="10" t="inlineStr">
        <is>
          <t>Analista de Mejora Continua</t>
        </is>
      </c>
      <c r="L115" s="10" t="inlineStr">
        <is>
          <t>UBICACIÓN DIGITAL-EQUIPO DEL CUSTODIO</t>
        </is>
      </c>
      <c r="M115" s="10" t="inlineStr">
        <is>
          <t>DISCOS DUROS, SERVIDORES, DISCOS O MEDIOS PORTÁTILES, CINTAS O MEDIOS DE VIDEO Y AUDIO, ETC.</t>
        </is>
      </c>
      <c r="N115" s="10" t="inlineStr">
        <is>
          <t>PRIMARIOS</t>
        </is>
      </c>
      <c r="O115" s="10" t="inlineStr">
        <is>
          <t>DOCUMENTOS TÉCNICOS</t>
        </is>
      </c>
      <c r="P115" s="10" t="inlineStr">
        <is>
          <t>USO INTERNO(2)</t>
        </is>
      </c>
      <c r="Q115" s="10" t="inlineStr">
        <is>
          <t>BAJA(1)</t>
        </is>
      </c>
      <c r="R115" s="10" t="inlineStr">
        <is>
          <t>BAJA(1)</t>
        </is>
      </c>
      <c r="S115" s="10">
        <f>+(IF(P115="PUBLICA(1)",1,IF(P115="USO INTERNO(2)",2,IF(P115="RESTRINGIDO(3)",3,3))))+(IF(Q115="BAJA(1)",1,IF(Q115="MEDIA(2)",2,IF(Q115="ALTA(3)",3,3))))+(IF(R115="BAJA(1)",1,IF(R115="MEDIA(2)",2,IF(R115="ALTA(3)",3,3))))</f>
        <v/>
      </c>
      <c r="T115" s="10">
        <f>+IF(S115&lt;6,"BAJA",IF(S115&lt;8,"MEDIA","ALTA"))</f>
        <v/>
      </c>
      <c r="U115" s="10" t="inlineStr">
        <is>
          <t>-</t>
        </is>
      </c>
      <c r="V115" s="24" t="n">
        <v>45580</v>
      </c>
      <c r="W115" s="19" t="inlineStr">
        <is>
          <t>N/A</t>
        </is>
      </c>
      <c r="X115" s="10">
        <f>+IFERROR(IF(VLOOKUP(Tabla2[[#This Row],[ID]],'EVALUACION DE RIESGO'!A:A,1,FALSE)=Tabla2[[#This Row],[ID]],"SI","NO"),"NO")</f>
        <v/>
      </c>
      <c r="AD115">
        <f>IF(AND(Y115="",AA115=""),"",IF(OR(LEFT(AA115,2)="L0",LEFT(AA115,2)="L1",Y115="No Iniciado"),"CRÍTICO - Incumplimiento Normativo SEPS",IF(AND(OR(LEFT(AA115,2)="L4",LEFT(AA115,2)="L5"),AND(AC115&lt;&gt;"",AC115&lt;&gt;"N/A")),"CONFORME - Control Efectivo ISO 27001","OBSERVACIÓN - Revisar Controles")))</f>
        <v/>
      </c>
    </row>
    <row r="116">
      <c r="A116" s="99" t="inlineStr">
        <is>
          <t>30-GCP</t>
        </is>
      </c>
      <c r="B116" s="10" t="inlineStr">
        <is>
          <t>ESTRATÉGICO</t>
        </is>
      </c>
      <c r="C116" s="10" t="inlineStr">
        <is>
          <t xml:space="preserve">Gestión de Calidad </t>
        </is>
      </c>
      <c r="D116" s="10" t="inlineStr">
        <is>
          <t>GCP</t>
        </is>
      </c>
      <c r="E116" s="10" t="inlineStr">
        <is>
          <t xml:space="preserve">Gestión de Calidad </t>
        </is>
      </c>
      <c r="F116" s="10" t="inlineStr">
        <is>
          <t>-</t>
        </is>
      </c>
      <c r="G116" s="10" t="inlineStr">
        <is>
          <t>Mejora de procesos</t>
        </is>
      </c>
      <c r="H116" s="10" t="inlineStr">
        <is>
          <t>Sustentos del cumplimiento</t>
        </is>
      </c>
      <c r="I116" s="10" t="inlineStr">
        <is>
          <t>Son observaciones de riesgos o auditoria a las cuales se debe cumplir mediante una estrategia</t>
        </is>
      </c>
      <c r="J116" s="10" t="inlineStr">
        <is>
          <t>Jefe de Planificación y  Procesos</t>
        </is>
      </c>
      <c r="K116" s="10" t="inlineStr">
        <is>
          <t>Jefe de Planificación y  Procesos</t>
        </is>
      </c>
      <c r="L116" s="10" t="inlineStr">
        <is>
          <t>UBICACIÓN DIGITAL-EQUIPO DEL RESPONSABLE</t>
        </is>
      </c>
      <c r="M116" s="10" t="inlineStr">
        <is>
          <t>DISCOS DUROS, SERVIDORES, DISCOS O MEDIOS PORTÁTILES, CINTAS O MEDIOS DE VIDEO Y AUDIO, ETC.</t>
        </is>
      </c>
      <c r="N116" s="10" t="inlineStr">
        <is>
          <t>PRIMARIOS</t>
        </is>
      </c>
      <c r="O116" s="10" t="inlineStr">
        <is>
          <t>DOCUMENTOS HABILITANTES</t>
        </is>
      </c>
      <c r="P116" s="10" t="inlineStr">
        <is>
          <t>USO INTERNO(2)</t>
        </is>
      </c>
      <c r="Q116" s="10" t="inlineStr">
        <is>
          <t>BAJA(1)</t>
        </is>
      </c>
      <c r="R116" s="10" t="inlineStr">
        <is>
          <t>BAJA(1)</t>
        </is>
      </c>
      <c r="S116" s="10">
        <f>+(IF(P116="PUBLICA(1)",1,IF(P116="USO INTERNO(2)",2,IF(P116="RESTRINGIDO(3)",3,3))))+(IF(Q116="BAJA(1)",1,IF(Q116="MEDIA(2)",2,IF(Q116="ALTA(3)",3,3))))+(IF(R116="BAJA(1)",1,IF(R116="MEDIA(2)",2,IF(R116="ALTA(3)",3,3))))</f>
        <v/>
      </c>
      <c r="T116" s="10">
        <f>+IF(S116&lt;6,"BAJA",IF(S116&lt;8,"MEDIA","ALTA"))</f>
        <v/>
      </c>
      <c r="U116" s="10" t="inlineStr">
        <is>
          <t>-</t>
        </is>
      </c>
      <c r="V116" s="24" t="n">
        <v>45580</v>
      </c>
      <c r="W116" s="19" t="inlineStr">
        <is>
          <t>N/A</t>
        </is>
      </c>
      <c r="X116" s="10">
        <f>+IFERROR(IF(VLOOKUP(Tabla2[[#This Row],[ID]],'EVALUACION DE RIESGO'!A:A,1,FALSE)=Tabla2[[#This Row],[ID]],"SI","NO"),"NO")</f>
        <v/>
      </c>
      <c r="AD116">
        <f>IF(AND(Y116="",AA116=""),"",IF(OR(LEFT(AA116,2)="L0",LEFT(AA116,2)="L1",Y116="No Iniciado"),"CRÍTICO - Incumplimiento Normativo SEPS",IF(AND(OR(LEFT(AA116,2)="L4",LEFT(AA116,2)="L5"),AND(AC116&lt;&gt;"",AC116&lt;&gt;"N/A")),"CONFORME - Control Efectivo ISO 27001","OBSERVACIÓN - Revisar Controles")))</f>
        <v/>
      </c>
    </row>
    <row r="117">
      <c r="A117" s="99" t="inlineStr">
        <is>
          <t>31-GCP</t>
        </is>
      </c>
      <c r="B117" s="10" t="inlineStr">
        <is>
          <t>ESTRATÉGICO</t>
        </is>
      </c>
      <c r="C117" s="10" t="inlineStr">
        <is>
          <t xml:space="preserve">Gestión de Calidad </t>
        </is>
      </c>
      <c r="D117" s="10" t="inlineStr">
        <is>
          <t>GCP</t>
        </is>
      </c>
      <c r="E117" s="10" t="inlineStr">
        <is>
          <t xml:space="preserve">Gestión de Calidad </t>
        </is>
      </c>
      <c r="F117" s="10" t="inlineStr">
        <is>
          <t>-</t>
        </is>
      </c>
      <c r="G117" s="10" t="inlineStr">
        <is>
          <t xml:space="preserve">Medición de Tiempos Estándar y Capacidad Operativa </t>
        </is>
      </c>
      <c r="H117" s="10" t="inlineStr">
        <is>
          <t>Matriz de medición de tiempos estándar.</t>
        </is>
      </c>
      <c r="I117" s="10" t="inlineStr">
        <is>
          <t>Archivo que tiene la metodología para la medición del tiempo</t>
        </is>
      </c>
      <c r="J117" s="10" t="inlineStr">
        <is>
          <t>Jefe de Planificación y  Procesos</t>
        </is>
      </c>
      <c r="K117" s="10" t="inlineStr">
        <is>
          <t>Jefe de Planificación y  Procesos</t>
        </is>
      </c>
      <c r="L117" s="10" t="inlineStr">
        <is>
          <t>UBICACIÓN DIGITAL-EQUIPO DEL RESPONSABLE</t>
        </is>
      </c>
      <c r="M117" s="10" t="inlineStr">
        <is>
          <t>DISCOS DUROS, SERVIDORES, DISCOS O MEDIOS PORTÁTILES, CINTAS O MEDIOS DE VIDEO Y AUDIO, ETC.</t>
        </is>
      </c>
      <c r="N117" s="10" t="inlineStr">
        <is>
          <t>PRIMARIOS</t>
        </is>
      </c>
      <c r="O117" s="10" t="inlineStr">
        <is>
          <t>DOCUMENTOS TÉCNICOS</t>
        </is>
      </c>
      <c r="P117" s="10" t="inlineStr">
        <is>
          <t>USO INTERNO(2)</t>
        </is>
      </c>
      <c r="Q117" s="10" t="inlineStr">
        <is>
          <t>BAJA(1)</t>
        </is>
      </c>
      <c r="R117" s="10" t="inlineStr">
        <is>
          <t>BAJA(1)</t>
        </is>
      </c>
      <c r="S117" s="10">
        <f>+(IF(P117="PUBLICA(1)",1,IF(P117="USO INTERNO(2)",2,IF(P117="RESTRINGIDO(3)",3,3))))+(IF(Q117="BAJA(1)",1,IF(Q117="MEDIA(2)",2,IF(Q117="ALTA(3)",3,3))))+(IF(R117="BAJA(1)",1,IF(R117="MEDIA(2)",2,IF(R117="ALTA(3)",3,3))))</f>
        <v/>
      </c>
      <c r="T117" s="10">
        <f>+IF(S117&lt;6,"BAJA",IF(S117&lt;8,"MEDIA","ALTA"))</f>
        <v/>
      </c>
      <c r="U117" s="10" t="inlineStr">
        <is>
          <t>-</t>
        </is>
      </c>
      <c r="V117" s="24" t="n">
        <v>45580</v>
      </c>
      <c r="W117" s="19" t="inlineStr">
        <is>
          <t>N/A</t>
        </is>
      </c>
      <c r="X117" s="10">
        <f>+IFERROR(IF(VLOOKUP(Tabla2[[#This Row],[ID]],'EVALUACION DE RIESGO'!A:A,1,FALSE)=Tabla2[[#This Row],[ID]],"SI","NO"),"NO")</f>
        <v/>
      </c>
      <c r="AD117">
        <f>IF(AND(Y117="",AA117=""),"",IF(OR(LEFT(AA117,2)="L0",LEFT(AA117,2)="L1",Y117="No Iniciado"),"CRÍTICO - Incumplimiento Normativo SEPS",IF(AND(OR(LEFT(AA117,2)="L4",LEFT(AA117,2)="L5"),AND(AC117&lt;&gt;"",AC117&lt;&gt;"N/A")),"CONFORME - Control Efectivo ISO 27001","OBSERVACIÓN - Revisar Controles")))</f>
        <v/>
      </c>
    </row>
    <row r="118">
      <c r="A118" s="99" t="inlineStr">
        <is>
          <t>32-GCP</t>
        </is>
      </c>
      <c r="B118" s="10" t="inlineStr">
        <is>
          <t>ESTRATÉGICO</t>
        </is>
      </c>
      <c r="C118" s="10" t="inlineStr">
        <is>
          <t xml:space="preserve">Gestión de Calidad </t>
        </is>
      </c>
      <c r="D118" s="10" t="inlineStr">
        <is>
          <t>GCP</t>
        </is>
      </c>
      <c r="E118" s="10" t="inlineStr">
        <is>
          <t xml:space="preserve">Gestión de Calidad </t>
        </is>
      </c>
      <c r="F118" s="10" t="inlineStr">
        <is>
          <t>-</t>
        </is>
      </c>
      <c r="G118" s="10" t="inlineStr">
        <is>
          <t xml:space="preserve">Medición de Tiempos Estándar y Capacidad Operativa </t>
        </is>
      </c>
      <c r="H118" s="10" t="inlineStr">
        <is>
          <t>Matriz de medición de la capacidad operativa.</t>
        </is>
      </c>
      <c r="I118" s="10" t="inlineStr">
        <is>
          <t>Resumen del entre tiempos y transaccionalidad que resulta la capacidad de carga operativa</t>
        </is>
      </c>
      <c r="J118" s="10" t="inlineStr">
        <is>
          <t>Jefe de Planificación y  Procesos</t>
        </is>
      </c>
      <c r="K118" s="10" t="inlineStr">
        <is>
          <t>Jefe de Planificación y  Procesos</t>
        </is>
      </c>
      <c r="L118" s="10" t="inlineStr">
        <is>
          <t>UBICACIÓN DIGITAL-EQUIPO DEL RESPONSABLE</t>
        </is>
      </c>
      <c r="M118" s="10" t="inlineStr">
        <is>
          <t>DISCOS DUROS, SERVIDORES, DISCOS O MEDIOS PORTÁTILES, CINTAS O MEDIOS DE VIDEO Y AUDIO, ETC.</t>
        </is>
      </c>
      <c r="N118" s="10" t="inlineStr">
        <is>
          <t>PRIMARIOS</t>
        </is>
      </c>
      <c r="O118" s="10" t="inlineStr">
        <is>
          <t>DOCUMENTOS TÉCNICOS</t>
        </is>
      </c>
      <c r="P118" s="10" t="inlineStr">
        <is>
          <t>USO INTERNO(2)</t>
        </is>
      </c>
      <c r="Q118" s="10" t="inlineStr">
        <is>
          <t>BAJA(1)</t>
        </is>
      </c>
      <c r="R118" s="10" t="inlineStr">
        <is>
          <t>BAJA(1)</t>
        </is>
      </c>
      <c r="S118" s="10">
        <f>+(IF(P118="PUBLICA(1)",1,IF(P118="USO INTERNO(2)",2,IF(P118="RESTRINGIDO(3)",3,3))))+(IF(Q118="BAJA(1)",1,IF(Q118="MEDIA(2)",2,IF(Q118="ALTA(3)",3,3))))+(IF(R118="BAJA(1)",1,IF(R118="MEDIA(2)",2,IF(R118="ALTA(3)",3,3))))</f>
        <v/>
      </c>
      <c r="T118" s="10">
        <f>+IF(S118&lt;6,"BAJA",IF(S118&lt;8,"MEDIA","ALTA"))</f>
        <v/>
      </c>
      <c r="U118" s="10" t="inlineStr">
        <is>
          <t>-</t>
        </is>
      </c>
      <c r="V118" s="24" t="n">
        <v>45580</v>
      </c>
      <c r="W118" s="19" t="inlineStr">
        <is>
          <t>N/A</t>
        </is>
      </c>
      <c r="X118" s="10">
        <f>+IFERROR(IF(VLOOKUP(Tabla2[[#This Row],[ID]],'EVALUACION DE RIESGO'!A:A,1,FALSE)=Tabla2[[#This Row],[ID]],"SI","NO"),"NO")</f>
        <v/>
      </c>
      <c r="AD118">
        <f>IF(AND(Y118="",AA118=""),"",IF(OR(LEFT(AA118,2)="L0",LEFT(AA118,2)="L1",Y118="No Iniciado"),"CRÍTICO - Incumplimiento Normativo SEPS",IF(AND(OR(LEFT(AA118,2)="L4",LEFT(AA118,2)="L5"),AND(AC118&lt;&gt;"",AC118&lt;&gt;"N/A")),"CONFORME - Control Efectivo ISO 27001","OBSERVACIÓN - Revisar Controles")))</f>
        <v/>
      </c>
    </row>
    <row r="119">
      <c r="A119" s="99" t="inlineStr">
        <is>
          <t>33-GCP</t>
        </is>
      </c>
      <c r="B119" s="10" t="inlineStr">
        <is>
          <t>ESTRATÉGICO</t>
        </is>
      </c>
      <c r="C119" s="10" t="inlineStr">
        <is>
          <t xml:space="preserve">Gestión de Calidad </t>
        </is>
      </c>
      <c r="D119" s="10" t="inlineStr">
        <is>
          <t>GCP</t>
        </is>
      </c>
      <c r="E119" s="10" t="inlineStr">
        <is>
          <t xml:space="preserve">Gestión de Calidad </t>
        </is>
      </c>
      <c r="F119" s="10" t="inlineStr">
        <is>
          <t>-</t>
        </is>
      </c>
      <c r="G119" s="10" t="inlineStr">
        <is>
          <t xml:space="preserve">Medición de Tiempos Estándar y Capacidad Operativa </t>
        </is>
      </c>
      <c r="H119" s="10" t="inlineStr">
        <is>
          <t>Informe de Capacidad Operativa</t>
        </is>
      </c>
      <c r="I119" s="10" t="inlineStr">
        <is>
          <t>Resumen ejecutivo de la matriz de medición de la capacidad operativa</t>
        </is>
      </c>
      <c r="J119" s="10" t="inlineStr">
        <is>
          <t>Jefe de Planificación y  Procesos</t>
        </is>
      </c>
      <c r="K119" s="10" t="inlineStr">
        <is>
          <t>Jefe de Planificación y  Procesos</t>
        </is>
      </c>
      <c r="L119" s="10" t="inlineStr">
        <is>
          <t>UBICACIÓN DIGITAL-EQUIPO DEL RESPONSABLE</t>
        </is>
      </c>
      <c r="M119" s="10" t="inlineStr">
        <is>
          <t>DISCOS DUROS, SERVIDORES, DISCOS O MEDIOS PORTÁTILES, CINTAS O MEDIOS DE VIDEO Y AUDIO, ETC.</t>
        </is>
      </c>
      <c r="N119" s="10" t="inlineStr">
        <is>
          <t>PRIMARIOS</t>
        </is>
      </c>
      <c r="O119" s="10" t="inlineStr">
        <is>
          <t>DOCUMENTOS TÉCNICOS</t>
        </is>
      </c>
      <c r="P119" s="10" t="inlineStr">
        <is>
          <t>RESTRINGIDO(3)</t>
        </is>
      </c>
      <c r="Q119" s="10" t="inlineStr">
        <is>
          <t>BAJA(1)</t>
        </is>
      </c>
      <c r="R119" s="10" t="inlineStr">
        <is>
          <t>BAJA(1)</t>
        </is>
      </c>
      <c r="S119" s="10">
        <f>+(IF(P119="PUBLICA(1)",1,IF(P119="USO INTERNO(2)",2,IF(P119="RESTRINGIDO(3)",3,3))))+(IF(Q119="BAJA(1)",1,IF(Q119="MEDIA(2)",2,IF(Q119="ALTA(3)",3,3))))+(IF(R119="BAJA(1)",1,IF(R119="MEDIA(2)",2,IF(R119="ALTA(3)",3,3))))</f>
        <v/>
      </c>
      <c r="T119" s="10">
        <f>+IF(S119&lt;6,"BAJA",IF(S119&lt;8,"MEDIA","ALTA"))</f>
        <v/>
      </c>
      <c r="U119" s="10" t="inlineStr">
        <is>
          <t>-</t>
        </is>
      </c>
      <c r="V119" s="24" t="n">
        <v>45580</v>
      </c>
      <c r="W119" s="19" t="inlineStr">
        <is>
          <t>N/A</t>
        </is>
      </c>
      <c r="X119" s="10">
        <f>+IFERROR(IF(VLOOKUP(Tabla2[[#This Row],[ID]],'EVALUACION DE RIESGO'!A:A,1,FALSE)=Tabla2[[#This Row],[ID]],"SI","NO"),"NO")</f>
        <v/>
      </c>
      <c r="AD119">
        <f>IF(AND(Y119="",AA119=""),"",IF(OR(LEFT(AA119,2)="L0",LEFT(AA119,2)="L1",Y119="No Iniciado"),"CRÍTICO - Incumplimiento Normativo SEPS",IF(AND(OR(LEFT(AA119,2)="L4",LEFT(AA119,2)="L5"),AND(AC119&lt;&gt;"",AC119&lt;&gt;"N/A")),"CONFORME - Control Efectivo ISO 27001","OBSERVACIÓN - Revisar Controles")))</f>
        <v/>
      </c>
    </row>
    <row r="120">
      <c r="A120" s="99" t="inlineStr">
        <is>
          <t>34-GCP</t>
        </is>
      </c>
      <c r="B120" s="10" t="inlineStr">
        <is>
          <t>ESTRATÉGICO</t>
        </is>
      </c>
      <c r="C120" s="10" t="inlineStr">
        <is>
          <t xml:space="preserve">Gestión de Calidad </t>
        </is>
      </c>
      <c r="D120" s="10" t="inlineStr">
        <is>
          <t>GCP</t>
        </is>
      </c>
      <c r="E120" s="10" t="inlineStr">
        <is>
          <t xml:space="preserve">Gestión de Calidad </t>
        </is>
      </c>
      <c r="F120" s="10" t="inlineStr">
        <is>
          <t>-</t>
        </is>
      </c>
      <c r="G120" s="10" t="inlineStr">
        <is>
          <t>N/A</t>
        </is>
      </c>
      <c r="H120" s="10" t="inlineStr">
        <is>
          <t>Equipos de computación del Jefe de  Planificación y Procesos</t>
        </is>
      </c>
      <c r="I120" s="10" t="inlineStr">
        <is>
          <t>Equipos de computación donde se almacena toda la documentación del área</t>
        </is>
      </c>
      <c r="J120" s="10" t="inlineStr">
        <is>
          <t>Jefe de Planificación y  Procesos</t>
        </is>
      </c>
      <c r="K120" s="10" t="inlineStr">
        <is>
          <t>Jefe de Planificación y  Procesos</t>
        </is>
      </c>
      <c r="L120" s="10" t="inlineStr">
        <is>
          <t>UBICACIÓN FISICA-MATRIZ ATUNTAQUI</t>
        </is>
      </c>
      <c r="M120" s="10" t="inlineStr">
        <is>
          <t>DISCOS DUROS, SERVIDORES, DISCOS O MEDIOS PORTÁTILES, CINTAS O MEDIOS DE VIDEO Y AUDIO, ETC.</t>
        </is>
      </c>
      <c r="N120" s="10" t="inlineStr">
        <is>
          <t>APOYO</t>
        </is>
      </c>
      <c r="O120" s="10" t="inlineStr">
        <is>
          <t>HARDWARE</t>
        </is>
      </c>
      <c r="P120" s="10" t="inlineStr">
        <is>
          <t>USO INTERNO(2)</t>
        </is>
      </c>
      <c r="Q120" s="10" t="inlineStr">
        <is>
          <t>BAJA(1)</t>
        </is>
      </c>
      <c r="R120" s="10" t="inlineStr">
        <is>
          <t>MEDIA(2)</t>
        </is>
      </c>
      <c r="S120" s="10">
        <f>+(IF(P120="PUBLICA(1)",1,IF(P120="USO INTERNO(2)",2,IF(P120="RESTRINGIDO(3)",3,3))))+(IF(Q120="BAJA(1)",1,IF(Q120="MEDIA(2)",2,IF(Q120="ALTA(3)",3,3))))+(IF(R120="BAJA(1)",1,IF(R120="MEDIA(2)",2,IF(R120="ALTA(3)",3,3))))</f>
        <v/>
      </c>
      <c r="T120" s="10">
        <f>+IF(S120&lt;6,"BAJA",IF(S120&lt;8,"MEDIA","ALTA"))</f>
        <v/>
      </c>
      <c r="U120" s="10" t="inlineStr">
        <is>
          <t>-</t>
        </is>
      </c>
      <c r="V120" s="24" t="n">
        <v>45580</v>
      </c>
      <c r="W120" s="19" t="inlineStr">
        <is>
          <t>N/A</t>
        </is>
      </c>
      <c r="X120" s="10">
        <f>+IFERROR(IF(VLOOKUP(Tabla2[[#This Row],[ID]],'EVALUACION DE RIESGO'!A:A,1,FALSE)=Tabla2[[#This Row],[ID]],"SI","NO"),"NO")</f>
        <v/>
      </c>
      <c r="AD120">
        <f>IF(AND(Y120="",AA120=""),"",IF(OR(LEFT(AA120,2)="L0",LEFT(AA120,2)="L1",Y120="No Iniciado"),"CRÍTICO - Incumplimiento Normativo SEPS",IF(AND(OR(LEFT(AA120,2)="L4",LEFT(AA120,2)="L5"),AND(AC120&lt;&gt;"",AC120&lt;&gt;"N/A")),"CONFORME - Control Efectivo ISO 27001","OBSERVACIÓN - Revisar Controles")))</f>
        <v/>
      </c>
    </row>
    <row r="121">
      <c r="A121" s="99" t="inlineStr">
        <is>
          <t>35-GCP</t>
        </is>
      </c>
      <c r="B121" s="10" t="inlineStr">
        <is>
          <t>ESTRATÉGICO</t>
        </is>
      </c>
      <c r="C121" s="10" t="inlineStr">
        <is>
          <t xml:space="preserve">Gestión de Calidad </t>
        </is>
      </c>
      <c r="D121" s="10" t="inlineStr">
        <is>
          <t>GCP</t>
        </is>
      </c>
      <c r="E121" s="10" t="inlineStr">
        <is>
          <t xml:space="preserve">Gestión de Calidad </t>
        </is>
      </c>
      <c r="F121" s="10" t="inlineStr">
        <is>
          <t>-</t>
        </is>
      </c>
      <c r="G121" s="10" t="inlineStr">
        <is>
          <t>N/A</t>
        </is>
      </c>
      <c r="H121" s="10" t="inlineStr">
        <is>
          <t>Equipos de computación de Asistentes de Planificación Procesos</t>
        </is>
      </c>
      <c r="I121" s="10" t="inlineStr">
        <is>
          <t>Equipos de computación donde se realiza la gestión del área</t>
        </is>
      </c>
      <c r="J121" s="10" t="inlineStr">
        <is>
          <t>Jefe de Planificación y  Procesos</t>
        </is>
      </c>
      <c r="K121" s="10" t="inlineStr">
        <is>
          <t>Jefe de Planificación y  Procesos</t>
        </is>
      </c>
      <c r="L121" s="10" t="inlineStr">
        <is>
          <t>UBICACIÓN FISICA-MATRIZ ATUNTAQUI</t>
        </is>
      </c>
      <c r="M121" s="10" t="inlineStr">
        <is>
          <t>DISCOS DUROS, SERVIDORES, DISCOS O MEDIOS PORTÁTILES, CINTAS O MEDIOS DE VIDEO Y AUDIO, ETC.</t>
        </is>
      </c>
      <c r="N121" s="10" t="inlineStr">
        <is>
          <t>APOYO</t>
        </is>
      </c>
      <c r="O121" s="10" t="inlineStr">
        <is>
          <t>HARDWARE</t>
        </is>
      </c>
      <c r="P121" s="10" t="inlineStr">
        <is>
          <t>USO INTERNO(2)</t>
        </is>
      </c>
      <c r="Q121" s="10" t="inlineStr">
        <is>
          <t>BAJA(1)</t>
        </is>
      </c>
      <c r="R121" s="10" t="inlineStr">
        <is>
          <t>BAJA(1)</t>
        </is>
      </c>
      <c r="S121" s="10">
        <f>+(IF(P121="PUBLICA(1)",1,IF(P121="USO INTERNO(2)",2,IF(P121="RESTRINGIDO(3)",3,3))))+(IF(Q121="BAJA(1)",1,IF(Q121="MEDIA(2)",2,IF(Q121="ALTA(3)",3,3))))+(IF(R121="BAJA(1)",1,IF(R121="MEDIA(2)",2,IF(R121="ALTA(3)",3,3))))</f>
        <v/>
      </c>
      <c r="T121" s="10">
        <f>+IF(S121&lt;6,"BAJA",IF(S121&lt;8,"MEDIA","ALTA"))</f>
        <v/>
      </c>
      <c r="U121" s="10" t="inlineStr">
        <is>
          <t>-</t>
        </is>
      </c>
      <c r="V121" s="24" t="n">
        <v>45580</v>
      </c>
      <c r="W121" s="19" t="inlineStr">
        <is>
          <t>N/A</t>
        </is>
      </c>
      <c r="X121" s="10">
        <f>+IFERROR(IF(VLOOKUP(Tabla2[[#This Row],[ID]],'EVALUACION DE RIESGO'!A:A,1,FALSE)=Tabla2[[#This Row],[ID]],"SI","NO"),"NO")</f>
        <v/>
      </c>
      <c r="AD121">
        <f>IF(AND(Y121="",AA121=""),"",IF(OR(LEFT(AA121,2)="L0",LEFT(AA121,2)="L1",Y121="No Iniciado"),"CRÍTICO - Incumplimiento Normativo SEPS",IF(AND(OR(LEFT(AA121,2)="L4",LEFT(AA121,2)="L5"),AND(AC121&lt;&gt;"",AC121&lt;&gt;"N/A")),"CONFORME - Control Efectivo ISO 27001","OBSERVACIÓN - Revisar Controles")))</f>
        <v/>
      </c>
    </row>
    <row r="122">
      <c r="A122" s="99" t="inlineStr">
        <is>
          <t>36-GCP</t>
        </is>
      </c>
      <c r="B122" s="10" t="inlineStr">
        <is>
          <t>ESTRATÉGICO</t>
        </is>
      </c>
      <c r="C122" s="10" t="inlineStr">
        <is>
          <t xml:space="preserve">Gestión de Calidad </t>
        </is>
      </c>
      <c r="D122" s="10" t="inlineStr">
        <is>
          <t>GCP</t>
        </is>
      </c>
      <c r="E122" s="10" t="inlineStr">
        <is>
          <t xml:space="preserve">Gestión de Calidad </t>
        </is>
      </c>
      <c r="F122" s="10" t="inlineStr">
        <is>
          <t>-</t>
        </is>
      </c>
      <c r="G122" s="10" t="inlineStr">
        <is>
          <t>N/A</t>
        </is>
      </c>
      <c r="H122" s="10" t="inlineStr">
        <is>
          <t>Jefe de Planificación y Procesos</t>
        </is>
      </c>
      <c r="I122" s="10" t="inlineStr">
        <is>
          <t>N/A</t>
        </is>
      </c>
      <c r="J122" s="10" t="inlineStr">
        <is>
          <t>Jefe de Planificación y  Procesos</t>
        </is>
      </c>
      <c r="K122" s="10" t="inlineStr">
        <is>
          <t>N/A</t>
        </is>
      </c>
      <c r="L122" s="10" t="inlineStr">
        <is>
          <t>N/A</t>
        </is>
      </c>
      <c r="M122" s="10" t="inlineStr">
        <is>
          <t>N/A</t>
        </is>
      </c>
      <c r="N122" s="10" t="inlineStr">
        <is>
          <t>APOYO</t>
        </is>
      </c>
      <c r="O122" s="10" t="inlineStr">
        <is>
          <t>RECURSO HUMANO</t>
        </is>
      </c>
      <c r="P122" s="10" t="inlineStr">
        <is>
          <t>USO INTERNO(2)</t>
        </is>
      </c>
      <c r="Q122" s="10" t="inlineStr">
        <is>
          <t>BAJA(1)</t>
        </is>
      </c>
      <c r="R122" s="10" t="inlineStr">
        <is>
          <t>BAJA(1)</t>
        </is>
      </c>
      <c r="S122" s="10">
        <f>+(IF(P122="PUBLICA(1)",1,IF(P122="USO INTERNO(2)",2,IF(P122="RESTRINGIDO(3)",3,3))))+(IF(Q122="BAJA(1)",1,IF(Q122="MEDIA(2)",2,IF(Q122="ALTA(3)",3,3))))+(IF(R122="BAJA(1)",1,IF(R122="MEDIA(2)",2,IF(R122="ALTA(3)",3,3))))</f>
        <v/>
      </c>
      <c r="T122" s="10">
        <f>+IF(S122&lt;6,"BAJA",IF(S122&lt;8,"MEDIA","ALTA"))</f>
        <v/>
      </c>
      <c r="U122" s="10" t="inlineStr">
        <is>
          <t>-</t>
        </is>
      </c>
      <c r="V122" s="24" t="n">
        <v>45580</v>
      </c>
      <c r="W122" s="19" t="inlineStr">
        <is>
          <t>N/A</t>
        </is>
      </c>
      <c r="X122" s="10">
        <f>+IFERROR(IF(VLOOKUP(Tabla2[[#This Row],[ID]],'EVALUACION DE RIESGO'!A:A,1,FALSE)=Tabla2[[#This Row],[ID]],"SI","NO"),"NO")</f>
        <v/>
      </c>
      <c r="AD122">
        <f>IF(AND(Y122="",AA122=""),"",IF(OR(LEFT(AA122,2)="L0",LEFT(AA122,2)="L1",Y122="No Iniciado"),"CRÍTICO - Incumplimiento Normativo SEPS",IF(AND(OR(LEFT(AA122,2)="L4",LEFT(AA122,2)="L5"),AND(AC122&lt;&gt;"",AC122&lt;&gt;"N/A")),"CONFORME - Control Efectivo ISO 27001","OBSERVACIÓN - Revisar Controles")))</f>
        <v/>
      </c>
    </row>
    <row r="123">
      <c r="A123" s="99" t="inlineStr">
        <is>
          <t>37-GCS</t>
        </is>
      </c>
      <c r="B123" s="10" t="inlineStr">
        <is>
          <t>ESTRATÉGICO</t>
        </is>
      </c>
      <c r="C123" s="10" t="inlineStr">
        <is>
          <t>Gestión de Calidad del Servicio</t>
        </is>
      </c>
      <c r="D123" s="10" t="inlineStr">
        <is>
          <t>GCS</t>
        </is>
      </c>
      <c r="E123" s="10" t="inlineStr">
        <is>
          <t>Gestión de Conducta de Mercado</t>
        </is>
      </c>
      <c r="F123" s="10" t="inlineStr">
        <is>
          <t>-</t>
        </is>
      </c>
      <c r="G123" s="10" t="inlineStr">
        <is>
          <t>Oferta de productos y servicios financieros</t>
        </is>
      </c>
      <c r="H123" s="10" t="inlineStr">
        <is>
          <t>Informe de evaluación de aspectos de conducta de mercado.</t>
        </is>
      </c>
      <c r="I123" s="10" t="inlineStr">
        <is>
          <t>Lineamientos de cumplimiento a la conducta de mercado</t>
        </is>
      </c>
      <c r="J123" s="10" t="inlineStr">
        <is>
          <t>Jefe de Atención al Cliente</t>
        </is>
      </c>
      <c r="K123" s="10" t="inlineStr">
        <is>
          <t>Jefe de Atención al Cliente</t>
        </is>
      </c>
      <c r="L123" s="10" t="inlineStr">
        <is>
          <t>UBICACIÓN DIGITAL-PÁGINA WEB</t>
        </is>
      </c>
      <c r="M123" s="10" t="inlineStr">
        <is>
          <t>PORTALES, INTRANET Y EXTRANET</t>
        </is>
      </c>
      <c r="N123" s="10" t="inlineStr">
        <is>
          <t>PRIMARIOS</t>
        </is>
      </c>
      <c r="O123" s="10" t="inlineStr">
        <is>
          <t>DOCUMENTOS TÉCNICOS</t>
        </is>
      </c>
      <c r="P123" s="10" t="inlineStr">
        <is>
          <t>PUBLICA(1)</t>
        </is>
      </c>
      <c r="Q123" s="10" t="inlineStr">
        <is>
          <t>MEDIA(2)</t>
        </is>
      </c>
      <c r="R123" s="10" t="inlineStr">
        <is>
          <t>ALTA(3)</t>
        </is>
      </c>
      <c r="S123" s="10">
        <f>+(IF(P123="PUBLICA(1)",1,IF(P123="USO INTERNO(2)",2,IF(P123="RESTRINGIDO(3)",3,3))))+(IF(Q123="BAJA(1)",1,IF(Q123="MEDIA(2)",2,IF(Q123="ALTA(3)",3,3))))+(IF(R123="BAJA(1)",1,IF(R123="MEDIA(2)",2,IF(R123="ALTA(3)",3,3))))</f>
        <v/>
      </c>
      <c r="T123" s="10">
        <f>+IF(S123&lt;6,"BAJA",IF(S123&lt;8,"MEDIA","ALTA"))</f>
        <v/>
      </c>
      <c r="U123" s="10" t="inlineStr">
        <is>
          <t>-</t>
        </is>
      </c>
      <c r="V123" s="24" t="n">
        <v>45580</v>
      </c>
      <c r="W123" s="19" t="inlineStr">
        <is>
          <t>N/A</t>
        </is>
      </c>
      <c r="X123" s="10">
        <f>+IFERROR(IF(VLOOKUP(Tabla2[[#This Row],[ID]],'EVALUACION DE RIESGO'!A:A,1,FALSE)=Tabla2[[#This Row],[ID]],"SI","NO"),"NO")</f>
        <v/>
      </c>
      <c r="AD123">
        <f>IF(AND(Y123="",AA123=""),"",IF(OR(LEFT(AA123,2)="L0",LEFT(AA123,2)="L1",Y123="No Iniciado"),"CRÍTICO - Incumplimiento Normativo SEPS",IF(AND(OR(LEFT(AA123,2)="L4",LEFT(AA123,2)="L5"),AND(AC123&lt;&gt;"",AC123&lt;&gt;"N/A")),"CONFORME - Control Efectivo ISO 27001","OBSERVACIÓN - Revisar Controles")))</f>
        <v/>
      </c>
    </row>
    <row r="124">
      <c r="A124" s="99" t="inlineStr">
        <is>
          <t>38-GCS</t>
        </is>
      </c>
      <c r="B124" s="10" t="inlineStr">
        <is>
          <t>ESTRATÉGICO</t>
        </is>
      </c>
      <c r="C124" s="10" t="inlineStr">
        <is>
          <t>Gestión de Calidad del Servicio</t>
        </is>
      </c>
      <c r="D124" s="10" t="inlineStr">
        <is>
          <t>GCS</t>
        </is>
      </c>
      <c r="E124" s="10" t="inlineStr">
        <is>
          <t>Gestión de Conducta de Mercado</t>
        </is>
      </c>
      <c r="F124" s="10" t="inlineStr">
        <is>
          <t>-</t>
        </is>
      </c>
      <c r="G124" s="10" t="inlineStr">
        <is>
          <t>Oferta de productos y servicios financieros</t>
        </is>
      </c>
      <c r="H124" s="10" t="inlineStr">
        <is>
          <t>Campaña publicitaria y artes promocionales revisados</t>
        </is>
      </c>
      <c r="I124" s="10" t="inlineStr">
        <is>
          <t>Campañas que se generan de nuevos productos y servicios</t>
        </is>
      </c>
      <c r="J124" s="10" t="inlineStr">
        <is>
          <t>Jefe de Atención al Cliente</t>
        </is>
      </c>
      <c r="K124" s="10" t="inlineStr">
        <is>
          <t>Marketing</t>
        </is>
      </c>
      <c r="L124" s="10" t="inlineStr">
        <is>
          <t>UBICACIÓN DIGITAL-EQUIPO DEL CUSTODIO</t>
        </is>
      </c>
      <c r="M124" s="10" t="inlineStr">
        <is>
          <t>DOCUMENTO DE ARCHIVO-ELECTRÓNICO</t>
        </is>
      </c>
      <c r="N124" s="10" t="inlineStr">
        <is>
          <t>PRIMARIOS</t>
        </is>
      </c>
      <c r="O124" s="10" t="inlineStr">
        <is>
          <t>OTROS</t>
        </is>
      </c>
      <c r="P124" s="10" t="inlineStr">
        <is>
          <t>PUBLICA(1)</t>
        </is>
      </c>
      <c r="Q124" s="10" t="inlineStr">
        <is>
          <t>BAJA(1)</t>
        </is>
      </c>
      <c r="R124" s="10" t="inlineStr">
        <is>
          <t>BAJA(1)</t>
        </is>
      </c>
      <c r="S124" s="10">
        <f>+(IF(P124="PUBLICA(1)",1,IF(P124="USO INTERNO(2)",2,IF(P124="RESTRINGIDO(3)",3,3))))+(IF(Q124="BAJA(1)",1,IF(Q124="MEDIA(2)",2,IF(Q124="ALTA(3)",3,3))))+(IF(R124="BAJA(1)",1,IF(R124="MEDIA(2)",2,IF(R124="ALTA(3)",3,3))))</f>
        <v/>
      </c>
      <c r="T124" s="10">
        <f>+IF(S124&lt;6,"BAJA",IF(S124&lt;8,"MEDIA","ALTA"))</f>
        <v/>
      </c>
      <c r="U124" s="10" t="inlineStr">
        <is>
          <t>-</t>
        </is>
      </c>
      <c r="V124" s="24" t="n">
        <v>45580</v>
      </c>
      <c r="W124" s="19" t="inlineStr">
        <is>
          <t>N/A</t>
        </is>
      </c>
      <c r="X124" s="10">
        <f>+IFERROR(IF(VLOOKUP(Tabla2[[#This Row],[ID]],'EVALUACION DE RIESGO'!A:A,1,FALSE)=Tabla2[[#This Row],[ID]],"SI","NO"),"NO")</f>
        <v/>
      </c>
      <c r="AD124">
        <f>IF(AND(Y124="",AA124=""),"",IF(OR(LEFT(AA124,2)="L0",LEFT(AA124,2)="L1",Y124="No Iniciado"),"CRÍTICO - Incumplimiento Normativo SEPS",IF(AND(OR(LEFT(AA124,2)="L4",LEFT(AA124,2)="L5"),AND(AC124&lt;&gt;"",AC124&lt;&gt;"N/A")),"CONFORME - Control Efectivo ISO 27001","OBSERVACIÓN - Revisar Controles")))</f>
        <v/>
      </c>
    </row>
    <row r="125">
      <c r="A125" s="99" t="inlineStr">
        <is>
          <t>39-GCS</t>
        </is>
      </c>
      <c r="B125" s="10" t="inlineStr">
        <is>
          <t>ESTRATÉGICO</t>
        </is>
      </c>
      <c r="C125" s="10" t="inlineStr">
        <is>
          <t>Gestión de Calidad del Servicio</t>
        </is>
      </c>
      <c r="D125" s="10" t="inlineStr">
        <is>
          <t>GCS</t>
        </is>
      </c>
      <c r="E125" s="10" t="inlineStr">
        <is>
          <t>Gestión de Conducta de Mercado</t>
        </is>
      </c>
      <c r="F125" s="10" t="inlineStr">
        <is>
          <t>-</t>
        </is>
      </c>
      <c r="G125" s="10" t="inlineStr">
        <is>
          <t>Transparencia de la información</t>
        </is>
      </c>
      <c r="H125" s="10" t="inlineStr">
        <is>
          <t>Tablas de tasas activas, pasivas, tarifas financieras y costos de otros servicios</t>
        </is>
      </c>
      <c r="I125" s="10" t="inlineStr">
        <is>
          <t>Tablas de tasas activas, pasivas, tarifas financieras y costos de otros servicios</t>
        </is>
      </c>
      <c r="J125" s="10" t="inlineStr">
        <is>
          <t>Jefe de Atención al Cliente</t>
        </is>
      </c>
      <c r="K125" s="10" t="inlineStr">
        <is>
          <t>Jefe de Atención al Cliente</t>
        </is>
      </c>
      <c r="L125" s="10" t="inlineStr">
        <is>
          <t>UBICACIÓN DIGITAL-PÁGINA WEB</t>
        </is>
      </c>
      <c r="M125" s="10" t="inlineStr">
        <is>
          <t>PORTALES, INTRANET Y EXTRANET</t>
        </is>
      </c>
      <c r="N125" s="10" t="inlineStr">
        <is>
          <t>PRIMARIOS</t>
        </is>
      </c>
      <c r="O125" s="10" t="inlineStr">
        <is>
          <t>DOCUMENTOS TÉCNICOS</t>
        </is>
      </c>
      <c r="P125" s="10" t="inlineStr">
        <is>
          <t>PUBLICA(1)</t>
        </is>
      </c>
      <c r="Q125" s="10" t="inlineStr">
        <is>
          <t>BAJA(1)</t>
        </is>
      </c>
      <c r="R125" s="10" t="inlineStr">
        <is>
          <t>BAJA(1)</t>
        </is>
      </c>
      <c r="S125" s="10">
        <f>+(IF(P125="PUBLICA(1)",1,IF(P125="USO INTERNO(2)",2,IF(P125="RESTRINGIDO(3)",3,3))))+(IF(Q125="BAJA(1)",1,IF(Q125="MEDIA(2)",2,IF(Q125="ALTA(3)",3,3))))+(IF(R125="BAJA(1)",1,IF(R125="MEDIA(2)",2,IF(R125="ALTA(3)",3,3))))</f>
        <v/>
      </c>
      <c r="T125" s="10">
        <f>+IF(S125&lt;6,"BAJA",IF(S125&lt;8,"MEDIA","ALTA"))</f>
        <v/>
      </c>
      <c r="U125" s="10" t="inlineStr">
        <is>
          <t>-</t>
        </is>
      </c>
      <c r="V125" s="24" t="n">
        <v>45580</v>
      </c>
      <c r="W125" s="19" t="inlineStr">
        <is>
          <t>N/A</t>
        </is>
      </c>
      <c r="X125" s="10">
        <f>+IFERROR(IF(VLOOKUP(Tabla2[[#This Row],[ID]],'EVALUACION DE RIESGO'!A:A,1,FALSE)=Tabla2[[#This Row],[ID]],"SI","NO"),"NO")</f>
        <v/>
      </c>
      <c r="AD125">
        <f>IF(AND(Y125="",AA125=""),"",IF(OR(LEFT(AA125,2)="L0",LEFT(AA125,2)="L1",Y125="No Iniciado"),"CRÍTICO - Incumplimiento Normativo SEPS",IF(AND(OR(LEFT(AA125,2)="L4",LEFT(AA125,2)="L5"),AND(AC125&lt;&gt;"",AC125&lt;&gt;"N/A")),"CONFORME - Control Efectivo ISO 27001","OBSERVACIÓN - Revisar Controles")))</f>
        <v/>
      </c>
    </row>
    <row r="126">
      <c r="A126" s="99" t="inlineStr">
        <is>
          <t>40-GCS</t>
        </is>
      </c>
      <c r="B126" s="10" t="inlineStr">
        <is>
          <t>ESTRATÉGICO</t>
        </is>
      </c>
      <c r="C126" s="10" t="inlineStr">
        <is>
          <t>Gestión de Calidad del Servicio</t>
        </is>
      </c>
      <c r="D126" s="10" t="inlineStr">
        <is>
          <t>GCS</t>
        </is>
      </c>
      <c r="E126" s="10" t="inlineStr">
        <is>
          <t>Gestión de Conducta de Mercado</t>
        </is>
      </c>
      <c r="F126" s="10" t="inlineStr">
        <is>
          <t>-</t>
        </is>
      </c>
      <c r="G126" s="10" t="inlineStr">
        <is>
          <t>Transparencia de la información</t>
        </is>
      </c>
      <c r="H126" s="10" t="inlineStr">
        <is>
          <t>Indicadores Financieros y de Gobierno</t>
        </is>
      </c>
      <c r="I126" s="10" t="inlineStr">
        <is>
          <t>Archivo del departamento</t>
        </is>
      </c>
      <c r="J126" s="10" t="inlineStr">
        <is>
          <t>Jefe de Atención al Cliente</t>
        </is>
      </c>
      <c r="K126" s="10" t="inlineStr">
        <is>
          <t>Jefe de Atención al Cliente</t>
        </is>
      </c>
      <c r="L126" s="10" t="inlineStr">
        <is>
          <t>UBICACIÓN DIGITAL-PÁGINA WEB</t>
        </is>
      </c>
      <c r="M126" s="10" t="inlineStr">
        <is>
          <t>PORTALES, INTRANET Y EXTRANET</t>
        </is>
      </c>
      <c r="N126" s="10" t="inlineStr">
        <is>
          <t>PRIMARIOS</t>
        </is>
      </c>
      <c r="O126" s="10" t="inlineStr">
        <is>
          <t>DOCUMENTOS TÉCNICOS</t>
        </is>
      </c>
      <c r="P126" s="10" t="inlineStr">
        <is>
          <t>PUBLICA(1)</t>
        </is>
      </c>
      <c r="Q126" s="10" t="inlineStr">
        <is>
          <t>ALTA(3)</t>
        </is>
      </c>
      <c r="R126" s="10" t="inlineStr">
        <is>
          <t>MEDIA(2)</t>
        </is>
      </c>
      <c r="S126" s="10">
        <f>+(IF(P126="PUBLICA(1)",1,IF(P126="USO INTERNO(2)",2,IF(P126="RESTRINGIDO(3)",3,3))))+(IF(Q126="BAJA(1)",1,IF(Q126="MEDIA(2)",2,IF(Q126="ALTA(3)",3,3))))+(IF(R126="BAJA(1)",1,IF(R126="MEDIA(2)",2,IF(R126="ALTA(3)",3,3))))</f>
        <v/>
      </c>
      <c r="T126" s="10">
        <f>+IF(S126&lt;6,"BAJA",IF(S126&lt;8,"MEDIA","ALTA"))</f>
        <v/>
      </c>
      <c r="U126" s="10" t="inlineStr">
        <is>
          <t>-</t>
        </is>
      </c>
      <c r="V126" s="24" t="n">
        <v>45580</v>
      </c>
      <c r="W126" s="19" t="inlineStr">
        <is>
          <t>N/A</t>
        </is>
      </c>
      <c r="X126" s="10">
        <f>+IFERROR(IF(VLOOKUP(Tabla2[[#This Row],[ID]],'EVALUACION DE RIESGO'!A:A,1,FALSE)=Tabla2[[#This Row],[ID]],"SI","NO"),"NO")</f>
        <v/>
      </c>
      <c r="AD126">
        <f>IF(AND(Y126="",AA126=""),"",IF(OR(LEFT(AA126,2)="L0",LEFT(AA126,2)="L1",Y126="No Iniciado"),"CRÍTICO - Incumplimiento Normativo SEPS",IF(AND(OR(LEFT(AA126,2)="L4",LEFT(AA126,2)="L5"),AND(AC126&lt;&gt;"",AC126&lt;&gt;"N/A")),"CONFORME - Control Efectivo ISO 27001","OBSERVACIÓN - Revisar Controles")))</f>
        <v/>
      </c>
    </row>
    <row r="127">
      <c r="A127" s="99" t="inlineStr">
        <is>
          <t>41-GCS</t>
        </is>
      </c>
      <c r="B127" s="10" t="inlineStr">
        <is>
          <t>ESTRATÉGICO</t>
        </is>
      </c>
      <c r="C127" s="10" t="inlineStr">
        <is>
          <t>Gestión de Calidad del Servicio</t>
        </is>
      </c>
      <c r="D127" s="10" t="inlineStr">
        <is>
          <t>GCS</t>
        </is>
      </c>
      <c r="E127" s="10" t="inlineStr">
        <is>
          <t>Gestión de Conducta de Mercado</t>
        </is>
      </c>
      <c r="F127" s="10" t="inlineStr">
        <is>
          <t>-</t>
        </is>
      </c>
      <c r="G127" s="10" t="inlineStr">
        <is>
          <t>Gestión de Peticiones, Quejas, Reclamos, Requerimientos y Sugerencias - PQRS.</t>
        </is>
      </c>
      <c r="H127" s="10" t="inlineStr">
        <is>
          <t>Anexo de categorización E / Anexo “Tiempos para la
resolución de reclamos”</t>
        </is>
      </c>
      <c r="I127" s="10" t="inlineStr">
        <is>
          <t>Gestión de Calidad de Servicio</t>
        </is>
      </c>
      <c r="J127" s="10" t="inlineStr">
        <is>
          <t>Jefe de Atención al Cliente</t>
        </is>
      </c>
      <c r="K127" s="10" t="inlineStr">
        <is>
          <t>Jefe de Atención al Cliente</t>
        </is>
      </c>
      <c r="L127" s="10" t="inlineStr">
        <is>
          <t>UBICACIÓN DIGITAL-EQUIPO DEL RESPONSABLE</t>
        </is>
      </c>
      <c r="M127" s="10" t="inlineStr">
        <is>
          <t>DOCUMENTO DE ARCHIVO-ELECTRÓNICO</t>
        </is>
      </c>
      <c r="N127" s="10" t="inlineStr">
        <is>
          <t>PRIMARIOS</t>
        </is>
      </c>
      <c r="O127" s="10" t="inlineStr">
        <is>
          <t>DOCUMENTOS TÉCNICOS</t>
        </is>
      </c>
      <c r="P127" s="10" t="inlineStr">
        <is>
          <t>USO INTERNO(2)</t>
        </is>
      </c>
      <c r="Q127" s="10" t="inlineStr">
        <is>
          <t>BAJA(1)</t>
        </is>
      </c>
      <c r="R127" s="10" t="inlineStr">
        <is>
          <t>BAJA(1)</t>
        </is>
      </c>
      <c r="S127" s="10">
        <f>+(IF(P127="PUBLICA(1)",1,IF(P127="USO INTERNO(2)",2,IF(P127="RESTRINGIDO(3)",3,3))))+(IF(Q127="BAJA(1)",1,IF(Q127="MEDIA(2)",2,IF(Q127="ALTA(3)",3,3))))+(IF(R127="BAJA(1)",1,IF(R127="MEDIA(2)",2,IF(R127="ALTA(3)",3,3))))</f>
        <v/>
      </c>
      <c r="T127" s="10">
        <f>+IF(S127&lt;6,"BAJA",IF(S127&lt;8,"MEDIA","ALTA"))</f>
        <v/>
      </c>
      <c r="U127" s="10" t="inlineStr">
        <is>
          <t>-</t>
        </is>
      </c>
      <c r="V127" s="24" t="n">
        <v>45580</v>
      </c>
      <c r="W127" s="19" t="inlineStr">
        <is>
          <t>N/A</t>
        </is>
      </c>
      <c r="X127" s="10">
        <f>+IFERROR(IF(VLOOKUP(Tabla2[[#This Row],[ID]],'EVALUACION DE RIESGO'!A:A,1,FALSE)=Tabla2[[#This Row],[ID]],"SI","NO"),"NO")</f>
        <v/>
      </c>
      <c r="AD127">
        <f>IF(AND(Y127="",AA127=""),"",IF(OR(LEFT(AA127,2)="L0",LEFT(AA127,2)="L1",Y127="No Iniciado"),"CRÍTICO - Incumplimiento Normativo SEPS",IF(AND(OR(LEFT(AA127,2)="L4",LEFT(AA127,2)="L5"),AND(AC127&lt;&gt;"",AC127&lt;&gt;"N/A")),"CONFORME - Control Efectivo ISO 27001","OBSERVACIÓN - Revisar Controles")))</f>
        <v/>
      </c>
    </row>
    <row r="128">
      <c r="A128" s="99" t="inlineStr">
        <is>
          <t>42-GCS</t>
        </is>
      </c>
      <c r="B128" s="10" t="inlineStr">
        <is>
          <t>ESTRATÉGICO</t>
        </is>
      </c>
      <c r="C128" s="10" t="inlineStr">
        <is>
          <t>Gestión de Calidad del Servicio</t>
        </is>
      </c>
      <c r="D128" s="10" t="inlineStr">
        <is>
          <t>GCS</t>
        </is>
      </c>
      <c r="E128" s="10" t="inlineStr">
        <is>
          <t>Gestión de Conducta de Mercado</t>
        </is>
      </c>
      <c r="F128" s="10" t="inlineStr">
        <is>
          <t>-</t>
        </is>
      </c>
      <c r="G128" s="10" t="inlineStr">
        <is>
          <t>Gestión de Peticiones, Quejas, Reclamos, Requerimientos y Sugerencias - PQRS.</t>
        </is>
      </c>
      <c r="H128" s="10" t="inlineStr">
        <is>
          <t>Resolución de la SEPS</t>
        </is>
      </c>
      <c r="I128" s="10" t="inlineStr">
        <is>
          <t>Archivo de matriz de hallazgos que recepta auditoría</t>
        </is>
      </c>
      <c r="J128" s="10" t="inlineStr">
        <is>
          <t>Jefe de Atención al Cliente</t>
        </is>
      </c>
      <c r="K128" s="10" t="inlineStr">
        <is>
          <t>Auditor Interno</t>
        </is>
      </c>
      <c r="L128" s="10" t="inlineStr">
        <is>
          <t>UBICACIÓN DIGITAL-HERRAMIENTA SEC GERENCIA</t>
        </is>
      </c>
      <c r="M128" s="10" t="inlineStr">
        <is>
          <t>DOCUMENTO DE ARCHIVO-ELECTRÓNICO</t>
        </is>
      </c>
      <c r="N128" s="10" t="inlineStr">
        <is>
          <t>PRIMARIOS</t>
        </is>
      </c>
      <c r="O128" s="10" t="inlineStr">
        <is>
          <t>INFORMACIÓN DE TERCEROS</t>
        </is>
      </c>
      <c r="P128" s="10" t="inlineStr">
        <is>
          <t>USO INTERNO(2)</t>
        </is>
      </c>
      <c r="Q128" s="10" t="inlineStr">
        <is>
          <t>BAJA(1)</t>
        </is>
      </c>
      <c r="R128" s="10" t="inlineStr">
        <is>
          <t>BAJA(1)</t>
        </is>
      </c>
      <c r="S128" s="10">
        <f>+(IF(P128="PUBLICA(1)",1,IF(P128="USO INTERNO(2)",2,IF(P128="RESTRINGIDO(3)",3,3))))+(IF(Q128="BAJA(1)",1,IF(Q128="MEDIA(2)",2,IF(Q128="ALTA(3)",3,3))))+(IF(R128="BAJA(1)",1,IF(R128="MEDIA(2)",2,IF(R128="ALTA(3)",3,3))))</f>
        <v/>
      </c>
      <c r="T128" s="10">
        <f>+IF(S128&lt;6,"BAJA",IF(S128&lt;8,"MEDIA","ALTA"))</f>
        <v/>
      </c>
      <c r="U128" s="10" t="inlineStr">
        <is>
          <t>-</t>
        </is>
      </c>
      <c r="V128" s="24" t="n">
        <v>45580</v>
      </c>
      <c r="W128" s="19" t="inlineStr">
        <is>
          <t>N/A</t>
        </is>
      </c>
      <c r="X128" s="10">
        <f>+IFERROR(IF(VLOOKUP(Tabla2[[#This Row],[ID]],'EVALUACION DE RIESGO'!A:A,1,FALSE)=Tabla2[[#This Row],[ID]],"SI","NO"),"NO")</f>
        <v/>
      </c>
      <c r="AD128">
        <f>IF(AND(Y128="",AA128=""),"",IF(OR(LEFT(AA128,2)="L0",LEFT(AA128,2)="L1",Y128="No Iniciado"),"CRÍTICO - Incumplimiento Normativo SEPS",IF(AND(OR(LEFT(AA128,2)="L4",LEFT(AA128,2)="L5"),AND(AC128&lt;&gt;"",AC128&lt;&gt;"N/A")),"CONFORME - Control Efectivo ISO 27001","OBSERVACIÓN - Revisar Controles")))</f>
        <v/>
      </c>
    </row>
    <row r="129">
      <c r="A129" s="99" t="inlineStr">
        <is>
          <t>43-GCS</t>
        </is>
      </c>
      <c r="B129" s="10" t="inlineStr">
        <is>
          <t>ESTRATÉGICO</t>
        </is>
      </c>
      <c r="C129" s="10" t="inlineStr">
        <is>
          <t>Gestión de Calidad del Servicio</t>
        </is>
      </c>
      <c r="D129" s="10" t="inlineStr">
        <is>
          <t>GCS</t>
        </is>
      </c>
      <c r="E129" s="10" t="inlineStr">
        <is>
          <t>Gestión de Conducta de Mercado</t>
        </is>
      </c>
      <c r="F129" s="10" t="inlineStr">
        <is>
          <t>-</t>
        </is>
      </c>
      <c r="G129" s="10" t="inlineStr">
        <is>
          <t>Gestión de Peticiones, Quejas, Reclamos, Requerimientos y Sugerencias - PQRS.</t>
        </is>
      </c>
      <c r="H129" s="10" t="inlineStr">
        <is>
          <t>Oficio de contestación para la SEPS</t>
        </is>
      </c>
      <c r="I129" s="10" t="inlineStr">
        <is>
          <t>Informe de atención al cliente que se genera para la revisión del área Jurídica para su formalización en Gerencia y posterior contestación</t>
        </is>
      </c>
      <c r="J129" s="10" t="inlineStr">
        <is>
          <t>Jefe de Atención al Cliente</t>
        </is>
      </c>
      <c r="K129" s="10" t="inlineStr">
        <is>
          <t>Jefe de Atención al Cliente</t>
        </is>
      </c>
      <c r="L129" s="10" t="inlineStr">
        <is>
          <t>UBICACIÓN DIGITAL-HERRAMIENTA SEC GERENCIA</t>
        </is>
      </c>
      <c r="M129" s="10" t="inlineStr">
        <is>
          <t>DOCUMENTO DE ARCHIVO-ELECTRÓNICO</t>
        </is>
      </c>
      <c r="N129" s="10" t="inlineStr">
        <is>
          <t>PRIMARIOS</t>
        </is>
      </c>
      <c r="O129" s="10" t="inlineStr">
        <is>
          <t>DOCUMENTOS TÉCNICOS</t>
        </is>
      </c>
      <c r="P129" s="10" t="inlineStr">
        <is>
          <t>RESTRINGIDO(3)</t>
        </is>
      </c>
      <c r="Q129" s="10" t="inlineStr">
        <is>
          <t>BAJA(1)</t>
        </is>
      </c>
      <c r="R129" s="10" t="inlineStr">
        <is>
          <t>MEDIA(2)</t>
        </is>
      </c>
      <c r="S129" s="10">
        <f>+(IF(P129="PUBLICA(1)",1,IF(P129="USO INTERNO(2)",2,IF(P129="RESTRINGIDO(3)",3,3))))+(IF(Q129="BAJA(1)",1,IF(Q129="MEDIA(2)",2,IF(Q129="ALTA(3)",3,3))))+(IF(R129="BAJA(1)",1,IF(R129="MEDIA(2)",2,IF(R129="ALTA(3)",3,3))))</f>
        <v/>
      </c>
      <c r="T129" s="10">
        <f>+IF(S129&lt;6,"BAJA",IF(S129&lt;8,"MEDIA","ALTA"))</f>
        <v/>
      </c>
      <c r="U129" s="10" t="inlineStr">
        <is>
          <t>-</t>
        </is>
      </c>
      <c r="V129" s="24" t="n">
        <v>45580</v>
      </c>
      <c r="W129" s="19" t="inlineStr">
        <is>
          <t>N/A</t>
        </is>
      </c>
      <c r="X129" s="10">
        <f>+IFERROR(IF(VLOOKUP(Tabla2[[#This Row],[ID]],'EVALUACION DE RIESGO'!A:A,1,FALSE)=Tabla2[[#This Row],[ID]],"SI","NO"),"NO")</f>
        <v/>
      </c>
      <c r="AD129">
        <f>IF(AND(Y129="",AA129=""),"",IF(OR(LEFT(AA129,2)="L0",LEFT(AA129,2)="L1",Y129="No Iniciado"),"CRÍTICO - Incumplimiento Normativo SEPS",IF(AND(OR(LEFT(AA129,2)="L4",LEFT(AA129,2)="L5"),AND(AC129&lt;&gt;"",AC129&lt;&gt;"N/A")),"CONFORME - Control Efectivo ISO 27001","OBSERVACIÓN - Revisar Controles")))</f>
        <v/>
      </c>
    </row>
    <row r="130">
      <c r="A130" s="99" t="inlineStr">
        <is>
          <t>44-GCS</t>
        </is>
      </c>
      <c r="B130" s="10" t="inlineStr">
        <is>
          <t>ESTRATÉGICO</t>
        </is>
      </c>
      <c r="C130" s="10" t="inlineStr">
        <is>
          <t>Gestión de Calidad del Servicio</t>
        </is>
      </c>
      <c r="D130" s="10" t="inlineStr">
        <is>
          <t>GCS</t>
        </is>
      </c>
      <c r="E130" s="10" t="inlineStr">
        <is>
          <t>Gestión de Conducta de Mercado</t>
        </is>
      </c>
      <c r="F130" s="10" t="inlineStr">
        <is>
          <t>-</t>
        </is>
      </c>
      <c r="G130" s="10" t="inlineStr">
        <is>
          <t>Gestión de Peticiones, Quejas, Reclamos, Requerimientos y Sugerencias - PQRS.</t>
        </is>
      </c>
      <c r="H130" s="10" t="inlineStr">
        <is>
          <t>Reporte de quejas y reclamos</t>
        </is>
      </c>
      <c r="I130" s="10" t="inlineStr">
        <is>
          <t>Reporte histórico de quejas y reclamos en formato de Excel con información de clientes</t>
        </is>
      </c>
      <c r="J130" s="10" t="inlineStr">
        <is>
          <t>Jefe de Atención al Cliente</t>
        </is>
      </c>
      <c r="K130" s="10" t="inlineStr">
        <is>
          <t>Área de Negocios</t>
        </is>
      </c>
      <c r="L130" s="10" t="inlineStr">
        <is>
          <t>UBICACIÓN DIGITAL-RED MINE</t>
        </is>
      </c>
      <c r="M130" s="10" t="inlineStr">
        <is>
          <t>DOCUMENTO DE ARCHIVO-ELECTRÓNICO</t>
        </is>
      </c>
      <c r="N130" s="10" t="inlineStr">
        <is>
          <t>PRIMARIOS</t>
        </is>
      </c>
      <c r="O130" s="10" t="inlineStr">
        <is>
          <t>DOCUMENTOS TÉCNICOS</t>
        </is>
      </c>
      <c r="P130" s="10" t="inlineStr">
        <is>
          <t>USO INTERNO(2)</t>
        </is>
      </c>
      <c r="Q130" s="10" t="inlineStr">
        <is>
          <t>BAJA(1)</t>
        </is>
      </c>
      <c r="R130" s="10" t="inlineStr">
        <is>
          <t>MEDIA(2)</t>
        </is>
      </c>
      <c r="S130" s="10">
        <f>+(IF(P130="PUBLICA(1)",1,IF(P130="USO INTERNO(2)",2,IF(P130="RESTRINGIDO(3)",3,3))))+(IF(Q130="BAJA(1)",1,IF(Q130="MEDIA(2)",2,IF(Q130="ALTA(3)",3,3))))+(IF(R130="BAJA(1)",1,IF(R130="MEDIA(2)",2,IF(R130="ALTA(3)",3,3))))</f>
        <v/>
      </c>
      <c r="T130" s="10">
        <f>+IF(S130&lt;6,"BAJA",IF(S130&lt;8,"MEDIA","ALTA"))</f>
        <v/>
      </c>
      <c r="U130" s="10" t="inlineStr">
        <is>
          <t>-</t>
        </is>
      </c>
      <c r="V130" s="24" t="n">
        <v>45580</v>
      </c>
      <c r="W130" s="19" t="inlineStr">
        <is>
          <t>N/A</t>
        </is>
      </c>
      <c r="X130" s="10">
        <f>+IFERROR(IF(VLOOKUP(Tabla2[[#This Row],[ID]],'EVALUACION DE RIESGO'!A:A,1,FALSE)=Tabla2[[#This Row],[ID]],"SI","NO"),"NO")</f>
        <v/>
      </c>
      <c r="AD130">
        <f>IF(AND(Y130="",AA130=""),"",IF(OR(LEFT(AA130,2)="L0",LEFT(AA130,2)="L1",Y130="No Iniciado"),"CRÍTICO - Incumplimiento Normativo SEPS",IF(AND(OR(LEFT(AA130,2)="L4",LEFT(AA130,2)="L5"),AND(AC130&lt;&gt;"",AC130&lt;&gt;"N/A")),"CONFORME - Control Efectivo ISO 27001","OBSERVACIÓN - Revisar Controles")))</f>
        <v/>
      </c>
    </row>
    <row r="131">
      <c r="A131" s="99" t="inlineStr">
        <is>
          <t>45-GCS</t>
        </is>
      </c>
      <c r="B131" s="10" t="inlineStr">
        <is>
          <t>ESTRATÉGICO</t>
        </is>
      </c>
      <c r="C131" s="10" t="inlineStr">
        <is>
          <t>Gestión de Calidad del Servicio</t>
        </is>
      </c>
      <c r="D131" s="10" t="inlineStr">
        <is>
          <t>GCS</t>
        </is>
      </c>
      <c r="E131" s="10" t="inlineStr">
        <is>
          <t>Gestión de Conducta de Mercado</t>
        </is>
      </c>
      <c r="F131" s="10" t="inlineStr">
        <is>
          <t>-</t>
        </is>
      </c>
      <c r="G131" s="10" t="inlineStr">
        <is>
          <t>Gestión de Peticiones, Quejas, Reclamos, Requerimientos y Sugerencias - PQRS.</t>
        </is>
      </c>
      <c r="H131" s="10" t="inlineStr">
        <is>
          <t xml:space="preserve">Informe de gestión mensual </t>
        </is>
      </c>
      <c r="I131" s="10" t="inlineStr">
        <is>
          <t>Informe que contiene la gestión del área de Atención al cliente, protección de derechos de cliente: quejas y reclamos, calidad, entrega de productos y transparencia, proyectos del área, cumplimiento al plan operativo, cumplimiento al plan anual de capacitación</t>
        </is>
      </c>
      <c r="J131" s="10" t="inlineStr">
        <is>
          <t>Jefe de Atención al Cliente</t>
        </is>
      </c>
      <c r="K131" s="10" t="inlineStr">
        <is>
          <t>Jefe de Atención al Cliente</t>
        </is>
      </c>
      <c r="L131" s="10" t="inlineStr">
        <is>
          <t>UBICACIÓN DIGITAL-EQUIPO DEL RESPONSABLE</t>
        </is>
      </c>
      <c r="M131" s="10" t="inlineStr">
        <is>
          <t>DOCUMENTO DE ARCHIVO-ELECTRÓNICO</t>
        </is>
      </c>
      <c r="N131" s="10" t="inlineStr">
        <is>
          <t>PRIMARIOS</t>
        </is>
      </c>
      <c r="O131" s="10" t="inlineStr">
        <is>
          <t>DOCUMENTOS TÉCNICOS</t>
        </is>
      </c>
      <c r="P131" s="10" t="inlineStr">
        <is>
          <t>USO INTERNO(2)</t>
        </is>
      </c>
      <c r="Q131" s="10" t="inlineStr">
        <is>
          <t>BAJA(1)</t>
        </is>
      </c>
      <c r="R131" s="10" t="inlineStr">
        <is>
          <t>BAJA(1)</t>
        </is>
      </c>
      <c r="S131" s="10">
        <f>+(IF(P131="PUBLICA(1)",1,IF(P131="USO INTERNO(2)",2,IF(P131="RESTRINGIDO(3)",3,3))))+(IF(Q131="BAJA(1)",1,IF(Q131="MEDIA(2)",2,IF(Q131="ALTA(3)",3,3))))+(IF(R131="BAJA(1)",1,IF(R131="MEDIA(2)",2,IF(R131="ALTA(3)",3,3))))</f>
        <v/>
      </c>
      <c r="T131" s="10">
        <f>+IF(S131&lt;6,"BAJA",IF(S131&lt;8,"MEDIA","ALTA"))</f>
        <v/>
      </c>
      <c r="U131" s="10" t="inlineStr">
        <is>
          <t>-</t>
        </is>
      </c>
      <c r="V131" s="24" t="n">
        <v>45580</v>
      </c>
      <c r="W131" s="19" t="inlineStr">
        <is>
          <t>N/A</t>
        </is>
      </c>
      <c r="X131" s="10">
        <f>+IFERROR(IF(VLOOKUP(Tabla2[[#This Row],[ID]],'EVALUACION DE RIESGO'!A:A,1,FALSE)=Tabla2[[#This Row],[ID]],"SI","NO"),"NO")</f>
        <v/>
      </c>
      <c r="AD131">
        <f>IF(AND(Y131="",AA131=""),"",IF(OR(LEFT(AA131,2)="L0",LEFT(AA131,2)="L1",Y131="No Iniciado"),"CRÍTICO - Incumplimiento Normativo SEPS",IF(AND(OR(LEFT(AA131,2)="L4",LEFT(AA131,2)="L5"),AND(AC131&lt;&gt;"",AC131&lt;&gt;"N/A")),"CONFORME - Control Efectivo ISO 27001","OBSERVACIÓN - Revisar Controles")))</f>
        <v/>
      </c>
    </row>
    <row r="132">
      <c r="A132" s="99" t="inlineStr">
        <is>
          <t>46-GCS</t>
        </is>
      </c>
      <c r="B132" s="10" t="inlineStr">
        <is>
          <t>ESTRATÉGICO</t>
        </is>
      </c>
      <c r="C132" s="10" t="inlineStr">
        <is>
          <t>Gestión de Calidad del Servicio</t>
        </is>
      </c>
      <c r="D132" s="10" t="inlineStr">
        <is>
          <t>GCS</t>
        </is>
      </c>
      <c r="E132" s="10" t="inlineStr">
        <is>
          <t>Gestión de Conducta de Mercado</t>
        </is>
      </c>
      <c r="F132" s="10" t="inlineStr">
        <is>
          <t>-</t>
        </is>
      </c>
      <c r="G132" s="10" t="inlineStr">
        <is>
          <t>Capacitación al personal</t>
        </is>
      </c>
      <c r="H132" s="10" t="inlineStr">
        <is>
          <t>Plan anual de capacitación aprobado</t>
        </is>
      </c>
      <c r="I132" s="10" t="inlineStr">
        <is>
          <t>Diagrama de fechas con áreas, contenido, desafíos, responsables, área de apoyo, verificación</t>
        </is>
      </c>
      <c r="J132" s="10" t="inlineStr">
        <is>
          <t>Jefe de Atención al Cliente</t>
        </is>
      </c>
      <c r="K132" s="10" t="inlineStr">
        <is>
          <t>Jefe de Atención al Cliente</t>
        </is>
      </c>
      <c r="L132" s="10" t="inlineStr">
        <is>
          <t>UBICACIÓN DIGITAL-EQUIPO DEL RESPONSABLE</t>
        </is>
      </c>
      <c r="M132" s="10" t="inlineStr">
        <is>
          <t>DOCUMENTO DE ARCHIVO-ELECTRÓNICO</t>
        </is>
      </c>
      <c r="N132" s="10" t="inlineStr">
        <is>
          <t>PRIMARIOS</t>
        </is>
      </c>
      <c r="O132" s="10" t="inlineStr">
        <is>
          <t>DOCUMENTOS TÉCNICOS</t>
        </is>
      </c>
      <c r="P132" s="10" t="inlineStr">
        <is>
          <t>USO INTERNO(2)</t>
        </is>
      </c>
      <c r="Q132" s="10" t="inlineStr">
        <is>
          <t>BAJA(1)</t>
        </is>
      </c>
      <c r="R132" s="10" t="inlineStr">
        <is>
          <t>BAJA(1)</t>
        </is>
      </c>
      <c r="S132" s="10">
        <f>+(IF(P132="PUBLICA(1)",1,IF(P132="USO INTERNO(2)",2,IF(P132="RESTRINGIDO(3)",3,3))))+(IF(Q132="BAJA(1)",1,IF(Q132="MEDIA(2)",2,IF(Q132="ALTA(3)",3,3))))+(IF(R132="BAJA(1)",1,IF(R132="MEDIA(2)",2,IF(R132="ALTA(3)",3,3))))</f>
        <v/>
      </c>
      <c r="T132" s="10">
        <f>+IF(S132&lt;6,"BAJA",IF(S132&lt;8,"MEDIA","ALTA"))</f>
        <v/>
      </c>
      <c r="U132" s="10" t="inlineStr">
        <is>
          <t>-</t>
        </is>
      </c>
      <c r="V132" s="24" t="n">
        <v>45580</v>
      </c>
      <c r="W132" s="19" t="inlineStr">
        <is>
          <t>N/A</t>
        </is>
      </c>
      <c r="X132" s="10">
        <f>+IFERROR(IF(VLOOKUP(Tabla2[[#This Row],[ID]],'EVALUACION DE RIESGO'!A:A,1,FALSE)=Tabla2[[#This Row],[ID]],"SI","NO"),"NO")</f>
        <v/>
      </c>
      <c r="AD132">
        <f>IF(AND(Y132="",AA132=""),"",IF(OR(LEFT(AA132,2)="L0",LEFT(AA132,2)="L1",Y132="No Iniciado"),"CRÍTICO - Incumplimiento Normativo SEPS",IF(AND(OR(LEFT(AA132,2)="L4",LEFT(AA132,2)="L5"),AND(AC132&lt;&gt;"",AC132&lt;&gt;"N/A")),"CONFORME - Control Efectivo ISO 27001","OBSERVACIÓN - Revisar Controles")))</f>
        <v/>
      </c>
    </row>
    <row r="133">
      <c r="A133" s="99" t="inlineStr">
        <is>
          <t>47-GCS</t>
        </is>
      </c>
      <c r="B133" s="10" t="inlineStr">
        <is>
          <t>ESTRATÉGICO</t>
        </is>
      </c>
      <c r="C133" s="10" t="inlineStr">
        <is>
          <t>Gestión de Calidad del Servicio</t>
        </is>
      </c>
      <c r="D133" s="10" t="inlineStr">
        <is>
          <t>GCS</t>
        </is>
      </c>
      <c r="E133" s="10" t="inlineStr">
        <is>
          <t>Gestión de Calidad del Servicio</t>
        </is>
      </c>
      <c r="F133" s="10" t="inlineStr">
        <is>
          <t>-</t>
        </is>
      </c>
      <c r="G133" s="10" t="inlineStr">
        <is>
          <t>Evaluación de la Calidad del Servicio</t>
        </is>
      </c>
      <c r="H133" s="10" t="inlineStr">
        <is>
          <t>Registro de calificaciones E</t>
        </is>
      </c>
      <c r="I133" s="10" t="inlineStr">
        <is>
          <t>Documento digital que contiene los indicadores de calificación</t>
        </is>
      </c>
      <c r="J133" s="10" t="inlineStr">
        <is>
          <t>Jefe de Atención al Cliente</t>
        </is>
      </c>
      <c r="K133" s="10" t="inlineStr">
        <is>
          <t>Jefe de Atención al Cliente</t>
        </is>
      </c>
      <c r="L133" s="10" t="inlineStr">
        <is>
          <t>UBICACIÓN DIGITAL-EQUIPO DEL RESPONSABLE</t>
        </is>
      </c>
      <c r="M133" s="10" t="inlineStr">
        <is>
          <t>DOCUMENTO DE ARCHIVO-ELECTRÓNICO</t>
        </is>
      </c>
      <c r="N133" s="10" t="inlineStr">
        <is>
          <t>PRIMARIOS</t>
        </is>
      </c>
      <c r="O133" s="10" t="inlineStr">
        <is>
          <t>DOCUMENTOS TÉCNICOS</t>
        </is>
      </c>
      <c r="P133" s="10" t="inlineStr">
        <is>
          <t>USO INTERNO(2)</t>
        </is>
      </c>
      <c r="Q133" s="10" t="inlineStr">
        <is>
          <t>BAJA(1)</t>
        </is>
      </c>
      <c r="R133" s="10" t="inlineStr">
        <is>
          <t>BAJA(1)</t>
        </is>
      </c>
      <c r="S133" s="10">
        <f>+(IF(P133="PUBLICA(1)",1,IF(P133="USO INTERNO(2)",2,IF(P133="RESTRINGIDO(3)",3,3))))+(IF(Q133="BAJA(1)",1,IF(Q133="MEDIA(2)",2,IF(Q133="ALTA(3)",3,3))))+(IF(R133="BAJA(1)",1,IF(R133="MEDIA(2)",2,IF(R133="ALTA(3)",3,3))))</f>
        <v/>
      </c>
      <c r="T133" s="10">
        <f>+IF(S133&lt;6,"BAJA",IF(S133&lt;8,"MEDIA","ALTA"))</f>
        <v/>
      </c>
      <c r="U133" s="10" t="inlineStr">
        <is>
          <t>-</t>
        </is>
      </c>
      <c r="V133" s="24" t="n">
        <v>45580</v>
      </c>
      <c r="W133" s="19" t="inlineStr">
        <is>
          <t>N/A</t>
        </is>
      </c>
      <c r="X133" s="10">
        <f>+IFERROR(IF(VLOOKUP(Tabla2[[#This Row],[ID]],'EVALUACION DE RIESGO'!A:A,1,FALSE)=Tabla2[[#This Row],[ID]],"SI","NO"),"NO")</f>
        <v/>
      </c>
      <c r="AD133">
        <f>IF(AND(Y133="",AA133=""),"",IF(OR(LEFT(AA133,2)="L0",LEFT(AA133,2)="L1",Y133="No Iniciado"),"CRÍTICO - Incumplimiento Normativo SEPS",IF(AND(OR(LEFT(AA133,2)="L4",LEFT(AA133,2)="L5"),AND(AC133&lt;&gt;"",AC133&lt;&gt;"N/A")),"CONFORME - Control Efectivo ISO 27001","OBSERVACIÓN - Revisar Controles")))</f>
        <v/>
      </c>
    </row>
    <row r="134">
      <c r="A134" s="99" t="inlineStr">
        <is>
          <t>48-GCS</t>
        </is>
      </c>
      <c r="B134" s="10" t="inlineStr">
        <is>
          <t>ESTRATÉGICO</t>
        </is>
      </c>
      <c r="C134" s="10" t="inlineStr">
        <is>
          <t>Gestión de Calidad del Servicio</t>
        </is>
      </c>
      <c r="D134" s="10" t="inlineStr">
        <is>
          <t>GCS</t>
        </is>
      </c>
      <c r="E134" s="10" t="inlineStr">
        <is>
          <t>Gestión de Calidad del Servicio</t>
        </is>
      </c>
      <c r="F134" s="10" t="inlineStr">
        <is>
          <t>-</t>
        </is>
      </c>
      <c r="G134" s="10" t="inlineStr">
        <is>
          <t>Evaluación de la Calidad del Servicio</t>
        </is>
      </c>
      <c r="H134" s="10" t="inlineStr">
        <is>
          <t>Modelo de Evaluación de la Calidad del Servicio E</t>
        </is>
      </c>
      <c r="I134" s="10" t="inlineStr">
        <is>
          <t xml:space="preserve">Metodología que permite evaluar todos los indicadores con respecto a Atención al cliente </t>
        </is>
      </c>
      <c r="J134" s="10" t="inlineStr">
        <is>
          <t>Jefe de Atención al Cliente</t>
        </is>
      </c>
      <c r="K134" s="10" t="inlineStr">
        <is>
          <t>Jefe de Atención al Cliente</t>
        </is>
      </c>
      <c r="L134" s="10" t="inlineStr">
        <is>
          <t>UBICACIÓN DIGITAL-EQUIPO DEL RESPONSABLE</t>
        </is>
      </c>
      <c r="M134" s="10" t="inlineStr">
        <is>
          <t>DOCUMENTO DE ARCHIVO-ELECTRÓNICO</t>
        </is>
      </c>
      <c r="N134" s="10" t="inlineStr">
        <is>
          <t>PRIMARIOS</t>
        </is>
      </c>
      <c r="O134" s="10" t="inlineStr">
        <is>
          <t>DOCUMENTOS TÉCNICOS</t>
        </is>
      </c>
      <c r="P134" s="10" t="inlineStr">
        <is>
          <t>USO INTERNO(2)</t>
        </is>
      </c>
      <c r="Q134" s="10" t="inlineStr">
        <is>
          <t>BAJA(1)</t>
        </is>
      </c>
      <c r="R134" s="10" t="inlineStr">
        <is>
          <t>BAJA(1)</t>
        </is>
      </c>
      <c r="S134" s="10">
        <f>+(IF(P134="PUBLICA(1)",1,IF(P134="USO INTERNO(2)",2,IF(P134="RESTRINGIDO(3)",3,3))))+(IF(Q134="BAJA(1)",1,IF(Q134="MEDIA(2)",2,IF(Q134="ALTA(3)",3,3))))+(IF(R134="BAJA(1)",1,IF(R134="MEDIA(2)",2,IF(R134="ALTA(3)",3,3))))</f>
        <v/>
      </c>
      <c r="T134" s="10">
        <f>+IF(S134&lt;6,"BAJA",IF(S134&lt;8,"MEDIA","ALTA"))</f>
        <v/>
      </c>
      <c r="U134" s="10" t="inlineStr">
        <is>
          <t>-</t>
        </is>
      </c>
      <c r="V134" s="24" t="n">
        <v>45580</v>
      </c>
      <c r="W134" s="19" t="inlineStr">
        <is>
          <t>N/A</t>
        </is>
      </c>
      <c r="X134" s="10">
        <f>+IFERROR(IF(VLOOKUP(Tabla2[[#This Row],[ID]],'EVALUACION DE RIESGO'!A:A,1,FALSE)=Tabla2[[#This Row],[ID]],"SI","NO"),"NO")</f>
        <v/>
      </c>
      <c r="AD134">
        <f>IF(AND(Y134="",AA134=""),"",IF(OR(LEFT(AA134,2)="L0",LEFT(AA134,2)="L1",Y134="No Iniciado"),"CRÍTICO - Incumplimiento Normativo SEPS",IF(AND(OR(LEFT(AA134,2)="L4",LEFT(AA134,2)="L5"),AND(AC134&lt;&gt;"",AC134&lt;&gt;"N/A")),"CONFORME - Control Efectivo ISO 27001","OBSERVACIÓN - Revisar Controles")))</f>
        <v/>
      </c>
    </row>
    <row r="135">
      <c r="A135" s="99" t="inlineStr">
        <is>
          <t>49-GCS</t>
        </is>
      </c>
      <c r="B135" s="10" t="inlineStr">
        <is>
          <t>ESTRATÉGICO</t>
        </is>
      </c>
      <c r="C135" s="10" t="inlineStr">
        <is>
          <t>Gestión de Calidad del Servicio</t>
        </is>
      </c>
      <c r="D135" s="10" t="inlineStr">
        <is>
          <t>GCS</t>
        </is>
      </c>
      <c r="E135" s="10" t="inlineStr">
        <is>
          <t>Gestión de Calidad del Servicio</t>
        </is>
      </c>
      <c r="F135" s="10" t="inlineStr">
        <is>
          <t>-</t>
        </is>
      </c>
      <c r="G135" s="10" t="inlineStr">
        <is>
          <t>Evaluación de la Calidad del Servicio</t>
        </is>
      </c>
      <c r="H135" s="10" t="inlineStr">
        <is>
          <t>Informe estadístico de calificador de atención</t>
        </is>
      </c>
      <c r="I135" s="10" t="inlineStr">
        <is>
          <t>Informe que se comparte anualmente a la alta Gerencia (Información que se comparte en el Anuario)</t>
        </is>
      </c>
      <c r="J135" s="10" t="inlineStr">
        <is>
          <t>Jefe de Atención al Cliente</t>
        </is>
      </c>
      <c r="K135" s="10" t="inlineStr">
        <is>
          <t>Jefe de Atención al Cliente</t>
        </is>
      </c>
      <c r="L135" s="10" t="inlineStr">
        <is>
          <t>UBICACIÓN DIGITAL-EQUIPO DEL RESPONSABLE</t>
        </is>
      </c>
      <c r="M135" s="10" t="inlineStr">
        <is>
          <t>DOCUMENTO DE ARCHIVO-ELECTRÓNICO</t>
        </is>
      </c>
      <c r="N135" s="10" t="inlineStr">
        <is>
          <t>PRIMARIOS</t>
        </is>
      </c>
      <c r="O135" s="10" t="inlineStr">
        <is>
          <t>NORMATIVA INTERNA</t>
        </is>
      </c>
      <c r="P135" s="10" t="inlineStr">
        <is>
          <t>USO INTERNO(2)</t>
        </is>
      </c>
      <c r="Q135" s="10" t="inlineStr">
        <is>
          <t>BAJA(1)</t>
        </is>
      </c>
      <c r="R135" s="10" t="inlineStr">
        <is>
          <t>BAJA(1)</t>
        </is>
      </c>
      <c r="S135" s="10">
        <f>+(IF(P135="PUBLICA(1)",1,IF(P135="USO INTERNO(2)",2,IF(P135="RESTRINGIDO(3)",3,3))))+(IF(Q135="BAJA(1)",1,IF(Q135="MEDIA(2)",2,IF(Q135="ALTA(3)",3,3))))+(IF(R135="BAJA(1)",1,IF(R135="MEDIA(2)",2,IF(R135="ALTA(3)",3,3))))</f>
        <v/>
      </c>
      <c r="T135" s="10">
        <f>+IF(S135&lt;6,"BAJA",IF(S135&lt;8,"MEDIA","ALTA"))</f>
        <v/>
      </c>
      <c r="U135" s="10" t="inlineStr">
        <is>
          <t>-</t>
        </is>
      </c>
      <c r="V135" s="24" t="n">
        <v>45580</v>
      </c>
      <c r="W135" s="19" t="inlineStr">
        <is>
          <t>N/A</t>
        </is>
      </c>
      <c r="X135" s="10">
        <f>+IFERROR(IF(VLOOKUP(Tabla2[[#This Row],[ID]],'EVALUACION DE RIESGO'!A:A,1,FALSE)=Tabla2[[#This Row],[ID]],"SI","NO"),"NO")</f>
        <v/>
      </c>
      <c r="AD135">
        <f>IF(AND(Y135="",AA135=""),"",IF(OR(LEFT(AA135,2)="L0",LEFT(AA135,2)="L1",Y135="No Iniciado"),"CRÍTICO - Incumplimiento Normativo SEPS",IF(AND(OR(LEFT(AA135,2)="L4",LEFT(AA135,2)="L5"),AND(AC135&lt;&gt;"",AC135&lt;&gt;"N/A")),"CONFORME - Control Efectivo ISO 27001","OBSERVACIÓN - Revisar Controles")))</f>
        <v/>
      </c>
    </row>
    <row r="136">
      <c r="A136" s="99" t="inlineStr">
        <is>
          <t>50-GCS</t>
        </is>
      </c>
      <c r="B136" s="10" t="inlineStr">
        <is>
          <t>ESTRATÉGICO</t>
        </is>
      </c>
      <c r="C136" s="10" t="inlineStr">
        <is>
          <t>Gestión de Calidad del Servicio</t>
        </is>
      </c>
      <c r="D136" s="10" t="inlineStr">
        <is>
          <t>GCS</t>
        </is>
      </c>
      <c r="E136" s="10" t="inlineStr">
        <is>
          <t>Gestión de Calidad del Servicio</t>
        </is>
      </c>
      <c r="F136" s="10" t="inlineStr">
        <is>
          <t>-</t>
        </is>
      </c>
      <c r="G136" s="10" t="inlineStr">
        <is>
          <t>Evaluación de la Calidad del Servicio</t>
        </is>
      </c>
      <c r="H136" s="10" t="inlineStr">
        <is>
          <t xml:space="preserve">Informe de cliente fantasma </t>
        </is>
      </c>
      <c r="I136" s="10" t="inlineStr">
        <is>
          <t>Informe realizado cada dos años con un proveedor externo</t>
        </is>
      </c>
      <c r="J136" s="10" t="inlineStr">
        <is>
          <t>Jefe de Atención al Cliente</t>
        </is>
      </c>
      <c r="K136" s="10" t="inlineStr">
        <is>
          <t>Jefe de Atención al Cliente</t>
        </is>
      </c>
      <c r="L136" s="10" t="inlineStr">
        <is>
          <t>UBICACIÓN DIGITAL-EQUIPO DEL RESPONSABLE</t>
        </is>
      </c>
      <c r="M136" s="10" t="inlineStr">
        <is>
          <t>DOCUMENTO DE ARCHIVO-ELECTRÓNICO</t>
        </is>
      </c>
      <c r="N136" s="10" t="inlineStr">
        <is>
          <t>PRIMARIOS</t>
        </is>
      </c>
      <c r="O136" s="10" t="inlineStr">
        <is>
          <t>INFORMACIÓN DE TERCEROS</t>
        </is>
      </c>
      <c r="P136" s="10" t="inlineStr">
        <is>
          <t>USO INTERNO(2)</t>
        </is>
      </c>
      <c r="Q136" s="10" t="inlineStr">
        <is>
          <t>BAJA(1)</t>
        </is>
      </c>
      <c r="R136" s="10" t="inlineStr">
        <is>
          <t>BAJA(1)</t>
        </is>
      </c>
      <c r="S136" s="10">
        <f>+(IF(P136="PUBLICA(1)",1,IF(P136="USO INTERNO(2)",2,IF(P136="RESTRINGIDO(3)",3,3))))+(IF(Q136="BAJA(1)",1,IF(Q136="MEDIA(2)",2,IF(Q136="ALTA(3)",3,3))))+(IF(R136="BAJA(1)",1,IF(R136="MEDIA(2)",2,IF(R136="ALTA(3)",3,3))))</f>
        <v/>
      </c>
      <c r="T136" s="10">
        <f>+IF(S136&lt;6,"BAJA",IF(S136&lt;8,"MEDIA","ALTA"))</f>
        <v/>
      </c>
      <c r="U136" s="10" t="inlineStr">
        <is>
          <t>-</t>
        </is>
      </c>
      <c r="V136" s="24" t="n">
        <v>45580</v>
      </c>
      <c r="W136" s="19" t="inlineStr">
        <is>
          <t>N/A</t>
        </is>
      </c>
      <c r="X136" s="10">
        <f>+IFERROR(IF(VLOOKUP(Tabla2[[#This Row],[ID]],'EVALUACION DE RIESGO'!A:A,1,FALSE)=Tabla2[[#This Row],[ID]],"SI","NO"),"NO")</f>
        <v/>
      </c>
      <c r="AD136">
        <f>IF(AND(Y136="",AA136=""),"",IF(OR(LEFT(AA136,2)="L0",LEFT(AA136,2)="L1",Y136="No Iniciado"),"CRÍTICO - Incumplimiento Normativo SEPS",IF(AND(OR(LEFT(AA136,2)="L4",LEFT(AA136,2)="L5"),AND(AC136&lt;&gt;"",AC136&lt;&gt;"N/A")),"CONFORME - Control Efectivo ISO 27001","OBSERVACIÓN - Revisar Controles")))</f>
        <v/>
      </c>
    </row>
    <row r="137">
      <c r="A137" s="99" t="inlineStr">
        <is>
          <t>51-GCS</t>
        </is>
      </c>
      <c r="B137" s="10" t="inlineStr">
        <is>
          <t>ESTRATÉGICO</t>
        </is>
      </c>
      <c r="C137" s="10" t="inlineStr">
        <is>
          <t>Gestión de Calidad del Servicio</t>
        </is>
      </c>
      <c r="D137" s="10" t="inlineStr">
        <is>
          <t>GCS</t>
        </is>
      </c>
      <c r="E137" s="10" t="inlineStr">
        <is>
          <t>Gestión de Calidad del Servicio</t>
        </is>
      </c>
      <c r="F137" s="10" t="inlineStr">
        <is>
          <t>-</t>
        </is>
      </c>
      <c r="G137" s="10" t="inlineStr">
        <is>
          <t>Evaluación de la Calidad del Servicio</t>
        </is>
      </c>
      <c r="H137" s="10" t="inlineStr">
        <is>
          <t>Novedades y plan de acción de las visitas a las oficinas</t>
        </is>
      </c>
      <c r="I137" s="10" t="inlineStr">
        <is>
          <t>Recopilación de necesidades de las oficinas en relación a la calidad del servicio</t>
        </is>
      </c>
      <c r="J137" s="10" t="inlineStr">
        <is>
          <t>Jefe de Atención al Cliente</t>
        </is>
      </c>
      <c r="K137" s="10" t="inlineStr">
        <is>
          <t>Jefe de Atención al Cliente</t>
        </is>
      </c>
      <c r="L137" s="10" t="inlineStr">
        <is>
          <t>UBICACIÓN DIGITAL-EQUIPO DEL RESPONSABLE</t>
        </is>
      </c>
      <c r="M137" s="10" t="inlineStr">
        <is>
          <t>DOCUMENTO DE ARCHIVO-ELECTRÓNICO</t>
        </is>
      </c>
      <c r="N137" s="10" t="inlineStr">
        <is>
          <t>PRIMARIOS</t>
        </is>
      </c>
      <c r="O137" s="10" t="inlineStr">
        <is>
          <t>DOCUMENTOS TÉCNICOS</t>
        </is>
      </c>
      <c r="P137" s="10" t="inlineStr">
        <is>
          <t>USO INTERNO(2)</t>
        </is>
      </c>
      <c r="Q137" s="10" t="inlineStr">
        <is>
          <t>BAJA(1)</t>
        </is>
      </c>
      <c r="R137" s="10" t="inlineStr">
        <is>
          <t>BAJA(1)</t>
        </is>
      </c>
      <c r="S137" s="10">
        <f>+(IF(P137="PUBLICA(1)",1,IF(P137="USO INTERNO(2)",2,IF(P137="RESTRINGIDO(3)",3,3))))+(IF(Q137="BAJA(1)",1,IF(Q137="MEDIA(2)",2,IF(Q137="ALTA(3)",3,3))))+(IF(R137="BAJA(1)",1,IF(R137="MEDIA(2)",2,IF(R137="ALTA(3)",3,3))))</f>
        <v/>
      </c>
      <c r="T137" s="10">
        <f>+IF(S137&lt;6,"BAJA",IF(S137&lt;8,"MEDIA","ALTA"))</f>
        <v/>
      </c>
      <c r="U137" s="10" t="inlineStr">
        <is>
          <t>-</t>
        </is>
      </c>
      <c r="V137" s="24" t="n">
        <v>45580</v>
      </c>
      <c r="W137" s="19" t="inlineStr">
        <is>
          <t>N/A</t>
        </is>
      </c>
      <c r="X137" s="10">
        <f>+IFERROR(IF(VLOOKUP(Tabla2[[#This Row],[ID]],'EVALUACION DE RIESGO'!A:A,1,FALSE)=Tabla2[[#This Row],[ID]],"SI","NO"),"NO")</f>
        <v/>
      </c>
      <c r="AD137">
        <f>IF(AND(Y137="",AA137=""),"",IF(OR(LEFT(AA137,2)="L0",LEFT(AA137,2)="L1",Y137="No Iniciado"),"CRÍTICO - Incumplimiento Normativo SEPS",IF(AND(OR(LEFT(AA137,2)="L4",LEFT(AA137,2)="L5"),AND(AC137&lt;&gt;"",AC137&lt;&gt;"N/A")),"CONFORME - Control Efectivo ISO 27001","OBSERVACIÓN - Revisar Controles")))</f>
        <v/>
      </c>
    </row>
    <row r="138">
      <c r="A138" s="99" t="inlineStr">
        <is>
          <t>52-GCS</t>
        </is>
      </c>
      <c r="B138" s="10" t="inlineStr">
        <is>
          <t>ESTRATÉGICO</t>
        </is>
      </c>
      <c r="C138" s="10" t="inlineStr">
        <is>
          <t>Gestión de Calidad del Servicio</t>
        </is>
      </c>
      <c r="D138" s="10" t="inlineStr">
        <is>
          <t>GCS</t>
        </is>
      </c>
      <c r="E138" s="10" t="inlineStr">
        <is>
          <t>Gestión de Calidad del Servicio</t>
        </is>
      </c>
      <c r="F138" s="10" t="inlineStr">
        <is>
          <t>-</t>
        </is>
      </c>
      <c r="G138" s="10" t="inlineStr">
        <is>
          <t>Evaluación de la Calidad del Servicio</t>
        </is>
      </c>
      <c r="H138" s="10" t="inlineStr">
        <is>
          <t>Reporte de nivel de satisfacción</t>
        </is>
      </c>
      <c r="I138" s="10" t="inlineStr">
        <is>
          <t>Reporte de satisfacción exportado desde el Core Financiero Trx 02-5081</t>
        </is>
      </c>
      <c r="J138" s="10" t="inlineStr">
        <is>
          <t>Jefe de Atención al Cliente</t>
        </is>
      </c>
      <c r="K138" s="10" t="inlineStr">
        <is>
          <t>Jefe de Atención al Cliente / TI Core Financiero</t>
        </is>
      </c>
      <c r="L138" s="10" t="inlineStr">
        <is>
          <t>UBICACIÓN DIGITAL-CORE FINANCIERO</t>
        </is>
      </c>
      <c r="M138" s="10" t="inlineStr">
        <is>
          <t>DISCOS DUROS, SERVIDORES, DISCOS O MEDIOS PORTÁTILES, CINTAS O MEDIOS DE VIDEO Y AUDIO, ETC.</t>
        </is>
      </c>
      <c r="N138" s="10" t="inlineStr">
        <is>
          <t>APOYO</t>
        </is>
      </c>
      <c r="O138" s="10" t="inlineStr">
        <is>
          <t>OTROS</t>
        </is>
      </c>
      <c r="P138" s="10" t="inlineStr">
        <is>
          <t>USO INTERNO(2)</t>
        </is>
      </c>
      <c r="Q138" s="10" t="inlineStr">
        <is>
          <t>BAJA(1)</t>
        </is>
      </c>
      <c r="R138" s="10" t="inlineStr">
        <is>
          <t>BAJA(1)</t>
        </is>
      </c>
      <c r="S138" s="10">
        <f>+(IF(P138="PUBLICA(1)",1,IF(P138="USO INTERNO(2)",2,IF(P138="RESTRINGIDO(3)",3,3))))+(IF(Q138="BAJA(1)",1,IF(Q138="MEDIA(2)",2,IF(Q138="ALTA(3)",3,3))))+(IF(R138="BAJA(1)",1,IF(R138="MEDIA(2)",2,IF(R138="ALTA(3)",3,3))))</f>
        <v/>
      </c>
      <c r="T138" s="10">
        <f>+IF(S138&lt;6,"BAJA",IF(S138&lt;8,"MEDIA","ALTA"))</f>
        <v/>
      </c>
      <c r="U138" s="10" t="inlineStr">
        <is>
          <t>-</t>
        </is>
      </c>
      <c r="V138" s="24" t="n">
        <v>45580</v>
      </c>
      <c r="W138" s="19" t="inlineStr">
        <is>
          <t>N/A</t>
        </is>
      </c>
      <c r="X138" s="10">
        <f>+IFERROR(IF(VLOOKUP(Tabla2[[#This Row],[ID]],'EVALUACION DE RIESGO'!A:A,1,FALSE)=Tabla2[[#This Row],[ID]],"SI","NO"),"NO")</f>
        <v/>
      </c>
      <c r="AD138">
        <f>IF(AND(Y138="",AA138=""),"",IF(OR(LEFT(AA138,2)="L0",LEFT(AA138,2)="L1",Y138="No Iniciado"),"CRÍTICO - Incumplimiento Normativo SEPS",IF(AND(OR(LEFT(AA138,2)="L4",LEFT(AA138,2)="L5"),AND(AC138&lt;&gt;"",AC138&lt;&gt;"N/A")),"CONFORME - Control Efectivo ISO 27001","OBSERVACIÓN - Revisar Controles")))</f>
        <v/>
      </c>
    </row>
    <row r="139">
      <c r="A139" s="99" t="inlineStr">
        <is>
          <t>53-GCS</t>
        </is>
      </c>
      <c r="B139" s="10" t="inlineStr">
        <is>
          <t>ESTRATÉGICO</t>
        </is>
      </c>
      <c r="C139" s="10" t="inlineStr">
        <is>
          <t>Gestión de Calidad del Servicio</t>
        </is>
      </c>
      <c r="D139" s="10" t="inlineStr">
        <is>
          <t>GCS</t>
        </is>
      </c>
      <c r="E139" s="10" t="inlineStr">
        <is>
          <t>Gestión de Calidad del Servicio</t>
        </is>
      </c>
      <c r="F139" s="10" t="inlineStr">
        <is>
          <t>-</t>
        </is>
      </c>
      <c r="G139" s="10" t="inlineStr">
        <is>
          <t>Evaluación de la Calidad del Servicio</t>
        </is>
      </c>
      <c r="H139" s="10" t="inlineStr">
        <is>
          <t>Matriz de evaluación anual de la atención al cliente</t>
        </is>
      </c>
      <c r="I139" s="10" t="inlineStr">
        <is>
          <t xml:space="preserve">Informe de novedades y hallazgos de las visitas anuales a las oficinas/Reporte de score de atención </t>
        </is>
      </c>
      <c r="J139" s="10" t="inlineStr">
        <is>
          <t>Jefe de Atención al Cliente</t>
        </is>
      </c>
      <c r="K139" s="10" t="inlineStr">
        <is>
          <t>Jefe de Atención al Cliente</t>
        </is>
      </c>
      <c r="L139" s="10" t="inlineStr">
        <is>
          <t>UBICACIÓN FISICA - ARCHIVO DEL ÁREA</t>
        </is>
      </c>
      <c r="M139" s="10" t="inlineStr">
        <is>
          <t>DOCUMENTO DE ARCHIVO-FÍSICO</t>
        </is>
      </c>
      <c r="N139" s="10" t="inlineStr">
        <is>
          <t>PRIMARIOS</t>
        </is>
      </c>
      <c r="O139" s="10" t="inlineStr">
        <is>
          <t>DOCUMENTOS TÉCNICOS</t>
        </is>
      </c>
      <c r="P139" s="10" t="inlineStr">
        <is>
          <t>USO INTERNO(2)</t>
        </is>
      </c>
      <c r="Q139" s="10" t="inlineStr">
        <is>
          <t>BAJA(1)</t>
        </is>
      </c>
      <c r="R139" s="10" t="inlineStr">
        <is>
          <t>BAJA(1)</t>
        </is>
      </c>
      <c r="S139" s="10">
        <f>+(IF(P139="PUBLICA(1)",1,IF(P139="USO INTERNO(2)",2,IF(P139="RESTRINGIDO(3)",3,3))))+(IF(Q139="BAJA(1)",1,IF(Q139="MEDIA(2)",2,IF(Q139="ALTA(3)",3,3))))+(IF(R139="BAJA(1)",1,IF(R139="MEDIA(2)",2,IF(R139="ALTA(3)",3,3))))</f>
        <v/>
      </c>
      <c r="T139" s="10">
        <f>+IF(S139&lt;6,"BAJA",IF(S139&lt;8,"MEDIA","ALTA"))</f>
        <v/>
      </c>
      <c r="U139" s="10" t="inlineStr">
        <is>
          <t>-</t>
        </is>
      </c>
      <c r="V139" s="24" t="n">
        <v>45580</v>
      </c>
      <c r="W139" s="19" t="inlineStr">
        <is>
          <t>N/A</t>
        </is>
      </c>
      <c r="X139" s="10">
        <f>+IFERROR(IF(VLOOKUP(Tabla2[[#This Row],[ID]],'EVALUACION DE RIESGO'!A:A,1,FALSE)=Tabla2[[#This Row],[ID]],"SI","NO"),"NO")</f>
        <v/>
      </c>
      <c r="AD139">
        <f>IF(AND(Y139="",AA139=""),"",IF(OR(LEFT(AA139,2)="L0",LEFT(AA139,2)="L1",Y139="No Iniciado"),"CRÍTICO - Incumplimiento Normativo SEPS",IF(AND(OR(LEFT(AA139,2)="L4",LEFT(AA139,2)="L5"),AND(AC139&lt;&gt;"",AC139&lt;&gt;"N/A")),"CONFORME - Control Efectivo ISO 27001","OBSERVACIÓN - Revisar Controles")))</f>
        <v/>
      </c>
    </row>
    <row r="140">
      <c r="A140" s="99" t="inlineStr">
        <is>
          <t>54-GCS</t>
        </is>
      </c>
      <c r="B140" s="10" t="inlineStr">
        <is>
          <t>ESTRATÉGICO</t>
        </is>
      </c>
      <c r="C140" s="10" t="inlineStr">
        <is>
          <t>Gestión de Calidad del Servicio</t>
        </is>
      </c>
      <c r="D140" s="10" t="inlineStr">
        <is>
          <t>GCS</t>
        </is>
      </c>
      <c r="E140" s="10" t="inlineStr">
        <is>
          <t>Gestión de Calidad del Servicio</t>
        </is>
      </c>
      <c r="F140" s="10" t="inlineStr">
        <is>
          <t>-</t>
        </is>
      </c>
      <c r="G140" s="10" t="inlineStr">
        <is>
          <t>Control del protocolo de servicio e imagen corporativa</t>
        </is>
      </c>
      <c r="H140" s="10" t="inlineStr">
        <is>
          <t>Protocolo de Servicio e Imagen Corporativa E</t>
        </is>
      </c>
      <c r="I140" s="10" t="inlineStr">
        <is>
          <t>Código de buenas prácticas y conducta, estandariza el comportamiento que deben mantener los colaboradores y las buenas practicas a aplicarse en la oferta y entrega de productos y servicios</t>
        </is>
      </c>
      <c r="J140" s="10" t="inlineStr">
        <is>
          <t>Jefe de Atención al Cliente</t>
        </is>
      </c>
      <c r="K140" s="10" t="inlineStr">
        <is>
          <t>Jefe de Atención al Cliente</t>
        </is>
      </c>
      <c r="L140" s="10" t="inlineStr">
        <is>
          <t>UBICACIÓN DIGITAL-WEBCOOP</t>
        </is>
      </c>
      <c r="M140" s="10" t="inlineStr">
        <is>
          <t>SISTEMAS DE INFORMACIÓN CORPORATIVOS</t>
        </is>
      </c>
      <c r="N140" s="10" t="inlineStr">
        <is>
          <t>PRIMARIOS</t>
        </is>
      </c>
      <c r="O140" s="10" t="inlineStr">
        <is>
          <t>NORMATIVA INTERNA</t>
        </is>
      </c>
      <c r="P140" s="10" t="inlineStr">
        <is>
          <t>USO INTERNO(2)</t>
        </is>
      </c>
      <c r="Q140" s="10" t="inlineStr">
        <is>
          <t>BAJA(1)</t>
        </is>
      </c>
      <c r="R140" s="10" t="inlineStr">
        <is>
          <t>BAJA(1)</t>
        </is>
      </c>
      <c r="S140" s="10">
        <f>+(IF(P140="PUBLICA(1)",1,IF(P140="USO INTERNO(2)",2,IF(P140="RESTRINGIDO(3)",3,3))))+(IF(Q140="BAJA(1)",1,IF(Q140="MEDIA(2)",2,IF(Q140="ALTA(3)",3,3))))+(IF(R140="BAJA(1)",1,IF(R140="MEDIA(2)",2,IF(R140="ALTA(3)",3,3))))</f>
        <v/>
      </c>
      <c r="T140" s="10">
        <f>+IF(S140&lt;6,"BAJA",IF(S140&lt;8,"MEDIA","ALTA"))</f>
        <v/>
      </c>
      <c r="U140" s="10" t="inlineStr">
        <is>
          <t>-</t>
        </is>
      </c>
      <c r="V140" s="24" t="n">
        <v>45580</v>
      </c>
      <c r="W140" s="19" t="inlineStr">
        <is>
          <t>N/A</t>
        </is>
      </c>
      <c r="X140" s="10">
        <f>+IFERROR(IF(VLOOKUP(Tabla2[[#This Row],[ID]],'EVALUACION DE RIESGO'!A:A,1,FALSE)=Tabla2[[#This Row],[ID]],"SI","NO"),"NO")</f>
        <v/>
      </c>
      <c r="AD140">
        <f>IF(AND(Y140="",AA140=""),"",IF(OR(LEFT(AA140,2)="L0",LEFT(AA140,2)="L1",Y140="No Iniciado"),"CRÍTICO - Incumplimiento Normativo SEPS",IF(AND(OR(LEFT(AA140,2)="L4",LEFT(AA140,2)="L5"),AND(AC140&lt;&gt;"",AC140&lt;&gt;"N/A")),"CONFORME - Control Efectivo ISO 27001","OBSERVACIÓN - Revisar Controles")))</f>
        <v/>
      </c>
    </row>
    <row r="141">
      <c r="A141" s="99" t="inlineStr">
        <is>
          <t>55-GCS</t>
        </is>
      </c>
      <c r="B141" s="10" t="inlineStr">
        <is>
          <t>ESTRATÉGICO</t>
        </is>
      </c>
      <c r="C141" s="10" t="inlineStr">
        <is>
          <t>Gestión de Calidad del Servicio</t>
        </is>
      </c>
      <c r="D141" s="10" t="inlineStr">
        <is>
          <t>GCS</t>
        </is>
      </c>
      <c r="E141" s="10" t="inlineStr">
        <is>
          <t>Gestión de Calidad del Servicio</t>
        </is>
      </c>
      <c r="F141" s="10" t="inlineStr">
        <is>
          <t>-</t>
        </is>
      </c>
      <c r="G141" s="10" t="inlineStr">
        <is>
          <t>Control del protocolo de servicio e imagen corporativa</t>
        </is>
      </c>
      <c r="H141" s="10" t="inlineStr">
        <is>
          <t>Formulario de visitas y control</t>
        </is>
      </c>
      <c r="I141" s="10" t="inlineStr">
        <is>
          <t>Documento físico con novedades de las visitas</t>
        </is>
      </c>
      <c r="J141" s="10" t="inlineStr">
        <is>
          <t>Jefe de Atención al Cliente</t>
        </is>
      </c>
      <c r="K141" s="10" t="inlineStr">
        <is>
          <t>Jefe de Atención al Cliente</t>
        </is>
      </c>
      <c r="L141" s="10" t="inlineStr">
        <is>
          <t>UBICACIÓN FISICA - ARCHIVO DEL ÁREA</t>
        </is>
      </c>
      <c r="M141" s="10" t="inlineStr">
        <is>
          <t>DOCUMENTO DE ARCHIVO-FÍSICO</t>
        </is>
      </c>
      <c r="N141" s="10" t="inlineStr">
        <is>
          <t>PRIMARIOS</t>
        </is>
      </c>
      <c r="O141" s="10" t="inlineStr">
        <is>
          <t>DOCUMENTOS TÉCNICOS</t>
        </is>
      </c>
      <c r="P141" s="10" t="inlineStr">
        <is>
          <t>USO INTERNO(2)</t>
        </is>
      </c>
      <c r="Q141" s="10" t="inlineStr">
        <is>
          <t>MEDIA(2)</t>
        </is>
      </c>
      <c r="R141" s="10" t="inlineStr">
        <is>
          <t>BAJA(1)</t>
        </is>
      </c>
      <c r="S141" s="10">
        <f>+(IF(P141="PUBLICA(1)",1,IF(P141="USO INTERNO(2)",2,IF(P141="RESTRINGIDO(3)",3,3))))+(IF(Q141="BAJA(1)",1,IF(Q141="MEDIA(2)",2,IF(Q141="ALTA(3)",3,3))))+(IF(R141="BAJA(1)",1,IF(R141="MEDIA(2)",2,IF(R141="ALTA(3)",3,3))))</f>
        <v/>
      </c>
      <c r="T141" s="10">
        <f>+IF(S141&lt;6,"BAJA",IF(S141&lt;8,"MEDIA","ALTA"))</f>
        <v/>
      </c>
      <c r="U141" s="10" t="inlineStr">
        <is>
          <t>-</t>
        </is>
      </c>
      <c r="V141" s="24" t="n">
        <v>45580</v>
      </c>
      <c r="W141" s="19" t="inlineStr">
        <is>
          <t>N/A</t>
        </is>
      </c>
      <c r="X141" s="10">
        <f>+IFERROR(IF(VLOOKUP(Tabla2[[#This Row],[ID]],'EVALUACION DE RIESGO'!A:A,1,FALSE)=Tabla2[[#This Row],[ID]],"SI","NO"),"NO")</f>
        <v/>
      </c>
      <c r="AD141">
        <f>IF(AND(Y141="",AA141=""),"",IF(OR(LEFT(AA141,2)="L0",LEFT(AA141,2)="L1",Y141="No Iniciado"),"CRÍTICO - Incumplimiento Normativo SEPS",IF(AND(OR(LEFT(AA141,2)="L4",LEFT(AA141,2)="L5"),AND(AC141&lt;&gt;"",AC141&lt;&gt;"N/A")),"CONFORME - Control Efectivo ISO 27001","OBSERVACIÓN - Revisar Controles")))</f>
        <v/>
      </c>
    </row>
    <row r="142">
      <c r="A142" s="99" t="inlineStr">
        <is>
          <t>56-GCS</t>
        </is>
      </c>
      <c r="B142" s="10" t="inlineStr">
        <is>
          <t>ESTRATÉGICO</t>
        </is>
      </c>
      <c r="C142" s="10" t="inlineStr">
        <is>
          <t>Gestión de Calidad del Servicio</t>
        </is>
      </c>
      <c r="D142" s="10" t="inlineStr">
        <is>
          <t>GCS</t>
        </is>
      </c>
      <c r="E142" s="10" t="inlineStr">
        <is>
          <t>Gestión de Calidad del Servicio</t>
        </is>
      </c>
      <c r="F142" s="10" t="inlineStr">
        <is>
          <t>-</t>
        </is>
      </c>
      <c r="G142" s="10" t="inlineStr">
        <is>
          <t>Control del protocolo de servicio e imagen corporativa</t>
        </is>
      </c>
      <c r="H142" s="10" t="inlineStr">
        <is>
          <t>Plan de acción de las no  conformidades en la atención</t>
        </is>
      </c>
      <c r="I142" s="10" t="inlineStr">
        <is>
          <t>Documento donde se recopila y analiza las no conformidades de las encuestas realizadas y se organiza la información para su plan de acción</t>
        </is>
      </c>
      <c r="J142" s="10" t="inlineStr">
        <is>
          <t>Jefe de Atención al Cliente</t>
        </is>
      </c>
      <c r="K142" s="10" t="inlineStr">
        <is>
          <t>Jefe de Atención al Cliente</t>
        </is>
      </c>
      <c r="L142" s="10" t="inlineStr">
        <is>
          <t>UBICACIÓN DIGITAL-EQUIPO DEL RESPONSABLE</t>
        </is>
      </c>
      <c r="M142" s="10" t="inlineStr">
        <is>
          <t>DOCUMENTO DE ARCHIVO-ELECTRÓNICO</t>
        </is>
      </c>
      <c r="N142" s="10" t="inlineStr">
        <is>
          <t>PRIMARIOS</t>
        </is>
      </c>
      <c r="O142" s="10" t="inlineStr">
        <is>
          <t>DOCUMENTOS TÉCNICOS</t>
        </is>
      </c>
      <c r="P142" s="10" t="inlineStr">
        <is>
          <t>USO INTERNO(2)</t>
        </is>
      </c>
      <c r="Q142" s="10" t="inlineStr">
        <is>
          <t>BAJA(1)</t>
        </is>
      </c>
      <c r="R142" s="10" t="inlineStr">
        <is>
          <t>BAJA(1)</t>
        </is>
      </c>
      <c r="S142" s="10">
        <f>+(IF(P142="PUBLICA(1)",1,IF(P142="USO INTERNO(2)",2,IF(P142="RESTRINGIDO(3)",3,3))))+(IF(Q142="BAJA(1)",1,IF(Q142="MEDIA(2)",2,IF(Q142="ALTA(3)",3,3))))+(IF(R142="BAJA(1)",1,IF(R142="MEDIA(2)",2,IF(R142="ALTA(3)",3,3))))</f>
        <v/>
      </c>
      <c r="T142" s="10">
        <f>+IF(S142&lt;6,"BAJA",IF(S142&lt;8,"MEDIA","ALTA"))</f>
        <v/>
      </c>
      <c r="U142" s="10" t="inlineStr">
        <is>
          <t>-</t>
        </is>
      </c>
      <c r="V142" s="24" t="n">
        <v>45580</v>
      </c>
      <c r="W142" s="19" t="inlineStr">
        <is>
          <t>N/A</t>
        </is>
      </c>
      <c r="X142" s="10">
        <f>+IFERROR(IF(VLOOKUP(Tabla2[[#This Row],[ID]],'EVALUACION DE RIESGO'!A:A,1,FALSE)=Tabla2[[#This Row],[ID]],"SI","NO"),"NO")</f>
        <v/>
      </c>
      <c r="AD142">
        <f>IF(AND(Y142="",AA142=""),"",IF(OR(LEFT(AA142,2)="L0",LEFT(AA142,2)="L1",Y142="No Iniciado"),"CRÍTICO - Incumplimiento Normativo SEPS",IF(AND(OR(LEFT(AA142,2)="L4",LEFT(AA142,2)="L5"),AND(AC142&lt;&gt;"",AC142&lt;&gt;"N/A")),"CONFORME - Control Efectivo ISO 27001","OBSERVACIÓN - Revisar Controles")))</f>
        <v/>
      </c>
    </row>
    <row r="143">
      <c r="A143" s="99" t="inlineStr">
        <is>
          <t>57-GCS</t>
        </is>
      </c>
      <c r="B143" s="10" t="inlineStr">
        <is>
          <t>ESTRATÉGICO</t>
        </is>
      </c>
      <c r="C143" s="10" t="inlineStr">
        <is>
          <t>Gestión de Calidad del Servicio</t>
        </is>
      </c>
      <c r="D143" s="10" t="inlineStr">
        <is>
          <t>GCS</t>
        </is>
      </c>
      <c r="E143" s="10" t="inlineStr">
        <is>
          <t>Gestión de Calidad del Servicio</t>
        </is>
      </c>
      <c r="F143" s="10" t="inlineStr">
        <is>
          <t>-</t>
        </is>
      </c>
      <c r="G143" s="10" t="inlineStr">
        <is>
          <t>Cierre temporal de oficinas</t>
        </is>
      </c>
      <c r="H143" s="10" t="inlineStr">
        <is>
          <t>Formulario para registro de horarios y días de atención al público</t>
        </is>
      </c>
      <c r="I143" s="10" t="inlineStr">
        <is>
          <t>Formulario que se detalla las ausencias con respectivas responsabilidades y se envía a la SEPS</t>
        </is>
      </c>
      <c r="J143" s="10" t="inlineStr">
        <is>
          <t>Jefe de Atención al Cliente</t>
        </is>
      </c>
      <c r="K143" s="10" t="inlineStr">
        <is>
          <t>Jefe de Atención al Cliente</t>
        </is>
      </c>
      <c r="L143" s="10" t="inlineStr">
        <is>
          <t>UBICACIÓN DIGITAL-HERRAMIENTA SEC GERENCIA</t>
        </is>
      </c>
      <c r="M143" s="10" t="inlineStr">
        <is>
          <t>DOCUMENTO DE ARCHIVO-ELECTRÓNICO</t>
        </is>
      </c>
      <c r="N143" s="10" t="inlineStr">
        <is>
          <t>PRIMARIOS</t>
        </is>
      </c>
      <c r="O143" s="10" t="inlineStr">
        <is>
          <t>DOCUMENTOS HABILITANTES</t>
        </is>
      </c>
      <c r="P143" s="10" t="inlineStr">
        <is>
          <t>USO INTERNO(2)</t>
        </is>
      </c>
      <c r="Q143" s="10" t="inlineStr">
        <is>
          <t>MEDIA(2)</t>
        </is>
      </c>
      <c r="R143" s="10" t="inlineStr">
        <is>
          <t>BAJA(1)</t>
        </is>
      </c>
      <c r="S143" s="10">
        <f>+(IF(P143="PUBLICA(1)",1,IF(P143="USO INTERNO(2)",2,IF(P143="RESTRINGIDO(3)",3,3))))+(IF(Q143="BAJA(1)",1,IF(Q143="MEDIA(2)",2,IF(Q143="ALTA(3)",3,3))))+(IF(R143="BAJA(1)",1,IF(R143="MEDIA(2)",2,IF(R143="ALTA(3)",3,3))))</f>
        <v/>
      </c>
      <c r="T143" s="10">
        <f>+IF(S143&lt;6,"BAJA",IF(S143&lt;8,"MEDIA","ALTA"))</f>
        <v/>
      </c>
      <c r="U143" s="10" t="inlineStr">
        <is>
          <t>-</t>
        </is>
      </c>
      <c r="V143" s="24" t="n">
        <v>45580</v>
      </c>
      <c r="W143" s="19" t="inlineStr">
        <is>
          <t>N/A</t>
        </is>
      </c>
      <c r="X143" s="10">
        <f>+IFERROR(IF(VLOOKUP(Tabla2[[#This Row],[ID]],'EVALUACION DE RIESGO'!A:A,1,FALSE)=Tabla2[[#This Row],[ID]],"SI","NO"),"NO")</f>
        <v/>
      </c>
      <c r="AD143">
        <f>IF(AND(Y143="",AA143=""),"",IF(OR(LEFT(AA143,2)="L0",LEFT(AA143,2)="L1",Y143="No Iniciado"),"CRÍTICO - Incumplimiento Normativo SEPS",IF(AND(OR(LEFT(AA143,2)="L4",LEFT(AA143,2)="L5"),AND(AC143&lt;&gt;"",AC143&lt;&gt;"N/A")),"CONFORME - Control Efectivo ISO 27001","OBSERVACIÓN - Revisar Controles")))</f>
        <v/>
      </c>
    </row>
    <row r="144">
      <c r="A144" s="99" t="inlineStr">
        <is>
          <t>58-GCS</t>
        </is>
      </c>
      <c r="B144" s="10" t="inlineStr">
        <is>
          <t>ESTRATÉGICO</t>
        </is>
      </c>
      <c r="C144" s="10" t="inlineStr">
        <is>
          <t>Gestión de Calidad del Servicio</t>
        </is>
      </c>
      <c r="D144" s="10" t="inlineStr">
        <is>
          <t>GCS</t>
        </is>
      </c>
      <c r="E144" s="10" t="inlineStr">
        <is>
          <t>Gestión de Calidad del Servicio</t>
        </is>
      </c>
      <c r="F144" s="10" t="inlineStr">
        <is>
          <t>-</t>
        </is>
      </c>
      <c r="G144" s="10" t="inlineStr">
        <is>
          <t>Cierre temporal de oficinas</t>
        </is>
      </c>
      <c r="H144" s="10" t="inlineStr">
        <is>
          <t>Autorización de Gerencia del Cierre Temporal de Oficinas</t>
        </is>
      </c>
      <c r="I144" s="10" t="inlineStr">
        <is>
          <t xml:space="preserve">Oficio de respuesta de la SEPS en referencia a la solicitud de cierre temporal de oficinas </t>
        </is>
      </c>
      <c r="J144" s="10" t="inlineStr">
        <is>
          <t>Jefe de Atención al Cliente</t>
        </is>
      </c>
      <c r="K144" s="10" t="inlineStr">
        <is>
          <t>Jefe de Atención al Cliente</t>
        </is>
      </c>
      <c r="L144" s="10" t="inlineStr">
        <is>
          <t>UBICACIÓN DIGITAL-HERRAMIENTA SEC GERENCIA</t>
        </is>
      </c>
      <c r="M144" s="10" t="inlineStr">
        <is>
          <t>DOCUMENTO DE ARCHIVO-ELECTRÓNICO</t>
        </is>
      </c>
      <c r="N144" s="10" t="inlineStr">
        <is>
          <t>PRIMARIOS</t>
        </is>
      </c>
      <c r="O144" s="10" t="inlineStr">
        <is>
          <t>DOCUMENTOS HABILITANTES</t>
        </is>
      </c>
      <c r="P144" s="10" t="inlineStr">
        <is>
          <t>RESTRINGIDO(3)</t>
        </is>
      </c>
      <c r="Q144" s="10" t="inlineStr">
        <is>
          <t>MEDIA(2)</t>
        </is>
      </c>
      <c r="R144" s="10" t="inlineStr">
        <is>
          <t>MEDIA(2)</t>
        </is>
      </c>
      <c r="S144" s="10">
        <f>+(IF(P144="PUBLICA(1)",1,IF(P144="USO INTERNO(2)",2,IF(P144="RESTRINGIDO(3)",3,3))))+(IF(Q144="BAJA(1)",1,IF(Q144="MEDIA(2)",2,IF(Q144="ALTA(3)",3,3))))+(IF(R144="BAJA(1)",1,IF(R144="MEDIA(2)",2,IF(R144="ALTA(3)",3,3))))</f>
        <v/>
      </c>
      <c r="T144" s="10">
        <f>+IF(S144&lt;6,"BAJA",IF(S144&lt;8,"MEDIA","ALTA"))</f>
        <v/>
      </c>
      <c r="U144" s="10" t="inlineStr">
        <is>
          <t>-</t>
        </is>
      </c>
      <c r="V144" s="24" t="n">
        <v>45580</v>
      </c>
      <c r="W144" s="19" t="inlineStr">
        <is>
          <t>N/A</t>
        </is>
      </c>
      <c r="X144" s="10">
        <f>+IFERROR(IF(VLOOKUP(Tabla2[[#This Row],[ID]],'EVALUACION DE RIESGO'!A:A,1,FALSE)=Tabla2[[#This Row],[ID]],"SI","NO"),"NO")</f>
        <v/>
      </c>
      <c r="AD144">
        <f>IF(AND(Y144="",AA144=""),"",IF(OR(LEFT(AA144,2)="L0",LEFT(AA144,2)="L1",Y144="No Iniciado"),"CRÍTICO - Incumplimiento Normativo SEPS",IF(AND(OR(LEFT(AA144,2)="L4",LEFT(AA144,2)="L5"),AND(AC144&lt;&gt;"",AC144&lt;&gt;"N/A")),"CONFORME - Control Efectivo ISO 27001","OBSERVACIÓN - Revisar Controles")))</f>
        <v/>
      </c>
    </row>
    <row r="145">
      <c r="A145" s="99" t="inlineStr">
        <is>
          <t>59-GCS</t>
        </is>
      </c>
      <c r="B145" s="10" t="inlineStr">
        <is>
          <t>ESTRATÉGICO</t>
        </is>
      </c>
      <c r="C145" s="10" t="inlineStr">
        <is>
          <t>Gestión de Calidad del Servicio</t>
        </is>
      </c>
      <c r="D145" s="10" t="inlineStr">
        <is>
          <t>GCS</t>
        </is>
      </c>
      <c r="E145" s="10" t="inlineStr">
        <is>
          <t>Gestión de Calidad del Servicio</t>
        </is>
      </c>
      <c r="F145" s="10" t="inlineStr">
        <is>
          <t>-</t>
        </is>
      </c>
      <c r="G145" s="10" t="inlineStr">
        <is>
          <t xml:space="preserve">Validación de Estructuras de Género y Quejas y Reclamos </t>
        </is>
      </c>
      <c r="H145" s="10" t="inlineStr">
        <is>
          <t>Matriz de PQRS E</t>
        </is>
      </c>
      <c r="I145" s="10" t="inlineStr">
        <is>
          <t>Matriz de PQRS de gestión del área</t>
        </is>
      </c>
      <c r="J145" s="10" t="inlineStr">
        <is>
          <t>Jefe de Atención al Cliente</t>
        </is>
      </c>
      <c r="K145" s="10" t="inlineStr">
        <is>
          <t>Jefe de Atención al Cliente</t>
        </is>
      </c>
      <c r="L145" s="10" t="inlineStr">
        <is>
          <t>UBICACIÓN DIGITAL-EQUIPO DEL RESPONSABLE</t>
        </is>
      </c>
      <c r="M145" s="10" t="inlineStr">
        <is>
          <t>DOCUMENTO DE ARCHIVO-ELECTRÓNICO</t>
        </is>
      </c>
      <c r="N145" s="10" t="inlineStr">
        <is>
          <t>PRIMARIOS</t>
        </is>
      </c>
      <c r="O145" s="10" t="inlineStr">
        <is>
          <t>DOCUMENTOS TÉCNICOS</t>
        </is>
      </c>
      <c r="P145" s="10" t="inlineStr">
        <is>
          <t>RESTRINGIDO(3)</t>
        </is>
      </c>
      <c r="Q145" s="10" t="inlineStr">
        <is>
          <t>MEDIA(2)</t>
        </is>
      </c>
      <c r="R145" s="10" t="inlineStr">
        <is>
          <t>BAJA(1)</t>
        </is>
      </c>
      <c r="S145" s="10">
        <f>+(IF(P145="PUBLICA(1)",1,IF(P145="USO INTERNO(2)",2,IF(P145="RESTRINGIDO(3)",3,3))))+(IF(Q145="BAJA(1)",1,IF(Q145="MEDIA(2)",2,IF(Q145="ALTA(3)",3,3))))+(IF(R145="BAJA(1)",1,IF(R145="MEDIA(2)",2,IF(R145="ALTA(3)",3,3))))</f>
        <v/>
      </c>
      <c r="T145" s="10">
        <f>+IF(S145&lt;6,"BAJA",IF(S145&lt;8,"MEDIA","ALTA"))</f>
        <v/>
      </c>
      <c r="U145" s="10" t="inlineStr">
        <is>
          <t>-</t>
        </is>
      </c>
      <c r="V145" s="24" t="n">
        <v>45580</v>
      </c>
      <c r="W145" s="19" t="inlineStr">
        <is>
          <t>N/A</t>
        </is>
      </c>
      <c r="X145" s="10">
        <f>+IFERROR(IF(VLOOKUP(Tabla2[[#This Row],[ID]],'EVALUACION DE RIESGO'!A:A,1,FALSE)=Tabla2[[#This Row],[ID]],"SI","NO"),"NO")</f>
        <v/>
      </c>
      <c r="AD145">
        <f>IF(AND(Y145="",AA145=""),"",IF(OR(LEFT(AA145,2)="L0",LEFT(AA145,2)="L1",Y145="No Iniciado"),"CRÍTICO - Incumplimiento Normativo SEPS",IF(AND(OR(LEFT(AA145,2)="L4",LEFT(AA145,2)="L5"),AND(AC145&lt;&gt;"",AC145&lt;&gt;"N/A")),"CONFORME - Control Efectivo ISO 27001","OBSERVACIÓN - Revisar Controles")))</f>
        <v/>
      </c>
    </row>
    <row r="146">
      <c r="A146" s="99" t="inlineStr">
        <is>
          <t>60-GCS</t>
        </is>
      </c>
      <c r="B146" s="10" t="inlineStr">
        <is>
          <t>ESTRATÉGICO</t>
        </is>
      </c>
      <c r="C146" s="10" t="inlineStr">
        <is>
          <t>Gestión de Calidad del Servicio</t>
        </is>
      </c>
      <c r="D146" s="10" t="inlineStr">
        <is>
          <t>GCS</t>
        </is>
      </c>
      <c r="E146" s="10" t="inlineStr">
        <is>
          <t>Gestión de Calidad del Servicio</t>
        </is>
      </c>
      <c r="F146" s="10" t="inlineStr">
        <is>
          <t>-</t>
        </is>
      </c>
      <c r="G146" s="10" t="inlineStr">
        <is>
          <t xml:space="preserve">Validación de Estructuras de Género y Quejas y Reclamos </t>
        </is>
      </c>
      <c r="H146" s="10" t="inlineStr">
        <is>
          <t>Estructuras de género y quejas y reclamos</t>
        </is>
      </c>
      <c r="I146" s="10" t="inlineStr">
        <is>
          <t>Estructura CI01 y IG01</t>
        </is>
      </c>
      <c r="J146" s="10" t="inlineStr">
        <is>
          <t>Jefe de Atención al Cliente</t>
        </is>
      </c>
      <c r="K146" s="10" t="inlineStr">
        <is>
          <t>Jefe de Atención al Cliente</t>
        </is>
      </c>
      <c r="L146" s="10" t="inlineStr">
        <is>
          <t>UBICACIÓN DIGITAL-EQUIPO DEL RESPONSABLE</t>
        </is>
      </c>
      <c r="M146" s="10" t="inlineStr">
        <is>
          <t>DOCUMENTO DE ARCHIVO-ELECTRÓNICO</t>
        </is>
      </c>
      <c r="N146" s="10" t="inlineStr">
        <is>
          <t>PRIMARIOS</t>
        </is>
      </c>
      <c r="O146" s="10" t="inlineStr">
        <is>
          <t>INFORMACIÓN DE SOCIOS Y CLIENTES</t>
        </is>
      </c>
      <c r="P146" s="10" t="inlineStr">
        <is>
          <t>RESTRINGIDO(3)</t>
        </is>
      </c>
      <c r="Q146" s="10" t="inlineStr">
        <is>
          <t>MEDIA(2)</t>
        </is>
      </c>
      <c r="R146" s="10" t="inlineStr">
        <is>
          <t>MEDIA(2)</t>
        </is>
      </c>
      <c r="S146" s="10">
        <f>+(IF(P146="PUBLICA(1)",1,IF(P146="USO INTERNO(2)",2,IF(P146="RESTRINGIDO(3)",3,3))))+(IF(Q146="BAJA(1)",1,IF(Q146="MEDIA(2)",2,IF(Q146="ALTA(3)",3,3))))+(IF(R146="BAJA(1)",1,IF(R146="MEDIA(2)",2,IF(R146="ALTA(3)",3,3))))</f>
        <v/>
      </c>
      <c r="T146" s="10">
        <f>+IF(S146&lt;6,"BAJA",IF(S146&lt;8,"MEDIA","ALTA"))</f>
        <v/>
      </c>
      <c r="U146" s="10" t="inlineStr">
        <is>
          <t>-</t>
        </is>
      </c>
      <c r="V146" s="24" t="n">
        <v>45580</v>
      </c>
      <c r="W146" s="19" t="inlineStr">
        <is>
          <t>N/A</t>
        </is>
      </c>
      <c r="X146" s="10">
        <f>+IFERROR(IF(VLOOKUP(Tabla2[[#This Row],[ID]],'EVALUACION DE RIESGO'!A:A,1,FALSE)=Tabla2[[#This Row],[ID]],"SI","NO"),"NO")</f>
        <v/>
      </c>
      <c r="AD146">
        <f>IF(AND(Y146="",AA146=""),"",IF(OR(LEFT(AA146,2)="L0",LEFT(AA146,2)="L1",Y146="No Iniciado"),"CRÍTICO - Incumplimiento Normativo SEPS",IF(AND(OR(LEFT(AA146,2)="L4",LEFT(AA146,2)="L5"),AND(AC146&lt;&gt;"",AC146&lt;&gt;"N/A")),"CONFORME - Control Efectivo ISO 27001","OBSERVACIÓN - Revisar Controles")))</f>
        <v/>
      </c>
    </row>
    <row r="147">
      <c r="A147" s="99" t="inlineStr">
        <is>
          <t>61-GCS</t>
        </is>
      </c>
      <c r="B147" s="10" t="inlineStr">
        <is>
          <t>ESTRATÉGICO</t>
        </is>
      </c>
      <c r="C147" s="10" t="inlineStr">
        <is>
          <t>Gestión de Calidad del Servicio</t>
        </is>
      </c>
      <c r="D147" s="10" t="inlineStr">
        <is>
          <t>GCS</t>
        </is>
      </c>
      <c r="E147" s="10" t="inlineStr">
        <is>
          <t>Gestión de Calidad del Servicio</t>
        </is>
      </c>
      <c r="F147" s="10" t="inlineStr">
        <is>
          <t>-</t>
        </is>
      </c>
      <c r="G147" s="10" t="inlineStr">
        <is>
          <t xml:space="preserve">Validación de Estructuras de Género y Quejas y Reclamos </t>
        </is>
      </c>
      <c r="H147" s="10" t="inlineStr">
        <is>
          <t>Acuse de recibo de validación de estructuras</t>
        </is>
      </c>
      <c r="I147" s="10" t="inlineStr">
        <is>
          <t>Confirmación de recepción y confirmación de aprobación o negación</t>
        </is>
      </c>
      <c r="J147" s="10" t="inlineStr">
        <is>
          <t>Jefe de Atención al Cliente</t>
        </is>
      </c>
      <c r="K147" s="10" t="inlineStr">
        <is>
          <t>Jefe de Atención al Cliente</t>
        </is>
      </c>
      <c r="L147" s="10" t="inlineStr">
        <is>
          <t>UBICACIÓN DIGITAL-EQUIPO DEL RESPONSABLE</t>
        </is>
      </c>
      <c r="M147" s="10" t="inlineStr">
        <is>
          <t>DOCUMENTO DE ARCHIVO-ELECTRÓNICO</t>
        </is>
      </c>
      <c r="N147" s="10" t="inlineStr">
        <is>
          <t>PRIMARIOS</t>
        </is>
      </c>
      <c r="O147" s="10" t="inlineStr">
        <is>
          <t>INFORMACIÓN DE SOCIOS Y CLIENTES</t>
        </is>
      </c>
      <c r="P147" s="10" t="inlineStr">
        <is>
          <t>PUBLICA(1)</t>
        </is>
      </c>
      <c r="Q147" s="10" t="inlineStr">
        <is>
          <t>BAJA(1)</t>
        </is>
      </c>
      <c r="R147" s="10" t="inlineStr">
        <is>
          <t>BAJA(1)</t>
        </is>
      </c>
      <c r="S147" s="10">
        <f>+(IF(P147="PUBLICA(1)",1,IF(P147="USO INTERNO(2)",2,IF(P147="RESTRINGIDO(3)",3,3))))+(IF(Q147="BAJA(1)",1,IF(Q147="MEDIA(2)",2,IF(Q147="ALTA(3)",3,3))))+(IF(R147="BAJA(1)",1,IF(R147="MEDIA(2)",2,IF(R147="ALTA(3)",3,3))))</f>
        <v/>
      </c>
      <c r="T147" s="10">
        <f>+IF(S147&lt;6,"BAJA",IF(S147&lt;8,"MEDIA","ALTA"))</f>
        <v/>
      </c>
      <c r="U147" s="10" t="inlineStr">
        <is>
          <t>-</t>
        </is>
      </c>
      <c r="V147" s="24" t="n">
        <v>45580</v>
      </c>
      <c r="W147" s="19" t="inlineStr">
        <is>
          <t>N/A</t>
        </is>
      </c>
      <c r="X147" s="10">
        <f>+IFERROR(IF(VLOOKUP(Tabla2[[#This Row],[ID]],'EVALUACION DE RIESGO'!A:A,1,FALSE)=Tabla2[[#This Row],[ID]],"SI","NO"),"NO")</f>
        <v/>
      </c>
      <c r="AD147">
        <f>IF(AND(Y147="",AA147=""),"",IF(OR(LEFT(AA147,2)="L0",LEFT(AA147,2)="L1",Y147="No Iniciado"),"CRÍTICO - Incumplimiento Normativo SEPS",IF(AND(OR(LEFT(AA147,2)="L4",LEFT(AA147,2)="L5"),AND(AC147&lt;&gt;"",AC147&lt;&gt;"N/A")),"CONFORME - Control Efectivo ISO 27001","OBSERVACIÓN - Revisar Controles")))</f>
        <v/>
      </c>
    </row>
    <row r="148">
      <c r="A148" s="99" t="inlineStr">
        <is>
          <t>62-GCS</t>
        </is>
      </c>
      <c r="B148" s="10" t="inlineStr">
        <is>
          <t>ESTRATÉGICO</t>
        </is>
      </c>
      <c r="C148" s="10" t="inlineStr">
        <is>
          <t>Gestión de Calidad del Servicio</t>
        </is>
      </c>
      <c r="D148" s="10" t="inlineStr">
        <is>
          <t>GCS</t>
        </is>
      </c>
      <c r="E148" s="10" t="inlineStr">
        <is>
          <t>Gestión de Calidad del Servicio</t>
        </is>
      </c>
      <c r="F148" s="10" t="inlineStr">
        <is>
          <t>-</t>
        </is>
      </c>
      <c r="G148" s="10" t="inlineStr">
        <is>
          <t>N/A</t>
        </is>
      </c>
      <c r="H148" s="10" t="inlineStr">
        <is>
          <t>Equipos de computación del Área de atención al cliente</t>
        </is>
      </c>
      <c r="I148" s="10" t="inlineStr">
        <is>
          <t>Equipos de computación donde se realiza la gestión del área</t>
        </is>
      </c>
      <c r="J148" s="10" t="inlineStr">
        <is>
          <t>Jefe de Atención al Cliente</t>
        </is>
      </c>
      <c r="K148" s="10" t="inlineStr">
        <is>
          <t>Jefe de Atención al Cliente</t>
        </is>
      </c>
      <c r="L148" s="10" t="inlineStr">
        <is>
          <t>UBICACIÓN FISICA-MATRIZ ATUNTAQUI</t>
        </is>
      </c>
      <c r="M148" s="10" t="inlineStr">
        <is>
          <t>DISCOS DUROS, SERVIDORES, DISCOS O MEDIOS PORTÁTILES, CINTAS O MEDIOS DE VIDEO Y AUDIO, ETC.</t>
        </is>
      </c>
      <c r="N148" s="10" t="inlineStr">
        <is>
          <t>APOYO</t>
        </is>
      </c>
      <c r="O148" s="10" t="inlineStr">
        <is>
          <t>HARDWARE</t>
        </is>
      </c>
      <c r="P148" s="10" t="inlineStr">
        <is>
          <t>NO CLASIFICADA(3)</t>
        </is>
      </c>
      <c r="Q148" s="10" t="inlineStr">
        <is>
          <t>MEDIA(2)</t>
        </is>
      </c>
      <c r="R148" s="10" t="inlineStr">
        <is>
          <t>MEDIA(2)</t>
        </is>
      </c>
      <c r="S148" s="10">
        <f>+(IF(P148="PUBLICA(1)",1,IF(P148="USO INTERNO(2)",2,IF(P148="RESTRINGIDO(3)",3,3))))+(IF(Q148="BAJA(1)",1,IF(Q148="MEDIA(2)",2,IF(Q148="ALTA(3)",3,3))))+(IF(R148="BAJA(1)",1,IF(R148="MEDIA(2)",2,IF(R148="ALTA(3)",3,3))))</f>
        <v/>
      </c>
      <c r="T148" s="10">
        <f>+IF(S148&lt;6,"BAJA",IF(S148&lt;8,"MEDIA","ALTA"))</f>
        <v/>
      </c>
      <c r="U148" s="10" t="inlineStr">
        <is>
          <t>-</t>
        </is>
      </c>
      <c r="V148" s="24" t="n">
        <v>45580</v>
      </c>
      <c r="W148" s="19" t="inlineStr">
        <is>
          <t>N/A</t>
        </is>
      </c>
      <c r="X148" s="10">
        <f>+IFERROR(IF(VLOOKUP(Tabla2[[#This Row],[ID]],'EVALUACION DE RIESGO'!A:A,1,FALSE)=Tabla2[[#This Row],[ID]],"SI","NO"),"NO")</f>
        <v/>
      </c>
      <c r="AD148">
        <f>IF(AND(Y148="",AA148=""),"",IF(OR(LEFT(AA148,2)="L0",LEFT(AA148,2)="L1",Y148="No Iniciado"),"CRÍTICO - Incumplimiento Normativo SEPS",IF(AND(OR(LEFT(AA148,2)="L4",LEFT(AA148,2)="L5"),AND(AC148&lt;&gt;"",AC148&lt;&gt;"N/A")),"CONFORME - Control Efectivo ISO 27001","OBSERVACIÓN - Revisar Controles")))</f>
        <v/>
      </c>
    </row>
    <row r="149">
      <c r="A149" s="99" t="inlineStr">
        <is>
          <t>63-GCS</t>
        </is>
      </c>
      <c r="B149" s="10" t="inlineStr">
        <is>
          <t>ESTRATÉGICO</t>
        </is>
      </c>
      <c r="C149" s="10" t="inlineStr">
        <is>
          <t>Gestión de Calidad del Servicio</t>
        </is>
      </c>
      <c r="D149" s="10" t="inlineStr">
        <is>
          <t>GCS</t>
        </is>
      </c>
      <c r="E149" s="10" t="inlineStr">
        <is>
          <t>Gestión de Calidad del Servicio</t>
        </is>
      </c>
      <c r="F149" s="10" t="inlineStr">
        <is>
          <t>-</t>
        </is>
      </c>
      <c r="G149" s="10" t="inlineStr">
        <is>
          <t>N/A</t>
        </is>
      </c>
      <c r="H149" s="10" t="inlineStr">
        <is>
          <t>Jefe de Atención al Cliente</t>
        </is>
      </c>
      <c r="I149" s="10" t="inlineStr">
        <is>
          <t>N/A</t>
        </is>
      </c>
      <c r="J149" s="10" t="inlineStr">
        <is>
          <t>Jefe de Atención al Cliente</t>
        </is>
      </c>
      <c r="K149" s="10" t="inlineStr">
        <is>
          <t>N/A</t>
        </is>
      </c>
      <c r="L149" s="10" t="inlineStr">
        <is>
          <t>N/A</t>
        </is>
      </c>
      <c r="M149" s="10" t="inlineStr">
        <is>
          <t>N/A</t>
        </is>
      </c>
      <c r="N149" s="10" t="inlineStr">
        <is>
          <t>APOYO</t>
        </is>
      </c>
      <c r="O149" s="10" t="inlineStr">
        <is>
          <t>RECURSO HUMANO</t>
        </is>
      </c>
      <c r="P149" s="10" t="inlineStr">
        <is>
          <t>NO CLASIFICADA(3)</t>
        </is>
      </c>
      <c r="Q149" s="10" t="inlineStr">
        <is>
          <t>MEDIA(2)</t>
        </is>
      </c>
      <c r="R149" s="10" t="inlineStr">
        <is>
          <t>MEDIA(2)</t>
        </is>
      </c>
      <c r="S149" s="10">
        <f>+(IF(P149="PUBLICA(1)",1,IF(P149="USO INTERNO(2)",2,IF(P149="RESTRINGIDO(3)",3,3))))+(IF(Q149="BAJA(1)",1,IF(Q149="MEDIA(2)",2,IF(Q149="ALTA(3)",3,3))))+(IF(R149="BAJA(1)",1,IF(R149="MEDIA(2)",2,IF(R149="ALTA(3)",3,3))))</f>
        <v/>
      </c>
      <c r="T149" s="10">
        <f>+IF(S149&lt;6,"BAJA",IF(S149&lt;8,"MEDIA","ALTA"))</f>
        <v/>
      </c>
      <c r="U149" s="10" t="inlineStr">
        <is>
          <t>-</t>
        </is>
      </c>
      <c r="V149" s="24" t="n">
        <v>45580</v>
      </c>
      <c r="W149" s="19" t="inlineStr">
        <is>
          <t>N/A</t>
        </is>
      </c>
      <c r="X149" s="10">
        <f>+IFERROR(IF(VLOOKUP(Tabla2[[#This Row],[ID]],'EVALUACION DE RIESGO'!A:A,1,FALSE)=Tabla2[[#This Row],[ID]],"SI","NO"),"NO")</f>
        <v/>
      </c>
      <c r="AD149">
        <f>IF(AND(Y149="",AA149=""),"",IF(OR(LEFT(AA149,2)="L0",LEFT(AA149,2)="L1",Y149="No Iniciado"),"CRÍTICO - Incumplimiento Normativo SEPS",IF(AND(OR(LEFT(AA149,2)="L4",LEFT(AA149,2)="L5"),AND(AC149&lt;&gt;"",AC149&lt;&gt;"N/A")),"CONFORME - Control Efectivo ISO 27001","OBSERVACIÓN - Revisar Controles")))</f>
        <v/>
      </c>
    </row>
    <row r="150">
      <c r="A150" s="99" t="inlineStr">
        <is>
          <t>64-GRS</t>
        </is>
      </c>
      <c r="B150" s="10" t="inlineStr">
        <is>
          <t>ESTRATÉGICO</t>
        </is>
      </c>
      <c r="C150" s="10" t="inlineStr">
        <is>
          <t>Gestión de Responsabilidad Social</t>
        </is>
      </c>
      <c r="D150" s="10" t="inlineStr">
        <is>
          <t>GRS</t>
        </is>
      </c>
      <c r="E150" s="10" t="inlineStr">
        <is>
          <t>Gestión de Responsabilidad Social</t>
        </is>
      </c>
      <c r="F150" s="10" t="inlineStr">
        <is>
          <t>-</t>
        </is>
      </c>
      <c r="G150" s="10" t="inlineStr">
        <is>
          <t xml:space="preserve">Determinación de los grupos de interés </t>
        </is>
      </c>
      <c r="H150" s="10" t="inlineStr">
        <is>
          <t>Matriz con grupos de interés definidos</t>
        </is>
      </c>
      <c r="I150" s="10" t="inlineStr">
        <is>
          <t>Matriz consolidad que contiene los grupos de interés institucionales</t>
        </is>
      </c>
      <c r="J150" s="10" t="inlineStr">
        <is>
          <t>Técnico de Responsabilidad Social</t>
        </is>
      </c>
      <c r="K150" s="10" t="inlineStr">
        <is>
          <t>Técnico de Responsabilidad Social</t>
        </is>
      </c>
      <c r="L150" s="10" t="inlineStr">
        <is>
          <t>UBICACIÓN DIGITAL-EQUIPO DEL RESPONSABLE</t>
        </is>
      </c>
      <c r="M150" s="10" t="inlineStr">
        <is>
          <t>DISCOS DUROS, SERVIDORES, DISCOS O MEDIOS PORTÁTILES, CINTAS O MEDIOS DE VIDEO Y AUDIO, ETC.</t>
        </is>
      </c>
      <c r="N150" s="10" t="inlineStr">
        <is>
          <t>PRIMARIOS</t>
        </is>
      </c>
      <c r="O150" s="10" t="inlineStr">
        <is>
          <t>DOCUMENTOS TÉCNICOS</t>
        </is>
      </c>
      <c r="P150" s="10" t="inlineStr">
        <is>
          <t>USO INTERNO(2)</t>
        </is>
      </c>
      <c r="Q150" s="10" t="inlineStr">
        <is>
          <t>MEDIA(2)</t>
        </is>
      </c>
      <c r="R150" s="10" t="inlineStr">
        <is>
          <t>BAJA(1)</t>
        </is>
      </c>
      <c r="S150" s="10">
        <f>+(IF(P150="PUBLICA(1)",1,IF(P150="USO INTERNO(2)",2,IF(P150="RESTRINGIDO(3)",3,3))))+(IF(Q150="BAJA(1)",1,IF(Q150="MEDIA(2)",2,IF(Q150="ALTA(3)",3,3))))+(IF(R150="BAJA(1)",1,IF(R150="MEDIA(2)",2,IF(R150="ALTA(3)",3,3))))</f>
        <v/>
      </c>
      <c r="T150" s="10">
        <f>+IF(S150&lt;6,"BAJA",IF(S150&lt;8,"MEDIA","ALTA"))</f>
        <v/>
      </c>
      <c r="U150" s="10" t="inlineStr">
        <is>
          <t>-</t>
        </is>
      </c>
      <c r="V150" s="24" t="n">
        <v>45580</v>
      </c>
      <c r="W150" s="19" t="inlineStr">
        <is>
          <t>N/A</t>
        </is>
      </c>
      <c r="X150" s="10">
        <f>+IFERROR(IF(VLOOKUP(Tabla2[[#This Row],[ID]],'EVALUACION DE RIESGO'!A:A,1,FALSE)=Tabla2[[#This Row],[ID]],"SI","NO"),"NO")</f>
        <v/>
      </c>
      <c r="AD150">
        <f>IF(AND(Y150="",AA150=""),"",IF(OR(LEFT(AA150,2)="L0",LEFT(AA150,2)="L1",Y150="No Iniciado"),"CRÍTICO - Incumplimiento Normativo SEPS",IF(AND(OR(LEFT(AA150,2)="L4",LEFT(AA150,2)="L5"),AND(AC150&lt;&gt;"",AC150&lt;&gt;"N/A")),"CONFORME - Control Efectivo ISO 27001","OBSERVACIÓN - Revisar Controles")))</f>
        <v/>
      </c>
    </row>
    <row r="151">
      <c r="A151" s="99" t="inlineStr">
        <is>
          <t>65-GRS</t>
        </is>
      </c>
      <c r="B151" s="10" t="inlineStr">
        <is>
          <t>ESTRATÉGICO</t>
        </is>
      </c>
      <c r="C151" s="10" t="inlineStr">
        <is>
          <t>Gestión de Responsabilidad Social</t>
        </is>
      </c>
      <c r="D151" s="10" t="inlineStr">
        <is>
          <t>GRS</t>
        </is>
      </c>
      <c r="E151" s="10" t="inlineStr">
        <is>
          <t>Gestión de Responsabilidad Social</t>
        </is>
      </c>
      <c r="F151" s="10" t="inlineStr">
        <is>
          <t>-</t>
        </is>
      </c>
      <c r="G151" s="10" t="inlineStr">
        <is>
          <t xml:space="preserve">Determinación de los grupos de interés </t>
        </is>
      </c>
      <c r="H151" s="10" t="inlineStr">
        <is>
          <t>Matriz con los intereses de los stakeholders</t>
        </is>
      </c>
      <c r="I151" s="10" t="inlineStr">
        <is>
          <t>Matriz consolidad que contiene los grupos de interés institucionales</t>
        </is>
      </c>
      <c r="J151" s="10" t="inlineStr">
        <is>
          <t>Técnico de Responsabilidad Social</t>
        </is>
      </c>
      <c r="K151" s="10" t="inlineStr">
        <is>
          <t>Técnico de Responsabilidad Social</t>
        </is>
      </c>
      <c r="L151" s="10" t="inlineStr">
        <is>
          <t>UBICACIÓN DIGITAL-EQUIPO DEL RESPONSABLE</t>
        </is>
      </c>
      <c r="M151" s="10" t="inlineStr">
        <is>
          <t>DISCOS DUROS, SERVIDORES, DISCOS O MEDIOS PORTÁTILES, CINTAS O MEDIOS DE VIDEO Y AUDIO, ETC.</t>
        </is>
      </c>
      <c r="N151" s="10" t="inlineStr">
        <is>
          <t>PRIMARIOS</t>
        </is>
      </c>
      <c r="O151" s="10" t="inlineStr">
        <is>
          <t>DOCUMENTOS TÉCNICOS</t>
        </is>
      </c>
      <c r="P151" s="10" t="inlineStr">
        <is>
          <t>USO INTERNO(2)</t>
        </is>
      </c>
      <c r="Q151" s="10" t="inlineStr">
        <is>
          <t>MEDIA(2)</t>
        </is>
      </c>
      <c r="R151" s="10" t="inlineStr">
        <is>
          <t>BAJA(1)</t>
        </is>
      </c>
      <c r="S151" s="10">
        <f>+(IF(P151="PUBLICA(1)",1,IF(P151="USO INTERNO(2)",2,IF(P151="RESTRINGIDO(3)",3,3))))+(IF(Q151="BAJA(1)",1,IF(Q151="MEDIA(2)",2,IF(Q151="ALTA(3)",3,3))))+(IF(R151="BAJA(1)",1,IF(R151="MEDIA(2)",2,IF(R151="ALTA(3)",3,3))))</f>
        <v/>
      </c>
      <c r="T151" s="10">
        <f>+IF(S151&lt;6,"BAJA",IF(S151&lt;8,"MEDIA","ALTA"))</f>
        <v/>
      </c>
      <c r="U151" s="10" t="inlineStr">
        <is>
          <t>-</t>
        </is>
      </c>
      <c r="V151" s="24" t="n">
        <v>45580</v>
      </c>
      <c r="W151" s="19" t="inlineStr">
        <is>
          <t>N/A</t>
        </is>
      </c>
      <c r="X151" s="10">
        <f>+IFERROR(IF(VLOOKUP(Tabla2[[#This Row],[ID]],'EVALUACION DE RIESGO'!A:A,1,FALSE)=Tabla2[[#This Row],[ID]],"SI","NO"),"NO")</f>
        <v/>
      </c>
      <c r="AD151">
        <f>IF(AND(Y151="",AA151=""),"",IF(OR(LEFT(AA151,2)="L0",LEFT(AA151,2)="L1",Y151="No Iniciado"),"CRÍTICO - Incumplimiento Normativo SEPS",IF(AND(OR(LEFT(AA151,2)="L4",LEFT(AA151,2)="L5"),AND(AC151&lt;&gt;"",AC151&lt;&gt;"N/A")),"CONFORME - Control Efectivo ISO 27001","OBSERVACIÓN - Revisar Controles")))</f>
        <v/>
      </c>
    </row>
    <row r="152">
      <c r="A152" s="99" t="inlineStr">
        <is>
          <t>66-GRS</t>
        </is>
      </c>
      <c r="B152" s="10" t="inlineStr">
        <is>
          <t>ESTRATÉGICO</t>
        </is>
      </c>
      <c r="C152" s="10" t="inlineStr">
        <is>
          <t>Gestión de Responsabilidad Social</t>
        </is>
      </c>
      <c r="D152" s="10" t="inlineStr">
        <is>
          <t>GRS</t>
        </is>
      </c>
      <c r="E152" s="10" t="inlineStr">
        <is>
          <t>Gestión de Responsabilidad Social</t>
        </is>
      </c>
      <c r="F152" s="10" t="inlineStr">
        <is>
          <t>-</t>
        </is>
      </c>
      <c r="G152" s="10" t="inlineStr">
        <is>
          <t xml:space="preserve">Evaluación del Sistema de Gestión de Responsabilidad Social </t>
        </is>
      </c>
      <c r="H152" s="10" t="inlineStr">
        <is>
          <t>Modelo de Gestión en Responsabilidad Social</t>
        </is>
      </c>
      <c r="I152" s="10" t="inlineStr">
        <is>
          <t xml:space="preserve">Modelo Levantamiento de STAKEHOLDES o grupos de interés </t>
        </is>
      </c>
      <c r="J152" s="10" t="inlineStr">
        <is>
          <t>Técnico de Responsabilidad Social</t>
        </is>
      </c>
      <c r="K152" s="10" t="inlineStr">
        <is>
          <t>Técnico de Responsabilidad Social</t>
        </is>
      </c>
      <c r="L152" s="10" t="inlineStr">
        <is>
          <t>UBICACIÓN DIGITAL-EQUIPO DEL RESPONSABLE</t>
        </is>
      </c>
      <c r="M152" s="10" t="inlineStr">
        <is>
          <t>DISCOS DUROS, SERVIDORES, DISCOS O MEDIOS PORTÁTILES, CINTAS O MEDIOS DE VIDEO Y AUDIO, ETC.</t>
        </is>
      </c>
      <c r="N152" s="10" t="inlineStr">
        <is>
          <t>PRIMARIOS</t>
        </is>
      </c>
      <c r="O152" s="10" t="inlineStr">
        <is>
          <t>DOCUMENTOS TÉCNICOS</t>
        </is>
      </c>
      <c r="P152" s="10" t="inlineStr">
        <is>
          <t>USO INTERNO(2)</t>
        </is>
      </c>
      <c r="Q152" s="10" t="inlineStr">
        <is>
          <t>MEDIA(2)</t>
        </is>
      </c>
      <c r="R152" s="10" t="inlineStr">
        <is>
          <t>BAJA(1)</t>
        </is>
      </c>
      <c r="S152" s="10">
        <f>+(IF(P152="PUBLICA(1)",1,IF(P152="USO INTERNO(2)",2,IF(P152="RESTRINGIDO(3)",3,3))))+(IF(Q152="BAJA(1)",1,IF(Q152="MEDIA(2)",2,IF(Q152="ALTA(3)",3,3))))+(IF(R152="BAJA(1)",1,IF(R152="MEDIA(2)",2,IF(R152="ALTA(3)",3,3))))</f>
        <v/>
      </c>
      <c r="T152" s="10">
        <f>+IF(S152&lt;6,"BAJA",IF(S152&lt;8,"MEDIA","ALTA"))</f>
        <v/>
      </c>
      <c r="U152" s="10" t="inlineStr">
        <is>
          <t>-</t>
        </is>
      </c>
      <c r="V152" s="24" t="n">
        <v>45580</v>
      </c>
      <c r="W152" s="19" t="inlineStr">
        <is>
          <t>N/A</t>
        </is>
      </c>
      <c r="X152" s="10">
        <f>+IFERROR(IF(VLOOKUP(Tabla2[[#This Row],[ID]],'EVALUACION DE RIESGO'!A:A,1,FALSE)=Tabla2[[#This Row],[ID]],"SI","NO"),"NO")</f>
        <v/>
      </c>
      <c r="AD152">
        <f>IF(AND(Y152="",AA152=""),"",IF(OR(LEFT(AA152,2)="L0",LEFT(AA152,2)="L1",Y152="No Iniciado"),"CRÍTICO - Incumplimiento Normativo SEPS",IF(AND(OR(LEFT(AA152,2)="L4",LEFT(AA152,2)="L5"),AND(AC152&lt;&gt;"",AC152&lt;&gt;"N/A")),"CONFORME - Control Efectivo ISO 27001","OBSERVACIÓN - Revisar Controles")))</f>
        <v/>
      </c>
    </row>
    <row r="153">
      <c r="A153" s="99" t="inlineStr">
        <is>
          <t>67-GRS</t>
        </is>
      </c>
      <c r="B153" s="10" t="inlineStr">
        <is>
          <t>ESTRATÉGICO</t>
        </is>
      </c>
      <c r="C153" s="10" t="inlineStr">
        <is>
          <t>Gestión de Responsabilidad Social</t>
        </is>
      </c>
      <c r="D153" s="10" t="inlineStr">
        <is>
          <t>GRS</t>
        </is>
      </c>
      <c r="E153" s="10" t="inlineStr">
        <is>
          <t>Gestión de Responsabilidad Social</t>
        </is>
      </c>
      <c r="F153" s="10" t="inlineStr">
        <is>
          <t>-</t>
        </is>
      </c>
      <c r="G153" s="10" t="inlineStr">
        <is>
          <t xml:space="preserve">Evaluación del Sistema de Gestión de Responsabilidad Social </t>
        </is>
      </c>
      <c r="H153" s="10" t="inlineStr">
        <is>
          <t>Matriz de calificación del Sistema de Gestión de
Responsabilidad Social.</t>
        </is>
      </c>
      <c r="I153" s="10" t="inlineStr">
        <is>
          <t>Matriz de evaluación del objetivo estratégico - Responsabilidad Social Empresarial</t>
        </is>
      </c>
      <c r="J153" s="10" t="inlineStr">
        <is>
          <t>Técnico de Responsabilidad Social</t>
        </is>
      </c>
      <c r="K153" s="10" t="inlineStr">
        <is>
          <t>Técnico de Responsabilidad Social</t>
        </is>
      </c>
      <c r="L153" s="10" t="inlineStr">
        <is>
          <t>UBICACIÓN DIGITAL-EQUIPO DEL RESPONSABLE</t>
        </is>
      </c>
      <c r="M153" s="10" t="inlineStr">
        <is>
          <t>DISCOS DUROS, SERVIDORES, DISCOS O MEDIOS PORTÁTILES, CINTAS O MEDIOS DE VIDEO Y AUDIO, ETC.</t>
        </is>
      </c>
      <c r="N153" s="10" t="inlineStr">
        <is>
          <t>PRIMARIOS</t>
        </is>
      </c>
      <c r="O153" s="10" t="inlineStr">
        <is>
          <t>DOCUMENTOS TÉCNICOS</t>
        </is>
      </c>
      <c r="P153" s="10" t="inlineStr">
        <is>
          <t>USO INTERNO(2)</t>
        </is>
      </c>
      <c r="Q153" s="10" t="inlineStr">
        <is>
          <t>MEDIA(2)</t>
        </is>
      </c>
      <c r="R153" s="10" t="inlineStr">
        <is>
          <t>BAJA(1)</t>
        </is>
      </c>
      <c r="S153" s="10">
        <f>+(IF(P153="PUBLICA(1)",1,IF(P153="USO INTERNO(2)",2,IF(P153="RESTRINGIDO(3)",3,3))))+(IF(Q153="BAJA(1)",1,IF(Q153="MEDIA(2)",2,IF(Q153="ALTA(3)",3,3))))+(IF(R153="BAJA(1)",1,IF(R153="MEDIA(2)",2,IF(R153="ALTA(3)",3,3))))</f>
        <v/>
      </c>
      <c r="T153" s="10">
        <f>+IF(S153&lt;6,"BAJA",IF(S153&lt;8,"MEDIA","ALTA"))</f>
        <v/>
      </c>
      <c r="U153" s="10" t="inlineStr">
        <is>
          <t>-</t>
        </is>
      </c>
      <c r="V153" s="24" t="n">
        <v>45580</v>
      </c>
      <c r="W153" s="19" t="inlineStr">
        <is>
          <t>N/A</t>
        </is>
      </c>
      <c r="X153" s="10">
        <f>+IFERROR(IF(VLOOKUP(Tabla2[[#This Row],[ID]],'EVALUACION DE RIESGO'!A:A,1,FALSE)=Tabla2[[#This Row],[ID]],"SI","NO"),"NO")</f>
        <v/>
      </c>
      <c r="AD153">
        <f>IF(AND(Y153="",AA153=""),"",IF(OR(LEFT(AA153,2)="L0",LEFT(AA153,2)="L1",Y153="No Iniciado"),"CRÍTICO - Incumplimiento Normativo SEPS",IF(AND(OR(LEFT(AA153,2)="L4",LEFT(AA153,2)="L5"),AND(AC153&lt;&gt;"",AC153&lt;&gt;"N/A")),"CONFORME - Control Efectivo ISO 27001","OBSERVACIÓN - Revisar Controles")))</f>
        <v/>
      </c>
    </row>
    <row r="154">
      <c r="A154" s="99" t="inlineStr">
        <is>
          <t>68-GRS</t>
        </is>
      </c>
      <c r="B154" s="10" t="inlineStr">
        <is>
          <t>ESTRATÉGICO</t>
        </is>
      </c>
      <c r="C154" s="10" t="inlineStr">
        <is>
          <t>Gestión de Responsabilidad Social</t>
        </is>
      </c>
      <c r="D154" s="10" t="inlineStr">
        <is>
          <t>GRS</t>
        </is>
      </c>
      <c r="E154" s="10" t="inlineStr">
        <is>
          <t>Gestión de Responsabilidad Social</t>
        </is>
      </c>
      <c r="F154" s="10" t="inlineStr">
        <is>
          <t>-</t>
        </is>
      </c>
      <c r="G154" s="10" t="inlineStr">
        <is>
          <t xml:space="preserve">Evaluación del Sistema de Gestión de Responsabilidad Social </t>
        </is>
      </c>
      <c r="H154" s="10" t="inlineStr">
        <is>
          <t>Planes de acción para el 
cumplimiento del Sistema de
Gestión de Responsabilidad Social.</t>
        </is>
      </c>
      <c r="I154" s="10" t="inlineStr">
        <is>
          <t>Archivo del área que se encuentra adjunto al informe de gestión anual</t>
        </is>
      </c>
      <c r="J154" s="10" t="inlineStr">
        <is>
          <t>Técnico de Responsabilidad Social</t>
        </is>
      </c>
      <c r="K154" s="10" t="inlineStr">
        <is>
          <t>Técnico de Responsabilidad Social</t>
        </is>
      </c>
      <c r="L154" s="10" t="inlineStr">
        <is>
          <t>UBICACIÓN DIGITAL-EQUIPO DEL RESPONSABLE</t>
        </is>
      </c>
      <c r="M154" s="10" t="inlineStr">
        <is>
          <t>DISCOS DUROS, SERVIDORES, DISCOS O MEDIOS PORTÁTILES, CINTAS O MEDIOS DE VIDEO Y AUDIO, ETC.</t>
        </is>
      </c>
      <c r="N154" s="10" t="inlineStr">
        <is>
          <t>PRIMARIOS</t>
        </is>
      </c>
      <c r="O154" s="10" t="inlineStr">
        <is>
          <t>DOCUMENTOS TÉCNICOS</t>
        </is>
      </c>
      <c r="P154" s="10" t="inlineStr">
        <is>
          <t>USO INTERNO(2)</t>
        </is>
      </c>
      <c r="Q154" s="10" t="inlineStr">
        <is>
          <t>MEDIA(2)</t>
        </is>
      </c>
      <c r="R154" s="10" t="inlineStr">
        <is>
          <t>BAJA(1)</t>
        </is>
      </c>
      <c r="S154" s="10">
        <f>+(IF(P154="PUBLICA(1)",1,IF(P154="USO INTERNO(2)",2,IF(P154="RESTRINGIDO(3)",3,3))))+(IF(Q154="BAJA(1)",1,IF(Q154="MEDIA(2)",2,IF(Q154="ALTA(3)",3,3))))+(IF(R154="BAJA(1)",1,IF(R154="MEDIA(2)",2,IF(R154="ALTA(3)",3,3))))</f>
        <v/>
      </c>
      <c r="T154" s="10">
        <f>+IF(S154&lt;6,"BAJA",IF(S154&lt;8,"MEDIA","ALTA"))</f>
        <v/>
      </c>
      <c r="U154" s="10" t="inlineStr">
        <is>
          <t>-</t>
        </is>
      </c>
      <c r="V154" s="24" t="n">
        <v>45580</v>
      </c>
      <c r="W154" s="19" t="inlineStr">
        <is>
          <t>N/A</t>
        </is>
      </c>
      <c r="X154" s="10">
        <f>+IFERROR(IF(VLOOKUP(Tabla2[[#This Row],[ID]],'EVALUACION DE RIESGO'!A:A,1,FALSE)=Tabla2[[#This Row],[ID]],"SI","NO"),"NO")</f>
        <v/>
      </c>
      <c r="AD154">
        <f>IF(AND(Y154="",AA154=""),"",IF(OR(LEFT(AA154,2)="L0",LEFT(AA154,2)="L1",Y154="No Iniciado"),"CRÍTICO - Incumplimiento Normativo SEPS",IF(AND(OR(LEFT(AA154,2)="L4",LEFT(AA154,2)="L5"),AND(AC154&lt;&gt;"",AC154&lt;&gt;"N/A")),"CONFORME - Control Efectivo ISO 27001","OBSERVACIÓN - Revisar Controles")))</f>
        <v/>
      </c>
    </row>
    <row r="155">
      <c r="A155" s="99" t="inlineStr">
        <is>
          <t>69-GRS</t>
        </is>
      </c>
      <c r="B155" s="10" t="inlineStr">
        <is>
          <t>ESTRATÉGICO</t>
        </is>
      </c>
      <c r="C155" s="10" t="inlineStr">
        <is>
          <t>Gestión de Responsabilidad Social</t>
        </is>
      </c>
      <c r="D155" s="10" t="inlineStr">
        <is>
          <t>GRS</t>
        </is>
      </c>
      <c r="E155" s="10" t="inlineStr">
        <is>
          <t>Gestión de Responsabilidad Social</t>
        </is>
      </c>
      <c r="F155" s="10" t="inlineStr">
        <is>
          <t>-</t>
        </is>
      </c>
      <c r="G155" s="10" t="inlineStr">
        <is>
          <t xml:space="preserve">Elaboración del Balance Social </t>
        </is>
      </c>
      <c r="H155" s="10" t="inlineStr">
        <is>
          <t>Código de Responsabilidad Social.E</t>
        </is>
      </c>
      <c r="I155" s="10" t="inlineStr">
        <is>
          <t>Doc. de Código de responsabilidad Social subido  a WebCoop</t>
        </is>
      </c>
      <c r="J155" s="10" t="inlineStr">
        <is>
          <t>Técnico de Responsabilidad Social</t>
        </is>
      </c>
      <c r="K155" s="10" t="inlineStr">
        <is>
          <t>Técnico de Responsabilidad Social</t>
        </is>
      </c>
      <c r="L155" s="10" t="inlineStr">
        <is>
          <t>UBICACIÓN DIGITAL-WEBCOOP</t>
        </is>
      </c>
      <c r="M155" s="10" t="inlineStr">
        <is>
          <t>DOCUMENTO DE ARCHIVO-ELECTRÓNICO</t>
        </is>
      </c>
      <c r="N155" s="10" t="inlineStr">
        <is>
          <t>PRIMARIOS</t>
        </is>
      </c>
      <c r="O155" s="10" t="inlineStr">
        <is>
          <t>NORMATIVA INTERNA</t>
        </is>
      </c>
      <c r="P155" s="10" t="inlineStr">
        <is>
          <t>USO INTERNO(2)</t>
        </is>
      </c>
      <c r="Q155" s="10" t="inlineStr">
        <is>
          <t>MEDIA(2)</t>
        </is>
      </c>
      <c r="R155" s="10" t="inlineStr">
        <is>
          <t>BAJA(1)</t>
        </is>
      </c>
      <c r="S155" s="10">
        <f>+(IF(P155="PUBLICA(1)",1,IF(P155="USO INTERNO(2)",2,IF(P155="RESTRINGIDO(3)",3,3))))+(IF(Q155="BAJA(1)",1,IF(Q155="MEDIA(2)",2,IF(Q155="ALTA(3)",3,3))))+(IF(R155="BAJA(1)",1,IF(R155="MEDIA(2)",2,IF(R155="ALTA(3)",3,3))))</f>
        <v/>
      </c>
      <c r="T155" s="10">
        <f>+IF(S155&lt;6,"BAJA",IF(S155&lt;8,"MEDIA","ALTA"))</f>
        <v/>
      </c>
      <c r="U155" s="10" t="inlineStr">
        <is>
          <t>-</t>
        </is>
      </c>
      <c r="V155" s="24" t="n">
        <v>45580</v>
      </c>
      <c r="W155" s="19" t="inlineStr">
        <is>
          <t>N/A</t>
        </is>
      </c>
      <c r="X155" s="10">
        <f>+IFERROR(IF(VLOOKUP(Tabla2[[#This Row],[ID]],'EVALUACION DE RIESGO'!A:A,1,FALSE)=Tabla2[[#This Row],[ID]],"SI","NO"),"NO")</f>
        <v/>
      </c>
      <c r="AD155">
        <f>IF(AND(Y155="",AA155=""),"",IF(OR(LEFT(AA155,2)="L0",LEFT(AA155,2)="L1",Y155="No Iniciado"),"CRÍTICO - Incumplimiento Normativo SEPS",IF(AND(OR(LEFT(AA155,2)="L4",LEFT(AA155,2)="L5"),AND(AC155&lt;&gt;"",AC155&lt;&gt;"N/A")),"CONFORME - Control Efectivo ISO 27001","OBSERVACIÓN - Revisar Controles")))</f>
        <v/>
      </c>
    </row>
    <row r="156">
      <c r="A156" s="99" t="inlineStr">
        <is>
          <t>70-GRS</t>
        </is>
      </c>
      <c r="B156" s="10" t="inlineStr">
        <is>
          <t>ESTRATÉGICO</t>
        </is>
      </c>
      <c r="C156" s="10" t="inlineStr">
        <is>
          <t>Gestión de Responsabilidad Social</t>
        </is>
      </c>
      <c r="D156" s="10" t="inlineStr">
        <is>
          <t>GRS</t>
        </is>
      </c>
      <c r="E156" s="10" t="inlineStr">
        <is>
          <t>Gestión de Responsabilidad Social</t>
        </is>
      </c>
      <c r="F156" s="10" t="inlineStr">
        <is>
          <t>-</t>
        </is>
      </c>
      <c r="G156" s="10" t="inlineStr">
        <is>
          <t xml:space="preserve">Elaboración del Balance Social </t>
        </is>
      </c>
      <c r="H156" s="10" t="inlineStr">
        <is>
          <t>Matriz de indicadores para el Balance Social.</t>
        </is>
      </c>
      <c r="I156" s="10" t="inlineStr">
        <is>
          <t>Matriz donde se consolida el balance social del año</t>
        </is>
      </c>
      <c r="J156" s="10" t="inlineStr">
        <is>
          <t>Técnico de Responsabilidad Social</t>
        </is>
      </c>
      <c r="K156" s="10" t="inlineStr">
        <is>
          <t>Técnico de Responsabilidad Social</t>
        </is>
      </c>
      <c r="L156" s="10" t="inlineStr">
        <is>
          <t>UBICACIÓN DIGITAL-EQUIPO DEL RESPONSABLE</t>
        </is>
      </c>
      <c r="M156" s="10" t="inlineStr">
        <is>
          <t>DISCOS DUROS, SERVIDORES, DISCOS O MEDIOS PORTÁTILES, CINTAS O MEDIOS DE VIDEO Y AUDIO, ETC.</t>
        </is>
      </c>
      <c r="N156" s="10" t="inlineStr">
        <is>
          <t>PRIMARIOS</t>
        </is>
      </c>
      <c r="O156" s="10" t="inlineStr">
        <is>
          <t>DOCUMENTOS TÉCNICOS</t>
        </is>
      </c>
      <c r="P156" s="10" t="inlineStr">
        <is>
          <t>USO INTERNO(2)</t>
        </is>
      </c>
      <c r="Q156" s="10" t="inlineStr">
        <is>
          <t>MEDIA(2)</t>
        </is>
      </c>
      <c r="R156" s="10" t="inlineStr">
        <is>
          <t>BAJA(1)</t>
        </is>
      </c>
      <c r="S156" s="10">
        <f>+(IF(P156="PUBLICA(1)",1,IF(P156="USO INTERNO(2)",2,IF(P156="RESTRINGIDO(3)",3,3))))+(IF(Q156="BAJA(1)",1,IF(Q156="MEDIA(2)",2,IF(Q156="ALTA(3)",3,3))))+(IF(R156="BAJA(1)",1,IF(R156="MEDIA(2)",2,IF(R156="ALTA(3)",3,3))))</f>
        <v/>
      </c>
      <c r="T156" s="10">
        <f>+IF(S156&lt;6,"BAJA",IF(S156&lt;8,"MEDIA","ALTA"))</f>
        <v/>
      </c>
      <c r="U156" s="10" t="inlineStr">
        <is>
          <t>-</t>
        </is>
      </c>
      <c r="V156" s="24" t="n">
        <v>45580</v>
      </c>
      <c r="W156" s="19" t="inlineStr">
        <is>
          <t>N/A</t>
        </is>
      </c>
      <c r="X156" s="10">
        <f>+IFERROR(IF(VLOOKUP(Tabla2[[#This Row],[ID]],'EVALUACION DE RIESGO'!A:A,1,FALSE)=Tabla2[[#This Row],[ID]],"SI","NO"),"NO")</f>
        <v/>
      </c>
      <c r="AD156">
        <f>IF(AND(Y156="",AA156=""),"",IF(OR(LEFT(AA156,2)="L0",LEFT(AA156,2)="L1",Y156="No Iniciado"),"CRÍTICO - Incumplimiento Normativo SEPS",IF(AND(OR(LEFT(AA156,2)="L4",LEFT(AA156,2)="L5"),AND(AC156&lt;&gt;"",AC156&lt;&gt;"N/A")),"CONFORME - Control Efectivo ISO 27001","OBSERVACIÓN - Revisar Controles")))</f>
        <v/>
      </c>
    </row>
    <row r="157">
      <c r="A157" s="99" t="inlineStr">
        <is>
          <t>71-GRS</t>
        </is>
      </c>
      <c r="B157" s="10" t="inlineStr">
        <is>
          <t>ESTRATÉGICO</t>
        </is>
      </c>
      <c r="C157" s="10" t="inlineStr">
        <is>
          <t>Gestión de Responsabilidad Social</t>
        </is>
      </c>
      <c r="D157" s="10" t="inlineStr">
        <is>
          <t>GRS</t>
        </is>
      </c>
      <c r="E157" s="10" t="inlineStr">
        <is>
          <t>Gestión de Responsabilidad Social</t>
        </is>
      </c>
      <c r="F157" s="10" t="inlineStr">
        <is>
          <t>-</t>
        </is>
      </c>
      <c r="G157" s="10" t="inlineStr">
        <is>
          <t xml:space="preserve">Elaboración del Balance Social </t>
        </is>
      </c>
      <c r="H157" s="10" t="inlineStr">
        <is>
          <t>Balance Social.</t>
        </is>
      </c>
      <c r="I157" s="10" t="inlineStr">
        <is>
          <t>Resumen en informe de la matriz de Balance Social</t>
        </is>
      </c>
      <c r="J157" s="10" t="inlineStr">
        <is>
          <t>Técnico de Responsabilidad Social</t>
        </is>
      </c>
      <c r="K157" s="10" t="inlineStr">
        <is>
          <t>Técnico de Responsabilidad Social</t>
        </is>
      </c>
      <c r="L157" s="10" t="inlineStr">
        <is>
          <t>UBICACIÓN DIGITAL-PÁGINA WEB</t>
        </is>
      </c>
      <c r="M157" s="10" t="inlineStr">
        <is>
          <t>DOCUMENTO DE ARCHIVO-ELECTRÓNICO</t>
        </is>
      </c>
      <c r="N157" s="10" t="inlineStr">
        <is>
          <t>PRIMARIOS</t>
        </is>
      </c>
      <c r="O157" s="10" t="inlineStr">
        <is>
          <t>DOCUMENTOS TÉCNICOS</t>
        </is>
      </c>
      <c r="P157" s="10" t="inlineStr">
        <is>
          <t>USO INTERNO(2)</t>
        </is>
      </c>
      <c r="Q157" s="10" t="inlineStr">
        <is>
          <t>MEDIA(2)</t>
        </is>
      </c>
      <c r="R157" s="10" t="inlineStr">
        <is>
          <t>BAJA(1)</t>
        </is>
      </c>
      <c r="S157" s="10">
        <f>+(IF(P157="PUBLICA(1)",1,IF(P157="USO INTERNO(2)",2,IF(P157="RESTRINGIDO(3)",3,3))))+(IF(Q157="BAJA(1)",1,IF(Q157="MEDIA(2)",2,IF(Q157="ALTA(3)",3,3))))+(IF(R157="BAJA(1)",1,IF(R157="MEDIA(2)",2,IF(R157="ALTA(3)",3,3))))</f>
        <v/>
      </c>
      <c r="T157" s="10">
        <f>+IF(S157&lt;6,"BAJA",IF(S157&lt;8,"MEDIA","ALTA"))</f>
        <v/>
      </c>
      <c r="U157" s="10" t="inlineStr">
        <is>
          <t>-</t>
        </is>
      </c>
      <c r="V157" s="24" t="n">
        <v>45580</v>
      </c>
      <c r="W157" s="19" t="inlineStr">
        <is>
          <t>N/A</t>
        </is>
      </c>
      <c r="X157" s="10">
        <f>+IFERROR(IF(VLOOKUP(Tabla2[[#This Row],[ID]],'EVALUACION DE RIESGO'!A:A,1,FALSE)=Tabla2[[#This Row],[ID]],"SI","NO"),"NO")</f>
        <v/>
      </c>
      <c r="AD157">
        <f>IF(AND(Y157="",AA157=""),"",IF(OR(LEFT(AA157,2)="L0",LEFT(AA157,2)="L1",Y157="No Iniciado"),"CRÍTICO - Incumplimiento Normativo SEPS",IF(AND(OR(LEFT(AA157,2)="L4",LEFT(AA157,2)="L5"),AND(AC157&lt;&gt;"",AC157&lt;&gt;"N/A")),"CONFORME - Control Efectivo ISO 27001","OBSERVACIÓN - Revisar Controles")))</f>
        <v/>
      </c>
    </row>
    <row r="158">
      <c r="A158" s="99" t="inlineStr">
        <is>
          <t>72-GRS</t>
        </is>
      </c>
      <c r="B158" s="10" t="inlineStr">
        <is>
          <t>ESTRATÉGICO</t>
        </is>
      </c>
      <c r="C158" s="10" t="inlineStr">
        <is>
          <t>Gestión de Responsabilidad Social</t>
        </is>
      </c>
      <c r="D158" s="10" t="inlineStr">
        <is>
          <t>GRS</t>
        </is>
      </c>
      <c r="E158" s="10" t="inlineStr">
        <is>
          <t>Gestión de Responsabilidad Social</t>
        </is>
      </c>
      <c r="F158" s="10" t="inlineStr">
        <is>
          <t>-</t>
        </is>
      </c>
      <c r="G158" s="10" t="inlineStr">
        <is>
          <t>Elaboración de Programas y Campañas de Responsabilidad Social y Ambiental</t>
        </is>
      </c>
      <c r="H158" s="10" t="inlineStr">
        <is>
          <t>Proyecto de programa o campaña de Responsabilidad Social.</t>
        </is>
      </c>
      <c r="I158" s="10" t="inlineStr">
        <is>
          <t>Archivo de registro de programas de compañas</t>
        </is>
      </c>
      <c r="J158" s="10" t="inlineStr">
        <is>
          <t>Técnico de Responsabilidad Social</t>
        </is>
      </c>
      <c r="K158" s="10" t="inlineStr">
        <is>
          <t>Técnico de Responsabilidad Social</t>
        </is>
      </c>
      <c r="L158" s="10" t="inlineStr">
        <is>
          <t>UBICACIÓN DIGITAL-EQUIPO DEL RESPONSABLE</t>
        </is>
      </c>
      <c r="M158" s="10" t="inlineStr">
        <is>
          <t>DISCOS DUROS, SERVIDORES, DISCOS O MEDIOS PORTÁTILES, CINTAS O MEDIOS DE VIDEO Y AUDIO, ETC.</t>
        </is>
      </c>
      <c r="N158" s="10" t="inlineStr">
        <is>
          <t>PRIMARIOS</t>
        </is>
      </c>
      <c r="O158" s="10" t="inlineStr">
        <is>
          <t>DOCUMENTOS TÉCNICOS</t>
        </is>
      </c>
      <c r="P158" s="10" t="inlineStr">
        <is>
          <t>USO INTERNO(2)</t>
        </is>
      </c>
      <c r="Q158" s="10" t="inlineStr">
        <is>
          <t>MEDIA(2)</t>
        </is>
      </c>
      <c r="R158" s="10" t="inlineStr">
        <is>
          <t>BAJA(1)</t>
        </is>
      </c>
      <c r="S158" s="10">
        <f>+(IF(P158="PUBLICA(1)",1,IF(P158="USO INTERNO(2)",2,IF(P158="RESTRINGIDO(3)",3,3))))+(IF(Q158="BAJA(1)",1,IF(Q158="MEDIA(2)",2,IF(Q158="ALTA(3)",3,3))))+(IF(R158="BAJA(1)",1,IF(R158="MEDIA(2)",2,IF(R158="ALTA(3)",3,3))))</f>
        <v/>
      </c>
      <c r="T158" s="10">
        <f>+IF(S158&lt;6,"BAJA",IF(S158&lt;8,"MEDIA","ALTA"))</f>
        <v/>
      </c>
      <c r="U158" s="10" t="inlineStr">
        <is>
          <t>-</t>
        </is>
      </c>
      <c r="V158" s="24" t="n">
        <v>45580</v>
      </c>
      <c r="W158" s="19" t="inlineStr">
        <is>
          <t>N/A</t>
        </is>
      </c>
      <c r="X158" s="10">
        <f>+IFERROR(IF(VLOOKUP(Tabla2[[#This Row],[ID]],'EVALUACION DE RIESGO'!A:A,1,FALSE)=Tabla2[[#This Row],[ID]],"SI","NO"),"NO")</f>
        <v/>
      </c>
      <c r="AD158">
        <f>IF(AND(Y158="",AA158=""),"",IF(OR(LEFT(AA158,2)="L0",LEFT(AA158,2)="L1",Y158="No Iniciado"),"CRÍTICO - Incumplimiento Normativo SEPS",IF(AND(OR(LEFT(AA158,2)="L4",LEFT(AA158,2)="L5"),AND(AC158&lt;&gt;"",AC158&lt;&gt;"N/A")),"CONFORME - Control Efectivo ISO 27001","OBSERVACIÓN - Revisar Controles")))</f>
        <v/>
      </c>
    </row>
    <row r="159">
      <c r="A159" s="99" t="inlineStr">
        <is>
          <t>73-GRS</t>
        </is>
      </c>
      <c r="B159" s="10" t="inlineStr">
        <is>
          <t>ESTRATÉGICO</t>
        </is>
      </c>
      <c r="C159" s="10" t="inlineStr">
        <is>
          <t>Gestión de Responsabilidad Social</t>
        </is>
      </c>
      <c r="D159" s="10" t="inlineStr">
        <is>
          <t>GRS</t>
        </is>
      </c>
      <c r="E159" s="10" t="inlineStr">
        <is>
          <t>Gestión de Responsabilidad Social</t>
        </is>
      </c>
      <c r="F159" s="10" t="inlineStr">
        <is>
          <t>-</t>
        </is>
      </c>
      <c r="G159" s="10" t="inlineStr">
        <is>
          <t>Programa de educación financiera</t>
        </is>
      </c>
      <c r="H159" s="10" t="inlineStr">
        <is>
          <t>Programa Anual de Educación Financiera.</t>
        </is>
      </c>
      <c r="I159" s="10" t="inlineStr">
        <is>
          <t>Planificación anual de las iniciativas y programas de educación financiera para el periodo</t>
        </is>
      </c>
      <c r="J159" s="10" t="inlineStr">
        <is>
          <t>Técnico de Responsabilidad Social</t>
        </is>
      </c>
      <c r="K159" s="10" t="inlineStr">
        <is>
          <t>Técnico de Responsabilidad Social</t>
        </is>
      </c>
      <c r="L159" s="10" t="inlineStr">
        <is>
          <t>UBICACIÓN DIGITAL-EQUIPO DEL RESPONSABLE</t>
        </is>
      </c>
      <c r="M159" s="10" t="inlineStr">
        <is>
          <t>DISCOS DUROS, SERVIDORES, DISCOS O MEDIOS PORTÁTILES, CINTAS O MEDIOS DE VIDEO Y AUDIO, ETC.</t>
        </is>
      </c>
      <c r="N159" s="10" t="inlineStr">
        <is>
          <t>PRIMARIOS</t>
        </is>
      </c>
      <c r="O159" s="10" t="inlineStr">
        <is>
          <t>DOCUMENTOS TÉCNICOS</t>
        </is>
      </c>
      <c r="P159" s="10" t="inlineStr">
        <is>
          <t>USO INTERNO(2)</t>
        </is>
      </c>
      <c r="Q159" s="10" t="inlineStr">
        <is>
          <t>MEDIA(2)</t>
        </is>
      </c>
      <c r="R159" s="10" t="inlineStr">
        <is>
          <t>BAJA(1)</t>
        </is>
      </c>
      <c r="S159" s="10">
        <f>+(IF(P159="PUBLICA(1)",1,IF(P159="USO INTERNO(2)",2,IF(P159="RESTRINGIDO(3)",3,3))))+(IF(Q159="BAJA(1)",1,IF(Q159="MEDIA(2)",2,IF(Q159="ALTA(3)",3,3))))+(IF(R159="BAJA(1)",1,IF(R159="MEDIA(2)",2,IF(R159="ALTA(3)",3,3))))</f>
        <v/>
      </c>
      <c r="T159" s="10">
        <f>+IF(S159&lt;6,"BAJA",IF(S159&lt;8,"MEDIA","ALTA"))</f>
        <v/>
      </c>
      <c r="U159" s="10" t="inlineStr">
        <is>
          <t>-</t>
        </is>
      </c>
      <c r="V159" s="24" t="n">
        <v>45580</v>
      </c>
      <c r="W159" s="19" t="inlineStr">
        <is>
          <t>N/A</t>
        </is>
      </c>
      <c r="X159" s="10">
        <f>+IFERROR(IF(VLOOKUP(Tabla2[[#This Row],[ID]],'EVALUACION DE RIESGO'!A:A,1,FALSE)=Tabla2[[#This Row],[ID]],"SI","NO"),"NO")</f>
        <v/>
      </c>
      <c r="AD159">
        <f>IF(AND(Y159="",AA159=""),"",IF(OR(LEFT(AA159,2)="L0",LEFT(AA159,2)="L1",Y159="No Iniciado"),"CRÍTICO - Incumplimiento Normativo SEPS",IF(AND(OR(LEFT(AA159,2)="L4",LEFT(AA159,2)="L5"),AND(AC159&lt;&gt;"",AC159&lt;&gt;"N/A")),"CONFORME - Control Efectivo ISO 27001","OBSERVACIÓN - Revisar Controles")))</f>
        <v/>
      </c>
    </row>
    <row r="160">
      <c r="A160" s="99" t="inlineStr">
        <is>
          <t>74-GRS</t>
        </is>
      </c>
      <c r="B160" s="10" t="inlineStr">
        <is>
          <t>ESTRATÉGICO</t>
        </is>
      </c>
      <c r="C160" s="10" t="inlineStr">
        <is>
          <t>Gestión de Responsabilidad Social</t>
        </is>
      </c>
      <c r="D160" s="10" t="inlineStr">
        <is>
          <t>GRS</t>
        </is>
      </c>
      <c r="E160" s="10" t="inlineStr">
        <is>
          <t>Gestión de Responsabilidad Social</t>
        </is>
      </c>
      <c r="F160" s="10" t="inlineStr">
        <is>
          <t>-</t>
        </is>
      </c>
      <c r="G160" s="10" t="inlineStr">
        <is>
          <t>Programa de educación financiera</t>
        </is>
      </c>
      <c r="H160" s="10" t="inlineStr">
        <is>
          <t>Base de datos de socios capacitados y asistentes</t>
        </is>
      </c>
      <c r="I160" s="10" t="inlineStr">
        <is>
          <t>Registro de capacitaciones realizadas</t>
        </is>
      </c>
      <c r="J160" s="10" t="inlineStr">
        <is>
          <t>Técnico de Responsabilidad Social</t>
        </is>
      </c>
      <c r="K160" s="10" t="inlineStr">
        <is>
          <t>Técnico de Responsabilidad Social</t>
        </is>
      </c>
      <c r="L160" s="10" t="inlineStr">
        <is>
          <t>DOCUMENTOS FISICOS-ARCHIVOS DE LA OFICINA</t>
        </is>
      </c>
      <c r="M160" s="10" t="inlineStr">
        <is>
          <t>DOCUMENTO DE ARCHIVO-FÍSICO</t>
        </is>
      </c>
      <c r="N160" s="10" t="inlineStr">
        <is>
          <t>PRIMARIOS</t>
        </is>
      </c>
      <c r="O160" s="10" t="inlineStr">
        <is>
          <t>INFORMACIÓN DE TERCEROS</t>
        </is>
      </c>
      <c r="P160" s="10" t="inlineStr">
        <is>
          <t>USO INTERNO(2)</t>
        </is>
      </c>
      <c r="Q160" s="10" t="inlineStr">
        <is>
          <t>MEDIA(2)</t>
        </is>
      </c>
      <c r="R160" s="10" t="inlineStr">
        <is>
          <t>BAJA(1)</t>
        </is>
      </c>
      <c r="S160" s="10">
        <f>+(IF(P160="PUBLICA(1)",1,IF(P160="USO INTERNO(2)",2,IF(P160="RESTRINGIDO(3)",3,3))))+(IF(Q160="BAJA(1)",1,IF(Q160="MEDIA(2)",2,IF(Q160="ALTA(3)",3,3))))+(IF(R160="BAJA(1)",1,IF(R160="MEDIA(2)",2,IF(R160="ALTA(3)",3,3))))</f>
        <v/>
      </c>
      <c r="T160" s="10">
        <f>+IF(S160&lt;6,"BAJA",IF(S160&lt;8,"MEDIA","ALTA"))</f>
        <v/>
      </c>
      <c r="U160" s="10" t="inlineStr">
        <is>
          <t>-</t>
        </is>
      </c>
      <c r="V160" s="24" t="n">
        <v>45580</v>
      </c>
      <c r="W160" s="19" t="inlineStr">
        <is>
          <t>N/A</t>
        </is>
      </c>
      <c r="X160" s="10">
        <f>+IFERROR(IF(VLOOKUP(Tabla2[[#This Row],[ID]],'EVALUACION DE RIESGO'!A:A,1,FALSE)=Tabla2[[#This Row],[ID]],"SI","NO"),"NO")</f>
        <v/>
      </c>
      <c r="AD160">
        <f>IF(AND(Y160="",AA160=""),"",IF(OR(LEFT(AA160,2)="L0",LEFT(AA160,2)="L1",Y160="No Iniciado"),"CRÍTICO - Incumplimiento Normativo SEPS",IF(AND(OR(LEFT(AA160,2)="L4",LEFT(AA160,2)="L5"),AND(AC160&lt;&gt;"",AC160&lt;&gt;"N/A")),"CONFORME - Control Efectivo ISO 27001","OBSERVACIÓN - Revisar Controles")))</f>
        <v/>
      </c>
    </row>
    <row r="161">
      <c r="A161" s="99" t="inlineStr">
        <is>
          <t>75-GRS</t>
        </is>
      </c>
      <c r="B161" s="10" t="inlineStr">
        <is>
          <t>ESTRATÉGICO</t>
        </is>
      </c>
      <c r="C161" s="10" t="inlineStr">
        <is>
          <t>Gestión de Responsabilidad Social</t>
        </is>
      </c>
      <c r="D161" s="10" t="inlineStr">
        <is>
          <t>GRS</t>
        </is>
      </c>
      <c r="E161" s="10" t="inlineStr">
        <is>
          <t>Gestión de Responsabilidad Social</t>
        </is>
      </c>
      <c r="F161" s="10" t="inlineStr">
        <is>
          <t>-</t>
        </is>
      </c>
      <c r="G161" s="10" t="inlineStr">
        <is>
          <t>Programa de educación financiera</t>
        </is>
      </c>
      <c r="H161" s="10" t="inlineStr">
        <is>
          <t>Informe de Evaluación al Programa de Educación Financiera.</t>
        </is>
      </c>
      <c r="I161" s="10" t="inlineStr">
        <is>
          <t>Contenido del informe anual punto 5.5.1</t>
        </is>
      </c>
      <c r="J161" s="10" t="inlineStr">
        <is>
          <t>Técnico de Responsabilidad Social</t>
        </is>
      </c>
      <c r="K161" s="10" t="inlineStr">
        <is>
          <t>Técnico de Responsabilidad Social</t>
        </is>
      </c>
      <c r="L161" s="10" t="inlineStr">
        <is>
          <t>UBICACIÓN DIGITAL-EQUIPO DEL RESPONSABLE</t>
        </is>
      </c>
      <c r="M161" s="10" t="inlineStr">
        <is>
          <t>DISCOS DUROS, SERVIDORES, DISCOS O MEDIOS PORTÁTILES, CINTAS O MEDIOS DE VIDEO Y AUDIO, ETC.</t>
        </is>
      </c>
      <c r="N161" s="10" t="inlineStr">
        <is>
          <t>PRIMARIOS</t>
        </is>
      </c>
      <c r="O161" s="10" t="inlineStr">
        <is>
          <t>DOCUMENTOS TÉCNICOS</t>
        </is>
      </c>
      <c r="P161" s="10" t="inlineStr">
        <is>
          <t>USO INTERNO(2)</t>
        </is>
      </c>
      <c r="Q161" s="10" t="inlineStr">
        <is>
          <t>MEDIA(2)</t>
        </is>
      </c>
      <c r="R161" s="10" t="inlineStr">
        <is>
          <t>BAJA(1)</t>
        </is>
      </c>
      <c r="S161" s="10">
        <f>+(IF(P161="PUBLICA(1)",1,IF(P161="USO INTERNO(2)",2,IF(P161="RESTRINGIDO(3)",3,3))))+(IF(Q161="BAJA(1)",1,IF(Q161="MEDIA(2)",2,IF(Q161="ALTA(3)",3,3))))+(IF(R161="BAJA(1)",1,IF(R161="MEDIA(2)",2,IF(R161="ALTA(3)",3,3))))</f>
        <v/>
      </c>
      <c r="T161" s="10">
        <f>+IF(S161&lt;6,"BAJA",IF(S161&lt;8,"MEDIA","ALTA"))</f>
        <v/>
      </c>
      <c r="U161" s="10" t="inlineStr">
        <is>
          <t>-</t>
        </is>
      </c>
      <c r="V161" s="24" t="n">
        <v>45580</v>
      </c>
      <c r="W161" s="19" t="inlineStr">
        <is>
          <t>N/A</t>
        </is>
      </c>
      <c r="X161" s="10">
        <f>+IFERROR(IF(VLOOKUP(Tabla2[[#This Row],[ID]],'EVALUACION DE RIESGO'!A:A,1,FALSE)=Tabla2[[#This Row],[ID]],"SI","NO"),"NO")</f>
        <v/>
      </c>
      <c r="AD161">
        <f>IF(AND(Y161="",AA161=""),"",IF(OR(LEFT(AA161,2)="L0",LEFT(AA161,2)="L1",Y161="No Iniciado"),"CRÍTICO - Incumplimiento Normativo SEPS",IF(AND(OR(LEFT(AA161,2)="L4",LEFT(AA161,2)="L5"),AND(AC161&lt;&gt;"",AC161&lt;&gt;"N/A")),"CONFORME - Control Efectivo ISO 27001","OBSERVACIÓN - Revisar Controles")))</f>
        <v/>
      </c>
    </row>
    <row r="162">
      <c r="A162" s="99" t="inlineStr">
        <is>
          <t>76-GRS</t>
        </is>
      </c>
      <c r="B162" s="10" t="inlineStr">
        <is>
          <t>ESTRATÉGICO</t>
        </is>
      </c>
      <c r="C162" s="10" t="inlineStr">
        <is>
          <t>Gestión de Responsabilidad Social</t>
        </is>
      </c>
      <c r="D162" s="10" t="inlineStr">
        <is>
          <t>GRS</t>
        </is>
      </c>
      <c r="E162" s="10" t="inlineStr">
        <is>
          <t>Gestión de Responsabilidad Social</t>
        </is>
      </c>
      <c r="F162" s="10" t="inlineStr">
        <is>
          <t>-</t>
        </is>
      </c>
      <c r="G162" s="10" t="inlineStr">
        <is>
          <t>N/A</t>
        </is>
      </c>
      <c r="H162" s="10" t="inlineStr">
        <is>
          <t xml:space="preserve">Equipos de computación </t>
        </is>
      </c>
      <c r="I162" s="10" t="inlineStr">
        <is>
          <t>Equipos de computación donde se realiza la gestión del área</t>
        </is>
      </c>
      <c r="J162" s="10" t="inlineStr">
        <is>
          <t xml:space="preserve">Oficial de Seguridad de la Información </t>
        </is>
      </c>
      <c r="K162" s="10" t="inlineStr">
        <is>
          <t xml:space="preserve">Oficial de Seguridad de la Información </t>
        </is>
      </c>
      <c r="L162" s="10" t="inlineStr">
        <is>
          <t>UBICACIÓN FISICA-SUCURSAL IBARRA</t>
        </is>
      </c>
      <c r="M162" s="10" t="inlineStr">
        <is>
          <t>DISCOS DUROS, SERVIDORES, DISCOS O MEDIOS PORTÁTILES, CINTAS O MEDIOS DE VIDEO Y AUDIO, ETC.</t>
        </is>
      </c>
      <c r="N162" s="10" t="inlineStr">
        <is>
          <t>APOYO</t>
        </is>
      </c>
      <c r="O162" s="10" t="inlineStr">
        <is>
          <t>HARDWARE</t>
        </is>
      </c>
      <c r="P162" s="10" t="inlineStr">
        <is>
          <t>RESTRINGIDO(3)</t>
        </is>
      </c>
      <c r="Q162" s="10" t="inlineStr">
        <is>
          <t>MEDIA(2)</t>
        </is>
      </c>
      <c r="R162" s="10" t="inlineStr">
        <is>
          <t>BAJA(1)</t>
        </is>
      </c>
      <c r="S162" s="10">
        <f>+(IF(P162="PUBLICA(1)",1,IF(P162="USO INTERNO(2)",2,IF(P162="RESTRINGIDO(3)",3,3))))+(IF(Q162="BAJA(1)",1,IF(Q162="MEDIA(2)",2,IF(Q162="ALTA(3)",3,3))))+(IF(R162="BAJA(1)",1,IF(R162="MEDIA(2)",2,IF(R162="ALTA(3)",3,3))))</f>
        <v/>
      </c>
      <c r="T162" s="10">
        <f>+IF(S162&lt;6,"BAJA",IF(S162&lt;8,"MEDIA","ALTA"))</f>
        <v/>
      </c>
      <c r="U162" s="10" t="inlineStr">
        <is>
          <t>-</t>
        </is>
      </c>
      <c r="V162" s="24" t="n">
        <v>45712</v>
      </c>
      <c r="W162" s="19" t="inlineStr">
        <is>
          <t>N/A</t>
        </is>
      </c>
      <c r="X162" s="10">
        <f>+IFERROR(IF(VLOOKUP(Tabla2[[#This Row],[ID]],'EVALUACION DE RIESGO'!A:A,1,FALSE)=Tabla2[[#This Row],[ID]],"SI","NO"),"NO")</f>
        <v/>
      </c>
      <c r="AD162">
        <f>IF(AND(Y162="",AA162=""),"",IF(OR(LEFT(AA162,2)="L0",LEFT(AA162,2)="L1",Y162="No Iniciado"),"CRÍTICO - Incumplimiento Normativo SEPS",IF(AND(OR(LEFT(AA162,2)="L4",LEFT(AA162,2)="L5"),AND(AC162&lt;&gt;"",AC162&lt;&gt;"N/A")),"CONFORME - Control Efectivo ISO 27001","OBSERVACIÓN - Revisar Controles")))</f>
        <v/>
      </c>
    </row>
    <row r="163">
      <c r="A163" s="99" t="inlineStr">
        <is>
          <t>77-GRS</t>
        </is>
      </c>
      <c r="B163" s="10" t="inlineStr">
        <is>
          <t>ESTRATÉGICO</t>
        </is>
      </c>
      <c r="C163" s="10" t="inlineStr">
        <is>
          <t>Gestión de Responsabilidad Social</t>
        </is>
      </c>
      <c r="D163" s="10" t="inlineStr">
        <is>
          <t>GRS</t>
        </is>
      </c>
      <c r="E163" s="10" t="inlineStr">
        <is>
          <t>Gestión de Responsabilidad Social</t>
        </is>
      </c>
      <c r="F163" s="10" t="inlineStr">
        <is>
          <t>-</t>
        </is>
      </c>
      <c r="G163" s="10" t="inlineStr">
        <is>
          <t>N/A</t>
        </is>
      </c>
      <c r="H163" s="10" t="inlineStr">
        <is>
          <t>Técnico de Responsabilidad Social</t>
        </is>
      </c>
      <c r="I163" s="10" t="inlineStr">
        <is>
          <t>N/A</t>
        </is>
      </c>
      <c r="J163" s="10" t="inlineStr">
        <is>
          <t>Técnico de Responsabilidad Social</t>
        </is>
      </c>
      <c r="K163" s="10" t="inlineStr">
        <is>
          <t>N/A</t>
        </is>
      </c>
      <c r="L163" s="10" t="inlineStr">
        <is>
          <t>N/A</t>
        </is>
      </c>
      <c r="M163" s="10" t="inlineStr">
        <is>
          <t>N/A</t>
        </is>
      </c>
      <c r="N163" s="10" t="inlineStr">
        <is>
          <t>APOYO</t>
        </is>
      </c>
      <c r="O163" s="10" t="inlineStr">
        <is>
          <t>RECURSO HUMANO</t>
        </is>
      </c>
      <c r="P163" s="10" t="inlineStr">
        <is>
          <t>USO INTERNO(2)</t>
        </is>
      </c>
      <c r="Q163" s="10" t="inlineStr">
        <is>
          <t>MEDIA(2)</t>
        </is>
      </c>
      <c r="R163" s="10" t="inlineStr">
        <is>
          <t>BAJA(1)</t>
        </is>
      </c>
      <c r="S163" s="10">
        <f>+(IF(P163="PUBLICA(1)",1,IF(P163="USO INTERNO(2)",2,IF(P163="RESTRINGIDO(3)",3,3))))+(IF(Q163="BAJA(1)",1,IF(Q163="MEDIA(2)",2,IF(Q163="ALTA(3)",3,3))))+(IF(R163="BAJA(1)",1,IF(R163="MEDIA(2)",2,IF(R163="ALTA(3)",3,3))))</f>
        <v/>
      </c>
      <c r="T163" s="10">
        <f>+IF(S163&lt;6,"BAJA",IF(S163&lt;8,"MEDIA","ALTA"))</f>
        <v/>
      </c>
      <c r="U163" s="10" t="inlineStr">
        <is>
          <t>-</t>
        </is>
      </c>
      <c r="V163" s="24" t="n">
        <v>45580</v>
      </c>
      <c r="W163" s="19" t="inlineStr">
        <is>
          <t>N/A</t>
        </is>
      </c>
      <c r="X163" s="10">
        <f>+IFERROR(IF(VLOOKUP(Tabla2[[#This Row],[ID]],'EVALUACION DE RIESGO'!A:A,1,FALSE)=Tabla2[[#This Row],[ID]],"SI","NO"),"NO")</f>
        <v/>
      </c>
      <c r="AD163">
        <f>IF(AND(Y163="",AA163=""),"",IF(OR(LEFT(AA163,2)="L0",LEFT(AA163,2)="L1",Y163="No Iniciado"),"CRÍTICO - Incumplimiento Normativo SEPS",IF(AND(OR(LEFT(AA163,2)="L4",LEFT(AA163,2)="L5"),AND(AC163&lt;&gt;"",AC163&lt;&gt;"N/A")),"CONFORME - Control Efectivo ISO 27001","OBSERVACIÓN - Revisar Controles")))</f>
        <v/>
      </c>
    </row>
    <row r="164">
      <c r="A164" s="99" t="inlineStr">
        <is>
          <t>1-GAU</t>
        </is>
      </c>
      <c r="B164" s="10" t="inlineStr">
        <is>
          <t>APOYO</t>
        </is>
      </c>
      <c r="C164" s="10" t="inlineStr">
        <is>
          <t xml:space="preserve">Gestión de Auditoría </t>
        </is>
      </c>
      <c r="D164" s="10" t="inlineStr">
        <is>
          <t>GAU</t>
        </is>
      </c>
      <c r="E164" s="10" t="inlineStr">
        <is>
          <t>Gestión de Auditoría Interna</t>
        </is>
      </c>
      <c r="F164" s="10" t="inlineStr">
        <is>
          <t>-</t>
        </is>
      </c>
      <c r="G164" s="10" t="inlineStr">
        <is>
          <t>Planificación Anual de Auditoría</t>
        </is>
      </c>
      <c r="H164" s="10" t="inlineStr">
        <is>
          <t>Plan Anual de Auditoría Interna</t>
        </is>
      </c>
      <c r="I164" s="10" t="inlineStr">
        <is>
          <t xml:space="preserve">Plan de las actividades a ejecutarse durante el año </t>
        </is>
      </c>
      <c r="J164" s="10" t="inlineStr">
        <is>
          <t xml:space="preserve">Gerente de Auditoría </t>
        </is>
      </c>
      <c r="K164" s="10" t="inlineStr">
        <is>
          <t xml:space="preserve">Gerente de Auditoría </t>
        </is>
      </c>
      <c r="L164" s="10" t="inlineStr">
        <is>
          <t>UBICACIÓN DIGITAL-EQUIPO DEL RESPONSABLE</t>
        </is>
      </c>
      <c r="M164" s="10" t="inlineStr">
        <is>
          <t>DOCUMENTO DE ARCHIVO-ELECTRÓNICO</t>
        </is>
      </c>
      <c r="N164" s="10" t="inlineStr">
        <is>
          <t>PRIMARIOS</t>
        </is>
      </c>
      <c r="O164" s="10" t="inlineStr">
        <is>
          <t>DOCUMENTOS TÉCNICOS</t>
        </is>
      </c>
      <c r="P164" s="10" t="inlineStr">
        <is>
          <t>USO INTERNO(2)</t>
        </is>
      </c>
      <c r="Q164" s="10" t="inlineStr">
        <is>
          <t>BAJA(1)</t>
        </is>
      </c>
      <c r="R164" s="10" t="inlineStr">
        <is>
          <t>MEDIA(2)</t>
        </is>
      </c>
      <c r="S164" s="10">
        <f>+(IF(P164="PUBLICA(1)",1,IF(P164="USO INTERNO(2)",2,IF(P164="RESTRINGIDO(3)",3,3))))+(IF(Q164="BAJA(1)",1,IF(Q164="MEDIA(2)",2,IF(Q164="ALTA(3)",3,3))))+(IF(R164="BAJA(1)",1,IF(R164="MEDIA(2)",2,IF(R164="ALTA(3)",3,3))))</f>
        <v/>
      </c>
      <c r="T164" s="10">
        <f>+IF(S164&lt;6,"BAJA",IF(S164&lt;8,"MEDIA","ALTA"))</f>
        <v/>
      </c>
      <c r="U164" s="10" t="inlineStr">
        <is>
          <t>-</t>
        </is>
      </c>
      <c r="V164" s="24" t="n">
        <v>45706</v>
      </c>
      <c r="W164" s="19" t="inlineStr">
        <is>
          <t>N/A</t>
        </is>
      </c>
      <c r="X164" s="10">
        <f>+IFERROR(IF(VLOOKUP(Tabla2[[#This Row],[ID]],'EVALUACION DE RIESGO'!A:A,1,FALSE)=Tabla2[[#This Row],[ID]],"SI","NO"),"NO")</f>
        <v/>
      </c>
      <c r="AD164">
        <f>IF(AND(Y164="",AA164=""),"",IF(OR(LEFT(AA164,2)="L0",LEFT(AA164,2)="L1",Y164="No Iniciado"),"CRÍTICO - Incumplimiento Normativo SEPS",IF(AND(OR(LEFT(AA164,2)="L4",LEFT(AA164,2)="L5"),AND(AC164&lt;&gt;"",AC164&lt;&gt;"N/A")),"CONFORME - Control Efectivo ISO 27001","OBSERVACIÓN - Revisar Controles")))</f>
        <v/>
      </c>
    </row>
    <row r="165">
      <c r="A165" s="99" t="inlineStr">
        <is>
          <t>2-GAU</t>
        </is>
      </c>
      <c r="B165" s="10" t="inlineStr">
        <is>
          <t>APOYO</t>
        </is>
      </c>
      <c r="C165" s="10" t="inlineStr">
        <is>
          <t xml:space="preserve">Gestión de Auditoría </t>
        </is>
      </c>
      <c r="D165" s="10" t="inlineStr">
        <is>
          <t>GAU</t>
        </is>
      </c>
      <c r="E165" s="10" t="inlineStr">
        <is>
          <t>Gestión de Auditoría Interna</t>
        </is>
      </c>
      <c r="F165" s="10" t="inlineStr">
        <is>
          <t>-</t>
        </is>
      </c>
      <c r="G165" s="10" t="inlineStr">
        <is>
          <t xml:space="preserve">Ejecución del Plan Anual de Auditoría Interna   </t>
        </is>
      </c>
      <c r="H165" s="10" t="inlineStr">
        <is>
          <t>Orden de trabajo</t>
        </is>
      </c>
      <c r="I165" s="10" t="inlineStr">
        <is>
          <t>Documento de asignación de las condiciones y plazos del examen</t>
        </is>
      </c>
      <c r="J165" s="10" t="inlineStr">
        <is>
          <t xml:space="preserve">Gerente de Auditoría </t>
        </is>
      </c>
      <c r="K165" s="10" t="inlineStr">
        <is>
          <t xml:space="preserve">Gerente de Auditoría </t>
        </is>
      </c>
      <c r="L165" s="10" t="inlineStr">
        <is>
          <t>UBICACIÓN DIGITAL-EQUIPO DEL RESPONSABLE</t>
        </is>
      </c>
      <c r="M165" s="10" t="inlineStr">
        <is>
          <t>DOCUMENTO DE ARCHIVO-ELECTRÓNICO</t>
        </is>
      </c>
      <c r="N165" s="10" t="inlineStr">
        <is>
          <t>PRIMARIOS</t>
        </is>
      </c>
      <c r="O165" s="10" t="inlineStr">
        <is>
          <t>DOCUMENTOS TÉCNICOS</t>
        </is>
      </c>
      <c r="P165" s="10" t="inlineStr">
        <is>
          <t>USO INTERNO(2)</t>
        </is>
      </c>
      <c r="Q165" s="10" t="inlineStr">
        <is>
          <t>BAJA(1)</t>
        </is>
      </c>
      <c r="R165" s="10" t="inlineStr">
        <is>
          <t>MEDIA(2)</t>
        </is>
      </c>
      <c r="S165" s="10">
        <f>+(IF(P165="PUBLICA(1)",1,IF(P165="USO INTERNO(2)",2,IF(P165="RESTRINGIDO(3)",3,3))))+(IF(Q165="BAJA(1)",1,IF(Q165="MEDIA(2)",2,IF(Q165="ALTA(3)",3,3))))+(IF(R165="BAJA(1)",1,IF(R165="MEDIA(2)",2,IF(R165="ALTA(3)",3,3))))</f>
        <v/>
      </c>
      <c r="T165" s="10">
        <f>+IF(S165&lt;6,"BAJA",IF(S165&lt;8,"MEDIA","ALTA"))</f>
        <v/>
      </c>
      <c r="U165" s="10" t="inlineStr">
        <is>
          <t>-</t>
        </is>
      </c>
      <c r="V165" s="24" t="n">
        <v>45706</v>
      </c>
      <c r="W165" s="19" t="inlineStr">
        <is>
          <t>N/A</t>
        </is>
      </c>
      <c r="X165" s="10">
        <f>+IFERROR(IF(VLOOKUP(Tabla2[[#This Row],[ID]],'EVALUACION DE RIESGO'!A:A,1,FALSE)=Tabla2[[#This Row],[ID]],"SI","NO"),"NO")</f>
        <v/>
      </c>
      <c r="AD165">
        <f>IF(AND(Y165="",AA165=""),"",IF(OR(LEFT(AA165,2)="L0",LEFT(AA165,2)="L1",Y165="No Iniciado"),"CRÍTICO - Incumplimiento Normativo SEPS",IF(AND(OR(LEFT(AA165,2)="L4",LEFT(AA165,2)="L5"),AND(AC165&lt;&gt;"",AC165&lt;&gt;"N/A")),"CONFORME - Control Efectivo ISO 27001","OBSERVACIÓN - Revisar Controles")))</f>
        <v/>
      </c>
    </row>
    <row r="166">
      <c r="A166" s="99" t="inlineStr">
        <is>
          <t>3-GAU</t>
        </is>
      </c>
      <c r="B166" s="10" t="inlineStr">
        <is>
          <t>APOYO</t>
        </is>
      </c>
      <c r="C166" s="10" t="inlineStr">
        <is>
          <t xml:space="preserve">Gestión de Auditoría </t>
        </is>
      </c>
      <c r="D166" s="10" t="inlineStr">
        <is>
          <t>GAU</t>
        </is>
      </c>
      <c r="E166" s="10" t="inlineStr">
        <is>
          <t>Gestión de Auditoría Interna</t>
        </is>
      </c>
      <c r="F166" s="10" t="inlineStr">
        <is>
          <t>-</t>
        </is>
      </c>
      <c r="G166" s="10" t="inlineStr">
        <is>
          <t xml:space="preserve">Ejecución del Plan Anual de Auditoría Interna   </t>
        </is>
      </c>
      <c r="H166" s="10" t="inlineStr">
        <is>
          <t>Notificación de inicio</t>
        </is>
      </c>
      <c r="I166" s="10" t="inlineStr">
        <is>
          <t>Anuncio o notificación que se realiza al auditado indicando el inicio del proceso de autoría</t>
        </is>
      </c>
      <c r="J166" s="10" t="inlineStr">
        <is>
          <t xml:space="preserve">Gerente de Auditoría </t>
        </is>
      </c>
      <c r="K166" s="10" t="inlineStr">
        <is>
          <t>Auditores internos</t>
        </is>
      </c>
      <c r="L166" s="10" t="inlineStr">
        <is>
          <t>UBICACIÓN DIGITAL-EQUIPO DEL RESPONSABLE</t>
        </is>
      </c>
      <c r="M166" s="10" t="inlineStr">
        <is>
          <t>DOCUMENTO DE ARCHIVO-ELECTRÓNICO</t>
        </is>
      </c>
      <c r="N166" s="10" t="inlineStr">
        <is>
          <t>PRIMARIOS</t>
        </is>
      </c>
      <c r="O166" s="10" t="inlineStr">
        <is>
          <t>COMUNICACIÓN INTERNA</t>
        </is>
      </c>
      <c r="P166" s="10" t="inlineStr">
        <is>
          <t>USO INTERNO(2)</t>
        </is>
      </c>
      <c r="Q166" s="10" t="inlineStr">
        <is>
          <t>BAJA(1)</t>
        </is>
      </c>
      <c r="R166" s="10" t="inlineStr">
        <is>
          <t>MEDIA(2)</t>
        </is>
      </c>
      <c r="S166" s="10">
        <f>+(IF(P166="PUBLICA(1)",1,IF(P166="USO INTERNO(2)",2,IF(P166="RESTRINGIDO(3)",3,3))))+(IF(Q166="BAJA(1)",1,IF(Q166="MEDIA(2)",2,IF(Q166="ALTA(3)",3,3))))+(IF(R166="BAJA(1)",1,IF(R166="MEDIA(2)",2,IF(R166="ALTA(3)",3,3))))</f>
        <v/>
      </c>
      <c r="T166" s="10">
        <f>+IF(S166&lt;6,"BAJA",IF(S166&lt;8,"MEDIA","ALTA"))</f>
        <v/>
      </c>
      <c r="U166" s="10" t="inlineStr">
        <is>
          <t>-</t>
        </is>
      </c>
      <c r="V166" s="24" t="n">
        <v>45706</v>
      </c>
      <c r="W166" s="19" t="inlineStr">
        <is>
          <t>N/A</t>
        </is>
      </c>
      <c r="X166" s="10">
        <f>+IFERROR(IF(VLOOKUP(Tabla2[[#This Row],[ID]],'EVALUACION DE RIESGO'!A:A,1,FALSE)=Tabla2[[#This Row],[ID]],"SI","NO"),"NO")</f>
        <v/>
      </c>
      <c r="AD166">
        <f>IF(AND(Y166="",AA166=""),"",IF(OR(LEFT(AA166,2)="L0",LEFT(AA166,2)="L1",Y166="No Iniciado"),"CRÍTICO - Incumplimiento Normativo SEPS",IF(AND(OR(LEFT(AA166,2)="L4",LEFT(AA166,2)="L5"),AND(AC166&lt;&gt;"",AC166&lt;&gt;"N/A")),"CONFORME - Control Efectivo ISO 27001","OBSERVACIÓN - Revisar Controles")))</f>
        <v/>
      </c>
    </row>
    <row r="167">
      <c r="A167" s="99" t="inlineStr">
        <is>
          <t>4-GAU</t>
        </is>
      </c>
      <c r="B167" s="10" t="inlineStr">
        <is>
          <t>APOYO</t>
        </is>
      </c>
      <c r="C167" s="10" t="inlineStr">
        <is>
          <t xml:space="preserve">Gestión de Auditoría </t>
        </is>
      </c>
      <c r="D167" s="10" t="inlineStr">
        <is>
          <t>GAU</t>
        </is>
      </c>
      <c r="E167" s="10" t="inlineStr">
        <is>
          <t>Gestión de Auditoría Interna</t>
        </is>
      </c>
      <c r="F167" s="10" t="inlineStr">
        <is>
          <t>-</t>
        </is>
      </c>
      <c r="G167" s="10" t="inlineStr">
        <is>
          <t xml:space="preserve">Ejecución del Plan Anual de Auditoría Interna   </t>
        </is>
      </c>
      <c r="H167" s="10" t="inlineStr">
        <is>
          <t>Solicitud de información</t>
        </is>
      </c>
      <c r="I167" s="10" t="inlineStr">
        <is>
          <t>Requerimientos de información para la ejecución de los exámenes</t>
        </is>
      </c>
      <c r="J167" s="10" t="inlineStr">
        <is>
          <t xml:space="preserve">Gerente de Auditoría </t>
        </is>
      </c>
      <c r="K167" s="10" t="inlineStr">
        <is>
          <t>Auditores internos</t>
        </is>
      </c>
      <c r="L167" s="10" t="inlineStr">
        <is>
          <t>UBICACIÓN DIGITAL-EQUIPO DEL RESPONSABLE</t>
        </is>
      </c>
      <c r="M167" s="10" t="inlineStr">
        <is>
          <t>DOCUMENTO DE ARCHIVO-ELECTRÓNICO</t>
        </is>
      </c>
      <c r="N167" s="10" t="inlineStr">
        <is>
          <t>PRIMARIOS</t>
        </is>
      </c>
      <c r="O167" s="10" t="inlineStr">
        <is>
          <t>COMUNICACIÓN INTERNA</t>
        </is>
      </c>
      <c r="P167" s="10" t="inlineStr">
        <is>
          <t>USO INTERNO(2)</t>
        </is>
      </c>
      <c r="Q167" s="10" t="inlineStr">
        <is>
          <t>BAJA(1)</t>
        </is>
      </c>
      <c r="R167" s="10" t="inlineStr">
        <is>
          <t>MEDIA(2)</t>
        </is>
      </c>
      <c r="S167" s="10">
        <f>+(IF(P167="PUBLICA(1)",1,IF(P167="USO INTERNO(2)",2,IF(P167="RESTRINGIDO(3)",3,3))))+(IF(Q167="BAJA(1)",1,IF(Q167="MEDIA(2)",2,IF(Q167="ALTA(3)",3,3))))+(IF(R167="BAJA(1)",1,IF(R167="MEDIA(2)",2,IF(R167="ALTA(3)",3,3))))</f>
        <v/>
      </c>
      <c r="T167" s="10">
        <f>+IF(S167&lt;6,"BAJA",IF(S167&lt;8,"MEDIA","ALTA"))</f>
        <v/>
      </c>
      <c r="U167" s="10" t="inlineStr">
        <is>
          <t>-</t>
        </is>
      </c>
      <c r="V167" s="24" t="n">
        <v>45706</v>
      </c>
      <c r="W167" s="19" t="inlineStr">
        <is>
          <t>N/A</t>
        </is>
      </c>
      <c r="X167" s="10">
        <f>+IFERROR(IF(VLOOKUP(Tabla2[[#This Row],[ID]],'EVALUACION DE RIESGO'!A:A,1,FALSE)=Tabla2[[#This Row],[ID]],"SI","NO"),"NO")</f>
        <v/>
      </c>
      <c r="AD167">
        <f>IF(AND(Y167="",AA167=""),"",IF(OR(LEFT(AA167,2)="L0",LEFT(AA167,2)="L1",Y167="No Iniciado"),"CRÍTICO - Incumplimiento Normativo SEPS",IF(AND(OR(LEFT(AA167,2)="L4",LEFT(AA167,2)="L5"),AND(AC167&lt;&gt;"",AC167&lt;&gt;"N/A")),"CONFORME - Control Efectivo ISO 27001","OBSERVACIÓN - Revisar Controles")))</f>
        <v/>
      </c>
    </row>
    <row r="168">
      <c r="A168" s="99" t="inlineStr">
        <is>
          <t>5-GAU</t>
        </is>
      </c>
      <c r="B168" s="10" t="inlineStr">
        <is>
          <t>APOYO</t>
        </is>
      </c>
      <c r="C168" s="10" t="inlineStr">
        <is>
          <t xml:space="preserve">Gestión de Auditoría </t>
        </is>
      </c>
      <c r="D168" s="10" t="inlineStr">
        <is>
          <t>GAU</t>
        </is>
      </c>
      <c r="E168" s="10" t="inlineStr">
        <is>
          <t>Gestión de Auditoría Interna</t>
        </is>
      </c>
      <c r="F168" s="10" t="inlineStr">
        <is>
          <t>-</t>
        </is>
      </c>
      <c r="G168" s="10" t="inlineStr">
        <is>
          <t xml:space="preserve">Ejecución del Plan Anual de Auditoría Interna   </t>
        </is>
      </c>
      <c r="H168" s="10" t="inlineStr">
        <is>
          <t>Planificación Específica para examen de Auditoría</t>
        </is>
      </c>
      <c r="I168" s="10" t="inlineStr">
        <is>
          <t xml:space="preserve">Plan de las pruebas a aplicar en cada examen de auditoria </t>
        </is>
      </c>
      <c r="J168" s="10" t="inlineStr">
        <is>
          <t xml:space="preserve">Gerente de Auditoría </t>
        </is>
      </c>
      <c r="K168" s="10" t="inlineStr">
        <is>
          <t>Auditores internos</t>
        </is>
      </c>
      <c r="L168" s="10" t="inlineStr">
        <is>
          <t>UBICACIÓN DIGITAL-EQUIPO DEL RESPONSABLE</t>
        </is>
      </c>
      <c r="M168" s="10" t="inlineStr">
        <is>
          <t>DOCUMENTO DE ARCHIVO-ELECTRÓNICO</t>
        </is>
      </c>
      <c r="N168" s="10" t="inlineStr">
        <is>
          <t>PRIMARIOS</t>
        </is>
      </c>
      <c r="O168" s="10" t="inlineStr">
        <is>
          <t>DOCUMENTOS TÉCNICOS</t>
        </is>
      </c>
      <c r="P168" s="10" t="inlineStr">
        <is>
          <t>USO INTERNO(2)</t>
        </is>
      </c>
      <c r="Q168" s="10" t="inlineStr">
        <is>
          <t>BAJA(1)</t>
        </is>
      </c>
      <c r="R168" s="10" t="inlineStr">
        <is>
          <t>MEDIA(2)</t>
        </is>
      </c>
      <c r="S168" s="10">
        <f>+(IF(P168="PUBLICA(1)",1,IF(P168="USO INTERNO(2)",2,IF(P168="RESTRINGIDO(3)",3,3))))+(IF(Q168="BAJA(1)",1,IF(Q168="MEDIA(2)",2,IF(Q168="ALTA(3)",3,3))))+(IF(R168="BAJA(1)",1,IF(R168="MEDIA(2)",2,IF(R168="ALTA(3)",3,3))))</f>
        <v/>
      </c>
      <c r="T168" s="10">
        <f>+IF(S168&lt;6,"BAJA",IF(S168&lt;8,"MEDIA","ALTA"))</f>
        <v/>
      </c>
      <c r="U168" s="10" t="inlineStr">
        <is>
          <t>-</t>
        </is>
      </c>
      <c r="V168" s="24" t="n">
        <v>45706</v>
      </c>
      <c r="W168" s="19" t="inlineStr">
        <is>
          <t>N/A</t>
        </is>
      </c>
      <c r="X168" s="10">
        <f>+IFERROR(IF(VLOOKUP(Tabla2[[#This Row],[ID]],'EVALUACION DE RIESGO'!A:A,1,FALSE)=Tabla2[[#This Row],[ID]],"SI","NO"),"NO")</f>
        <v/>
      </c>
      <c r="AD168">
        <f>IF(AND(Y168="",AA168=""),"",IF(OR(LEFT(AA168,2)="L0",LEFT(AA168,2)="L1",Y168="No Iniciado"),"CRÍTICO - Incumplimiento Normativo SEPS",IF(AND(OR(LEFT(AA168,2)="L4",LEFT(AA168,2)="L5"),AND(AC168&lt;&gt;"",AC168&lt;&gt;"N/A")),"CONFORME - Control Efectivo ISO 27001","OBSERVACIÓN - Revisar Controles")))</f>
        <v/>
      </c>
    </row>
    <row r="169">
      <c r="A169" s="99" t="inlineStr">
        <is>
          <t>6-GAU</t>
        </is>
      </c>
      <c r="B169" s="10" t="inlineStr">
        <is>
          <t>APOYO</t>
        </is>
      </c>
      <c r="C169" s="10" t="inlineStr">
        <is>
          <t xml:space="preserve">Gestión de Auditoría </t>
        </is>
      </c>
      <c r="D169" s="10" t="inlineStr">
        <is>
          <t>GAU</t>
        </is>
      </c>
      <c r="E169" s="10" t="inlineStr">
        <is>
          <t>Gestión de Auditoría Interna</t>
        </is>
      </c>
      <c r="F169" s="10" t="inlineStr">
        <is>
          <t>-</t>
        </is>
      </c>
      <c r="G169" s="10" t="inlineStr">
        <is>
          <t xml:space="preserve">Ejecución del Plan Anual de Auditoría Interna   </t>
        </is>
      </c>
      <c r="H169" s="10" t="inlineStr">
        <is>
          <t>Papeles de trabajo</t>
        </is>
      </c>
      <c r="I169" s="10" t="inlineStr">
        <is>
          <t xml:space="preserve">Análisis de la data recibida con respecto a las pruebas aplicadas </t>
        </is>
      </c>
      <c r="J169" s="10" t="inlineStr">
        <is>
          <t xml:space="preserve">Gerente de Auditoría </t>
        </is>
      </c>
      <c r="K169" s="10" t="inlineStr">
        <is>
          <t>Auditores internos</t>
        </is>
      </c>
      <c r="L169" s="10" t="inlineStr">
        <is>
          <t>UBICACIÓN DIGITAL-EQUIPO DEL RESPONSABLE</t>
        </is>
      </c>
      <c r="M169" s="10" t="inlineStr">
        <is>
          <t>DOCUMENTO DE ARCHIVO-ELECTRÓNICO</t>
        </is>
      </c>
      <c r="N169" s="10" t="inlineStr">
        <is>
          <t>PRIMARIOS</t>
        </is>
      </c>
      <c r="O169" s="10" t="inlineStr">
        <is>
          <t>DOCUMENTOS TÉCNICOS</t>
        </is>
      </c>
      <c r="P169" s="10" t="inlineStr">
        <is>
          <t>RESTRINGIDO(3)</t>
        </is>
      </c>
      <c r="Q169" s="10" t="inlineStr">
        <is>
          <t>MEDIA(2)</t>
        </is>
      </c>
      <c r="R169" s="10" t="inlineStr">
        <is>
          <t>MEDIA(2)</t>
        </is>
      </c>
      <c r="S169" s="10">
        <f>+(IF(P169="PUBLICA(1)",1,IF(P169="USO INTERNO(2)",2,IF(P169="RESTRINGIDO(3)",3,3))))+(IF(Q169="BAJA(1)",1,IF(Q169="MEDIA(2)",2,IF(Q169="ALTA(3)",3,3))))+(IF(R169="BAJA(1)",1,IF(R169="MEDIA(2)",2,IF(R169="ALTA(3)",3,3))))</f>
        <v/>
      </c>
      <c r="T169" s="10">
        <f>+IF(S169&lt;6,"BAJA",IF(S169&lt;8,"MEDIA","ALTA"))</f>
        <v/>
      </c>
      <c r="U169" s="10" t="inlineStr">
        <is>
          <t>-</t>
        </is>
      </c>
      <c r="V169" s="24" t="n">
        <v>45706</v>
      </c>
      <c r="W169" s="19" t="inlineStr">
        <is>
          <t>N/A</t>
        </is>
      </c>
      <c r="X169" s="10">
        <f>+IFERROR(IF(VLOOKUP(Tabla2[[#This Row],[ID]],'EVALUACION DE RIESGO'!A:A,1,FALSE)=Tabla2[[#This Row],[ID]],"SI","NO"),"NO")</f>
        <v/>
      </c>
      <c r="AD169">
        <f>IF(AND(Y169="",AA169=""),"",IF(OR(LEFT(AA169,2)="L0",LEFT(AA169,2)="L1",Y169="No Iniciado"),"CRÍTICO - Incumplimiento Normativo SEPS",IF(AND(OR(LEFT(AA169,2)="L4",LEFT(AA169,2)="L5"),AND(AC169&lt;&gt;"",AC169&lt;&gt;"N/A")),"CONFORME - Control Efectivo ISO 27001","OBSERVACIÓN - Revisar Controles")))</f>
        <v/>
      </c>
    </row>
    <row r="170">
      <c r="A170" s="99" t="inlineStr">
        <is>
          <t>7-GAU</t>
        </is>
      </c>
      <c r="B170" s="10" t="inlineStr">
        <is>
          <t>APOYO</t>
        </is>
      </c>
      <c r="C170" s="10" t="inlineStr">
        <is>
          <t xml:space="preserve">Gestión de Auditoría </t>
        </is>
      </c>
      <c r="D170" s="10" t="inlineStr">
        <is>
          <t>GAU</t>
        </is>
      </c>
      <c r="E170" s="10" t="inlineStr">
        <is>
          <t>Gestión de Auditoría Interna</t>
        </is>
      </c>
      <c r="F170" s="10" t="inlineStr">
        <is>
          <t>-</t>
        </is>
      </c>
      <c r="G170" s="10" t="inlineStr">
        <is>
          <t xml:space="preserve">Ejecución del Plan Anual de Auditoría Interna   </t>
        </is>
      </c>
      <c r="H170" s="10" t="inlineStr">
        <is>
          <t>Informe borrador de Auditoría</t>
        </is>
      </c>
      <c r="I170" s="10" t="inlineStr">
        <is>
          <t>Informe de consolidación de resultados del examen de auditoría</t>
        </is>
      </c>
      <c r="J170" s="10" t="inlineStr">
        <is>
          <t xml:space="preserve">Gerente de Auditoría </t>
        </is>
      </c>
      <c r="K170" s="10" t="inlineStr">
        <is>
          <t>Auditores internos</t>
        </is>
      </c>
      <c r="L170" s="10" t="inlineStr">
        <is>
          <t>UBICACIÓN DIGITAL-EQUIPO DEL RESPONSABLE</t>
        </is>
      </c>
      <c r="M170" s="10" t="inlineStr">
        <is>
          <t>DOCUMENTO DE ARCHIVO-ELECTRÓNICO</t>
        </is>
      </c>
      <c r="N170" s="10" t="inlineStr">
        <is>
          <t>PRIMARIOS</t>
        </is>
      </c>
      <c r="O170" s="10" t="inlineStr">
        <is>
          <t>DOCUMENTOS TÉCNICOS</t>
        </is>
      </c>
      <c r="P170" s="10" t="inlineStr">
        <is>
          <t>RESTRINGIDO(3)</t>
        </is>
      </c>
      <c r="Q170" s="10" t="inlineStr">
        <is>
          <t>MEDIA(2)</t>
        </is>
      </c>
      <c r="R170" s="10" t="inlineStr">
        <is>
          <t>MEDIA(2)</t>
        </is>
      </c>
      <c r="S170" s="10">
        <f>+(IF(P170="PUBLICA(1)",1,IF(P170="USO INTERNO(2)",2,IF(P170="RESTRINGIDO(3)",3,3))))+(IF(Q170="BAJA(1)",1,IF(Q170="MEDIA(2)",2,IF(Q170="ALTA(3)",3,3))))+(IF(R170="BAJA(1)",1,IF(R170="MEDIA(2)",2,IF(R170="ALTA(3)",3,3))))</f>
        <v/>
      </c>
      <c r="T170" s="10">
        <f>+IF(S170&lt;6,"BAJA",IF(S170&lt;8,"MEDIA","ALTA"))</f>
        <v/>
      </c>
      <c r="U170" s="10" t="inlineStr">
        <is>
          <t>-</t>
        </is>
      </c>
      <c r="V170" s="24" t="n">
        <v>45706</v>
      </c>
      <c r="W170" s="19" t="inlineStr">
        <is>
          <t>N/A</t>
        </is>
      </c>
      <c r="X170" s="10">
        <f>+IFERROR(IF(VLOOKUP(Tabla2[[#This Row],[ID]],'EVALUACION DE RIESGO'!A:A,1,FALSE)=Tabla2[[#This Row],[ID]],"SI","NO"),"NO")</f>
        <v/>
      </c>
      <c r="AD170">
        <f>IF(AND(Y170="",AA170=""),"",IF(OR(LEFT(AA170,2)="L0",LEFT(AA170,2)="L1",Y170="No Iniciado"),"CRÍTICO - Incumplimiento Normativo SEPS",IF(AND(OR(LEFT(AA170,2)="L4",LEFT(AA170,2)="L5"),AND(AC170&lt;&gt;"",AC170&lt;&gt;"N/A")),"CONFORME - Control Efectivo ISO 27001","OBSERVACIÓN - Revisar Controles")))</f>
        <v/>
      </c>
    </row>
    <row r="171">
      <c r="A171" s="99" t="inlineStr">
        <is>
          <t>8-GAU</t>
        </is>
      </c>
      <c r="B171" s="10" t="inlineStr">
        <is>
          <t>APOYO</t>
        </is>
      </c>
      <c r="C171" s="10" t="inlineStr">
        <is>
          <t xml:space="preserve">Gestión de Auditoría </t>
        </is>
      </c>
      <c r="D171" s="10" t="inlineStr">
        <is>
          <t>GAU</t>
        </is>
      </c>
      <c r="E171" s="10" t="inlineStr">
        <is>
          <t>Gestión de Auditoría Interna</t>
        </is>
      </c>
      <c r="F171" s="10" t="inlineStr">
        <is>
          <t>-</t>
        </is>
      </c>
      <c r="G171" s="10" t="inlineStr">
        <is>
          <t xml:space="preserve">Ejecución del Plan Anual de Auditoría Interna   </t>
        </is>
      </c>
      <c r="H171" s="10" t="inlineStr">
        <is>
          <t>Informe de Auditoría Interna</t>
        </is>
      </c>
      <c r="I171" s="10" t="inlineStr">
        <is>
          <t>Informe de consolidación de resultados aceptado por el área auditada, documento resultante publicado en el sistema del ente de control SEPS</t>
        </is>
      </c>
      <c r="J171" s="10" t="inlineStr">
        <is>
          <t xml:space="preserve">Gerente de Auditoría </t>
        </is>
      </c>
      <c r="K171" s="10" t="inlineStr">
        <is>
          <t>Auditores internos</t>
        </is>
      </c>
      <c r="L171" s="10" t="inlineStr">
        <is>
          <t>UBICACIÓN DIGITAL-EQUIPO DEL RESPONSABLE</t>
        </is>
      </c>
      <c r="M171" s="10" t="inlineStr">
        <is>
          <t>DOCUMENTO DE ARCHIVO-ELECTRÓNICO</t>
        </is>
      </c>
      <c r="N171" s="10" t="inlineStr">
        <is>
          <t>PRIMARIOS</t>
        </is>
      </c>
      <c r="O171" s="10" t="inlineStr">
        <is>
          <t>DOCUMENTOS TÉCNICOS</t>
        </is>
      </c>
      <c r="P171" s="10" t="inlineStr">
        <is>
          <t>RESTRINGIDO(3)</t>
        </is>
      </c>
      <c r="Q171" s="10" t="inlineStr">
        <is>
          <t>BAJA(1)</t>
        </is>
      </c>
      <c r="R171" s="10" t="inlineStr">
        <is>
          <t>MEDIA(2)</t>
        </is>
      </c>
      <c r="S171" s="10">
        <f>+(IF(P171="PUBLICA(1)",1,IF(P171="USO INTERNO(2)",2,IF(P171="RESTRINGIDO(3)",3,3))))+(IF(Q171="BAJA(1)",1,IF(Q171="MEDIA(2)",2,IF(Q171="ALTA(3)",3,3))))+(IF(R171="BAJA(1)",1,IF(R171="MEDIA(2)",2,IF(R171="ALTA(3)",3,3))))</f>
        <v/>
      </c>
      <c r="T171" s="10">
        <f>+IF(S171&lt;6,"BAJA",IF(S171&lt;8,"MEDIA","ALTA"))</f>
        <v/>
      </c>
      <c r="U171" s="10" t="inlineStr">
        <is>
          <t>-</t>
        </is>
      </c>
      <c r="V171" s="24" t="n">
        <v>45706</v>
      </c>
      <c r="W171" s="19" t="inlineStr">
        <is>
          <t>N/A</t>
        </is>
      </c>
      <c r="X171" s="10">
        <f>+IFERROR(IF(VLOOKUP(Tabla2[[#This Row],[ID]],'EVALUACION DE RIESGO'!A:A,1,FALSE)=Tabla2[[#This Row],[ID]],"SI","NO"),"NO")</f>
        <v/>
      </c>
      <c r="AD171">
        <f>IF(AND(Y171="",AA171=""),"",IF(OR(LEFT(AA171,2)="L0",LEFT(AA171,2)="L1",Y171="No Iniciado"),"CRÍTICO - Incumplimiento Normativo SEPS",IF(AND(OR(LEFT(AA171,2)="L4",LEFT(AA171,2)="L5"),AND(AC171&lt;&gt;"",AC171&lt;&gt;"N/A")),"CONFORME - Control Efectivo ISO 27001","OBSERVACIÓN - Revisar Controles")))</f>
        <v/>
      </c>
    </row>
    <row r="172">
      <c r="A172" s="99" t="inlineStr">
        <is>
          <t>9-GAU</t>
        </is>
      </c>
      <c r="B172" s="10" t="inlineStr">
        <is>
          <t>APOYO</t>
        </is>
      </c>
      <c r="C172" s="10" t="inlineStr">
        <is>
          <t xml:space="preserve">Gestión de Auditoría </t>
        </is>
      </c>
      <c r="D172" s="10" t="inlineStr">
        <is>
          <t>GAU</t>
        </is>
      </c>
      <c r="E172" s="10" t="inlineStr">
        <is>
          <t>Gestión de Auditoría Interna</t>
        </is>
      </c>
      <c r="F172" s="10" t="inlineStr">
        <is>
          <t>-</t>
        </is>
      </c>
      <c r="G172" s="10" t="inlineStr">
        <is>
          <t xml:space="preserve">Ejecución del Plan Anual de Auditoría Interna   </t>
        </is>
      </c>
      <c r="H172" s="10" t="inlineStr">
        <is>
          <t>Acta de lectura a informe borrador</t>
        </is>
      </c>
      <c r="I172" s="10" t="inlineStr">
        <is>
          <t>Constancia de la comunicación de resultados y criterios del auditado en el momento de la lectura del informe borrador</t>
        </is>
      </c>
      <c r="J172" s="10" t="inlineStr">
        <is>
          <t xml:space="preserve">Gerente de Auditoría </t>
        </is>
      </c>
      <c r="K172" s="10" t="inlineStr">
        <is>
          <t>Auditores internos</t>
        </is>
      </c>
      <c r="L172" s="10" t="inlineStr">
        <is>
          <t>UBICACIÓN DIGITAL-EQUIPO DEL RESPONSABLE</t>
        </is>
      </c>
      <c r="M172" s="10" t="inlineStr">
        <is>
          <t>DOCUMENTO DE ARCHIVO-ELECTRÓNICO</t>
        </is>
      </c>
      <c r="N172" s="10" t="inlineStr">
        <is>
          <t>PRIMARIOS</t>
        </is>
      </c>
      <c r="O172" s="10" t="inlineStr">
        <is>
          <t>DOCUMENTOS TÉCNICOS</t>
        </is>
      </c>
      <c r="P172" s="10" t="inlineStr">
        <is>
          <t>USO INTERNO(2)</t>
        </is>
      </c>
      <c r="Q172" s="10" t="inlineStr">
        <is>
          <t>BAJA(1)</t>
        </is>
      </c>
      <c r="R172" s="10" t="inlineStr">
        <is>
          <t>MEDIA(2)</t>
        </is>
      </c>
      <c r="S172" s="10">
        <f>+(IF(P172="PUBLICA(1)",1,IF(P172="USO INTERNO(2)",2,IF(P172="RESTRINGIDO(3)",3,3))))+(IF(Q172="BAJA(1)",1,IF(Q172="MEDIA(2)",2,IF(Q172="ALTA(3)",3,3))))+(IF(R172="BAJA(1)",1,IF(R172="MEDIA(2)",2,IF(R172="ALTA(3)",3,3))))</f>
        <v/>
      </c>
      <c r="T172" s="10">
        <f>+IF(S172&lt;6,"BAJA",IF(S172&lt;8,"MEDIA","ALTA"))</f>
        <v/>
      </c>
      <c r="U172" s="10" t="inlineStr">
        <is>
          <t>-</t>
        </is>
      </c>
      <c r="V172" s="24" t="n">
        <v>45706</v>
      </c>
      <c r="W172" s="19" t="inlineStr">
        <is>
          <t>N/A</t>
        </is>
      </c>
      <c r="X172" s="10">
        <f>+IFERROR(IF(VLOOKUP(Tabla2[[#This Row],[ID]],'EVALUACION DE RIESGO'!A:A,1,FALSE)=Tabla2[[#This Row],[ID]],"SI","NO"),"NO")</f>
        <v/>
      </c>
      <c r="AD172">
        <f>IF(AND(Y172="",AA172=""),"",IF(OR(LEFT(AA172,2)="L0",LEFT(AA172,2)="L1",Y172="No Iniciado"),"CRÍTICO - Incumplimiento Normativo SEPS",IF(AND(OR(LEFT(AA172,2)="L4",LEFT(AA172,2)="L5"),AND(AC172&lt;&gt;"",AC172&lt;&gt;"N/A")),"CONFORME - Control Efectivo ISO 27001","OBSERVACIÓN - Revisar Controles")))</f>
        <v/>
      </c>
    </row>
    <row r="173">
      <c r="A173" s="99" t="inlineStr">
        <is>
          <t>10-GAU</t>
        </is>
      </c>
      <c r="B173" s="10" t="inlineStr">
        <is>
          <t>APOYO</t>
        </is>
      </c>
      <c r="C173" s="10" t="inlineStr">
        <is>
          <t xml:space="preserve">Gestión de Auditoría </t>
        </is>
      </c>
      <c r="D173" s="10" t="inlineStr">
        <is>
          <t>GAU</t>
        </is>
      </c>
      <c r="E173" s="10" t="inlineStr">
        <is>
          <t>Gestión de Auditoría Interna</t>
        </is>
      </c>
      <c r="F173" s="10" t="inlineStr">
        <is>
          <t>-</t>
        </is>
      </c>
      <c r="G173" s="10" t="inlineStr">
        <is>
          <t xml:space="preserve">Ejecución del Plan Anual de Auditoría Interna   </t>
        </is>
      </c>
      <c r="H173" s="10" t="inlineStr">
        <is>
          <t>Notificación de lectura Informe Borrador</t>
        </is>
      </c>
      <c r="I173" s="10" t="inlineStr">
        <is>
          <t>Notificación de lectura del Informe Borrador presenta el Equipo de auditores</t>
        </is>
      </c>
      <c r="J173" s="10" t="inlineStr">
        <is>
          <t xml:space="preserve">Gerente de Auditoría </t>
        </is>
      </c>
      <c r="K173" s="10" t="inlineStr">
        <is>
          <t>Auditores internos</t>
        </is>
      </c>
      <c r="L173" s="10" t="inlineStr">
        <is>
          <t>UBICACIÓN DIGITAL-EQUIPO DEL RESPONSABLE</t>
        </is>
      </c>
      <c r="M173" s="10" t="inlineStr">
        <is>
          <t>DOCUMENTO DE ARCHIVO-ELECTRÓNICO</t>
        </is>
      </c>
      <c r="N173" s="10" t="inlineStr">
        <is>
          <t>PRIMARIOS</t>
        </is>
      </c>
      <c r="O173" s="10" t="inlineStr">
        <is>
          <t>COMUNICACIÓN INTERNA</t>
        </is>
      </c>
      <c r="P173" s="10" t="inlineStr">
        <is>
          <t>USO INTERNO(2)</t>
        </is>
      </c>
      <c r="Q173" s="10" t="inlineStr">
        <is>
          <t>BAJA(1)</t>
        </is>
      </c>
      <c r="R173" s="10" t="inlineStr">
        <is>
          <t>MEDIA(2)</t>
        </is>
      </c>
      <c r="S173" s="10">
        <f>+(IF(P173="PUBLICA(1)",1,IF(P173="USO INTERNO(2)",2,IF(P173="RESTRINGIDO(3)",3,3))))+(IF(Q173="BAJA(1)",1,IF(Q173="MEDIA(2)",2,IF(Q173="ALTA(3)",3,3))))+(IF(R173="BAJA(1)",1,IF(R173="MEDIA(2)",2,IF(R173="ALTA(3)",3,3))))</f>
        <v/>
      </c>
      <c r="T173" s="10">
        <f>+IF(S173&lt;6,"BAJA",IF(S173&lt;8,"MEDIA","ALTA"))</f>
        <v/>
      </c>
      <c r="U173" s="10" t="inlineStr">
        <is>
          <t>-</t>
        </is>
      </c>
      <c r="V173" s="24" t="n">
        <v>45706</v>
      </c>
      <c r="W173" s="19" t="inlineStr">
        <is>
          <t>N/A</t>
        </is>
      </c>
      <c r="X173" s="10">
        <f>+IFERROR(IF(VLOOKUP(Tabla2[[#This Row],[ID]],'EVALUACION DE RIESGO'!A:A,1,FALSE)=Tabla2[[#This Row],[ID]],"SI","NO"),"NO")</f>
        <v/>
      </c>
      <c r="AD173">
        <f>IF(AND(Y173="",AA173=""),"",IF(OR(LEFT(AA173,2)="L0",LEFT(AA173,2)="L1",Y173="No Iniciado"),"CRÍTICO - Incumplimiento Normativo SEPS",IF(AND(OR(LEFT(AA173,2)="L4",LEFT(AA173,2)="L5"),AND(AC173&lt;&gt;"",AC173&lt;&gt;"N/A")),"CONFORME - Control Efectivo ISO 27001","OBSERVACIÓN - Revisar Controles")))</f>
        <v/>
      </c>
    </row>
    <row r="174">
      <c r="A174" s="99" t="inlineStr">
        <is>
          <t>11-GAU</t>
        </is>
      </c>
      <c r="B174" s="10" t="inlineStr">
        <is>
          <t>APOYO</t>
        </is>
      </c>
      <c r="C174" s="10" t="inlineStr">
        <is>
          <t xml:space="preserve">Gestión de Auditoría </t>
        </is>
      </c>
      <c r="D174" s="10" t="inlineStr">
        <is>
          <t>GAU</t>
        </is>
      </c>
      <c r="E174" s="10" t="inlineStr">
        <is>
          <t>Gestión de Auditoría Interna</t>
        </is>
      </c>
      <c r="F174" s="10" t="inlineStr">
        <is>
          <t>-</t>
        </is>
      </c>
      <c r="G174" s="10" t="inlineStr">
        <is>
          <t xml:space="preserve">Ejecución del Plan Anual de Auditoría Interna   </t>
        </is>
      </c>
      <c r="H174" s="10" t="inlineStr">
        <is>
          <t>Registro digital de recomendaciones</t>
        </is>
      </c>
      <c r="I174" s="10" t="inlineStr">
        <is>
          <t>Detalle del estado de las recomendaciones realizadas producto de las Auditorias presentadas</t>
        </is>
      </c>
      <c r="J174" s="10" t="inlineStr">
        <is>
          <t xml:space="preserve">Gerente de Auditoría </t>
        </is>
      </c>
      <c r="K174" s="10" t="inlineStr">
        <is>
          <t>Auditores internos</t>
        </is>
      </c>
      <c r="L174" s="10" t="inlineStr">
        <is>
          <t>UBICACIÓN DIGITAL - NEXTAUDI</t>
        </is>
      </c>
      <c r="M174" s="10" t="inlineStr">
        <is>
          <t>DOCUMENTO DE ARCHIVO-ELECTRÓNICO</t>
        </is>
      </c>
      <c r="N174" s="10" t="inlineStr">
        <is>
          <t>PRIMARIOS</t>
        </is>
      </c>
      <c r="O174" s="10" t="inlineStr">
        <is>
          <t>DOCUMENTOS TÉCNICOS</t>
        </is>
      </c>
      <c r="P174" s="10" t="inlineStr">
        <is>
          <t>USO INTERNO(2)</t>
        </is>
      </c>
      <c r="Q174" s="10" t="inlineStr">
        <is>
          <t>MEDIA(2)</t>
        </is>
      </c>
      <c r="R174" s="10" t="inlineStr">
        <is>
          <t>MEDIA(2)</t>
        </is>
      </c>
      <c r="S174" s="10">
        <f>+(IF(P174="PUBLICA(1)",1,IF(P174="USO INTERNO(2)",2,IF(P174="RESTRINGIDO(3)",3,3))))+(IF(Q174="BAJA(1)",1,IF(Q174="MEDIA(2)",2,IF(Q174="ALTA(3)",3,3))))+(IF(R174="BAJA(1)",1,IF(R174="MEDIA(2)",2,IF(R174="ALTA(3)",3,3))))</f>
        <v/>
      </c>
      <c r="T174" s="10">
        <f>+IF(S174&lt;6,"BAJA",IF(S174&lt;8,"MEDIA","ALTA"))</f>
        <v/>
      </c>
      <c r="U174" s="10" t="inlineStr">
        <is>
          <t>-</t>
        </is>
      </c>
      <c r="V174" s="24" t="n">
        <v>45706</v>
      </c>
      <c r="W174" s="19" t="inlineStr">
        <is>
          <t>N/A</t>
        </is>
      </c>
      <c r="X174" s="10">
        <f>+IFERROR(IF(VLOOKUP(Tabla2[[#This Row],[ID]],'EVALUACION DE RIESGO'!A:A,1,FALSE)=Tabla2[[#This Row],[ID]],"SI","NO"),"NO")</f>
        <v/>
      </c>
      <c r="AD174">
        <f>IF(AND(Y174="",AA174=""),"",IF(OR(LEFT(AA174,2)="L0",LEFT(AA174,2)="L1",Y174="No Iniciado"),"CRÍTICO - Incumplimiento Normativo SEPS",IF(AND(OR(LEFT(AA174,2)="L4",LEFT(AA174,2)="L5"),AND(AC174&lt;&gt;"",AC174&lt;&gt;"N/A")),"CONFORME - Control Efectivo ISO 27001","OBSERVACIÓN - Revisar Controles")))</f>
        <v/>
      </c>
    </row>
    <row r="175">
      <c r="A175" s="99" t="inlineStr">
        <is>
          <t>12-GAU</t>
        </is>
      </c>
      <c r="B175" s="10" t="inlineStr">
        <is>
          <t>APOYO</t>
        </is>
      </c>
      <c r="C175" s="10" t="inlineStr">
        <is>
          <t xml:space="preserve">Gestión de Auditoría </t>
        </is>
      </c>
      <c r="D175" s="10" t="inlineStr">
        <is>
          <t>GAU</t>
        </is>
      </c>
      <c r="E175" s="10" t="inlineStr">
        <is>
          <t>Gestión de Auditoría Interna</t>
        </is>
      </c>
      <c r="F175" s="10" t="inlineStr">
        <is>
          <t>-</t>
        </is>
      </c>
      <c r="G175" s="10" t="inlineStr">
        <is>
          <t xml:space="preserve">Seguimiento y evaluación de recomendaciones         </t>
        </is>
      </c>
      <c r="H175" s="10" t="inlineStr">
        <is>
          <t>Informes de Auditoria Interna</t>
        </is>
      </c>
      <c r="I175" s="10" t="inlineStr">
        <is>
          <t>Reporte de los resultados de los seguimientos trimestrales de recomendaciones</t>
        </is>
      </c>
      <c r="J175" s="10" t="inlineStr">
        <is>
          <t xml:space="preserve">Gerente de Auditoría </t>
        </is>
      </c>
      <c r="K175" s="10" t="inlineStr">
        <is>
          <t xml:space="preserve">Gerente de Auditoría </t>
        </is>
      </c>
      <c r="L175" s="10" t="inlineStr">
        <is>
          <t>UBICACIÓN DIGITAL-EQUIPO DEL RESPONSABLE</t>
        </is>
      </c>
      <c r="M175" s="10" t="inlineStr">
        <is>
          <t>DOCUMENTO DE ARCHIVO-ELECTRÓNICO</t>
        </is>
      </c>
      <c r="N175" s="10" t="inlineStr">
        <is>
          <t>PRIMARIOS</t>
        </is>
      </c>
      <c r="O175" s="10" t="inlineStr">
        <is>
          <t>DOCUMENTOS TÉCNICOS</t>
        </is>
      </c>
      <c r="P175" s="10" t="inlineStr">
        <is>
          <t>RESTRINGIDO(3)</t>
        </is>
      </c>
      <c r="Q175" s="10" t="inlineStr">
        <is>
          <t>MEDIA(2)</t>
        </is>
      </c>
      <c r="R175" s="10" t="inlineStr">
        <is>
          <t>MEDIA(2)</t>
        </is>
      </c>
      <c r="S175" s="10">
        <f>+(IF(P175="PUBLICA(1)",1,IF(P175="USO INTERNO(2)",2,IF(P175="RESTRINGIDO(3)",3,3))))+(IF(Q175="BAJA(1)",1,IF(Q175="MEDIA(2)",2,IF(Q175="ALTA(3)",3,3))))+(IF(R175="BAJA(1)",1,IF(R175="MEDIA(2)",2,IF(R175="ALTA(3)",3,3))))</f>
        <v/>
      </c>
      <c r="T175" s="10">
        <f>+IF(S175&lt;6,"BAJA",IF(S175&lt;8,"MEDIA","ALTA"))</f>
        <v/>
      </c>
      <c r="U175" s="10" t="inlineStr">
        <is>
          <t>-</t>
        </is>
      </c>
      <c r="V175" s="24" t="n">
        <v>45706</v>
      </c>
      <c r="W175" s="19" t="inlineStr">
        <is>
          <t>N/A</t>
        </is>
      </c>
      <c r="X175" s="10">
        <f>+IFERROR(IF(VLOOKUP(Tabla2[[#This Row],[ID]],'EVALUACION DE RIESGO'!A:A,1,FALSE)=Tabla2[[#This Row],[ID]],"SI","NO"),"NO")</f>
        <v/>
      </c>
      <c r="AD175">
        <f>IF(AND(Y175="",AA175=""),"",IF(OR(LEFT(AA175,2)="L0",LEFT(AA175,2)="L1",Y175="No Iniciado"),"CRÍTICO - Incumplimiento Normativo SEPS",IF(AND(OR(LEFT(AA175,2)="L4",LEFT(AA175,2)="L5"),AND(AC175&lt;&gt;"",AC175&lt;&gt;"N/A")),"CONFORME - Control Efectivo ISO 27001","OBSERVACIÓN - Revisar Controles")))</f>
        <v/>
      </c>
    </row>
    <row r="176">
      <c r="A176" s="99" t="inlineStr">
        <is>
          <t>13-GAU</t>
        </is>
      </c>
      <c r="B176" s="10" t="inlineStr">
        <is>
          <t>APOYO</t>
        </is>
      </c>
      <c r="C176" s="10" t="inlineStr">
        <is>
          <t xml:space="preserve">Gestión de Auditoría </t>
        </is>
      </c>
      <c r="D176" s="10" t="inlineStr">
        <is>
          <t>GAU</t>
        </is>
      </c>
      <c r="E176" s="10" t="inlineStr">
        <is>
          <t>Gestión de Auditoría Interna</t>
        </is>
      </c>
      <c r="F176" s="10" t="inlineStr">
        <is>
          <t>-</t>
        </is>
      </c>
      <c r="G176" s="10" t="inlineStr">
        <is>
          <t xml:space="preserve">Seguimiento y evaluación de recomendaciones         </t>
        </is>
      </c>
      <c r="H176" s="10" t="inlineStr">
        <is>
          <t>Justificativos</t>
        </is>
      </c>
      <c r="I176" s="10" t="inlineStr">
        <is>
          <t>Documentos entregables propuestos en los planes de acción para el cumplimiento de las recomendaciones</t>
        </is>
      </c>
      <c r="J176" s="10" t="inlineStr">
        <is>
          <t xml:space="preserve">Gerente de Auditoría </t>
        </is>
      </c>
      <c r="K176" s="10" t="inlineStr">
        <is>
          <t>Auditores internos</t>
        </is>
      </c>
      <c r="L176" s="10" t="inlineStr">
        <is>
          <t>UBICACIÓN DIGITAL - NEXTAUDI</t>
        </is>
      </c>
      <c r="M176" s="10" t="inlineStr">
        <is>
          <t>DOCUMENTO DE ARCHIVO-ELECTRÓNICO</t>
        </is>
      </c>
      <c r="N176" s="10" t="inlineStr">
        <is>
          <t>PRIMARIOS</t>
        </is>
      </c>
      <c r="O176" s="10" t="inlineStr">
        <is>
          <t>DOCUMENTOS TÉCNICOS</t>
        </is>
      </c>
      <c r="P176" s="10" t="inlineStr">
        <is>
          <t>USO INTERNO(2)</t>
        </is>
      </c>
      <c r="Q176" s="10" t="inlineStr">
        <is>
          <t>BAJA(1)</t>
        </is>
      </c>
      <c r="R176" s="10" t="inlineStr">
        <is>
          <t>MEDIA(2)</t>
        </is>
      </c>
      <c r="S176" s="10">
        <f>+(IF(P176="PUBLICA(1)",1,IF(P176="USO INTERNO(2)",2,IF(P176="RESTRINGIDO(3)",3,3))))+(IF(Q176="BAJA(1)",1,IF(Q176="MEDIA(2)",2,IF(Q176="ALTA(3)",3,3))))+(IF(R176="BAJA(1)",1,IF(R176="MEDIA(2)",2,IF(R176="ALTA(3)",3,3))))</f>
        <v/>
      </c>
      <c r="T176" s="10">
        <f>+IF(S176&lt;6,"BAJA",IF(S176&lt;8,"MEDIA","ALTA"))</f>
        <v/>
      </c>
      <c r="U176" s="10" t="inlineStr">
        <is>
          <t>-</t>
        </is>
      </c>
      <c r="V176" s="24" t="n">
        <v>45706</v>
      </c>
      <c r="W176" s="19" t="inlineStr">
        <is>
          <t>N/A</t>
        </is>
      </c>
      <c r="X176" s="10">
        <f>+IFERROR(IF(VLOOKUP(Tabla2[[#This Row],[ID]],'EVALUACION DE RIESGO'!A:A,1,FALSE)=Tabla2[[#This Row],[ID]],"SI","NO"),"NO")</f>
        <v/>
      </c>
      <c r="AD176">
        <f>IF(AND(Y176="",AA176=""),"",IF(OR(LEFT(AA176,2)="L0",LEFT(AA176,2)="L1",Y176="No Iniciado"),"CRÍTICO - Incumplimiento Normativo SEPS",IF(AND(OR(LEFT(AA176,2)="L4",LEFT(AA176,2)="L5"),AND(AC176&lt;&gt;"",AC176&lt;&gt;"N/A")),"CONFORME - Control Efectivo ISO 27001","OBSERVACIÓN - Revisar Controles")))</f>
        <v/>
      </c>
    </row>
    <row r="177">
      <c r="A177" s="99" t="inlineStr">
        <is>
          <t>14-GAU</t>
        </is>
      </c>
      <c r="B177" s="10" t="inlineStr">
        <is>
          <t>APOYO</t>
        </is>
      </c>
      <c r="C177" s="10" t="inlineStr">
        <is>
          <t xml:space="preserve">Gestión de Auditoría </t>
        </is>
      </c>
      <c r="D177" s="10" t="inlineStr">
        <is>
          <t>GAU</t>
        </is>
      </c>
      <c r="E177" s="10" t="inlineStr">
        <is>
          <t>Gestión de Auditoría Interna</t>
        </is>
      </c>
      <c r="F177" s="10" t="inlineStr">
        <is>
          <t>-</t>
        </is>
      </c>
      <c r="G177" s="10" t="inlineStr">
        <is>
          <t>Evaluación del Plan Anual de Auditoria  Interna</t>
        </is>
      </c>
      <c r="H177" s="10" t="inlineStr">
        <is>
          <t>Informe de gestión de Auditoria Interna</t>
        </is>
      </c>
      <c r="I177" s="10" t="inlineStr">
        <is>
          <t xml:space="preserve">Consolidación de los resultados de los exámenes que se presenta a Gerencia y Consejos </t>
        </is>
      </c>
      <c r="J177" s="10" t="inlineStr">
        <is>
          <t xml:space="preserve">Gerente de Auditoría </t>
        </is>
      </c>
      <c r="K177" s="10" t="inlineStr">
        <is>
          <t xml:space="preserve">Gerente de Auditoría </t>
        </is>
      </c>
      <c r="L177" s="10" t="inlineStr">
        <is>
          <t>UBICACIÓN DIGITAL-EQUIPO DEL RESPONSABLE</t>
        </is>
      </c>
      <c r="M177" s="10" t="inlineStr">
        <is>
          <t>DOCUMENTO DE ARCHIVO-ELECTRÓNICO</t>
        </is>
      </c>
      <c r="N177" s="10" t="inlineStr">
        <is>
          <t>PRIMARIOS</t>
        </is>
      </c>
      <c r="O177" s="10" t="inlineStr">
        <is>
          <t>DOCUMENTOS TÉCNICOS</t>
        </is>
      </c>
      <c r="P177" s="10" t="inlineStr">
        <is>
          <t>USO INTERNO(2)</t>
        </is>
      </c>
      <c r="Q177" s="10" t="inlineStr">
        <is>
          <t>BAJA(1)</t>
        </is>
      </c>
      <c r="R177" s="10" t="inlineStr">
        <is>
          <t>MEDIA(2)</t>
        </is>
      </c>
      <c r="S177" s="10">
        <f>+(IF(P177="PUBLICA(1)",1,IF(P177="USO INTERNO(2)",2,IF(P177="RESTRINGIDO(3)",3,3))))+(IF(Q177="BAJA(1)",1,IF(Q177="MEDIA(2)",2,IF(Q177="ALTA(3)",3,3))))+(IF(R177="BAJA(1)",1,IF(R177="MEDIA(2)",2,IF(R177="ALTA(3)",3,3))))</f>
        <v/>
      </c>
      <c r="T177" s="10">
        <f>+IF(S177&lt;6,"BAJA",IF(S177&lt;8,"MEDIA","ALTA"))</f>
        <v/>
      </c>
      <c r="U177" s="10" t="inlineStr">
        <is>
          <t>-</t>
        </is>
      </c>
      <c r="V177" s="24" t="n">
        <v>45706</v>
      </c>
      <c r="W177" s="19" t="inlineStr">
        <is>
          <t>N/A</t>
        </is>
      </c>
      <c r="X177" s="10">
        <f>+IFERROR(IF(VLOOKUP(Tabla2[[#This Row],[ID]],'EVALUACION DE RIESGO'!A:A,1,FALSE)=Tabla2[[#This Row],[ID]],"SI","NO"),"NO")</f>
        <v/>
      </c>
      <c r="AD177">
        <f>IF(AND(Y177="",AA177=""),"",IF(OR(LEFT(AA177,2)="L0",LEFT(AA177,2)="L1",Y177="No Iniciado"),"CRÍTICO - Incumplimiento Normativo SEPS",IF(AND(OR(LEFT(AA177,2)="L4",LEFT(AA177,2)="L5"),AND(AC177&lt;&gt;"",AC177&lt;&gt;"N/A")),"CONFORME - Control Efectivo ISO 27001","OBSERVACIÓN - Revisar Controles")))</f>
        <v/>
      </c>
    </row>
    <row r="178">
      <c r="A178" s="99" t="inlineStr">
        <is>
          <t>15-GAU</t>
        </is>
      </c>
      <c r="B178" s="10" t="inlineStr">
        <is>
          <t>APOYO</t>
        </is>
      </c>
      <c r="C178" s="10" t="inlineStr">
        <is>
          <t xml:space="preserve">Gestión de Auditoría </t>
        </is>
      </c>
      <c r="D178" s="10" t="inlineStr">
        <is>
          <t>GAU</t>
        </is>
      </c>
      <c r="E178" s="10" t="inlineStr">
        <is>
          <t>Gestión de Auditoría Interna</t>
        </is>
      </c>
      <c r="F178" s="10" t="inlineStr">
        <is>
          <t>-</t>
        </is>
      </c>
      <c r="G178" s="10" t="inlineStr">
        <is>
          <t xml:space="preserve">Examen Especial de Auditoría No Planificado </t>
        </is>
      </c>
      <c r="H178" s="10" t="inlineStr">
        <is>
          <t>Plan Anual de Auditoría Modificado</t>
        </is>
      </c>
      <c r="I178" s="10" t="inlineStr">
        <is>
          <t xml:space="preserve">Plan de las actividades a ejecutarse durante el año </t>
        </is>
      </c>
      <c r="J178" s="10" t="inlineStr">
        <is>
          <t xml:space="preserve">Gerente de Auditoría </t>
        </is>
      </c>
      <c r="K178" s="10" t="inlineStr">
        <is>
          <t xml:space="preserve">Gerente de Auditoría </t>
        </is>
      </c>
      <c r="L178" s="10" t="inlineStr">
        <is>
          <t>UBICACIÓN DIGITAL-EQUIPO DEL RESPONSABLE</t>
        </is>
      </c>
      <c r="M178" s="10" t="inlineStr">
        <is>
          <t>DOCUMENTO DE ARCHIVO-ELECTRÓNICO</t>
        </is>
      </c>
      <c r="N178" s="10" t="inlineStr">
        <is>
          <t>PRIMARIOS</t>
        </is>
      </c>
      <c r="O178" s="10" t="inlineStr">
        <is>
          <t>DOCUMENTOS TÉCNICOS</t>
        </is>
      </c>
      <c r="P178" s="10" t="inlineStr">
        <is>
          <t>USO INTERNO(2)</t>
        </is>
      </c>
      <c r="Q178" s="10" t="inlineStr">
        <is>
          <t>BAJA(1)</t>
        </is>
      </c>
      <c r="R178" s="10" t="inlineStr">
        <is>
          <t>MEDIA(2)</t>
        </is>
      </c>
      <c r="S178" s="10">
        <f>+(IF(P178="PUBLICA(1)",1,IF(P178="USO INTERNO(2)",2,IF(P178="RESTRINGIDO(3)",3,3))))+(IF(Q178="BAJA(1)",1,IF(Q178="MEDIA(2)",2,IF(Q178="ALTA(3)",3,3))))+(IF(R178="BAJA(1)",1,IF(R178="MEDIA(2)",2,IF(R178="ALTA(3)",3,3))))</f>
        <v/>
      </c>
      <c r="T178" s="10">
        <f>+IF(S178&lt;6,"BAJA",IF(S178&lt;8,"MEDIA","ALTA"))</f>
        <v/>
      </c>
      <c r="U178" s="10" t="inlineStr">
        <is>
          <t>-</t>
        </is>
      </c>
      <c r="V178" s="24" t="n">
        <v>45706</v>
      </c>
      <c r="W178" s="19" t="inlineStr">
        <is>
          <t>N/A</t>
        </is>
      </c>
      <c r="X178" s="10">
        <f>+IFERROR(IF(VLOOKUP(Tabla2[[#This Row],[ID]],'EVALUACION DE RIESGO'!A:A,1,FALSE)=Tabla2[[#This Row],[ID]],"SI","NO"),"NO")</f>
        <v/>
      </c>
      <c r="AD178">
        <f>IF(AND(Y178="",AA178=""),"",IF(OR(LEFT(AA178,2)="L0",LEFT(AA178,2)="L1",Y178="No Iniciado"),"CRÍTICO - Incumplimiento Normativo SEPS",IF(AND(OR(LEFT(AA178,2)="L4",LEFT(AA178,2)="L5"),AND(AC178&lt;&gt;"",AC178&lt;&gt;"N/A")),"CONFORME - Control Efectivo ISO 27001","OBSERVACIÓN - Revisar Controles")))</f>
        <v/>
      </c>
    </row>
    <row r="179">
      <c r="A179" s="99" t="inlineStr">
        <is>
          <t>16-GAU</t>
        </is>
      </c>
      <c r="B179" s="10" t="inlineStr">
        <is>
          <t>APOYO</t>
        </is>
      </c>
      <c r="C179" s="10" t="inlineStr">
        <is>
          <t xml:space="preserve">Gestión de Auditoría </t>
        </is>
      </c>
      <c r="D179" s="10" t="inlineStr">
        <is>
          <t>GAU</t>
        </is>
      </c>
      <c r="E179" s="10" t="inlineStr">
        <is>
          <t>Gestión de Auditoría Interna</t>
        </is>
      </c>
      <c r="F179" s="10" t="inlineStr">
        <is>
          <t>-</t>
        </is>
      </c>
      <c r="G179" s="10" t="inlineStr">
        <is>
          <t xml:space="preserve">Examen Especial de Auditoría No Planificado </t>
        </is>
      </c>
      <c r="H179" s="10" t="inlineStr">
        <is>
          <t>Comunicación de modificación del Plan Anual de Auditoría</t>
        </is>
      </c>
      <c r="I179" s="10" t="inlineStr">
        <is>
          <t>Documento de comunicación de la modificación del Plan Inicial de Auditoría</t>
        </is>
      </c>
      <c r="J179" s="10" t="inlineStr">
        <is>
          <t xml:space="preserve">Gerente de Auditoría </t>
        </is>
      </c>
      <c r="K179" s="10" t="inlineStr">
        <is>
          <t xml:space="preserve">Gerente de Auditoría </t>
        </is>
      </c>
      <c r="L179" s="10" t="inlineStr">
        <is>
          <t>UBICACIÓN DIGITAL-EQUIPO DEL RESPONSABLE</t>
        </is>
      </c>
      <c r="M179" s="10" t="inlineStr">
        <is>
          <t>DOCUMENTO DE ARCHIVO-ELECTRÓNICO</t>
        </is>
      </c>
      <c r="N179" s="10" t="inlineStr">
        <is>
          <t>PRIMARIOS</t>
        </is>
      </c>
      <c r="O179" s="10" t="inlineStr">
        <is>
          <t>COMUNICACIÓN INTERNA</t>
        </is>
      </c>
      <c r="P179" s="10" t="inlineStr">
        <is>
          <t>USO INTERNO(2)</t>
        </is>
      </c>
      <c r="Q179" s="10" t="inlineStr">
        <is>
          <t>BAJA(1)</t>
        </is>
      </c>
      <c r="R179" s="10" t="inlineStr">
        <is>
          <t>MEDIA(2)</t>
        </is>
      </c>
      <c r="S179" s="10">
        <f>+(IF(P179="PUBLICA(1)",1,IF(P179="USO INTERNO(2)",2,IF(P179="RESTRINGIDO(3)",3,3))))+(IF(Q179="BAJA(1)",1,IF(Q179="MEDIA(2)",2,IF(Q179="ALTA(3)",3,3))))+(IF(R179="BAJA(1)",1,IF(R179="MEDIA(2)",2,IF(R179="ALTA(3)",3,3))))</f>
        <v/>
      </c>
      <c r="T179" s="10">
        <f>+IF(S179&lt;6,"BAJA",IF(S179&lt;8,"MEDIA","ALTA"))</f>
        <v/>
      </c>
      <c r="U179" s="10" t="inlineStr">
        <is>
          <t>-</t>
        </is>
      </c>
      <c r="V179" s="24" t="n">
        <v>45706</v>
      </c>
      <c r="W179" s="19" t="inlineStr">
        <is>
          <t>N/A</t>
        </is>
      </c>
      <c r="X179" s="10">
        <f>+IFERROR(IF(VLOOKUP(Tabla2[[#This Row],[ID]],'EVALUACION DE RIESGO'!A:A,1,FALSE)=Tabla2[[#This Row],[ID]],"SI","NO"),"NO")</f>
        <v/>
      </c>
      <c r="AD179">
        <f>IF(AND(Y179="",AA179=""),"",IF(OR(LEFT(AA179,2)="L0",LEFT(AA179,2)="L1",Y179="No Iniciado"),"CRÍTICO - Incumplimiento Normativo SEPS",IF(AND(OR(LEFT(AA179,2)="L4",LEFT(AA179,2)="L5"),AND(AC179&lt;&gt;"",AC179&lt;&gt;"N/A")),"CONFORME - Control Efectivo ISO 27001","OBSERVACIÓN - Revisar Controles")))</f>
        <v/>
      </c>
    </row>
    <row r="180">
      <c r="A180" s="99" t="inlineStr">
        <is>
          <t>17-GAU</t>
        </is>
      </c>
      <c r="B180" s="10" t="inlineStr">
        <is>
          <t>APOYO</t>
        </is>
      </c>
      <c r="C180" s="10" t="inlineStr">
        <is>
          <t xml:space="preserve">Gestión de Auditoría </t>
        </is>
      </c>
      <c r="D180" s="10" t="inlineStr">
        <is>
          <t>GAU</t>
        </is>
      </c>
      <c r="E180" s="10" t="inlineStr">
        <is>
          <t>Gestión de Auditoría Interna</t>
        </is>
      </c>
      <c r="F180" s="10" t="inlineStr">
        <is>
          <t>-</t>
        </is>
      </c>
      <c r="G180" s="10" t="inlineStr">
        <is>
          <t>N/A</t>
        </is>
      </c>
      <c r="H180" s="10" t="inlineStr">
        <is>
          <t xml:space="preserve">Equipos de computación </t>
        </is>
      </c>
      <c r="I180" s="10" t="inlineStr">
        <is>
          <t>Equipos de computación donde se realiza la gestión del área</t>
        </is>
      </c>
      <c r="J180" s="10" t="inlineStr">
        <is>
          <t xml:space="preserve">Oficial de Seguridad de la Información </t>
        </is>
      </c>
      <c r="K180" s="10" t="inlineStr">
        <is>
          <t xml:space="preserve">Gerente de Auditoría </t>
        </is>
      </c>
      <c r="L180" s="10" t="inlineStr">
        <is>
          <t>UBICACIÓN FISICA-SUCURSAL IBARRA</t>
        </is>
      </c>
      <c r="M180" s="10" t="inlineStr">
        <is>
          <t>DISCOS DUROS, SERVIDORES, DISCOS O MEDIOS PORTÁTILES, CINTAS O MEDIOS DE VIDEO Y AUDIO, ETC.</t>
        </is>
      </c>
      <c r="N180" s="10" t="inlineStr">
        <is>
          <t>APOYO</t>
        </is>
      </c>
      <c r="O180" s="10" t="inlineStr">
        <is>
          <t>HARDWARE</t>
        </is>
      </c>
      <c r="P180" s="10" t="inlineStr">
        <is>
          <t>RESTRINGIDO(3)</t>
        </is>
      </c>
      <c r="Q180" s="10" t="inlineStr">
        <is>
          <t>MEDIA(2)</t>
        </is>
      </c>
      <c r="R180" s="10" t="inlineStr">
        <is>
          <t>MEDIA(2)</t>
        </is>
      </c>
      <c r="S180" s="10">
        <f>+(IF(P180="PUBLICA(1)",1,IF(P180="USO INTERNO(2)",2,IF(P180="RESTRINGIDO(3)",3,3))))+(IF(Q180="BAJA(1)",1,IF(Q180="MEDIA(2)",2,IF(Q180="ALTA(3)",3,3))))+(IF(R180="BAJA(1)",1,IF(R180="MEDIA(2)",2,IF(R180="ALTA(3)",3,3))))</f>
        <v/>
      </c>
      <c r="T180" s="10">
        <f>+IF(S180&lt;6,"BAJA",IF(S180&lt;8,"MEDIA","ALTA"))</f>
        <v/>
      </c>
      <c r="U180" s="10" t="inlineStr">
        <is>
          <t>-</t>
        </is>
      </c>
      <c r="V180" s="24" t="n">
        <v>45712</v>
      </c>
      <c r="W180" s="19" t="inlineStr">
        <is>
          <t>N/A</t>
        </is>
      </c>
      <c r="X180" s="10">
        <f>+IFERROR(IF(VLOOKUP(Tabla2[[#This Row],[ID]],'EVALUACION DE RIESGO'!A:A,1,FALSE)=Tabla2[[#This Row],[ID]],"SI","NO"),"NO")</f>
        <v/>
      </c>
      <c r="AD180">
        <f>IF(AND(Y180="",AA180=""),"",IF(OR(LEFT(AA180,2)="L0",LEFT(AA180,2)="L1",Y180="No Iniciado"),"CRÍTICO - Incumplimiento Normativo SEPS",IF(AND(OR(LEFT(AA180,2)="L4",LEFT(AA180,2)="L5"),AND(AC180&lt;&gt;"",AC180&lt;&gt;"N/A")),"CONFORME - Control Efectivo ISO 27001","OBSERVACIÓN - Revisar Controles")))</f>
        <v/>
      </c>
    </row>
    <row r="181">
      <c r="A181" s="99" t="inlineStr">
        <is>
          <t>18-GAU</t>
        </is>
      </c>
      <c r="B181" s="10" t="inlineStr">
        <is>
          <t>APOYO</t>
        </is>
      </c>
      <c r="C181" s="10" t="inlineStr">
        <is>
          <t xml:space="preserve">Gestión de Auditoría </t>
        </is>
      </c>
      <c r="D181" s="10" t="inlineStr">
        <is>
          <t>GAU</t>
        </is>
      </c>
      <c r="E181" s="10" t="inlineStr">
        <is>
          <t>Gestión de Auditoría Interna</t>
        </is>
      </c>
      <c r="F181" s="10" t="inlineStr">
        <is>
          <t>-</t>
        </is>
      </c>
      <c r="G181" s="10" t="inlineStr">
        <is>
          <t>N/A</t>
        </is>
      </c>
      <c r="H181" s="10" t="inlineStr">
        <is>
          <t>Gerente de Auditoría</t>
        </is>
      </c>
      <c r="I181" s="10" t="inlineStr">
        <is>
          <t>N/A</t>
        </is>
      </c>
      <c r="J181" s="10" t="inlineStr">
        <is>
          <t xml:space="preserve">Oficial de Seguridad de la Información </t>
        </is>
      </c>
      <c r="K181" s="10" t="inlineStr">
        <is>
          <t>N/A</t>
        </is>
      </c>
      <c r="L181" s="10" t="inlineStr">
        <is>
          <t>N/A</t>
        </is>
      </c>
      <c r="M181" s="10" t="inlineStr">
        <is>
          <t>N/A</t>
        </is>
      </c>
      <c r="N181" s="10" t="inlineStr">
        <is>
          <t>APOYO</t>
        </is>
      </c>
      <c r="O181" s="10" t="inlineStr">
        <is>
          <t>RECURSO HUMANO</t>
        </is>
      </c>
      <c r="P181" s="10" t="inlineStr">
        <is>
          <t>USO INTERNO(2)</t>
        </is>
      </c>
      <c r="Q181" s="10" t="inlineStr">
        <is>
          <t>MEDIA(2)</t>
        </is>
      </c>
      <c r="R181" s="10" t="inlineStr">
        <is>
          <t>MEDIA(2)</t>
        </is>
      </c>
      <c r="S181" s="10">
        <f>+(IF(P181="PUBLICA(1)",1,IF(P181="USO INTERNO(2)",2,IF(P181="RESTRINGIDO(3)",3,3))))+(IF(Q181="BAJA(1)",1,IF(Q181="MEDIA(2)",2,IF(Q181="ALTA(3)",3,3))))+(IF(R181="BAJA(1)",1,IF(R181="MEDIA(2)",2,IF(R181="ALTA(3)",3,3))))</f>
        <v/>
      </c>
      <c r="T181" s="10">
        <f>+IF(S181&lt;6,"BAJA",IF(S181&lt;8,"MEDIA","ALTA"))</f>
        <v/>
      </c>
      <c r="U181" s="10" t="inlineStr">
        <is>
          <t>-</t>
        </is>
      </c>
      <c r="V181" s="24" t="n">
        <v>45712</v>
      </c>
      <c r="W181" s="19" t="inlineStr">
        <is>
          <t>N/A</t>
        </is>
      </c>
      <c r="X181" s="10">
        <f>+IFERROR(IF(VLOOKUP(Tabla2[[#This Row],[ID]],'EVALUACION DE RIESGO'!A:A,1,FALSE)=Tabla2[[#This Row],[ID]],"SI","NO"),"NO")</f>
        <v/>
      </c>
      <c r="AD181">
        <f>IF(AND(Y181="",AA181=""),"",IF(OR(LEFT(AA181,2)="L0",LEFT(AA181,2)="L1",Y181="No Iniciado"),"CRÍTICO - Incumplimiento Normativo SEPS",IF(AND(OR(LEFT(AA181,2)="L4",LEFT(AA181,2)="L5"),AND(AC181&lt;&gt;"",AC181&lt;&gt;"N/A")),"CONFORME - Control Efectivo ISO 27001","OBSERVACIÓN - Revisar Controles")))</f>
        <v/>
      </c>
    </row>
    <row r="182">
      <c r="A182" s="99" t="inlineStr">
        <is>
          <t>1-GCA</t>
        </is>
      </c>
      <c r="B182" s="10" t="inlineStr">
        <is>
          <t>PRODUCTIVO</t>
        </is>
      </c>
      <c r="C182" s="10" t="inlineStr">
        <is>
          <t>Gestión de Captaciones</t>
        </is>
      </c>
      <c r="D182" s="10" t="inlineStr">
        <is>
          <t>GCA</t>
        </is>
      </c>
      <c r="E182" s="10" t="inlineStr">
        <is>
          <t>Depósitos a Plazo Fijo</t>
        </is>
      </c>
      <c r="F182" s="10" t="inlineStr">
        <is>
          <t>-</t>
        </is>
      </c>
      <c r="G182" s="10" t="inlineStr">
        <is>
          <t>Planificación de captaciones</t>
        </is>
      </c>
      <c r="H182" s="10" t="inlineStr">
        <is>
          <t>Agenda de visitas semanales</t>
        </is>
      </c>
      <c r="I182" s="10" t="inlineStr">
        <is>
          <t>Agenda de visitas semanales</t>
        </is>
      </c>
      <c r="J182" s="10" t="inlineStr">
        <is>
          <t xml:space="preserve">Jefe de Captaciones </t>
        </is>
      </c>
      <c r="K182" s="10" t="inlineStr">
        <is>
          <t xml:space="preserve">Jefe de Captaciones </t>
        </is>
      </c>
      <c r="L182" s="10" t="inlineStr">
        <is>
          <t>UBICACIÓN DIGITAL-EQUIPO DEL RESPONSABLE</t>
        </is>
      </c>
      <c r="M182" s="10" t="inlineStr">
        <is>
          <t>DISCOS DUROS, SERVIDORES, DISCOS O MEDIOS PORTÁTILES, CINTAS O MEDIOS DE VIDEO Y AUDIO, ETC.</t>
        </is>
      </c>
      <c r="N182" s="10" t="inlineStr">
        <is>
          <t>PRIMARIOS</t>
        </is>
      </c>
      <c r="O182" s="10" t="inlineStr">
        <is>
          <t>COMUNICACIÓN INTERNA</t>
        </is>
      </c>
      <c r="P182" s="10" t="inlineStr">
        <is>
          <t>PUBLICA(1)</t>
        </is>
      </c>
      <c r="Q182" s="10" t="inlineStr">
        <is>
          <t>MEDIA(2)</t>
        </is>
      </c>
      <c r="R182" s="10" t="inlineStr">
        <is>
          <t>BAJA(1)</t>
        </is>
      </c>
      <c r="S182" s="10">
        <f>+(IF(P182="PUBLICA(1)",1,IF(P182="USO INTERNO(2)",2,IF(P182="RESTRINGIDO(3)",3,3))))+(IF(Q182="BAJA(1)",1,IF(Q182="MEDIA(2)",2,IF(Q182="ALTA(3)",3,3))))+(IF(R182="BAJA(1)",1,IF(R182="MEDIA(2)",2,IF(R182="ALTA(3)",3,3))))</f>
        <v/>
      </c>
      <c r="T182" s="10">
        <f>+IF(S182&lt;6,"BAJA",IF(S182&lt;8,"MEDIA","ALTA"))</f>
        <v/>
      </c>
      <c r="U182" s="10" t="inlineStr">
        <is>
          <t>-</t>
        </is>
      </c>
      <c r="V182" s="24" t="n">
        <v>45595</v>
      </c>
      <c r="W182" s="19" t="inlineStr">
        <is>
          <t>N/A</t>
        </is>
      </c>
      <c r="X182" s="10">
        <f>+IFERROR(IF(VLOOKUP(Tabla2[[#This Row],[ID]],'EVALUACION DE RIESGO'!A:A,1,FALSE)=Tabla2[[#This Row],[ID]],"SI","NO"),"NO")</f>
        <v/>
      </c>
      <c r="AD182">
        <f>IF(AND(Y182="",AA182=""),"",IF(OR(LEFT(AA182,2)="L0",LEFT(AA182,2)="L1",Y182="No Iniciado"),"CRÍTICO - Incumplimiento Normativo SEPS",IF(AND(OR(LEFT(AA182,2)="L4",LEFT(AA182,2)="L5"),AND(AC182&lt;&gt;"",AC182&lt;&gt;"N/A")),"CONFORME - Control Efectivo ISO 27001","OBSERVACIÓN - Revisar Controles")))</f>
        <v/>
      </c>
    </row>
    <row r="183">
      <c r="A183" s="99" t="inlineStr">
        <is>
          <t>2-GCA</t>
        </is>
      </c>
      <c r="B183" s="10" t="inlineStr">
        <is>
          <t>PRODUCTIVO</t>
        </is>
      </c>
      <c r="C183" s="10" t="inlineStr">
        <is>
          <t>Gestión de Captaciones</t>
        </is>
      </c>
      <c r="D183" s="10" t="inlineStr">
        <is>
          <t>GCA</t>
        </is>
      </c>
      <c r="E183" s="10" t="inlineStr">
        <is>
          <t>Depósitos a Plazo Fijo</t>
        </is>
      </c>
      <c r="F183" s="10" t="inlineStr">
        <is>
          <t>-</t>
        </is>
      </c>
      <c r="G183" s="10" t="inlineStr">
        <is>
          <t>Apertura de depósito a plazo fijo</t>
        </is>
      </c>
      <c r="H183" s="10" t="inlineStr">
        <is>
          <t>Liquidación de caja</t>
        </is>
      </c>
      <c r="I183" s="10" t="inlineStr">
        <is>
          <t>Transacción de deposito a plazo /Físico y digital se sube al sistema FIT</t>
        </is>
      </c>
      <c r="J183" s="10" t="inlineStr">
        <is>
          <t xml:space="preserve">Jefe de Captaciones </t>
        </is>
      </c>
      <c r="K183" s="10" t="inlineStr">
        <is>
          <t>Supervisor Operativo el vigente y el Asesor de Captaciones las vencidas</t>
        </is>
      </c>
      <c r="L183" s="10" t="inlineStr">
        <is>
          <t>DOCUMENTOS FISICOS-ARCHIVOS DE LA OFICINA</t>
        </is>
      </c>
      <c r="M183" s="10" t="inlineStr">
        <is>
          <t>DOCUMENTO DE ARCHIVO-FÍSICO</t>
        </is>
      </c>
      <c r="N183" s="10" t="inlineStr">
        <is>
          <t>PRIMARIOS</t>
        </is>
      </c>
      <c r="O183" s="10" t="inlineStr">
        <is>
          <t>DOCUMENTOS HABILITANTES</t>
        </is>
      </c>
      <c r="P183" s="10" t="inlineStr">
        <is>
          <t>USO INTERNO(2)</t>
        </is>
      </c>
      <c r="Q183" s="10" t="inlineStr">
        <is>
          <t>MEDIA(2)</t>
        </is>
      </c>
      <c r="R183" s="10" t="inlineStr">
        <is>
          <t>MEDIA(2)</t>
        </is>
      </c>
      <c r="S183" s="10">
        <f>+(IF(P183="PUBLICA(1)",1,IF(P183="USO INTERNO(2)",2,IF(P183="RESTRINGIDO(3)",3,3))))+(IF(Q183="BAJA(1)",1,IF(Q183="MEDIA(2)",2,IF(Q183="ALTA(3)",3,3))))+(IF(R183="BAJA(1)",1,IF(R183="MEDIA(2)",2,IF(R183="ALTA(3)",3,3))))</f>
        <v/>
      </c>
      <c r="T183" s="10">
        <f>+IF(S183&lt;6,"BAJA",IF(S183&lt;8,"MEDIA","ALTA"))</f>
        <v/>
      </c>
      <c r="U183" s="10" t="inlineStr">
        <is>
          <t>-</t>
        </is>
      </c>
      <c r="V183" s="24" t="n">
        <v>45595</v>
      </c>
      <c r="W183" s="19" t="inlineStr">
        <is>
          <t>N/A</t>
        </is>
      </c>
      <c r="X183" s="10">
        <f>+IFERROR(IF(VLOOKUP(Tabla2[[#This Row],[ID]],'EVALUACION DE RIESGO'!A:A,1,FALSE)=Tabla2[[#This Row],[ID]],"SI","NO"),"NO")</f>
        <v/>
      </c>
      <c r="AD183">
        <f>IF(AND(Y183="",AA183=""),"",IF(OR(LEFT(AA183,2)="L0",LEFT(AA183,2)="L1",Y183="No Iniciado"),"CRÍTICO - Incumplimiento Normativo SEPS",IF(AND(OR(LEFT(AA183,2)="L4",LEFT(AA183,2)="L5"),AND(AC183&lt;&gt;"",AC183&lt;&gt;"N/A")),"CONFORME - Control Efectivo ISO 27001","OBSERVACIÓN - Revisar Controles")))</f>
        <v/>
      </c>
    </row>
    <row r="184">
      <c r="A184" s="99" t="inlineStr">
        <is>
          <t>3-GCA</t>
        </is>
      </c>
      <c r="B184" s="10" t="inlineStr">
        <is>
          <t>PRODUCTIVO</t>
        </is>
      </c>
      <c r="C184" s="10" t="inlineStr">
        <is>
          <t>Gestión de Captaciones</t>
        </is>
      </c>
      <c r="D184" s="10" t="inlineStr">
        <is>
          <t>GCA</t>
        </is>
      </c>
      <c r="E184" s="10" t="inlineStr">
        <is>
          <t>Depósitos a Plazo Fijo</t>
        </is>
      </c>
      <c r="F184" s="10" t="inlineStr">
        <is>
          <t>-</t>
        </is>
      </c>
      <c r="G184" s="10" t="inlineStr">
        <is>
          <t>Apertura de depósito a plazo fijo</t>
        </is>
      </c>
      <c r="H184" s="10" t="inlineStr">
        <is>
          <t>Certificado de depósito a plazo fijo</t>
        </is>
      </c>
      <c r="I184" s="10" t="inlineStr">
        <is>
          <t>Certificado que se imprime para el clienta y otra idéntica que mantiene el asesor</t>
        </is>
      </c>
      <c r="J184" s="10" t="inlineStr">
        <is>
          <t xml:space="preserve">Jefe de Captaciones </t>
        </is>
      </c>
      <c r="K184" s="10" t="inlineStr">
        <is>
          <t>Supervisor Operativo el vigente y el Asesor de Captaciones las vencidas</t>
        </is>
      </c>
      <c r="L184" s="10" t="inlineStr">
        <is>
          <t>DOCUMENTOS FISICOS-ARCHIVOS DE LA OFICINA</t>
        </is>
      </c>
      <c r="M184" s="10" t="inlineStr">
        <is>
          <t>DOCUMENTO DE ARCHIVO-FÍSICO</t>
        </is>
      </c>
      <c r="N184" s="10" t="inlineStr">
        <is>
          <t>PRIMARIOS</t>
        </is>
      </c>
      <c r="O184" s="10" t="inlineStr">
        <is>
          <t>DOCUMENTOS HABILITANTES</t>
        </is>
      </c>
      <c r="P184" s="10" t="inlineStr">
        <is>
          <t>USO INTERNO(2)</t>
        </is>
      </c>
      <c r="Q184" s="10" t="inlineStr">
        <is>
          <t>MEDIA(2)</t>
        </is>
      </c>
      <c r="R184" s="10" t="inlineStr">
        <is>
          <t>ALTA(3)</t>
        </is>
      </c>
      <c r="S184" s="10">
        <f>+(IF(P184="PUBLICA(1)",1,IF(P184="USO INTERNO(2)",2,IF(P184="RESTRINGIDO(3)",3,3))))+(IF(Q184="BAJA(1)",1,IF(Q184="MEDIA(2)",2,IF(Q184="ALTA(3)",3,3))))+(IF(R184="BAJA(1)",1,IF(R184="MEDIA(2)",2,IF(R184="ALTA(3)",3,3))))</f>
        <v/>
      </c>
      <c r="T184" s="10">
        <f>+IF(S184&lt;6,"BAJA",IF(S184&lt;8,"MEDIA","ALTA"))</f>
        <v/>
      </c>
      <c r="U184" s="10" t="inlineStr">
        <is>
          <t>-</t>
        </is>
      </c>
      <c r="V184" s="24" t="n">
        <v>45595</v>
      </c>
      <c r="W184" s="19" t="inlineStr">
        <is>
          <t>N/A</t>
        </is>
      </c>
      <c r="X184" s="10">
        <f>+IFERROR(IF(VLOOKUP(Tabla2[[#This Row],[ID]],'EVALUACION DE RIESGO'!A:A,1,FALSE)=Tabla2[[#This Row],[ID]],"SI","NO"),"NO")</f>
        <v/>
      </c>
      <c r="AD184">
        <f>IF(AND(Y184="",AA184=""),"",IF(OR(LEFT(AA184,2)="L0",LEFT(AA184,2)="L1",Y184="No Iniciado"),"CRÍTICO - Incumplimiento Normativo SEPS",IF(AND(OR(LEFT(AA184,2)="L4",LEFT(AA184,2)="L5"),AND(AC184&lt;&gt;"",AC184&lt;&gt;"N/A")),"CONFORME - Control Efectivo ISO 27001","OBSERVACIÓN - Revisar Controles")))</f>
        <v/>
      </c>
    </row>
    <row r="185">
      <c r="A185" s="99" t="inlineStr">
        <is>
          <t>4-GCA</t>
        </is>
      </c>
      <c r="B185" s="10" t="inlineStr">
        <is>
          <t>PRODUCTIVO</t>
        </is>
      </c>
      <c r="C185" s="10" t="inlineStr">
        <is>
          <t>Gestión de Captaciones</t>
        </is>
      </c>
      <c r="D185" s="10" t="inlineStr">
        <is>
          <t>GCA</t>
        </is>
      </c>
      <c r="E185" s="10" t="inlineStr">
        <is>
          <t>Depósitos a Plazo Fijo</t>
        </is>
      </c>
      <c r="F185" s="10" t="inlineStr">
        <is>
          <t>-</t>
        </is>
      </c>
      <c r="G185" s="10" t="inlineStr">
        <is>
          <t>Apertura de depósito a plazo fijo</t>
        </is>
      </c>
      <c r="H185" s="10" t="inlineStr">
        <is>
          <t>Certificación de información</t>
        </is>
      </c>
      <c r="I185" s="10" t="inlineStr">
        <is>
          <t>Certificado de información que se realiza cuando se actualizan los datos del socio</t>
        </is>
      </c>
      <c r="J185" s="10" t="inlineStr">
        <is>
          <t xml:space="preserve">Jefe de Captaciones </t>
        </is>
      </c>
      <c r="K185" s="10" t="inlineStr">
        <is>
          <t>Supervisor Operativo el vigente y el Asesor de Captaciones las vencidas</t>
        </is>
      </c>
      <c r="L185" s="10" t="inlineStr">
        <is>
          <t>DOCUMENTOS FISICOS-ARCHIVOS DE LA OFICINA</t>
        </is>
      </c>
      <c r="M185" s="10" t="inlineStr">
        <is>
          <t>DOCUMENTO DE ARCHIVO-FÍSICO</t>
        </is>
      </c>
      <c r="N185" s="10" t="inlineStr">
        <is>
          <t>PRIMARIOS</t>
        </is>
      </c>
      <c r="O185" s="10" t="inlineStr">
        <is>
          <t>DOCUMENTOS HABILITANTES</t>
        </is>
      </c>
      <c r="P185" s="10" t="inlineStr">
        <is>
          <t>USO INTERNO(2)</t>
        </is>
      </c>
      <c r="Q185" s="10" t="inlineStr">
        <is>
          <t>MEDIA(2)</t>
        </is>
      </c>
      <c r="R185" s="10" t="inlineStr">
        <is>
          <t>MEDIA(2)</t>
        </is>
      </c>
      <c r="S185" s="10">
        <f>+(IF(P185="PUBLICA(1)",1,IF(P185="USO INTERNO(2)",2,IF(P185="RESTRINGIDO(3)",3,3))))+(IF(Q185="BAJA(1)",1,IF(Q185="MEDIA(2)",2,IF(Q185="ALTA(3)",3,3))))+(IF(R185="BAJA(1)",1,IF(R185="MEDIA(2)",2,IF(R185="ALTA(3)",3,3))))</f>
        <v/>
      </c>
      <c r="T185" s="10">
        <f>+IF(S185&lt;6,"BAJA",IF(S185&lt;8,"MEDIA","ALTA"))</f>
        <v/>
      </c>
      <c r="U185" s="10" t="inlineStr">
        <is>
          <t>-</t>
        </is>
      </c>
      <c r="V185" s="24" t="n">
        <v>45595</v>
      </c>
      <c r="W185" s="19" t="inlineStr">
        <is>
          <t>N/A</t>
        </is>
      </c>
      <c r="X185" s="10">
        <f>+IFERROR(IF(VLOOKUP(Tabla2[[#This Row],[ID]],'EVALUACION DE RIESGO'!A:A,1,FALSE)=Tabla2[[#This Row],[ID]],"SI","NO"),"NO")</f>
        <v/>
      </c>
      <c r="AD185">
        <f>IF(AND(Y185="",AA185=""),"",IF(OR(LEFT(AA185,2)="L0",LEFT(AA185,2)="L1",Y185="No Iniciado"),"CRÍTICO - Incumplimiento Normativo SEPS",IF(AND(OR(LEFT(AA185,2)="L4",LEFT(AA185,2)="L5"),AND(AC185&lt;&gt;"",AC185&lt;&gt;"N/A")),"CONFORME - Control Efectivo ISO 27001","OBSERVACIÓN - Revisar Controles")))</f>
        <v/>
      </c>
    </row>
    <row r="186">
      <c r="A186" s="99" t="inlineStr">
        <is>
          <t>5-GCA</t>
        </is>
      </c>
      <c r="B186" s="10" t="inlineStr">
        <is>
          <t>PRODUCTIVO</t>
        </is>
      </c>
      <c r="C186" s="10" t="inlineStr">
        <is>
          <t>Gestión de Captaciones</t>
        </is>
      </c>
      <c r="D186" s="10" t="inlineStr">
        <is>
          <t>GCA</t>
        </is>
      </c>
      <c r="E186" s="10" t="inlineStr">
        <is>
          <t>Depósitos a Plazo Fijo</t>
        </is>
      </c>
      <c r="F186" s="10" t="inlineStr">
        <is>
          <t>-</t>
        </is>
      </c>
      <c r="G186" s="10" t="inlineStr">
        <is>
          <t>Apertura de depósito a plazo fijo</t>
        </is>
      </c>
      <c r="H186" s="10" t="inlineStr">
        <is>
          <t>Formulario de licitud de fondos</t>
        </is>
      </c>
      <c r="I186" s="10" t="inlineStr">
        <is>
          <t>Documento firmado de declaración de origen o destino licito de recursos</t>
        </is>
      </c>
      <c r="J186" s="10" t="inlineStr">
        <is>
          <t xml:space="preserve">Jefe de Captaciones </t>
        </is>
      </c>
      <c r="K186" s="10" t="inlineStr">
        <is>
          <t>Supervisor Operativo el vigente y el Asesor de Captaciones las vencidas</t>
        </is>
      </c>
      <c r="L186" s="10" t="inlineStr">
        <is>
          <t>DOCUMENTOS FISICOS-ARCHIVOS DE LA OFICINA</t>
        </is>
      </c>
      <c r="M186" s="10" t="inlineStr">
        <is>
          <t>DOCUMENTO DE ARCHIVO-FÍSICO</t>
        </is>
      </c>
      <c r="N186" s="10" t="inlineStr">
        <is>
          <t>PRIMARIOS</t>
        </is>
      </c>
      <c r="O186" s="10" t="inlineStr">
        <is>
          <t>DOCUMENTOS HABILITANTES</t>
        </is>
      </c>
      <c r="P186" s="10" t="inlineStr">
        <is>
          <t>USO INTERNO(2)</t>
        </is>
      </c>
      <c r="Q186" s="10" t="inlineStr">
        <is>
          <t>MEDIA(2)</t>
        </is>
      </c>
      <c r="R186" s="10" t="inlineStr">
        <is>
          <t>MEDIA(2)</t>
        </is>
      </c>
      <c r="S186" s="10">
        <f>+(IF(P186="PUBLICA(1)",1,IF(P186="USO INTERNO(2)",2,IF(P186="RESTRINGIDO(3)",3,3))))+(IF(Q186="BAJA(1)",1,IF(Q186="MEDIA(2)",2,IF(Q186="ALTA(3)",3,3))))+(IF(R186="BAJA(1)",1,IF(R186="MEDIA(2)",2,IF(R186="ALTA(3)",3,3))))</f>
        <v/>
      </c>
      <c r="T186" s="10">
        <f>+IF(S186&lt;6,"BAJA",IF(S186&lt;8,"MEDIA","ALTA"))</f>
        <v/>
      </c>
      <c r="U186" s="10" t="inlineStr">
        <is>
          <t>-</t>
        </is>
      </c>
      <c r="V186" s="24" t="n">
        <v>45595</v>
      </c>
      <c r="W186" s="19" t="inlineStr">
        <is>
          <t>N/A</t>
        </is>
      </c>
      <c r="X186" s="10">
        <f>+IFERROR(IF(VLOOKUP(Tabla2[[#This Row],[ID]],'EVALUACION DE RIESGO'!A:A,1,FALSE)=Tabla2[[#This Row],[ID]],"SI","NO"),"NO")</f>
        <v/>
      </c>
      <c r="AD186">
        <f>IF(AND(Y186="",AA186=""),"",IF(OR(LEFT(AA186,2)="L0",LEFT(AA186,2)="L1",Y186="No Iniciado"),"CRÍTICO - Incumplimiento Normativo SEPS",IF(AND(OR(LEFT(AA186,2)="L4",LEFT(AA186,2)="L5"),AND(AC186&lt;&gt;"",AC186&lt;&gt;"N/A")),"CONFORME - Control Efectivo ISO 27001","OBSERVACIÓN - Revisar Controles")))</f>
        <v/>
      </c>
    </row>
    <row r="187">
      <c r="A187" s="99" t="inlineStr">
        <is>
          <t>6-GCA</t>
        </is>
      </c>
      <c r="B187" s="10" t="inlineStr">
        <is>
          <t>PRODUCTIVO</t>
        </is>
      </c>
      <c r="C187" s="10" t="inlineStr">
        <is>
          <t>Gestión de Captaciones</t>
        </is>
      </c>
      <c r="D187" s="10" t="inlineStr">
        <is>
          <t>GCA</t>
        </is>
      </c>
      <c r="E187" s="10" t="inlineStr">
        <is>
          <t>Depósitos a Plazo Fijo</t>
        </is>
      </c>
      <c r="F187" s="10" t="inlineStr">
        <is>
          <t>-</t>
        </is>
      </c>
      <c r="G187" s="10" t="inlineStr">
        <is>
          <t>Apertura de depósito a plazo fijo</t>
        </is>
      </c>
      <c r="H187" s="10" t="inlineStr">
        <is>
          <t>File digital</t>
        </is>
      </c>
      <c r="I187" s="10" t="inlineStr">
        <is>
          <t>Documentación que se escanea y se sube al Core financiero</t>
        </is>
      </c>
      <c r="J187" s="10" t="inlineStr">
        <is>
          <t xml:space="preserve">Jefe de Captaciones </t>
        </is>
      </c>
      <c r="K187" s="10" t="inlineStr">
        <is>
          <t xml:space="preserve">Jefe de Captaciones </t>
        </is>
      </c>
      <c r="L187" s="10" t="inlineStr">
        <is>
          <t>UBICACIÓN DIGITAL-CORE FINANCIERO</t>
        </is>
      </c>
      <c r="M187" s="10" t="inlineStr">
        <is>
          <t>SISTEMA DE ADMINISTRACIÓN DE DOCUMENTOS</t>
        </is>
      </c>
      <c r="N187" s="10" t="inlineStr">
        <is>
          <t>PRIMARIOS</t>
        </is>
      </c>
      <c r="O187" s="10" t="inlineStr">
        <is>
          <t>INFORMACIÓN DE SOCIOS Y CLIENTES</t>
        </is>
      </c>
      <c r="P187" s="10" t="inlineStr">
        <is>
          <t>USO INTERNO(2)</t>
        </is>
      </c>
      <c r="Q187" s="10" t="inlineStr">
        <is>
          <t>MEDIA(2)</t>
        </is>
      </c>
      <c r="R187" s="10" t="inlineStr">
        <is>
          <t>MEDIA(2)</t>
        </is>
      </c>
      <c r="S187" s="10">
        <f>+(IF(P187="PUBLICA(1)",1,IF(P187="USO INTERNO(2)",2,IF(P187="RESTRINGIDO(3)",3,3))))+(IF(Q187="BAJA(1)",1,IF(Q187="MEDIA(2)",2,IF(Q187="ALTA(3)",3,3))))+(IF(R187="BAJA(1)",1,IF(R187="MEDIA(2)",2,IF(R187="ALTA(3)",3,3))))</f>
        <v/>
      </c>
      <c r="T187" s="10">
        <f>+IF(S187&lt;6,"BAJA",IF(S187&lt;8,"MEDIA","ALTA"))</f>
        <v/>
      </c>
      <c r="U187" s="10" t="inlineStr">
        <is>
          <t>-</t>
        </is>
      </c>
      <c r="V187" s="24" t="n">
        <v>45595</v>
      </c>
      <c r="W187" s="19" t="inlineStr">
        <is>
          <t>N/A</t>
        </is>
      </c>
      <c r="X187" s="10">
        <f>+IFERROR(IF(VLOOKUP(Tabla2[[#This Row],[ID]],'EVALUACION DE RIESGO'!A:A,1,FALSE)=Tabla2[[#This Row],[ID]],"SI","NO"),"NO")</f>
        <v/>
      </c>
      <c r="AD187">
        <f>IF(AND(Y187="",AA187=""),"",IF(OR(LEFT(AA187,2)="L0",LEFT(AA187,2)="L1",Y187="No Iniciado"),"CRÍTICO - Incumplimiento Normativo SEPS",IF(AND(OR(LEFT(AA187,2)="L4",LEFT(AA187,2)="L5"),AND(AC187&lt;&gt;"",AC187&lt;&gt;"N/A")),"CONFORME - Control Efectivo ISO 27001","OBSERVACIÓN - Revisar Controles")))</f>
        <v/>
      </c>
    </row>
    <row r="188">
      <c r="A188" s="99" t="inlineStr">
        <is>
          <t>7-GCA</t>
        </is>
      </c>
      <c r="B188" s="10" t="inlineStr">
        <is>
          <t>PRODUCTIVO</t>
        </is>
      </c>
      <c r="C188" s="10" t="inlineStr">
        <is>
          <t>Gestión de Captaciones</t>
        </is>
      </c>
      <c r="D188" s="10" t="inlineStr">
        <is>
          <t>GCA</t>
        </is>
      </c>
      <c r="E188" s="10" t="inlineStr">
        <is>
          <t>Depósitos a Plazo Fijo</t>
        </is>
      </c>
      <c r="F188" s="10" t="inlineStr">
        <is>
          <t>-</t>
        </is>
      </c>
      <c r="G188" s="10" t="inlineStr">
        <is>
          <t>Apertura de depósitos a plazo fijo a entidades financieras.</t>
        </is>
      </c>
      <c r="H188" s="10" t="inlineStr">
        <is>
          <t xml:space="preserve">Tabla de Tasas de Interés E / Documentos requeridos en la apertura de depósitos a plazo fijo </t>
        </is>
      </c>
      <c r="I188" s="10" t="inlineStr">
        <is>
          <t>Archivo digital de tasa tablero</t>
        </is>
      </c>
      <c r="J188" s="10" t="inlineStr">
        <is>
          <t xml:space="preserve">Jefe de Captaciones </t>
        </is>
      </c>
      <c r="K188" s="10" t="inlineStr">
        <is>
          <t xml:space="preserve">Jefe de Captaciones </t>
        </is>
      </c>
      <c r="L188" s="10" t="inlineStr">
        <is>
          <t>UBICACIÓN DIGITAL-EQUIPO DEL RESPONSABLE</t>
        </is>
      </c>
      <c r="M188" s="10" t="inlineStr">
        <is>
          <t>DISCOS DUROS, SERVIDORES, DISCOS O MEDIOS PORTÁTILES, CINTAS O MEDIOS DE VIDEO Y AUDIO, ETC.</t>
        </is>
      </c>
      <c r="N188" s="10" t="inlineStr">
        <is>
          <t>PRIMARIOS</t>
        </is>
      </c>
      <c r="O188" s="10" t="inlineStr">
        <is>
          <t>COMUNICACIÓN INTERNA</t>
        </is>
      </c>
      <c r="P188" s="10" t="inlineStr">
        <is>
          <t>PUBLICA(1)</t>
        </is>
      </c>
      <c r="Q188" s="10" t="inlineStr">
        <is>
          <t>MEDIA(2)</t>
        </is>
      </c>
      <c r="R188" s="10" t="inlineStr">
        <is>
          <t>BAJA(1)</t>
        </is>
      </c>
      <c r="S188" s="10">
        <f>+(IF(P188="PUBLICA(1)",1,IF(P188="USO INTERNO(2)",2,IF(P188="RESTRINGIDO(3)",3,3))))+(IF(Q188="BAJA(1)",1,IF(Q188="MEDIA(2)",2,IF(Q188="ALTA(3)",3,3))))+(IF(R188="BAJA(1)",1,IF(R188="MEDIA(2)",2,IF(R188="ALTA(3)",3,3))))</f>
        <v/>
      </c>
      <c r="T188" s="10">
        <f>+IF(S188&lt;6,"BAJA",IF(S188&lt;8,"MEDIA","ALTA"))</f>
        <v/>
      </c>
      <c r="U188" s="10" t="inlineStr">
        <is>
          <t>-</t>
        </is>
      </c>
      <c r="V188" s="24" t="n">
        <v>45595</v>
      </c>
      <c r="W188" s="19" t="inlineStr">
        <is>
          <t>N/A</t>
        </is>
      </c>
      <c r="X188" s="10">
        <f>+IFERROR(IF(VLOOKUP(Tabla2[[#This Row],[ID]],'EVALUACION DE RIESGO'!A:A,1,FALSE)=Tabla2[[#This Row],[ID]],"SI","NO"),"NO")</f>
        <v/>
      </c>
      <c r="AD188">
        <f>IF(AND(Y188="",AA188=""),"",IF(OR(LEFT(AA188,2)="L0",LEFT(AA188,2)="L1",Y188="No Iniciado"),"CRÍTICO - Incumplimiento Normativo SEPS",IF(AND(OR(LEFT(AA188,2)="L4",LEFT(AA188,2)="L5"),AND(AC188&lt;&gt;"",AC188&lt;&gt;"N/A")),"CONFORME - Control Efectivo ISO 27001","OBSERVACIÓN - Revisar Controles")))</f>
        <v/>
      </c>
    </row>
    <row r="189">
      <c r="A189" s="99" t="inlineStr">
        <is>
          <t>8-GCA</t>
        </is>
      </c>
      <c r="B189" s="10" t="inlineStr">
        <is>
          <t>PRODUCTIVO</t>
        </is>
      </c>
      <c r="C189" s="10" t="inlineStr">
        <is>
          <t>Gestión de Captaciones</t>
        </is>
      </c>
      <c r="D189" s="10" t="inlineStr">
        <is>
          <t>GCA</t>
        </is>
      </c>
      <c r="E189" s="10" t="inlineStr">
        <is>
          <t>Depósitos a Plazo Fijo</t>
        </is>
      </c>
      <c r="F189" s="10" t="inlineStr">
        <is>
          <t>-</t>
        </is>
      </c>
      <c r="G189" s="10" t="inlineStr">
        <is>
          <t>Depósitos a Plazo Fijo desmaterializados</t>
        </is>
      </c>
      <c r="H189" s="10" t="inlineStr">
        <is>
          <t>Pre-Liquidación de Venta</t>
        </is>
      </c>
      <c r="I189" s="10" t="inlineStr">
        <is>
          <t>Archivo del área de Preliquidación de Venta</t>
        </is>
      </c>
      <c r="J189" s="10" t="inlineStr">
        <is>
          <t xml:space="preserve">Jefe de Captaciones </t>
        </is>
      </c>
      <c r="K189" s="10" t="inlineStr">
        <is>
          <t xml:space="preserve">Jefe de Captaciones </t>
        </is>
      </c>
      <c r="L189" s="10" t="inlineStr">
        <is>
          <t>UBICACIÓN DIGITAL-EQUIPO DEL RESPONSABLE</t>
        </is>
      </c>
      <c r="M189" s="10" t="inlineStr">
        <is>
          <t>DISCOS DUROS, SERVIDORES, DISCOS O MEDIOS PORTÁTILES, CINTAS O MEDIOS DE VIDEO Y AUDIO, ETC.</t>
        </is>
      </c>
      <c r="N189" s="10" t="inlineStr">
        <is>
          <t>PRIMARIOS</t>
        </is>
      </c>
      <c r="O189" s="10" t="inlineStr">
        <is>
          <t>DOCUMENTOS HABILITANTES</t>
        </is>
      </c>
      <c r="P189" s="10" t="inlineStr">
        <is>
          <t>USO INTERNO(2)</t>
        </is>
      </c>
      <c r="Q189" s="10" t="inlineStr">
        <is>
          <t>MEDIA(2)</t>
        </is>
      </c>
      <c r="R189" s="10" t="inlineStr">
        <is>
          <t>MEDIA(2)</t>
        </is>
      </c>
      <c r="S189" s="10">
        <f>+(IF(P189="PUBLICA(1)",1,IF(P189="USO INTERNO(2)",2,IF(P189="RESTRINGIDO(3)",3,3))))+(IF(Q189="BAJA(1)",1,IF(Q189="MEDIA(2)",2,IF(Q189="ALTA(3)",3,3))))+(IF(R189="BAJA(1)",1,IF(R189="MEDIA(2)",2,IF(R189="ALTA(3)",3,3))))</f>
        <v/>
      </c>
      <c r="T189" s="10">
        <f>+IF(S189&lt;6,"BAJA",IF(S189&lt;8,"MEDIA","ALTA"))</f>
        <v/>
      </c>
      <c r="U189" s="10" t="inlineStr">
        <is>
          <t>-</t>
        </is>
      </c>
      <c r="V189" s="24" t="n">
        <v>45595</v>
      </c>
      <c r="W189" s="19" t="inlineStr">
        <is>
          <t>N/A</t>
        </is>
      </c>
      <c r="X189" s="10">
        <f>+IFERROR(IF(VLOOKUP(Tabla2[[#This Row],[ID]],'EVALUACION DE RIESGO'!A:A,1,FALSE)=Tabla2[[#This Row],[ID]],"SI","NO"),"NO")</f>
        <v/>
      </c>
      <c r="AD189">
        <f>IF(AND(Y189="",AA189=""),"",IF(OR(LEFT(AA189,2)="L0",LEFT(AA189,2)="L1",Y189="No Iniciado"),"CRÍTICO - Incumplimiento Normativo SEPS",IF(AND(OR(LEFT(AA189,2)="L4",LEFT(AA189,2)="L5"),AND(AC189&lt;&gt;"",AC189&lt;&gt;"N/A")),"CONFORME - Control Efectivo ISO 27001","OBSERVACIÓN - Revisar Controles")))</f>
        <v/>
      </c>
    </row>
    <row r="190">
      <c r="A190" s="99" t="inlineStr">
        <is>
          <t>9-GCA</t>
        </is>
      </c>
      <c r="B190" s="10" t="inlineStr">
        <is>
          <t>PRODUCTIVO</t>
        </is>
      </c>
      <c r="C190" s="10" t="inlineStr">
        <is>
          <t>Gestión de Captaciones</t>
        </is>
      </c>
      <c r="D190" s="10" t="inlineStr">
        <is>
          <t>GCA</t>
        </is>
      </c>
      <c r="E190" s="10" t="inlineStr">
        <is>
          <t>Depósitos a Plazo Fijo</t>
        </is>
      </c>
      <c r="F190" s="10" t="inlineStr">
        <is>
          <t>-</t>
        </is>
      </c>
      <c r="G190" s="10" t="inlineStr">
        <is>
          <t>Depósitos a Plazo Fijo desmaterializados</t>
        </is>
      </c>
      <c r="H190" s="10" t="inlineStr">
        <is>
          <t>Liquidación de Venta</t>
        </is>
      </c>
      <c r="I190" s="10" t="inlineStr">
        <is>
          <t>Archivo del área de Liquidación de venta</t>
        </is>
      </c>
      <c r="J190" s="10" t="inlineStr">
        <is>
          <t xml:space="preserve">Jefe de Captaciones </t>
        </is>
      </c>
      <c r="K190" s="10" t="inlineStr">
        <is>
          <t xml:space="preserve">Jefe de Captaciones </t>
        </is>
      </c>
      <c r="L190" s="10" t="inlineStr">
        <is>
          <t>UBICACIÓN DIGITAL-EQUIPO DEL RESPONSABLE</t>
        </is>
      </c>
      <c r="M190" s="10" t="inlineStr">
        <is>
          <t>DISCOS DUROS, SERVIDORES, DISCOS O MEDIOS PORTÁTILES, CINTAS O MEDIOS DE VIDEO Y AUDIO, ETC.</t>
        </is>
      </c>
      <c r="N190" s="10" t="inlineStr">
        <is>
          <t>PRIMARIOS</t>
        </is>
      </c>
      <c r="O190" s="10" t="inlineStr">
        <is>
          <t>DOCUMENTOS HABILITANTES</t>
        </is>
      </c>
      <c r="P190" s="10" t="inlineStr">
        <is>
          <t>USO INTERNO(2)</t>
        </is>
      </c>
      <c r="Q190" s="10" t="inlineStr">
        <is>
          <t>MEDIA(2)</t>
        </is>
      </c>
      <c r="R190" s="10" t="inlineStr">
        <is>
          <t>MEDIA(2)</t>
        </is>
      </c>
      <c r="S190" s="10">
        <f>+(IF(P190="PUBLICA(1)",1,IF(P190="USO INTERNO(2)",2,IF(P190="RESTRINGIDO(3)",3,3))))+(IF(Q190="BAJA(1)",1,IF(Q190="MEDIA(2)",2,IF(Q190="ALTA(3)",3,3))))+(IF(R190="BAJA(1)",1,IF(R190="MEDIA(2)",2,IF(R190="ALTA(3)",3,3))))</f>
        <v/>
      </c>
      <c r="T190" s="10">
        <f>+IF(S190&lt;6,"BAJA",IF(S190&lt;8,"MEDIA","ALTA"))</f>
        <v/>
      </c>
      <c r="U190" s="10" t="inlineStr">
        <is>
          <t>-</t>
        </is>
      </c>
      <c r="V190" s="24" t="n">
        <v>45595</v>
      </c>
      <c r="W190" s="19" t="inlineStr">
        <is>
          <t>N/A</t>
        </is>
      </c>
      <c r="X190" s="10">
        <f>+IFERROR(IF(VLOOKUP(Tabla2[[#This Row],[ID]],'EVALUACION DE RIESGO'!A:A,1,FALSE)=Tabla2[[#This Row],[ID]],"SI","NO"),"NO")</f>
        <v/>
      </c>
      <c r="AD190">
        <f>IF(AND(Y190="",AA190=""),"",IF(OR(LEFT(AA190,2)="L0",LEFT(AA190,2)="L1",Y190="No Iniciado"),"CRÍTICO - Incumplimiento Normativo SEPS",IF(AND(OR(LEFT(AA190,2)="L4",LEFT(AA190,2)="L5"),AND(AC190&lt;&gt;"",AC190&lt;&gt;"N/A")),"CONFORME - Control Efectivo ISO 27001","OBSERVACIÓN - Revisar Controles")))</f>
        <v/>
      </c>
    </row>
    <row r="191">
      <c r="A191" s="99" t="inlineStr">
        <is>
          <t>10-GCA</t>
        </is>
      </c>
      <c r="B191" s="10" t="inlineStr">
        <is>
          <t>PRODUCTIVO</t>
        </is>
      </c>
      <c r="C191" s="10" t="inlineStr">
        <is>
          <t>Gestión de Captaciones</t>
        </is>
      </c>
      <c r="D191" s="10" t="inlineStr">
        <is>
          <t>GCA</t>
        </is>
      </c>
      <c r="E191" s="10" t="inlineStr">
        <is>
          <t>Depósitos a Plazo Fijo</t>
        </is>
      </c>
      <c r="F191" s="10" t="inlineStr">
        <is>
          <t>-</t>
        </is>
      </c>
      <c r="G191" s="10" t="inlineStr">
        <is>
          <t>Depósitos a Plazo Fijo desmaterializados</t>
        </is>
      </c>
      <c r="H191" s="10" t="inlineStr">
        <is>
          <t>Certificado de depósito a plazo fijo materializado</t>
        </is>
      </c>
      <c r="I191" s="10" t="inlineStr">
        <is>
          <t>Renovación de depósitos a plazo fijo Cancelación anticipada de depósitos</t>
        </is>
      </c>
      <c r="J191" s="10" t="inlineStr">
        <is>
          <t xml:space="preserve">Jefe de Captaciones </t>
        </is>
      </c>
      <c r="K191" s="10" t="inlineStr">
        <is>
          <t xml:space="preserve">Jefe de Captaciones </t>
        </is>
      </c>
      <c r="L191" s="10" t="inlineStr">
        <is>
          <t>DOCUMENTOS FISICOS-ARCHIVOS DE LA OFICINA</t>
        </is>
      </c>
      <c r="M191" s="10" t="inlineStr">
        <is>
          <t>DOCUMENTO DE ARCHIVO-FÍSICO</t>
        </is>
      </c>
      <c r="N191" s="10" t="inlineStr">
        <is>
          <t>PRIMARIOS</t>
        </is>
      </c>
      <c r="O191" s="10" t="inlineStr">
        <is>
          <t>DOCUMENTOS HABILITANTES</t>
        </is>
      </c>
      <c r="P191" s="10" t="inlineStr">
        <is>
          <t>USO INTERNO(2)</t>
        </is>
      </c>
      <c r="Q191" s="10" t="inlineStr">
        <is>
          <t>MEDIA(2)</t>
        </is>
      </c>
      <c r="R191" s="10" t="inlineStr">
        <is>
          <t>ALTA(3)</t>
        </is>
      </c>
      <c r="S191" s="10">
        <f>+(IF(P191="PUBLICA(1)",1,IF(P191="USO INTERNO(2)",2,IF(P191="RESTRINGIDO(3)",3,3))))+(IF(Q191="BAJA(1)",1,IF(Q191="MEDIA(2)",2,IF(Q191="ALTA(3)",3,3))))+(IF(R191="BAJA(1)",1,IF(R191="MEDIA(2)",2,IF(R191="ALTA(3)",3,3))))</f>
        <v/>
      </c>
      <c r="T191" s="10">
        <f>+IF(S191&lt;6,"BAJA",IF(S191&lt;8,"MEDIA","ALTA"))</f>
        <v/>
      </c>
      <c r="U191" s="10" t="inlineStr">
        <is>
          <t>-</t>
        </is>
      </c>
      <c r="V191" s="24" t="n">
        <v>45595</v>
      </c>
      <c r="W191" s="19" t="inlineStr">
        <is>
          <t>N/A</t>
        </is>
      </c>
      <c r="X191" s="10">
        <f>+IFERROR(IF(VLOOKUP(Tabla2[[#This Row],[ID]],'EVALUACION DE RIESGO'!A:A,1,FALSE)=Tabla2[[#This Row],[ID]],"SI","NO"),"NO")</f>
        <v/>
      </c>
      <c r="AD191">
        <f>IF(AND(Y191="",AA191=""),"",IF(OR(LEFT(AA191,2)="L0",LEFT(AA191,2)="L1",Y191="No Iniciado"),"CRÍTICO - Incumplimiento Normativo SEPS",IF(AND(OR(LEFT(AA191,2)="L4",LEFT(AA191,2)="L5"),AND(AC191&lt;&gt;"",AC191&lt;&gt;"N/A")),"CONFORME - Control Efectivo ISO 27001","OBSERVACIÓN - Revisar Controles")))</f>
        <v/>
      </c>
    </row>
    <row r="192">
      <c r="A192" s="99" t="inlineStr">
        <is>
          <t>11-GCA</t>
        </is>
      </c>
      <c r="B192" s="10" t="inlineStr">
        <is>
          <t>PRODUCTIVO</t>
        </is>
      </c>
      <c r="C192" s="10" t="inlineStr">
        <is>
          <t>Gestión de Captaciones</t>
        </is>
      </c>
      <c r="D192" s="10" t="inlineStr">
        <is>
          <t>GCA</t>
        </is>
      </c>
      <c r="E192" s="10" t="inlineStr">
        <is>
          <t>Depósitos a Plazo Fijo</t>
        </is>
      </c>
      <c r="F192" s="10" t="inlineStr">
        <is>
          <t>-</t>
        </is>
      </c>
      <c r="G192" s="10" t="inlineStr">
        <is>
          <t>Depósitos a Plazo Fijo desmaterializados</t>
        </is>
      </c>
      <c r="H192" s="10" t="inlineStr">
        <is>
          <t>Certificado de información</t>
        </is>
      </c>
      <c r="I192" s="10" t="inlineStr">
        <is>
          <t>Certificado de información que se realiza cuando se actualizan los datos del socio</t>
        </is>
      </c>
      <c r="J192" s="10" t="inlineStr">
        <is>
          <t xml:space="preserve">Jefe de Captaciones </t>
        </is>
      </c>
      <c r="K192" s="10" t="inlineStr">
        <is>
          <t xml:space="preserve">Jefe de Captaciones </t>
        </is>
      </c>
      <c r="L192" s="10" t="inlineStr">
        <is>
          <t>DOCUMENTOS FISICOS-ARCHIVOS DE LA OFICINA</t>
        </is>
      </c>
      <c r="M192" s="10" t="inlineStr">
        <is>
          <t>DOCUMENTO DE ARCHIVO-FÍSICO</t>
        </is>
      </c>
      <c r="N192" s="10" t="inlineStr">
        <is>
          <t>PRIMARIOS</t>
        </is>
      </c>
      <c r="O192" s="10" t="inlineStr">
        <is>
          <t>DOCUMENTOS HABILITANTES</t>
        </is>
      </c>
      <c r="P192" s="10" t="inlineStr">
        <is>
          <t>USO INTERNO(2)</t>
        </is>
      </c>
      <c r="Q192" s="10" t="inlineStr">
        <is>
          <t>MEDIA(2)</t>
        </is>
      </c>
      <c r="R192" s="10" t="inlineStr">
        <is>
          <t>MEDIA(2)</t>
        </is>
      </c>
      <c r="S192" s="10">
        <f>+(IF(P192="PUBLICA(1)",1,IF(P192="USO INTERNO(2)",2,IF(P192="RESTRINGIDO(3)",3,3))))+(IF(Q192="BAJA(1)",1,IF(Q192="MEDIA(2)",2,IF(Q192="ALTA(3)",3,3))))+(IF(R192="BAJA(1)",1,IF(R192="MEDIA(2)",2,IF(R192="ALTA(3)",3,3))))</f>
        <v/>
      </c>
      <c r="T192" s="10">
        <f>+IF(S192&lt;6,"BAJA",IF(S192&lt;8,"MEDIA","ALTA"))</f>
        <v/>
      </c>
      <c r="U192" s="10" t="inlineStr">
        <is>
          <t>-</t>
        </is>
      </c>
      <c r="V192" s="24" t="n">
        <v>45595</v>
      </c>
      <c r="W192" s="19" t="inlineStr">
        <is>
          <t>N/A</t>
        </is>
      </c>
      <c r="X192" s="10">
        <f>+IFERROR(IF(VLOOKUP(Tabla2[[#This Row],[ID]],'EVALUACION DE RIESGO'!A:A,1,FALSE)=Tabla2[[#This Row],[ID]],"SI","NO"),"NO")</f>
        <v/>
      </c>
      <c r="AD192">
        <f>IF(AND(Y192="",AA192=""),"",IF(OR(LEFT(AA192,2)="L0",LEFT(AA192,2)="L1",Y192="No Iniciado"),"CRÍTICO - Incumplimiento Normativo SEPS",IF(AND(OR(LEFT(AA192,2)="L4",LEFT(AA192,2)="L5"),AND(AC192&lt;&gt;"",AC192&lt;&gt;"N/A")),"CONFORME - Control Efectivo ISO 27001","OBSERVACIÓN - Revisar Controles")))</f>
        <v/>
      </c>
    </row>
    <row r="193">
      <c r="A193" s="99" t="inlineStr">
        <is>
          <t>12-GCA</t>
        </is>
      </c>
      <c r="B193" s="10" t="inlineStr">
        <is>
          <t>PRODUCTIVO</t>
        </is>
      </c>
      <c r="C193" s="10" t="inlineStr">
        <is>
          <t>Gestión de Captaciones</t>
        </is>
      </c>
      <c r="D193" s="10" t="inlineStr">
        <is>
          <t>GCA</t>
        </is>
      </c>
      <c r="E193" s="10" t="inlineStr">
        <is>
          <t>Depósitos a Plazo Fijo</t>
        </is>
      </c>
      <c r="F193" s="10" t="inlineStr">
        <is>
          <t>-</t>
        </is>
      </c>
      <c r="G193" s="10" t="inlineStr">
        <is>
          <t>Depósitos a Plazo Fijo desmaterializados</t>
        </is>
      </c>
      <c r="H193" s="10" t="inlineStr">
        <is>
          <t>Formulario Registros de Negociaciones</t>
        </is>
      </c>
      <c r="I193" s="10" t="inlineStr">
        <is>
          <t>Archivo del área Formulario Registros de Negociaciones</t>
        </is>
      </c>
      <c r="J193" s="10" t="inlineStr">
        <is>
          <t xml:space="preserve">Jefe de Captaciones </t>
        </is>
      </c>
      <c r="K193" s="10" t="inlineStr">
        <is>
          <t xml:space="preserve">Jefe de Captaciones </t>
        </is>
      </c>
      <c r="L193" s="10" t="inlineStr">
        <is>
          <t>UBICACIÓN DIGITAL-EQUIPO DEL RESPONSABLE</t>
        </is>
      </c>
      <c r="M193" s="10" t="inlineStr">
        <is>
          <t>DISCOS DUROS, SERVIDORES, DISCOS O MEDIOS PORTÁTILES, CINTAS O MEDIOS DE VIDEO Y AUDIO, ETC.</t>
        </is>
      </c>
      <c r="N193" s="10" t="inlineStr">
        <is>
          <t>PRIMARIOS</t>
        </is>
      </c>
      <c r="O193" s="10" t="inlineStr">
        <is>
          <t>DOCUMENTOS HABILITANTES</t>
        </is>
      </c>
      <c r="P193" s="10" t="inlineStr">
        <is>
          <t>USO INTERNO(2)</t>
        </is>
      </c>
      <c r="Q193" s="10" t="inlineStr">
        <is>
          <t>MEDIA(2)</t>
        </is>
      </c>
      <c r="R193" s="10" t="inlineStr">
        <is>
          <t>BAJA(1)</t>
        </is>
      </c>
      <c r="S193" s="10">
        <f>+(IF(P193="PUBLICA(1)",1,IF(P193="USO INTERNO(2)",2,IF(P193="RESTRINGIDO(3)",3,3))))+(IF(Q193="BAJA(1)",1,IF(Q193="MEDIA(2)",2,IF(Q193="ALTA(3)",3,3))))+(IF(R193="BAJA(1)",1,IF(R193="MEDIA(2)",2,IF(R193="ALTA(3)",3,3))))</f>
        <v/>
      </c>
      <c r="T193" s="10">
        <f>+IF(S193&lt;6,"BAJA",IF(S193&lt;8,"MEDIA","ALTA"))</f>
        <v/>
      </c>
      <c r="U193" s="10" t="inlineStr">
        <is>
          <t>-</t>
        </is>
      </c>
      <c r="V193" s="24" t="n">
        <v>45595</v>
      </c>
      <c r="W193" s="19" t="inlineStr">
        <is>
          <t>N/A</t>
        </is>
      </c>
      <c r="X193" s="10">
        <f>+IFERROR(IF(VLOOKUP(Tabla2[[#This Row],[ID]],'EVALUACION DE RIESGO'!A:A,1,FALSE)=Tabla2[[#This Row],[ID]],"SI","NO"),"NO")</f>
        <v/>
      </c>
      <c r="AD193">
        <f>IF(AND(Y193="",AA193=""),"",IF(OR(LEFT(AA193,2)="L0",LEFT(AA193,2)="L1",Y193="No Iniciado"),"CRÍTICO - Incumplimiento Normativo SEPS",IF(AND(OR(LEFT(AA193,2)="L4",LEFT(AA193,2)="L5"),AND(AC193&lt;&gt;"",AC193&lt;&gt;"N/A")),"CONFORME - Control Efectivo ISO 27001","OBSERVACIÓN - Revisar Controles")))</f>
        <v/>
      </c>
    </row>
    <row r="194">
      <c r="A194" s="99" t="inlineStr">
        <is>
          <t>13-GCA</t>
        </is>
      </c>
      <c r="B194" s="10" t="inlineStr">
        <is>
          <t>PRODUCTIVO</t>
        </is>
      </c>
      <c r="C194" s="10" t="inlineStr">
        <is>
          <t>Gestión de Captaciones</t>
        </is>
      </c>
      <c r="D194" s="10" t="inlineStr">
        <is>
          <t>GCA</t>
        </is>
      </c>
      <c r="E194" s="10" t="inlineStr">
        <is>
          <t>Depósitos a Plazo Fijo</t>
        </is>
      </c>
      <c r="F194" s="10" t="inlineStr">
        <is>
          <t>-</t>
        </is>
      </c>
      <c r="G194" s="10" t="inlineStr">
        <is>
          <t>Renovación de depósitos a plazo fijo</t>
        </is>
      </c>
      <c r="H194" s="10" t="inlineStr">
        <is>
          <t>Orden de pago</t>
        </is>
      </c>
      <c r="I194" s="10" t="inlineStr">
        <is>
          <t>Recibido de cancelación normal de depósito a plazo fijo</t>
        </is>
      </c>
      <c r="J194" s="10" t="inlineStr">
        <is>
          <t xml:space="preserve">Jefe de Captaciones </t>
        </is>
      </c>
      <c r="K194" s="10" t="inlineStr">
        <is>
          <t>Asesor de Captaciones</t>
        </is>
      </c>
      <c r="L194" s="10" t="inlineStr">
        <is>
          <t>DOCUMENTOS FISICOS-ARCHIVOS DE LA OFICINA</t>
        </is>
      </c>
      <c r="M194" s="10" t="inlineStr">
        <is>
          <t>DOCUMENTO DE ARCHIVO-FÍSICO</t>
        </is>
      </c>
      <c r="N194" s="10" t="inlineStr">
        <is>
          <t>PRIMARIOS</t>
        </is>
      </c>
      <c r="O194" s="10" t="inlineStr">
        <is>
          <t>DOCUMENTOS HABILITANTES</t>
        </is>
      </c>
      <c r="P194" s="10" t="inlineStr">
        <is>
          <t>USO INTERNO(2)</t>
        </is>
      </c>
      <c r="Q194" s="10" t="inlineStr">
        <is>
          <t>MEDIA(2)</t>
        </is>
      </c>
      <c r="R194" s="10" t="inlineStr">
        <is>
          <t>MEDIA(2)</t>
        </is>
      </c>
      <c r="S194" s="10">
        <f>+(IF(P194="PUBLICA(1)",1,IF(P194="USO INTERNO(2)",2,IF(P194="RESTRINGIDO(3)",3,3))))+(IF(Q194="BAJA(1)",1,IF(Q194="MEDIA(2)",2,IF(Q194="ALTA(3)",3,3))))+(IF(R194="BAJA(1)",1,IF(R194="MEDIA(2)",2,IF(R194="ALTA(3)",3,3))))</f>
        <v/>
      </c>
      <c r="T194" s="10">
        <f>+IF(S194&lt;6,"BAJA",IF(S194&lt;8,"MEDIA","ALTA"))</f>
        <v/>
      </c>
      <c r="U194" s="10" t="inlineStr">
        <is>
          <t>-</t>
        </is>
      </c>
      <c r="V194" s="24" t="n">
        <v>45595</v>
      </c>
      <c r="W194" s="19" t="inlineStr">
        <is>
          <t>N/A</t>
        </is>
      </c>
      <c r="X194" s="10">
        <f>+IFERROR(IF(VLOOKUP(Tabla2[[#This Row],[ID]],'EVALUACION DE RIESGO'!A:A,1,FALSE)=Tabla2[[#This Row],[ID]],"SI","NO"),"NO")</f>
        <v/>
      </c>
      <c r="AD194">
        <f>IF(AND(Y194="",AA194=""),"",IF(OR(LEFT(AA194,2)="L0",LEFT(AA194,2)="L1",Y194="No Iniciado"),"CRÍTICO - Incumplimiento Normativo SEPS",IF(AND(OR(LEFT(AA194,2)="L4",LEFT(AA194,2)="L5"),AND(AC194&lt;&gt;"",AC194&lt;&gt;"N/A")),"CONFORME - Control Efectivo ISO 27001","OBSERVACIÓN - Revisar Controles")))</f>
        <v/>
      </c>
    </row>
    <row r="195">
      <c r="A195" s="99" t="inlineStr">
        <is>
          <t>14-GCA</t>
        </is>
      </c>
      <c r="B195" s="10" t="inlineStr">
        <is>
          <t>PRODUCTIVO</t>
        </is>
      </c>
      <c r="C195" s="10" t="inlineStr">
        <is>
          <t>Gestión de Captaciones</t>
        </is>
      </c>
      <c r="D195" s="10" t="inlineStr">
        <is>
          <t>GCA</t>
        </is>
      </c>
      <c r="E195" s="10" t="inlineStr">
        <is>
          <t>Depósitos a Plazo Fijo</t>
        </is>
      </c>
      <c r="F195" s="10" t="inlineStr">
        <is>
          <t>-</t>
        </is>
      </c>
      <c r="G195" s="10" t="inlineStr">
        <is>
          <t>Renovación de depósitos a plazo fijo</t>
        </is>
      </c>
      <c r="H195" s="10" t="inlineStr">
        <is>
          <t>Certificado de depósito a plazo fijo</t>
        </is>
      </c>
      <c r="I195" s="10" t="inlineStr">
        <is>
          <t>Certificado que se imprime para el clienta y otra idéntica que mantiene el asesor</t>
        </is>
      </c>
      <c r="J195" s="10" t="inlineStr">
        <is>
          <t xml:space="preserve">Jefe de Captaciones </t>
        </is>
      </c>
      <c r="K195" s="10" t="inlineStr">
        <is>
          <t>Supervisor Operativo el vigente y el Asesor de Captaciones las vencidas</t>
        </is>
      </c>
      <c r="L195" s="10" t="inlineStr">
        <is>
          <t>DOCUMENTOS FISICOS-ARCHIVOS DE LA OFICINA</t>
        </is>
      </c>
      <c r="M195" s="10" t="inlineStr">
        <is>
          <t>DOCUMENTO DE ARCHIVO-FÍSICO</t>
        </is>
      </c>
      <c r="N195" s="10" t="inlineStr">
        <is>
          <t>PRIMARIOS</t>
        </is>
      </c>
      <c r="O195" s="10" t="inlineStr">
        <is>
          <t>DOCUMENTOS HABILITANTES</t>
        </is>
      </c>
      <c r="P195" s="10" t="inlineStr">
        <is>
          <t>USO INTERNO(2)</t>
        </is>
      </c>
      <c r="Q195" s="10" t="inlineStr">
        <is>
          <t>MEDIA(2)</t>
        </is>
      </c>
      <c r="R195" s="10" t="inlineStr">
        <is>
          <t>ALTA(3)</t>
        </is>
      </c>
      <c r="S195" s="10">
        <f>+(IF(P195="PUBLICA(1)",1,IF(P195="USO INTERNO(2)",2,IF(P195="RESTRINGIDO(3)",3,3))))+(IF(Q195="BAJA(1)",1,IF(Q195="MEDIA(2)",2,IF(Q195="ALTA(3)",3,3))))+(IF(R195="BAJA(1)",1,IF(R195="MEDIA(2)",2,IF(R195="ALTA(3)",3,3))))</f>
        <v/>
      </c>
      <c r="T195" s="10">
        <f>+IF(S195&lt;6,"BAJA",IF(S195&lt;8,"MEDIA","ALTA"))</f>
        <v/>
      </c>
      <c r="U195" s="10" t="inlineStr">
        <is>
          <t>-</t>
        </is>
      </c>
      <c r="V195" s="24" t="n">
        <v>45595</v>
      </c>
      <c r="W195" s="19" t="inlineStr">
        <is>
          <t>N/A</t>
        </is>
      </c>
      <c r="X195" s="10">
        <f>+IFERROR(IF(VLOOKUP(Tabla2[[#This Row],[ID]],'EVALUACION DE RIESGO'!A:A,1,FALSE)=Tabla2[[#This Row],[ID]],"SI","NO"),"NO")</f>
        <v/>
      </c>
      <c r="AD195">
        <f>IF(AND(Y195="",AA195=""),"",IF(OR(LEFT(AA195,2)="L0",LEFT(AA195,2)="L1",Y195="No Iniciado"),"CRÍTICO - Incumplimiento Normativo SEPS",IF(AND(OR(LEFT(AA195,2)="L4",LEFT(AA195,2)="L5"),AND(AC195&lt;&gt;"",AC195&lt;&gt;"N/A")),"CONFORME - Control Efectivo ISO 27001","OBSERVACIÓN - Revisar Controles")))</f>
        <v/>
      </c>
    </row>
    <row r="196">
      <c r="A196" s="99" t="inlineStr">
        <is>
          <t>15-GCA</t>
        </is>
      </c>
      <c r="B196" s="10" t="inlineStr">
        <is>
          <t>PRODUCTIVO</t>
        </is>
      </c>
      <c r="C196" s="10" t="inlineStr">
        <is>
          <t>Gestión de Captaciones</t>
        </is>
      </c>
      <c r="D196" s="10" t="inlineStr">
        <is>
          <t>GCA</t>
        </is>
      </c>
      <c r="E196" s="10" t="inlineStr">
        <is>
          <t>Depósitos a Plazo Fijo</t>
        </is>
      </c>
      <c r="F196" s="10" t="inlineStr">
        <is>
          <t>-</t>
        </is>
      </c>
      <c r="G196" s="10" t="inlineStr">
        <is>
          <t>Renovación de depósitos a plazo fijo</t>
        </is>
      </c>
      <c r="H196" s="10" t="inlineStr">
        <is>
          <t xml:space="preserve">Certificación de información. </t>
        </is>
      </c>
      <c r="I196" s="10" t="inlineStr">
        <is>
          <t>Certificado de información que se realiza cuando se actualizan los datos del socio</t>
        </is>
      </c>
      <c r="J196" s="10" t="inlineStr">
        <is>
          <t xml:space="preserve">Jefe de Captaciones </t>
        </is>
      </c>
      <c r="K196" s="10" t="inlineStr">
        <is>
          <t>Supervisor Operativo el vigente y el Asesor de Captaciones las vencidas</t>
        </is>
      </c>
      <c r="L196" s="10" t="inlineStr">
        <is>
          <t>DOCUMENTOS FISICOS-ARCHIVOS DE LA OFICINA</t>
        </is>
      </c>
      <c r="M196" s="10" t="inlineStr">
        <is>
          <t>DOCUMENTO DE ARCHIVO-FÍSICO</t>
        </is>
      </c>
      <c r="N196" s="10" t="inlineStr">
        <is>
          <t>PRIMARIOS</t>
        </is>
      </c>
      <c r="O196" s="10" t="inlineStr">
        <is>
          <t>DOCUMENTOS HABILITANTES</t>
        </is>
      </c>
      <c r="P196" s="10" t="inlineStr">
        <is>
          <t>USO INTERNO(2)</t>
        </is>
      </c>
      <c r="Q196" s="10" t="inlineStr">
        <is>
          <t>MEDIA(2)</t>
        </is>
      </c>
      <c r="R196" s="10" t="inlineStr">
        <is>
          <t>MEDIA(2)</t>
        </is>
      </c>
      <c r="S196" s="10">
        <f>+(IF(P196="PUBLICA(1)",1,IF(P196="USO INTERNO(2)",2,IF(P196="RESTRINGIDO(3)",3,3))))+(IF(Q196="BAJA(1)",1,IF(Q196="MEDIA(2)",2,IF(Q196="ALTA(3)",3,3))))+(IF(R196="BAJA(1)",1,IF(R196="MEDIA(2)",2,IF(R196="ALTA(3)",3,3))))</f>
        <v/>
      </c>
      <c r="T196" s="10">
        <f>+IF(S196&lt;6,"BAJA",IF(S196&lt;8,"MEDIA","ALTA"))</f>
        <v/>
      </c>
      <c r="U196" s="10" t="inlineStr">
        <is>
          <t>-</t>
        </is>
      </c>
      <c r="V196" s="24" t="n">
        <v>45595</v>
      </c>
      <c r="W196" s="19" t="inlineStr">
        <is>
          <t>N/A</t>
        </is>
      </c>
      <c r="X196" s="10">
        <f>+IFERROR(IF(VLOOKUP(Tabla2[[#This Row],[ID]],'EVALUACION DE RIESGO'!A:A,1,FALSE)=Tabla2[[#This Row],[ID]],"SI","NO"),"NO")</f>
        <v/>
      </c>
      <c r="AD196">
        <f>IF(AND(Y196="",AA196=""),"",IF(OR(LEFT(AA196,2)="L0",LEFT(AA196,2)="L1",Y196="No Iniciado"),"CRÍTICO - Incumplimiento Normativo SEPS",IF(AND(OR(LEFT(AA196,2)="L4",LEFT(AA196,2)="L5"),AND(AC196&lt;&gt;"",AC196&lt;&gt;"N/A")),"CONFORME - Control Efectivo ISO 27001","OBSERVACIÓN - Revisar Controles")))</f>
        <v/>
      </c>
    </row>
    <row r="197">
      <c r="A197" s="99" t="inlineStr">
        <is>
          <t>16-GCA</t>
        </is>
      </c>
      <c r="B197" s="10" t="inlineStr">
        <is>
          <t>PRODUCTIVO</t>
        </is>
      </c>
      <c r="C197" s="10" t="inlineStr">
        <is>
          <t>Gestión de Captaciones</t>
        </is>
      </c>
      <c r="D197" s="10" t="inlineStr">
        <is>
          <t>GCA</t>
        </is>
      </c>
      <c r="E197" s="10" t="inlineStr">
        <is>
          <t>Depósitos a Plazo Fijo</t>
        </is>
      </c>
      <c r="F197" s="10" t="inlineStr">
        <is>
          <t>-</t>
        </is>
      </c>
      <c r="G197" s="10" t="inlineStr">
        <is>
          <t>Renovación de depósitos a plazo fijo</t>
        </is>
      </c>
      <c r="H197" s="10" t="inlineStr">
        <is>
          <t>File digital.</t>
        </is>
      </c>
      <c r="I197" s="10" t="inlineStr">
        <is>
          <t>Documentación que se escanea y se sube al Core financiero</t>
        </is>
      </c>
      <c r="J197" s="10" t="inlineStr">
        <is>
          <t xml:space="preserve">Jefe de Captaciones </t>
        </is>
      </c>
      <c r="K197" s="10" t="inlineStr">
        <is>
          <t xml:space="preserve">Jefe de Captaciones </t>
        </is>
      </c>
      <c r="L197" s="10" t="inlineStr">
        <is>
          <t>UBICACIÓN DIGITAL-CORE FINANCIERO</t>
        </is>
      </c>
      <c r="M197" s="10" t="inlineStr">
        <is>
          <t>SISTEMA DE ADMINISTRACIÓN DE DOCUMENTOS</t>
        </is>
      </c>
      <c r="N197" s="10" t="inlineStr">
        <is>
          <t>PRIMARIOS</t>
        </is>
      </c>
      <c r="O197" s="10" t="inlineStr">
        <is>
          <t>INFORMACIÓN DE SOCIOS Y CLIENTES</t>
        </is>
      </c>
      <c r="P197" s="10" t="inlineStr">
        <is>
          <t>USO INTERNO(2)</t>
        </is>
      </c>
      <c r="Q197" s="10" t="inlineStr">
        <is>
          <t>MEDIA(2)</t>
        </is>
      </c>
      <c r="R197" s="10" t="inlineStr">
        <is>
          <t>MEDIA(2)</t>
        </is>
      </c>
      <c r="S197" s="10">
        <f>+(IF(P197="PUBLICA(1)",1,IF(P197="USO INTERNO(2)",2,IF(P197="RESTRINGIDO(3)",3,3))))+(IF(Q197="BAJA(1)",1,IF(Q197="MEDIA(2)",2,IF(Q197="ALTA(3)",3,3))))+(IF(R197="BAJA(1)",1,IF(R197="MEDIA(2)",2,IF(R197="ALTA(3)",3,3))))</f>
        <v/>
      </c>
      <c r="T197" s="10">
        <f>+IF(S197&lt;6,"BAJA",IF(S197&lt;8,"MEDIA","ALTA"))</f>
        <v/>
      </c>
      <c r="U197" s="10" t="inlineStr">
        <is>
          <t>-</t>
        </is>
      </c>
      <c r="V197" s="24" t="n">
        <v>45595</v>
      </c>
      <c r="W197" s="19" t="inlineStr">
        <is>
          <t>N/A</t>
        </is>
      </c>
      <c r="X197" s="10">
        <f>+IFERROR(IF(VLOOKUP(Tabla2[[#This Row],[ID]],'EVALUACION DE RIESGO'!A:A,1,FALSE)=Tabla2[[#This Row],[ID]],"SI","NO"),"NO")</f>
        <v/>
      </c>
      <c r="AD197">
        <f>IF(AND(Y197="",AA197=""),"",IF(OR(LEFT(AA197,2)="L0",LEFT(AA197,2)="L1",Y197="No Iniciado"),"CRÍTICO - Incumplimiento Normativo SEPS",IF(AND(OR(LEFT(AA197,2)="L4",LEFT(AA197,2)="L5"),AND(AC197&lt;&gt;"",AC197&lt;&gt;"N/A")),"CONFORME - Control Efectivo ISO 27001","OBSERVACIÓN - Revisar Controles")))</f>
        <v/>
      </c>
    </row>
    <row r="198">
      <c r="A198" s="99" t="inlineStr">
        <is>
          <t>17-GCA</t>
        </is>
      </c>
      <c r="B198" s="10" t="inlineStr">
        <is>
          <t>PRODUCTIVO</t>
        </is>
      </c>
      <c r="C198" s="10" t="inlineStr">
        <is>
          <t>Gestión de Captaciones</t>
        </is>
      </c>
      <c r="D198" s="10" t="inlineStr">
        <is>
          <t>GCA</t>
        </is>
      </c>
      <c r="E198" s="10" t="inlineStr">
        <is>
          <t>Depósitos a Plazo Fijo</t>
        </is>
      </c>
      <c r="F198" s="10" t="inlineStr">
        <is>
          <t>-</t>
        </is>
      </c>
      <c r="G198" s="10" t="inlineStr">
        <is>
          <t>Cancelación anticipada de depósitos a plazo fijo</t>
        </is>
      </c>
      <c r="H198" s="10" t="inlineStr">
        <is>
          <t>Solicitud de cancelación anticipada</t>
        </is>
      </c>
      <c r="I198" s="10" t="inlineStr">
        <is>
          <t>Solicitud que el socio realiza para realizar la operación</t>
        </is>
      </c>
      <c r="J198" s="10" t="inlineStr">
        <is>
          <t xml:space="preserve">Jefe de Captaciones </t>
        </is>
      </c>
      <c r="K198" s="10" t="inlineStr">
        <is>
          <t>Asesor de Captaciones</t>
        </is>
      </c>
      <c r="L198" s="10" t="inlineStr">
        <is>
          <t>DOCUMENTOS FISICOS-ARCHIVOS DE LA OFICINA</t>
        </is>
      </c>
      <c r="M198" s="10" t="inlineStr">
        <is>
          <t>DOCUMENTO DE ARCHIVO-FÍSICO</t>
        </is>
      </c>
      <c r="N198" s="10" t="inlineStr">
        <is>
          <t>PRIMARIOS</t>
        </is>
      </c>
      <c r="O198" s="10" t="inlineStr">
        <is>
          <t>DOCUMENTOS HABILITANTES</t>
        </is>
      </c>
      <c r="P198" s="10" t="inlineStr">
        <is>
          <t>USO INTERNO(2)</t>
        </is>
      </c>
      <c r="Q198" s="10" t="inlineStr">
        <is>
          <t>MEDIA(2)</t>
        </is>
      </c>
      <c r="R198" s="10" t="inlineStr">
        <is>
          <t>MEDIA(2)</t>
        </is>
      </c>
      <c r="S198" s="10">
        <f>+(IF(P198="PUBLICA(1)",1,IF(P198="USO INTERNO(2)",2,IF(P198="RESTRINGIDO(3)",3,3))))+(IF(Q198="BAJA(1)",1,IF(Q198="MEDIA(2)",2,IF(Q198="ALTA(3)",3,3))))+(IF(R198="BAJA(1)",1,IF(R198="MEDIA(2)",2,IF(R198="ALTA(3)",3,3))))</f>
        <v/>
      </c>
      <c r="T198" s="10">
        <f>+IF(S198&lt;6,"BAJA",IF(S198&lt;8,"MEDIA","ALTA"))</f>
        <v/>
      </c>
      <c r="U198" s="10" t="inlineStr">
        <is>
          <t>-</t>
        </is>
      </c>
      <c r="V198" s="24" t="n">
        <v>45595</v>
      </c>
      <c r="W198" s="19" t="inlineStr">
        <is>
          <t>N/A</t>
        </is>
      </c>
      <c r="X198" s="10">
        <f>+IFERROR(IF(VLOOKUP(Tabla2[[#This Row],[ID]],'EVALUACION DE RIESGO'!A:A,1,FALSE)=Tabla2[[#This Row],[ID]],"SI","NO"),"NO")</f>
        <v/>
      </c>
      <c r="AD198">
        <f>IF(AND(Y198="",AA198=""),"",IF(OR(LEFT(AA198,2)="L0",LEFT(AA198,2)="L1",Y198="No Iniciado"),"CRÍTICO - Incumplimiento Normativo SEPS",IF(AND(OR(LEFT(AA198,2)="L4",LEFT(AA198,2)="L5"),AND(AC198&lt;&gt;"",AC198&lt;&gt;"N/A")),"CONFORME - Control Efectivo ISO 27001","OBSERVACIÓN - Revisar Controles")))</f>
        <v/>
      </c>
    </row>
    <row r="199">
      <c r="A199" s="99" t="inlineStr">
        <is>
          <t>18-GCA</t>
        </is>
      </c>
      <c r="B199" s="10" t="inlineStr">
        <is>
          <t>PRODUCTIVO</t>
        </is>
      </c>
      <c r="C199" s="10" t="inlineStr">
        <is>
          <t>Gestión de Captaciones</t>
        </is>
      </c>
      <c r="D199" s="10" t="inlineStr">
        <is>
          <t>GCA</t>
        </is>
      </c>
      <c r="E199" s="10" t="inlineStr">
        <is>
          <t>Depósitos a Plazo Fijo</t>
        </is>
      </c>
      <c r="F199" s="10" t="inlineStr">
        <is>
          <t>-</t>
        </is>
      </c>
      <c r="G199" s="10" t="inlineStr">
        <is>
          <t>Cancelación de depósitos a plazo fijo</t>
        </is>
      </c>
      <c r="H199" s="10" t="inlineStr">
        <is>
          <t>Orden de pago.</t>
        </is>
      </c>
      <c r="I199" s="10" t="inlineStr">
        <is>
          <t>Recibido de cancelación normal de depósito a plazo fijo</t>
        </is>
      </c>
      <c r="J199" s="10" t="inlineStr">
        <is>
          <t xml:space="preserve">Jefe de Captaciones </t>
        </is>
      </c>
      <c r="K199" s="10" t="inlineStr">
        <is>
          <t>Asesor de Captaciones</t>
        </is>
      </c>
      <c r="L199" s="10" t="inlineStr">
        <is>
          <t>DOCUMENTOS FISICOS-ARCHIVOS DE LA OFICINA</t>
        </is>
      </c>
      <c r="M199" s="10" t="inlineStr">
        <is>
          <t>DOCUMENTO DE ARCHIVO-FÍSICO</t>
        </is>
      </c>
      <c r="N199" s="10" t="inlineStr">
        <is>
          <t>PRIMARIOS</t>
        </is>
      </c>
      <c r="O199" s="10" t="inlineStr">
        <is>
          <t>DOCUMENTOS HABILITANTES</t>
        </is>
      </c>
      <c r="P199" s="10" t="inlineStr">
        <is>
          <t>USO INTERNO(2)</t>
        </is>
      </c>
      <c r="Q199" s="10" t="inlineStr">
        <is>
          <t>MEDIA(2)</t>
        </is>
      </c>
      <c r="R199" s="10" t="inlineStr">
        <is>
          <t>MEDIA(2)</t>
        </is>
      </c>
      <c r="S199" s="10">
        <f>+(IF(P199="PUBLICA(1)",1,IF(P199="USO INTERNO(2)",2,IF(P199="RESTRINGIDO(3)",3,3))))+(IF(Q199="BAJA(1)",1,IF(Q199="MEDIA(2)",2,IF(Q199="ALTA(3)",3,3))))+(IF(R199="BAJA(1)",1,IF(R199="MEDIA(2)",2,IF(R199="ALTA(3)",3,3))))</f>
        <v/>
      </c>
      <c r="T199" s="10">
        <f>+IF(S199&lt;6,"BAJA",IF(S199&lt;8,"MEDIA","ALTA"))</f>
        <v/>
      </c>
      <c r="U199" s="10" t="inlineStr">
        <is>
          <t>-</t>
        </is>
      </c>
      <c r="V199" s="24" t="n">
        <v>45595</v>
      </c>
      <c r="W199" s="19" t="inlineStr">
        <is>
          <t>N/A</t>
        </is>
      </c>
      <c r="X199" s="10">
        <f>+IFERROR(IF(VLOOKUP(Tabla2[[#This Row],[ID]],'EVALUACION DE RIESGO'!A:A,1,FALSE)=Tabla2[[#This Row],[ID]],"SI","NO"),"NO")</f>
        <v/>
      </c>
      <c r="AD199">
        <f>IF(AND(Y199="",AA199=""),"",IF(OR(LEFT(AA199,2)="L0",LEFT(AA199,2)="L1",Y199="No Iniciado"),"CRÍTICO - Incumplimiento Normativo SEPS",IF(AND(OR(LEFT(AA199,2)="L4",LEFT(AA199,2)="L5"),AND(AC199&lt;&gt;"",AC199&lt;&gt;"N/A")),"CONFORME - Control Efectivo ISO 27001","OBSERVACIÓN - Revisar Controles")))</f>
        <v/>
      </c>
    </row>
    <row r="200">
      <c r="A200" s="99" t="inlineStr">
        <is>
          <t>19-GCA</t>
        </is>
      </c>
      <c r="B200" s="10" t="inlineStr">
        <is>
          <t>PRODUCTIVO</t>
        </is>
      </c>
      <c r="C200" s="10" t="inlineStr">
        <is>
          <t>Gestión de Captaciones</t>
        </is>
      </c>
      <c r="D200" s="10" t="inlineStr">
        <is>
          <t>GCA</t>
        </is>
      </c>
      <c r="E200" s="10" t="inlineStr">
        <is>
          <t>Depósitos a Plazo Fijo</t>
        </is>
      </c>
      <c r="F200" s="10" t="inlineStr">
        <is>
          <t>-</t>
        </is>
      </c>
      <c r="G200" s="10" t="inlineStr">
        <is>
          <t>Cancelación de depósitos a plazo fijo</t>
        </is>
      </c>
      <c r="H200" s="10" t="inlineStr">
        <is>
          <t>Solicitud de transferencia
bancaria.</t>
        </is>
      </c>
      <c r="I200" s="10" t="inlineStr">
        <is>
          <t>Formato de solicitud de transferencia bancar del socio</t>
        </is>
      </c>
      <c r="J200" s="10" t="inlineStr">
        <is>
          <t xml:space="preserve">Jefe de Captaciones </t>
        </is>
      </c>
      <c r="K200" s="10" t="inlineStr">
        <is>
          <t xml:space="preserve">Supervisor Operativo </t>
        </is>
      </c>
      <c r="L200" s="10" t="inlineStr">
        <is>
          <t>DOCUMENTOS FISICOS-ARCHIVOS DE LA OFICINA</t>
        </is>
      </c>
      <c r="M200" s="10" t="inlineStr">
        <is>
          <t>DOCUMENTO DE ARCHIVO-FÍSICO</t>
        </is>
      </c>
      <c r="N200" s="10" t="inlineStr">
        <is>
          <t>PRIMARIOS</t>
        </is>
      </c>
      <c r="O200" s="10" t="inlineStr">
        <is>
          <t>DOCUMENTOS HABILITANTES</t>
        </is>
      </c>
      <c r="P200" s="10" t="inlineStr">
        <is>
          <t>PUBLICA(1)</t>
        </is>
      </c>
      <c r="Q200" s="10" t="inlineStr">
        <is>
          <t>MEDIA(2)</t>
        </is>
      </c>
      <c r="R200" s="10" t="inlineStr">
        <is>
          <t>MEDIA(2)</t>
        </is>
      </c>
      <c r="S200" s="10">
        <f>+(IF(P200="PUBLICA(1)",1,IF(P200="USO INTERNO(2)",2,IF(P200="RESTRINGIDO(3)",3,3))))+(IF(Q200="BAJA(1)",1,IF(Q200="MEDIA(2)",2,IF(Q200="ALTA(3)",3,3))))+(IF(R200="BAJA(1)",1,IF(R200="MEDIA(2)",2,IF(R200="ALTA(3)",3,3))))</f>
        <v/>
      </c>
      <c r="T200" s="10">
        <f>+IF(S200&lt;6,"BAJA",IF(S200&lt;8,"MEDIA","ALTA"))</f>
        <v/>
      </c>
      <c r="U200" s="10" t="inlineStr">
        <is>
          <t>-</t>
        </is>
      </c>
      <c r="V200" s="24" t="n">
        <v>45595</v>
      </c>
      <c r="W200" s="19" t="inlineStr">
        <is>
          <t>N/A</t>
        </is>
      </c>
      <c r="X200" s="10">
        <f>+IFERROR(IF(VLOOKUP(Tabla2[[#This Row],[ID]],'EVALUACION DE RIESGO'!A:A,1,FALSE)=Tabla2[[#This Row],[ID]],"SI","NO"),"NO")</f>
        <v/>
      </c>
      <c r="AD200">
        <f>IF(AND(Y200="",AA200=""),"",IF(OR(LEFT(AA200,2)="L0",LEFT(AA200,2)="L1",Y200="No Iniciado"),"CRÍTICO - Incumplimiento Normativo SEPS",IF(AND(OR(LEFT(AA200,2)="L4",LEFT(AA200,2)="L5"),AND(AC200&lt;&gt;"",AC200&lt;&gt;"N/A")),"CONFORME - Control Efectivo ISO 27001","OBSERVACIÓN - Revisar Controles")))</f>
        <v/>
      </c>
    </row>
    <row r="201">
      <c r="A201" s="99" t="inlineStr">
        <is>
          <t>20-GCA</t>
        </is>
      </c>
      <c r="B201" s="10" t="inlineStr">
        <is>
          <t>PRODUCTIVO</t>
        </is>
      </c>
      <c r="C201" s="10" t="inlineStr">
        <is>
          <t>Gestión de Captaciones</t>
        </is>
      </c>
      <c r="D201" s="10" t="inlineStr">
        <is>
          <t>GCA</t>
        </is>
      </c>
      <c r="E201" s="10" t="inlineStr">
        <is>
          <t>Depósitos a Plazo Fijo</t>
        </is>
      </c>
      <c r="F201" s="10" t="inlineStr">
        <is>
          <t>-</t>
        </is>
      </c>
      <c r="G201" s="10" t="inlineStr">
        <is>
          <t xml:space="preserve">Modificación de cotitulares y/o forma de pago     </t>
        </is>
      </c>
      <c r="H201" s="10" t="inlineStr">
        <is>
          <t xml:space="preserve">Formulario de modificación 
de cotitular. </t>
        </is>
      </c>
      <c r="I201" s="10" t="inlineStr">
        <is>
          <t>Documento que se genera para la actualización</t>
        </is>
      </c>
      <c r="J201" s="10" t="inlineStr">
        <is>
          <t xml:space="preserve">Jefe de Captaciones </t>
        </is>
      </c>
      <c r="K201" s="10" t="inlineStr">
        <is>
          <t>Asesor de Captaciones</t>
        </is>
      </c>
      <c r="L201" s="10" t="inlineStr">
        <is>
          <t>DOCUMENTOS FISICOS-ARCHIVOS DE LA OFICINA</t>
        </is>
      </c>
      <c r="M201" s="10" t="inlineStr">
        <is>
          <t>DOCUMENTO DE ARCHIVO-FÍSICO</t>
        </is>
      </c>
      <c r="N201" s="10" t="inlineStr">
        <is>
          <t>PRIMARIOS</t>
        </is>
      </c>
      <c r="O201" s="10" t="inlineStr">
        <is>
          <t>DOCUMENTOS HABILITANTES</t>
        </is>
      </c>
      <c r="P201" s="10" t="inlineStr">
        <is>
          <t>USO INTERNO(2)</t>
        </is>
      </c>
      <c r="Q201" s="10" t="inlineStr">
        <is>
          <t>MEDIA(2)</t>
        </is>
      </c>
      <c r="R201" s="10" t="inlineStr">
        <is>
          <t>MEDIA(2)</t>
        </is>
      </c>
      <c r="S201" s="10">
        <f>+(IF(P201="PUBLICA(1)",1,IF(P201="USO INTERNO(2)",2,IF(P201="RESTRINGIDO(3)",3,3))))+(IF(Q201="BAJA(1)",1,IF(Q201="MEDIA(2)",2,IF(Q201="ALTA(3)",3,3))))+(IF(R201="BAJA(1)",1,IF(R201="MEDIA(2)",2,IF(R201="ALTA(3)",3,3))))</f>
        <v/>
      </c>
      <c r="T201" s="10">
        <f>+IF(S201&lt;6,"BAJA",IF(S201&lt;8,"MEDIA","ALTA"))</f>
        <v/>
      </c>
      <c r="U201" s="10" t="inlineStr">
        <is>
          <t>-</t>
        </is>
      </c>
      <c r="V201" s="24" t="n">
        <v>45595</v>
      </c>
      <c r="W201" s="19" t="inlineStr">
        <is>
          <t>N/A</t>
        </is>
      </c>
      <c r="X201" s="10">
        <f>+IFERROR(IF(VLOOKUP(Tabla2[[#This Row],[ID]],'EVALUACION DE RIESGO'!A:A,1,FALSE)=Tabla2[[#This Row],[ID]],"SI","NO"),"NO")</f>
        <v/>
      </c>
      <c r="AD201">
        <f>IF(AND(Y201="",AA201=""),"",IF(OR(LEFT(AA201,2)="L0",LEFT(AA201,2)="L1",Y201="No Iniciado"),"CRÍTICO - Incumplimiento Normativo SEPS",IF(AND(OR(LEFT(AA201,2)="L4",LEFT(AA201,2)="L5"),AND(AC201&lt;&gt;"",AC201&lt;&gt;"N/A")),"CONFORME - Control Efectivo ISO 27001","OBSERVACIÓN - Revisar Controles")))</f>
        <v/>
      </c>
    </row>
    <row r="202">
      <c r="A202" s="99" t="inlineStr">
        <is>
          <t>21-GCA</t>
        </is>
      </c>
      <c r="B202" s="10" t="inlineStr">
        <is>
          <t>PRODUCTIVO</t>
        </is>
      </c>
      <c r="C202" s="10" t="inlineStr">
        <is>
          <t>Gestión de Captaciones</t>
        </is>
      </c>
      <c r="D202" s="10" t="inlineStr">
        <is>
          <t>GCA</t>
        </is>
      </c>
      <c r="E202" s="10" t="inlineStr">
        <is>
          <t>Depósitos a Plazo Fijo</t>
        </is>
      </c>
      <c r="F202" s="10" t="inlineStr">
        <is>
          <t>-</t>
        </is>
      </c>
      <c r="G202" s="10" t="inlineStr">
        <is>
          <t xml:space="preserve">Modificación de cotitulares y/o forma de pago     </t>
        </is>
      </c>
      <c r="H202" s="10" t="inlineStr">
        <is>
          <t>Formulario de modificación 
de forma de pago de
intereses.</t>
        </is>
      </c>
      <c r="I202" s="10" t="inlineStr">
        <is>
          <t>Formulario que especifica el cambio de pago de intereses por el cliente</t>
        </is>
      </c>
      <c r="J202" s="10" t="inlineStr">
        <is>
          <t xml:space="preserve">Jefe de Captaciones </t>
        </is>
      </c>
      <c r="K202" s="10" t="inlineStr">
        <is>
          <t>Asesor de Captaciones</t>
        </is>
      </c>
      <c r="L202" s="10" t="inlineStr">
        <is>
          <t>DOCUMENTOS FISICOS-ARCHIVOS DE LA OFICINA</t>
        </is>
      </c>
      <c r="M202" s="10" t="inlineStr">
        <is>
          <t>DOCUMENTO DE ARCHIVO-FÍSICO</t>
        </is>
      </c>
      <c r="N202" s="10" t="inlineStr">
        <is>
          <t>PRIMARIOS</t>
        </is>
      </c>
      <c r="O202" s="10" t="inlineStr">
        <is>
          <t>DOCUMENTOS HABILITANTES</t>
        </is>
      </c>
      <c r="P202" s="10" t="inlineStr">
        <is>
          <t>PUBLICA(1)</t>
        </is>
      </c>
      <c r="Q202" s="10" t="inlineStr">
        <is>
          <t>MEDIA(2)</t>
        </is>
      </c>
      <c r="R202" s="10" t="inlineStr">
        <is>
          <t>MEDIA(2)</t>
        </is>
      </c>
      <c r="S202" s="10">
        <f>+(IF(P202="PUBLICA(1)",1,IF(P202="USO INTERNO(2)",2,IF(P202="RESTRINGIDO(3)",3,3))))+(IF(Q202="BAJA(1)",1,IF(Q202="MEDIA(2)",2,IF(Q202="ALTA(3)",3,3))))+(IF(R202="BAJA(1)",1,IF(R202="MEDIA(2)",2,IF(R202="ALTA(3)",3,3))))</f>
        <v/>
      </c>
      <c r="T202" s="10">
        <f>+IF(S202&lt;6,"BAJA",IF(S202&lt;8,"MEDIA","ALTA"))</f>
        <v/>
      </c>
      <c r="U202" s="10" t="inlineStr">
        <is>
          <t>-</t>
        </is>
      </c>
      <c r="V202" s="24" t="n">
        <v>45595</v>
      </c>
      <c r="W202" s="19" t="inlineStr">
        <is>
          <t>N/A</t>
        </is>
      </c>
      <c r="X202" s="10">
        <f>+IFERROR(IF(VLOOKUP(Tabla2[[#This Row],[ID]],'EVALUACION DE RIESGO'!A:A,1,FALSE)=Tabla2[[#This Row],[ID]],"SI","NO"),"NO")</f>
        <v/>
      </c>
      <c r="AD202">
        <f>IF(AND(Y202="",AA202=""),"",IF(OR(LEFT(AA202,2)="L0",LEFT(AA202,2)="L1",Y202="No Iniciado"),"CRÍTICO - Incumplimiento Normativo SEPS",IF(AND(OR(LEFT(AA202,2)="L4",LEFT(AA202,2)="L5"),AND(AC202&lt;&gt;"",AC202&lt;&gt;"N/A")),"CONFORME - Control Efectivo ISO 27001","OBSERVACIÓN - Revisar Controles")))</f>
        <v/>
      </c>
    </row>
    <row r="203">
      <c r="A203" s="99" t="inlineStr">
        <is>
          <t>22-GCA</t>
        </is>
      </c>
      <c r="B203" s="10" t="inlineStr">
        <is>
          <t>PRODUCTIVO</t>
        </is>
      </c>
      <c r="C203" s="10" t="inlineStr">
        <is>
          <t>Gestión de Captaciones</t>
        </is>
      </c>
      <c r="D203" s="10" t="inlineStr">
        <is>
          <t>GCA</t>
        </is>
      </c>
      <c r="E203" s="10" t="inlineStr">
        <is>
          <t>Depósitos a Plazo Fijo</t>
        </is>
      </c>
      <c r="F203" s="10" t="inlineStr">
        <is>
          <t>-</t>
        </is>
      </c>
      <c r="G203" s="10" t="inlineStr">
        <is>
          <t xml:space="preserve">Modificación de cotitulares y/o forma de pago     </t>
        </is>
      </c>
      <c r="H203" s="10" t="inlineStr">
        <is>
          <t>Certificado de depósito a plazo fijo</t>
        </is>
      </c>
      <c r="I203" s="10" t="inlineStr">
        <is>
          <t>Certificado que se imprime para el clienta y otra idéntica que mantiene el asesor</t>
        </is>
      </c>
      <c r="J203" s="10" t="inlineStr">
        <is>
          <t xml:space="preserve">Jefe de Captaciones </t>
        </is>
      </c>
      <c r="K203" s="10" t="inlineStr">
        <is>
          <t>Supervisor Operativo el vigente y el Asesor de Captaciones las vencidas</t>
        </is>
      </c>
      <c r="L203" s="10" t="inlineStr">
        <is>
          <t>DOCUMENTOS FISICOS-ARCHIVOS DE LA OFICINA</t>
        </is>
      </c>
      <c r="M203" s="10" t="inlineStr">
        <is>
          <t>DOCUMENTO DE ARCHIVO-FÍSICO</t>
        </is>
      </c>
      <c r="N203" s="10" t="inlineStr">
        <is>
          <t>PRIMARIOS</t>
        </is>
      </c>
      <c r="O203" s="10" t="inlineStr">
        <is>
          <t>DOCUMENTOS HABILITANTES</t>
        </is>
      </c>
      <c r="P203" s="10" t="inlineStr">
        <is>
          <t>USO INTERNO(2)</t>
        </is>
      </c>
      <c r="Q203" s="10" t="inlineStr">
        <is>
          <t>MEDIA(2)</t>
        </is>
      </c>
      <c r="R203" s="10" t="inlineStr">
        <is>
          <t>ALTA(3)</t>
        </is>
      </c>
      <c r="S203" s="10">
        <f>+(IF(P203="PUBLICA(1)",1,IF(P203="USO INTERNO(2)",2,IF(P203="RESTRINGIDO(3)",3,3))))+(IF(Q203="BAJA(1)",1,IF(Q203="MEDIA(2)",2,IF(Q203="ALTA(3)",3,3))))+(IF(R203="BAJA(1)",1,IF(R203="MEDIA(2)",2,IF(R203="ALTA(3)",3,3))))</f>
        <v/>
      </c>
      <c r="T203" s="10">
        <f>+IF(S203&lt;6,"BAJA",IF(S203&lt;8,"MEDIA","ALTA"))</f>
        <v/>
      </c>
      <c r="U203" s="10" t="inlineStr">
        <is>
          <t>-</t>
        </is>
      </c>
      <c r="V203" s="24" t="n">
        <v>45595</v>
      </c>
      <c r="W203" s="19" t="inlineStr">
        <is>
          <t>N/A</t>
        </is>
      </c>
      <c r="X203" s="10">
        <f>+IFERROR(IF(VLOOKUP(Tabla2[[#This Row],[ID]],'EVALUACION DE RIESGO'!A:A,1,FALSE)=Tabla2[[#This Row],[ID]],"SI","NO"),"NO")</f>
        <v/>
      </c>
      <c r="AD203">
        <f>IF(AND(Y203="",AA203=""),"",IF(OR(LEFT(AA203,2)="L0",LEFT(AA203,2)="L1",Y203="No Iniciado"),"CRÍTICO - Incumplimiento Normativo SEPS",IF(AND(OR(LEFT(AA203,2)="L4",LEFT(AA203,2)="L5"),AND(AC203&lt;&gt;"",AC203&lt;&gt;"N/A")),"CONFORME - Control Efectivo ISO 27001","OBSERVACIÓN - Revisar Controles")))</f>
        <v/>
      </c>
    </row>
    <row r="204">
      <c r="A204" s="99" t="inlineStr">
        <is>
          <t>23-GCA</t>
        </is>
      </c>
      <c r="B204" s="10" t="inlineStr">
        <is>
          <t>PRODUCTIVO</t>
        </is>
      </c>
      <c r="C204" s="10" t="inlineStr">
        <is>
          <t>Gestión de Captaciones</t>
        </is>
      </c>
      <c r="D204" s="10" t="inlineStr">
        <is>
          <t>GCA</t>
        </is>
      </c>
      <c r="E204" s="10" t="inlineStr">
        <is>
          <t>Depósitos a Plazo Fijo</t>
        </is>
      </c>
      <c r="F204" s="10" t="inlineStr">
        <is>
          <t>-</t>
        </is>
      </c>
      <c r="G204" s="10" t="inlineStr">
        <is>
          <t xml:space="preserve">Cesión de derechos de depósito a plazo fijo personas naturales y jurídicas </t>
        </is>
      </c>
      <c r="H204" s="10" t="inlineStr">
        <is>
          <t>Solicitud de cancelación
anticipada</t>
        </is>
      </c>
      <c r="I204" s="10" t="inlineStr">
        <is>
          <t>Solicitud que el socio realiza para realizar la operación</t>
        </is>
      </c>
      <c r="J204" s="10" t="inlineStr">
        <is>
          <t xml:space="preserve">Jefe de Captaciones </t>
        </is>
      </c>
      <c r="K204" s="10" t="inlineStr">
        <is>
          <t>Asesor de Captaciones</t>
        </is>
      </c>
      <c r="L204" s="10" t="inlineStr">
        <is>
          <t>DOCUMENTOS FISICOS-ARCHIVOS DE LA OFICINA</t>
        </is>
      </c>
      <c r="M204" s="10" t="inlineStr">
        <is>
          <t>DOCUMENTO DE ARCHIVO-FÍSICO</t>
        </is>
      </c>
      <c r="N204" s="10" t="inlineStr">
        <is>
          <t>PRIMARIOS</t>
        </is>
      </c>
      <c r="O204" s="10" t="inlineStr">
        <is>
          <t>DOCUMENTOS HABILITANTES</t>
        </is>
      </c>
      <c r="P204" s="10" t="inlineStr">
        <is>
          <t>PUBLICA(1)</t>
        </is>
      </c>
      <c r="Q204" s="10" t="inlineStr">
        <is>
          <t>MEDIA(2)</t>
        </is>
      </c>
      <c r="R204" s="10" t="inlineStr">
        <is>
          <t>MEDIA(2)</t>
        </is>
      </c>
      <c r="S204" s="10">
        <f>+(IF(P204="PUBLICA(1)",1,IF(P204="USO INTERNO(2)",2,IF(P204="RESTRINGIDO(3)",3,3))))+(IF(Q204="BAJA(1)",1,IF(Q204="MEDIA(2)",2,IF(Q204="ALTA(3)",3,3))))+(IF(R204="BAJA(1)",1,IF(R204="MEDIA(2)",2,IF(R204="ALTA(3)",3,3))))</f>
        <v/>
      </c>
      <c r="T204" s="10">
        <f>+IF(S204&lt;6,"BAJA",IF(S204&lt;8,"MEDIA","ALTA"))</f>
        <v/>
      </c>
      <c r="U204" s="10" t="inlineStr">
        <is>
          <t>-</t>
        </is>
      </c>
      <c r="V204" s="24" t="n">
        <v>45595</v>
      </c>
      <c r="W204" s="19" t="inlineStr">
        <is>
          <t>N/A</t>
        </is>
      </c>
      <c r="X204" s="10">
        <f>+IFERROR(IF(VLOOKUP(Tabla2[[#This Row],[ID]],'EVALUACION DE RIESGO'!A:A,1,FALSE)=Tabla2[[#This Row],[ID]],"SI","NO"),"NO")</f>
        <v/>
      </c>
      <c r="AD204">
        <f>IF(AND(Y204="",AA204=""),"",IF(OR(LEFT(AA204,2)="L0",LEFT(AA204,2)="L1",Y204="No Iniciado"),"CRÍTICO - Incumplimiento Normativo SEPS",IF(AND(OR(LEFT(AA204,2)="L4",LEFT(AA204,2)="L5"),AND(AC204&lt;&gt;"",AC204&lt;&gt;"N/A")),"CONFORME - Control Efectivo ISO 27001","OBSERVACIÓN - Revisar Controles")))</f>
        <v/>
      </c>
    </row>
    <row r="205">
      <c r="A205" s="99" t="inlineStr">
        <is>
          <t>24-GCA</t>
        </is>
      </c>
      <c r="B205" s="10" t="inlineStr">
        <is>
          <t>PRODUCTIVO</t>
        </is>
      </c>
      <c r="C205" s="10" t="inlineStr">
        <is>
          <t>Gestión de Captaciones</t>
        </is>
      </c>
      <c r="D205" s="10" t="inlineStr">
        <is>
          <t>GCA</t>
        </is>
      </c>
      <c r="E205" s="10" t="inlineStr">
        <is>
          <t>Depósitos a Plazo Fijo</t>
        </is>
      </c>
      <c r="F205" s="10" t="inlineStr">
        <is>
          <t>-</t>
        </is>
      </c>
      <c r="G205" s="10" t="inlineStr">
        <is>
          <t>Reverso, Anulación y reimpresión de depósitos a plazo fijo</t>
        </is>
      </c>
      <c r="H205" s="10" t="inlineStr">
        <is>
          <t>Formulario de reversos, anulación y reimpresión.</t>
        </is>
      </c>
      <c r="I205" s="10" t="inlineStr">
        <is>
          <t>Documento que se comparte por correo para solicitar el reverso, anulación y reimpresión</t>
        </is>
      </c>
      <c r="J205" s="10" t="inlineStr">
        <is>
          <t xml:space="preserve">Jefe de Captaciones </t>
        </is>
      </c>
      <c r="K205" s="10" t="inlineStr">
        <is>
          <t>Asesor de Captaciones</t>
        </is>
      </c>
      <c r="L205" s="10" t="inlineStr">
        <is>
          <t>DOCUMENTOS FISICOS-ARCHIVOS DE LA OFICINA</t>
        </is>
      </c>
      <c r="M205" s="10" t="inlineStr">
        <is>
          <t>DOCUMENTO DE ARCHIVO-FÍSICO</t>
        </is>
      </c>
      <c r="N205" s="10" t="inlineStr">
        <is>
          <t>PRIMARIOS</t>
        </is>
      </c>
      <c r="O205" s="10" t="inlineStr">
        <is>
          <t>COMUNICACIÓN INTERNA</t>
        </is>
      </c>
      <c r="P205" s="10" t="inlineStr">
        <is>
          <t>USO INTERNO(2)</t>
        </is>
      </c>
      <c r="Q205" s="10" t="inlineStr">
        <is>
          <t>MEDIA(2)</t>
        </is>
      </c>
      <c r="R205" s="10" t="inlineStr">
        <is>
          <t>MEDIA(2)</t>
        </is>
      </c>
      <c r="S205" s="10">
        <f>+(IF(P205="PUBLICA(1)",1,IF(P205="USO INTERNO(2)",2,IF(P205="RESTRINGIDO(3)",3,3))))+(IF(Q205="BAJA(1)",1,IF(Q205="MEDIA(2)",2,IF(Q205="ALTA(3)",3,3))))+(IF(R205="BAJA(1)",1,IF(R205="MEDIA(2)",2,IF(R205="ALTA(3)",3,3))))</f>
        <v/>
      </c>
      <c r="T205" s="10">
        <f>+IF(S205&lt;6,"BAJA",IF(S205&lt;8,"MEDIA","ALTA"))</f>
        <v/>
      </c>
      <c r="U205" s="10" t="inlineStr">
        <is>
          <t>-</t>
        </is>
      </c>
      <c r="V205" s="24" t="n">
        <v>45595</v>
      </c>
      <c r="W205" s="19" t="inlineStr">
        <is>
          <t>N/A</t>
        </is>
      </c>
      <c r="X205" s="10">
        <f>+IFERROR(IF(VLOOKUP(Tabla2[[#This Row],[ID]],'EVALUACION DE RIESGO'!A:A,1,FALSE)=Tabla2[[#This Row],[ID]],"SI","NO"),"NO")</f>
        <v/>
      </c>
      <c r="AD205">
        <f>IF(AND(Y205="",AA205=""),"",IF(OR(LEFT(AA205,2)="L0",LEFT(AA205,2)="L1",Y205="No Iniciado"),"CRÍTICO - Incumplimiento Normativo SEPS",IF(AND(OR(LEFT(AA205,2)="L4",LEFT(AA205,2)="L5"),AND(AC205&lt;&gt;"",AC205&lt;&gt;"N/A")),"CONFORME - Control Efectivo ISO 27001","OBSERVACIÓN - Revisar Controles")))</f>
        <v/>
      </c>
    </row>
    <row r="206">
      <c r="A206" s="99" t="inlineStr">
        <is>
          <t>25-GCA</t>
        </is>
      </c>
      <c r="B206" s="10" t="inlineStr">
        <is>
          <t>PRODUCTIVO</t>
        </is>
      </c>
      <c r="C206" s="10" t="inlineStr">
        <is>
          <t>Gestión de Captaciones</t>
        </is>
      </c>
      <c r="D206" s="10" t="inlineStr">
        <is>
          <t>GCA</t>
        </is>
      </c>
      <c r="E206" s="10" t="inlineStr">
        <is>
          <t>Depósitos a Plazo Fijo</t>
        </is>
      </c>
      <c r="F206" s="10" t="inlineStr">
        <is>
          <t>-</t>
        </is>
      </c>
      <c r="G206" s="10" t="inlineStr">
        <is>
          <t>Reverso, Anulación y reimpresión de depósitos a plazo fijo</t>
        </is>
      </c>
      <c r="H206" s="10" t="inlineStr">
        <is>
          <t>Certificado de depósito a
plazo fijo reimpreso.</t>
        </is>
      </c>
      <c r="I206" s="10" t="inlineStr">
        <is>
          <t xml:space="preserve">Certificado normal de póliza </t>
        </is>
      </c>
      <c r="J206" s="10" t="inlineStr">
        <is>
          <t xml:space="preserve">Jefe de Captaciones </t>
        </is>
      </c>
      <c r="K206" s="10" t="inlineStr">
        <is>
          <t>Supervisor Operativo el vigente y el Asesor de Captaciones las vencidas</t>
        </is>
      </c>
      <c r="L206" s="10" t="inlineStr">
        <is>
          <t>DOCUMENTOS FISICOS-ARCHIVOS DE LA OFICINA</t>
        </is>
      </c>
      <c r="M206" s="10" t="inlineStr">
        <is>
          <t>DOCUMENTO DE ARCHIVO-FÍSICO</t>
        </is>
      </c>
      <c r="N206" s="10" t="inlineStr">
        <is>
          <t>PRIMARIOS</t>
        </is>
      </c>
      <c r="O206" s="10" t="inlineStr">
        <is>
          <t>DOCUMENTOS HABILITANTES</t>
        </is>
      </c>
      <c r="P206" s="10" t="inlineStr">
        <is>
          <t>USO INTERNO(2)</t>
        </is>
      </c>
      <c r="Q206" s="10" t="inlineStr">
        <is>
          <t>MEDIA(2)</t>
        </is>
      </c>
      <c r="R206" s="10" t="inlineStr">
        <is>
          <t>ALTA(3)</t>
        </is>
      </c>
      <c r="S206" s="10">
        <f>+(IF(P206="PUBLICA(1)",1,IF(P206="USO INTERNO(2)",2,IF(P206="RESTRINGIDO(3)",3,3))))+(IF(Q206="BAJA(1)",1,IF(Q206="MEDIA(2)",2,IF(Q206="ALTA(3)",3,3))))+(IF(R206="BAJA(1)",1,IF(R206="MEDIA(2)",2,IF(R206="ALTA(3)",3,3))))</f>
        <v/>
      </c>
      <c r="T206" s="10">
        <f>+IF(S206&lt;6,"BAJA",IF(S206&lt;8,"MEDIA","ALTA"))</f>
        <v/>
      </c>
      <c r="U206" s="10" t="inlineStr">
        <is>
          <t>-</t>
        </is>
      </c>
      <c r="V206" s="24" t="n">
        <v>45595</v>
      </c>
      <c r="W206" s="19" t="inlineStr">
        <is>
          <t>N/A</t>
        </is>
      </c>
      <c r="X206" s="10">
        <f>+IFERROR(IF(VLOOKUP(Tabla2[[#This Row],[ID]],'EVALUACION DE RIESGO'!A:A,1,FALSE)=Tabla2[[#This Row],[ID]],"SI","NO"),"NO")</f>
        <v/>
      </c>
      <c r="AD206">
        <f>IF(AND(Y206="",AA206=""),"",IF(OR(LEFT(AA206,2)="L0",LEFT(AA206,2)="L1",Y206="No Iniciado"),"CRÍTICO - Incumplimiento Normativo SEPS",IF(AND(OR(LEFT(AA206,2)="L4",LEFT(AA206,2)="L5"),AND(AC206&lt;&gt;"",AC206&lt;&gt;"N/A")),"CONFORME - Control Efectivo ISO 27001","OBSERVACIÓN - Revisar Controles")))</f>
        <v/>
      </c>
    </row>
    <row r="207">
      <c r="A207" s="99" t="inlineStr">
        <is>
          <t>26-GCA</t>
        </is>
      </c>
      <c r="B207" s="10" t="inlineStr">
        <is>
          <t>PRODUCTIVO</t>
        </is>
      </c>
      <c r="C207" s="10" t="inlineStr">
        <is>
          <t>Gestión de Captaciones</t>
        </is>
      </c>
      <c r="D207" s="10" t="inlineStr">
        <is>
          <t>GCA</t>
        </is>
      </c>
      <c r="E207" s="10" t="inlineStr">
        <is>
          <t>Depósitos a Plazo Fijo</t>
        </is>
      </c>
      <c r="F207" s="10" t="inlineStr">
        <is>
          <t>-</t>
        </is>
      </c>
      <c r="G207" s="10" t="inlineStr">
        <is>
          <t>Reverso, Anulación y reimpresión de depósitos a plazo fijo</t>
        </is>
      </c>
      <c r="H207" s="10" t="inlineStr">
        <is>
          <t>Certificado de depósito a plazo fijo anulado.</t>
        </is>
      </c>
      <c r="I207" s="10" t="inlineStr">
        <is>
          <t>Certificado con el sello de anulado mas la autorización</t>
        </is>
      </c>
      <c r="J207" s="10" t="inlineStr">
        <is>
          <t xml:space="preserve">Jefe de Captaciones </t>
        </is>
      </c>
      <c r="K207" s="10" t="inlineStr">
        <is>
          <t>Supervisor Operativo el vigente y el Asesor de Captaciones las vencidas</t>
        </is>
      </c>
      <c r="L207" s="10" t="inlineStr">
        <is>
          <t>DOCUMENTOS FISICOS-ARCHIVOS DE LA OFICINA</t>
        </is>
      </c>
      <c r="M207" s="10" t="inlineStr">
        <is>
          <t>DOCUMENTO DE ARCHIVO-FÍSICO</t>
        </is>
      </c>
      <c r="N207" s="10" t="inlineStr">
        <is>
          <t>PRIMARIOS</t>
        </is>
      </c>
      <c r="O207" s="10" t="inlineStr">
        <is>
          <t>DOCUMENTOS HABILITANTES</t>
        </is>
      </c>
      <c r="P207" s="10" t="inlineStr">
        <is>
          <t>USO INTERNO(2)</t>
        </is>
      </c>
      <c r="Q207" s="10" t="inlineStr">
        <is>
          <t>MEDIA(2)</t>
        </is>
      </c>
      <c r="R207" s="10" t="inlineStr">
        <is>
          <t>ALTA(3)</t>
        </is>
      </c>
      <c r="S207" s="10">
        <f>+(IF(P207="PUBLICA(1)",1,IF(P207="USO INTERNO(2)",2,IF(P207="RESTRINGIDO(3)",3,3))))+(IF(Q207="BAJA(1)",1,IF(Q207="MEDIA(2)",2,IF(Q207="ALTA(3)",3,3))))+(IF(R207="BAJA(1)",1,IF(R207="MEDIA(2)",2,IF(R207="ALTA(3)",3,3))))</f>
        <v/>
      </c>
      <c r="T207" s="10">
        <f>+IF(S207&lt;6,"BAJA",IF(S207&lt;8,"MEDIA","ALTA"))</f>
        <v/>
      </c>
      <c r="U207" s="10" t="inlineStr">
        <is>
          <t>-</t>
        </is>
      </c>
      <c r="V207" s="24" t="n">
        <v>45595</v>
      </c>
      <c r="W207" s="19" t="inlineStr">
        <is>
          <t>N/A</t>
        </is>
      </c>
      <c r="X207" s="10">
        <f>+IFERROR(IF(VLOOKUP(Tabla2[[#This Row],[ID]],'EVALUACION DE RIESGO'!A:A,1,FALSE)=Tabla2[[#This Row],[ID]],"SI","NO"),"NO")</f>
        <v/>
      </c>
      <c r="AD207">
        <f>IF(AND(Y207="",AA207=""),"",IF(OR(LEFT(AA207,2)="L0",LEFT(AA207,2)="L1",Y207="No Iniciado"),"CRÍTICO - Incumplimiento Normativo SEPS",IF(AND(OR(LEFT(AA207,2)="L4",LEFT(AA207,2)="L5"),AND(AC207&lt;&gt;"",AC207&lt;&gt;"N/A")),"CONFORME - Control Efectivo ISO 27001","OBSERVACIÓN - Revisar Controles")))</f>
        <v/>
      </c>
    </row>
    <row r="208">
      <c r="A208" s="99" t="inlineStr">
        <is>
          <t>27-GCA</t>
        </is>
      </c>
      <c r="B208" s="10" t="inlineStr">
        <is>
          <t>PRODUCTIVO</t>
        </is>
      </c>
      <c r="C208" s="10" t="inlineStr">
        <is>
          <t>Gestión de Captaciones</t>
        </is>
      </c>
      <c r="D208" s="10" t="inlineStr">
        <is>
          <t>GCA</t>
        </is>
      </c>
      <c r="E208" s="10" t="inlineStr">
        <is>
          <t>Depósitos a Plazo Fijo</t>
        </is>
      </c>
      <c r="F208" s="10" t="inlineStr">
        <is>
          <t>-</t>
        </is>
      </c>
      <c r="G208" s="10" t="inlineStr">
        <is>
          <t>Control y custodia de Certificados de DPF</t>
        </is>
      </c>
      <c r="H208" s="10" t="inlineStr">
        <is>
          <t>Acta Entrega recepción de certificados de DPF.</t>
        </is>
      </c>
      <c r="I208" s="10" t="inlineStr">
        <is>
          <t>Reporte de pólizas que se entregan al supervisor operativo</t>
        </is>
      </c>
      <c r="J208" s="10" t="inlineStr">
        <is>
          <t xml:space="preserve">Jefe de Captaciones </t>
        </is>
      </c>
      <c r="K208" s="10" t="inlineStr">
        <is>
          <t>supervisor operativo</t>
        </is>
      </c>
      <c r="L208" s="10" t="inlineStr">
        <is>
          <t>DOCUMENTOS FISICOS-ARCHIVOS DE LA OFICINA</t>
        </is>
      </c>
      <c r="M208" s="10" t="inlineStr">
        <is>
          <t>DOCUMENTO DE ARCHIVO-FÍSICO</t>
        </is>
      </c>
      <c r="N208" s="10" t="inlineStr">
        <is>
          <t>PRIMARIOS</t>
        </is>
      </c>
      <c r="O208" s="10" t="inlineStr">
        <is>
          <t>COMUNICACIÓN INTERNA</t>
        </is>
      </c>
      <c r="P208" s="10" t="inlineStr">
        <is>
          <t>PUBLICA(1)</t>
        </is>
      </c>
      <c r="Q208" s="10" t="inlineStr">
        <is>
          <t>MEDIA(2)</t>
        </is>
      </c>
      <c r="R208" s="10" t="inlineStr">
        <is>
          <t>ALTA(3)</t>
        </is>
      </c>
      <c r="S208" s="10">
        <f>+(IF(P208="PUBLICA(1)",1,IF(P208="USO INTERNO(2)",2,IF(P208="RESTRINGIDO(3)",3,3))))+(IF(Q208="BAJA(1)",1,IF(Q208="MEDIA(2)",2,IF(Q208="ALTA(3)",3,3))))+(IF(R208="BAJA(1)",1,IF(R208="MEDIA(2)",2,IF(R208="ALTA(3)",3,3))))</f>
        <v/>
      </c>
      <c r="T208" s="10">
        <f>+IF(S208&lt;6,"BAJA",IF(S208&lt;8,"MEDIA","ALTA"))</f>
        <v/>
      </c>
      <c r="U208" s="10" t="inlineStr">
        <is>
          <t>-</t>
        </is>
      </c>
      <c r="V208" s="24" t="n">
        <v>45595</v>
      </c>
      <c r="W208" s="19" t="inlineStr">
        <is>
          <t>N/A</t>
        </is>
      </c>
      <c r="X208" s="10">
        <f>+IFERROR(IF(VLOOKUP(Tabla2[[#This Row],[ID]],'EVALUACION DE RIESGO'!A:A,1,FALSE)=Tabla2[[#This Row],[ID]],"SI","NO"),"NO")</f>
        <v/>
      </c>
      <c r="AD208">
        <f>IF(AND(Y208="",AA208=""),"",IF(OR(LEFT(AA208,2)="L0",LEFT(AA208,2)="L1",Y208="No Iniciado"),"CRÍTICO - Incumplimiento Normativo SEPS",IF(AND(OR(LEFT(AA208,2)="L4",LEFT(AA208,2)="L5"),AND(AC208&lt;&gt;"",AC208&lt;&gt;"N/A")),"CONFORME - Control Efectivo ISO 27001","OBSERVACIÓN - Revisar Controles")))</f>
        <v/>
      </c>
    </row>
    <row r="209">
      <c r="A209" s="99" t="inlineStr">
        <is>
          <t>28-GCA</t>
        </is>
      </c>
      <c r="B209" s="10" t="inlineStr">
        <is>
          <t>PRODUCTIVO</t>
        </is>
      </c>
      <c r="C209" s="10" t="inlineStr">
        <is>
          <t>Gestión de Captaciones</t>
        </is>
      </c>
      <c r="D209" s="10" t="inlineStr">
        <is>
          <t>GCA</t>
        </is>
      </c>
      <c r="E209" s="10" t="inlineStr">
        <is>
          <t>Depósitos a Plazo Fijo</t>
        </is>
      </c>
      <c r="F209" s="10" t="inlineStr">
        <is>
          <t>-</t>
        </is>
      </c>
      <c r="G209" s="10" t="inlineStr">
        <is>
          <t>Control y custodia de Certificados de DPF</t>
        </is>
      </c>
      <c r="H209" s="10" t="inlineStr">
        <is>
          <t>Reporte Plazos Fijos por Asesor.</t>
        </is>
      </c>
      <c r="I209" s="10" t="inlineStr">
        <is>
          <t>Reportes que se generan del sistema solo de acceso para Jefe de Captaciones y Jefe de Front operativo</t>
        </is>
      </c>
      <c r="J209" s="10" t="inlineStr">
        <is>
          <t xml:space="preserve">Jefe de Captaciones </t>
        </is>
      </c>
      <c r="K209" s="10" t="inlineStr">
        <is>
          <t xml:space="preserve">Jefe de Captaciones </t>
        </is>
      </c>
      <c r="L209" s="10" t="inlineStr">
        <is>
          <t>DOCUMENTOS FISICOS-ARCHIVOS DE LA OFICINA</t>
        </is>
      </c>
      <c r="M209" s="10" t="inlineStr">
        <is>
          <t>DOCUMENTO DE ARCHIVO-FÍSICO</t>
        </is>
      </c>
      <c r="N209" s="10" t="inlineStr">
        <is>
          <t>PRIMARIOS</t>
        </is>
      </c>
      <c r="O209" s="10" t="inlineStr">
        <is>
          <t>COMUNICACIÓN INTERNA</t>
        </is>
      </c>
      <c r="P209" s="10" t="inlineStr">
        <is>
          <t>USO INTERNO(2)</t>
        </is>
      </c>
      <c r="Q209" s="10" t="inlineStr">
        <is>
          <t>MEDIA(2)</t>
        </is>
      </c>
      <c r="R209" s="10" t="inlineStr">
        <is>
          <t>BAJA(1)</t>
        </is>
      </c>
      <c r="S209" s="10">
        <f>+(IF(P209="PUBLICA(1)",1,IF(P209="USO INTERNO(2)",2,IF(P209="RESTRINGIDO(3)",3,3))))+(IF(Q209="BAJA(1)",1,IF(Q209="MEDIA(2)",2,IF(Q209="ALTA(3)",3,3))))+(IF(R209="BAJA(1)",1,IF(R209="MEDIA(2)",2,IF(R209="ALTA(3)",3,3))))</f>
        <v/>
      </c>
      <c r="T209" s="10">
        <f>+IF(S209&lt;6,"BAJA",IF(S209&lt;8,"MEDIA","ALTA"))</f>
        <v/>
      </c>
      <c r="U209" s="10" t="inlineStr">
        <is>
          <t>-</t>
        </is>
      </c>
      <c r="V209" s="24" t="n">
        <v>45595</v>
      </c>
      <c r="W209" s="19" t="inlineStr">
        <is>
          <t>N/A</t>
        </is>
      </c>
      <c r="X209" s="10">
        <f>+IFERROR(IF(VLOOKUP(Tabla2[[#This Row],[ID]],'EVALUACION DE RIESGO'!A:A,1,FALSE)=Tabla2[[#This Row],[ID]],"SI","NO"),"NO")</f>
        <v/>
      </c>
      <c r="AD209">
        <f>IF(AND(Y209="",AA209=""),"",IF(OR(LEFT(AA209,2)="L0",LEFT(AA209,2)="L1",Y209="No Iniciado"),"CRÍTICO - Incumplimiento Normativo SEPS",IF(AND(OR(LEFT(AA209,2)="L4",LEFT(AA209,2)="L5"),AND(AC209&lt;&gt;"",AC209&lt;&gt;"N/A")),"CONFORME - Control Efectivo ISO 27001","OBSERVACIÓN - Revisar Controles")))</f>
        <v/>
      </c>
    </row>
    <row r="210">
      <c r="A210" s="99" t="inlineStr">
        <is>
          <t>29-GCA</t>
        </is>
      </c>
      <c r="B210" s="10" t="inlineStr">
        <is>
          <t>PRODUCTIVO</t>
        </is>
      </c>
      <c r="C210" s="10" t="inlineStr">
        <is>
          <t>Gestión de Captaciones</t>
        </is>
      </c>
      <c r="D210" s="10" t="inlineStr">
        <is>
          <t>GCA</t>
        </is>
      </c>
      <c r="E210" s="10" t="inlineStr">
        <is>
          <t>Depósitos a Plazo Fijo</t>
        </is>
      </c>
      <c r="F210" s="10" t="inlineStr">
        <is>
          <t>-</t>
        </is>
      </c>
      <c r="G210" s="10" t="inlineStr">
        <is>
          <t xml:space="preserve">Ejecución de controles del proceso de depósitos a plazo fijo </t>
        </is>
      </c>
      <c r="H210" s="10" t="inlineStr">
        <is>
          <t>Informe de control de operaciones de depósitos a plazo fijo.</t>
        </is>
      </c>
      <c r="I210" s="10" t="inlineStr">
        <is>
          <t>Informe de gestión mensual realizada por el Jefe de Captaciones</t>
        </is>
      </c>
      <c r="J210" s="10" t="inlineStr">
        <is>
          <t xml:space="preserve">Jefe de Captaciones </t>
        </is>
      </c>
      <c r="K210" s="10" t="inlineStr">
        <is>
          <t xml:space="preserve">Jefe de Captaciones </t>
        </is>
      </c>
      <c r="L210" s="10" t="inlineStr">
        <is>
          <t>DOCUMENTOS FISICOS-ARCHIVOS DE LA OFICINA</t>
        </is>
      </c>
      <c r="M210" s="10" t="inlineStr">
        <is>
          <t>DOCUMENTO DE ARCHIVO-FÍSICO</t>
        </is>
      </c>
      <c r="N210" s="10" t="inlineStr">
        <is>
          <t>PRIMARIOS</t>
        </is>
      </c>
      <c r="O210" s="10" t="inlineStr">
        <is>
          <t>DOCUMENTOS TÉCNICOS</t>
        </is>
      </c>
      <c r="P210" s="10" t="inlineStr">
        <is>
          <t>PUBLICA(1)</t>
        </is>
      </c>
      <c r="Q210" s="10" t="inlineStr">
        <is>
          <t>MEDIA(2)</t>
        </is>
      </c>
      <c r="R210" s="10" t="inlineStr">
        <is>
          <t>MEDIA(2)</t>
        </is>
      </c>
      <c r="S210" s="10">
        <f>+(IF(P210="PUBLICA(1)",1,IF(P210="USO INTERNO(2)",2,IF(P210="RESTRINGIDO(3)",3,3))))+(IF(Q210="BAJA(1)",1,IF(Q210="MEDIA(2)",2,IF(Q210="ALTA(3)",3,3))))+(IF(R210="BAJA(1)",1,IF(R210="MEDIA(2)",2,IF(R210="ALTA(3)",3,3))))</f>
        <v/>
      </c>
      <c r="T210" s="10">
        <f>+IF(S210&lt;6,"BAJA",IF(S210&lt;8,"MEDIA","ALTA"))</f>
        <v/>
      </c>
      <c r="U210" s="10" t="inlineStr">
        <is>
          <t>-</t>
        </is>
      </c>
      <c r="V210" s="24" t="n">
        <v>45595</v>
      </c>
      <c r="W210" s="19" t="inlineStr">
        <is>
          <t>N/A</t>
        </is>
      </c>
      <c r="X210" s="10">
        <f>+IFERROR(IF(VLOOKUP(Tabla2[[#This Row],[ID]],'EVALUACION DE RIESGO'!A:A,1,FALSE)=Tabla2[[#This Row],[ID]],"SI","NO"),"NO")</f>
        <v/>
      </c>
      <c r="AD210">
        <f>IF(AND(Y210="",AA210=""),"",IF(OR(LEFT(AA210,2)="L0",LEFT(AA210,2)="L1",Y210="No Iniciado"),"CRÍTICO - Incumplimiento Normativo SEPS",IF(AND(OR(LEFT(AA210,2)="L4",LEFT(AA210,2)="L5"),AND(AC210&lt;&gt;"",AC210&lt;&gt;"N/A")),"CONFORME - Control Efectivo ISO 27001","OBSERVACIÓN - Revisar Controles")))</f>
        <v/>
      </c>
    </row>
    <row r="211">
      <c r="A211" s="99" t="inlineStr">
        <is>
          <t>30-GCA</t>
        </is>
      </c>
      <c r="B211" s="10" t="inlineStr">
        <is>
          <t>PRODUCTIVO</t>
        </is>
      </c>
      <c r="C211" s="10" t="inlineStr">
        <is>
          <t>Gestión de Captaciones</t>
        </is>
      </c>
      <c r="D211" s="10" t="inlineStr">
        <is>
          <t>GCA</t>
        </is>
      </c>
      <c r="E211" s="10" t="inlineStr">
        <is>
          <t>Depósitos a Plazo Fijo</t>
        </is>
      </c>
      <c r="F211" s="10" t="inlineStr">
        <is>
          <t>-</t>
        </is>
      </c>
      <c r="G211" s="10" t="inlineStr">
        <is>
          <t>Evaluación de riesgo de lavado de activos</t>
        </is>
      </c>
      <c r="H211" s="10" t="inlineStr">
        <is>
          <t>Formulario de licitud de fondos</t>
        </is>
      </c>
      <c r="I211" s="10" t="inlineStr">
        <is>
          <t>Documento firmado de declaración de origen o destino licito de recursos</t>
        </is>
      </c>
      <c r="J211" s="10" t="inlineStr">
        <is>
          <t xml:space="preserve">Jefe de Captaciones </t>
        </is>
      </c>
      <c r="K211" s="10" t="inlineStr">
        <is>
          <t>Supervisor Operativo el vigente y el Asesor de Captaciones las vencidas</t>
        </is>
      </c>
      <c r="L211" s="10" t="inlineStr">
        <is>
          <t>DOCUMENTOS FISICOS-ARCHIVOS DE LA OFICINA</t>
        </is>
      </c>
      <c r="M211" s="10" t="inlineStr">
        <is>
          <t>DOCUMENTO DE ARCHIVO-FÍSICO</t>
        </is>
      </c>
      <c r="N211" s="10" t="inlineStr">
        <is>
          <t>PRIMARIOS</t>
        </is>
      </c>
      <c r="O211" s="10" t="inlineStr">
        <is>
          <t>DOCUMENTOS HABILITANTES</t>
        </is>
      </c>
      <c r="P211" s="10" t="inlineStr">
        <is>
          <t>USO INTERNO(2)</t>
        </is>
      </c>
      <c r="Q211" s="10" t="inlineStr">
        <is>
          <t>MEDIA(2)</t>
        </is>
      </c>
      <c r="R211" s="10" t="inlineStr">
        <is>
          <t>MEDIA(2)</t>
        </is>
      </c>
      <c r="S211" s="10">
        <f>+(IF(P211="PUBLICA(1)",1,IF(P211="USO INTERNO(2)",2,IF(P211="RESTRINGIDO(3)",3,3))))+(IF(Q211="BAJA(1)",1,IF(Q211="MEDIA(2)",2,IF(Q211="ALTA(3)",3,3))))+(IF(R211="BAJA(1)",1,IF(R211="MEDIA(2)",2,IF(R211="ALTA(3)",3,3))))</f>
        <v/>
      </c>
      <c r="T211" s="10">
        <f>+IF(S211&lt;6,"BAJA",IF(S211&lt;8,"MEDIA","ALTA"))</f>
        <v/>
      </c>
      <c r="U211" s="10" t="inlineStr">
        <is>
          <t>-</t>
        </is>
      </c>
      <c r="V211" s="24" t="n">
        <v>45595</v>
      </c>
      <c r="W211" s="19" t="inlineStr">
        <is>
          <t>N/A</t>
        </is>
      </c>
      <c r="X211" s="10">
        <f>+IFERROR(IF(VLOOKUP(Tabla2[[#This Row],[ID]],'EVALUACION DE RIESGO'!A:A,1,FALSE)=Tabla2[[#This Row],[ID]],"SI","NO"),"NO")</f>
        <v/>
      </c>
      <c r="AD211">
        <f>IF(AND(Y211="",AA211=""),"",IF(OR(LEFT(AA211,2)="L0",LEFT(AA211,2)="L1",Y211="No Iniciado"),"CRÍTICO - Incumplimiento Normativo SEPS",IF(AND(OR(LEFT(AA211,2)="L4",LEFT(AA211,2)="L5"),AND(AC211&lt;&gt;"",AC211&lt;&gt;"N/A")),"CONFORME - Control Efectivo ISO 27001","OBSERVACIÓN - Revisar Controles")))</f>
        <v/>
      </c>
    </row>
    <row r="212">
      <c r="A212" s="99" t="inlineStr">
        <is>
          <t>31-GCA</t>
        </is>
      </c>
      <c r="B212" s="10" t="inlineStr">
        <is>
          <t>PRODUCTIVO</t>
        </is>
      </c>
      <c r="C212" s="10" t="inlineStr">
        <is>
          <t>Gestión de Captaciones</t>
        </is>
      </c>
      <c r="D212" s="10" t="inlineStr">
        <is>
          <t>GCA</t>
        </is>
      </c>
      <c r="E212" s="10" t="inlineStr">
        <is>
          <t>Depósitos a Plazo Fijo</t>
        </is>
      </c>
      <c r="F212" s="10" t="inlineStr">
        <is>
          <t>-</t>
        </is>
      </c>
      <c r="G212" s="10" t="inlineStr">
        <is>
          <t>Evaluación de riesgo de lavado de activos</t>
        </is>
      </c>
      <c r="H212" s="10" t="inlineStr">
        <is>
          <t>Documentos de justificación de transacciones</t>
        </is>
      </c>
      <c r="I212" s="10" t="inlineStr">
        <is>
          <t>Entregables del cliente con información justificativa de póliza</t>
        </is>
      </c>
      <c r="J212" s="10" t="inlineStr">
        <is>
          <t xml:space="preserve">Jefe de Captaciones </t>
        </is>
      </c>
      <c r="K212" s="10" t="inlineStr">
        <is>
          <t xml:space="preserve">Jefe de Captaciones </t>
        </is>
      </c>
      <c r="L212" s="10" t="inlineStr">
        <is>
          <t>DOCUMENTOS FISICOS-ARCHIVOS DE LA OFICINA</t>
        </is>
      </c>
      <c r="M212" s="10" t="inlineStr">
        <is>
          <t>DOCUMENTO DE ARCHIVO-FÍSICO</t>
        </is>
      </c>
      <c r="N212" s="10" t="inlineStr">
        <is>
          <t>PRIMARIOS</t>
        </is>
      </c>
      <c r="O212" s="10" t="inlineStr">
        <is>
          <t>DOCUMENTOS HABILITANTES</t>
        </is>
      </c>
      <c r="P212" s="10" t="inlineStr">
        <is>
          <t>USO INTERNO(2)</t>
        </is>
      </c>
      <c r="Q212" s="10" t="inlineStr">
        <is>
          <t>MEDIA(2)</t>
        </is>
      </c>
      <c r="R212" s="10" t="inlineStr">
        <is>
          <t>ALTA(3)</t>
        </is>
      </c>
      <c r="S212" s="10">
        <f>+(IF(P212="PUBLICA(1)",1,IF(P212="USO INTERNO(2)",2,IF(P212="RESTRINGIDO(3)",3,3))))+(IF(Q212="BAJA(1)",1,IF(Q212="MEDIA(2)",2,IF(Q212="ALTA(3)",3,3))))+(IF(R212="BAJA(1)",1,IF(R212="MEDIA(2)",2,IF(R212="ALTA(3)",3,3))))</f>
        <v/>
      </c>
      <c r="T212" s="10">
        <f>+IF(S212&lt;6,"BAJA",IF(S212&lt;8,"MEDIA","ALTA"))</f>
        <v/>
      </c>
      <c r="U212" s="10" t="inlineStr">
        <is>
          <t>-</t>
        </is>
      </c>
      <c r="V212" s="24" t="n">
        <v>45595</v>
      </c>
      <c r="W212" s="19" t="inlineStr">
        <is>
          <t>N/A</t>
        </is>
      </c>
      <c r="X212" s="10">
        <f>+IFERROR(IF(VLOOKUP(Tabla2[[#This Row],[ID]],'EVALUACION DE RIESGO'!A:A,1,FALSE)=Tabla2[[#This Row],[ID]],"SI","NO"),"NO")</f>
        <v/>
      </c>
      <c r="AD212">
        <f>IF(AND(Y212="",AA212=""),"",IF(OR(LEFT(AA212,2)="L0",LEFT(AA212,2)="L1",Y212="No Iniciado"),"CRÍTICO - Incumplimiento Normativo SEPS",IF(AND(OR(LEFT(AA212,2)="L4",LEFT(AA212,2)="L5"),AND(AC212&lt;&gt;"",AC212&lt;&gt;"N/A")),"CONFORME - Control Efectivo ISO 27001","OBSERVACIÓN - Revisar Controles")))</f>
        <v/>
      </c>
    </row>
    <row r="213">
      <c r="A213" s="99" t="inlineStr">
        <is>
          <t>32-GCA</t>
        </is>
      </c>
      <c r="B213" s="10" t="inlineStr">
        <is>
          <t>PRODUCTIVO</t>
        </is>
      </c>
      <c r="C213" s="10" t="inlineStr">
        <is>
          <t>Gestión de Captaciones</t>
        </is>
      </c>
      <c r="D213" s="10" t="inlineStr">
        <is>
          <t>GCA</t>
        </is>
      </c>
      <c r="E213" s="10" t="inlineStr">
        <is>
          <t xml:space="preserve">Ahorros a la Vista </t>
        </is>
      </c>
      <c r="F213" s="10" t="inlineStr">
        <is>
          <t xml:space="preserve">Gestión de Cuentas de Ahorro </t>
        </is>
      </c>
      <c r="G213" s="10" t="inlineStr">
        <is>
          <t>Apertura de cuentas de ahorros  y certificados de aportación</t>
        </is>
      </c>
      <c r="H213" s="10" t="inlineStr">
        <is>
          <t>Contrato de Apertura de Cuentas de Ahorro</t>
        </is>
      </c>
      <c r="I213" s="10" t="inlineStr">
        <is>
          <t>Documento de contrato que contiene información del socio y términos y condiciones del contrato, contiene firmas de validación</t>
        </is>
      </c>
      <c r="J213" s="10" t="inlineStr">
        <is>
          <t xml:space="preserve">Jefe de Captaciones </t>
        </is>
      </c>
      <c r="K213" s="10" t="inlineStr">
        <is>
          <t>FIT</t>
        </is>
      </c>
      <c r="L213" s="10" t="inlineStr">
        <is>
          <t>UBICACIÓN DIGITAL-CORE FINANCIERO</t>
        </is>
      </c>
      <c r="M213" s="10" t="inlineStr">
        <is>
          <t>DISCOS DUROS, SERVIDORES, DISCOS O MEDIOS PORTÁTILES, CINTAS O MEDIOS DE VIDEO Y AUDIO, ETC.</t>
        </is>
      </c>
      <c r="N213" s="10" t="inlineStr">
        <is>
          <t>PRIMARIOS</t>
        </is>
      </c>
      <c r="O213" s="10" t="inlineStr">
        <is>
          <t>DOCUMENTOS HABILITANTES</t>
        </is>
      </c>
      <c r="P213" s="10" t="inlineStr">
        <is>
          <t>USO INTERNO(2)</t>
        </is>
      </c>
      <c r="Q213" s="10" t="inlineStr">
        <is>
          <t>MEDIA(2)</t>
        </is>
      </c>
      <c r="R213" s="10" t="inlineStr">
        <is>
          <t>MEDIA(2)</t>
        </is>
      </c>
      <c r="S213" s="10">
        <f>+(IF(P213="PUBLICA(1)",1,IF(P213="USO INTERNO(2)",2,IF(P213="RESTRINGIDO(3)",3,3))))+(IF(Q213="BAJA(1)",1,IF(Q213="MEDIA(2)",2,IF(Q213="ALTA(3)",3,3))))+(IF(R213="BAJA(1)",1,IF(R213="MEDIA(2)",2,IF(R213="ALTA(3)",3,3))))</f>
        <v/>
      </c>
      <c r="T213" s="10">
        <f>+IF(S213&lt;6,"BAJA",IF(S213&lt;8,"MEDIA","ALTA"))</f>
        <v/>
      </c>
      <c r="U213" s="10" t="inlineStr">
        <is>
          <t>-</t>
        </is>
      </c>
      <c r="V213" s="24" t="n">
        <v>45595</v>
      </c>
      <c r="W213" s="19" t="inlineStr">
        <is>
          <t>N/A</t>
        </is>
      </c>
      <c r="X213" s="10">
        <f>+IFERROR(IF(VLOOKUP(Tabla2[[#This Row],[ID]],'EVALUACION DE RIESGO'!A:A,1,FALSE)=Tabla2[[#This Row],[ID]],"SI","NO"),"NO")</f>
        <v/>
      </c>
      <c r="AD213">
        <f>IF(AND(Y213="",AA213=""),"",IF(OR(LEFT(AA213,2)="L0",LEFT(AA213,2)="L1",Y213="No Iniciado"),"CRÍTICO - Incumplimiento Normativo SEPS",IF(AND(OR(LEFT(AA213,2)="L4",LEFT(AA213,2)="L5"),AND(AC213&lt;&gt;"",AC213&lt;&gt;"N/A")),"CONFORME - Control Efectivo ISO 27001","OBSERVACIÓN - Revisar Controles")))</f>
        <v/>
      </c>
    </row>
    <row r="214">
      <c r="A214" s="99" t="inlineStr">
        <is>
          <t>33-GCA</t>
        </is>
      </c>
      <c r="B214" s="10" t="inlineStr">
        <is>
          <t>PRODUCTIVO</t>
        </is>
      </c>
      <c r="C214" s="10" t="inlineStr">
        <is>
          <t>Gestión de Captaciones</t>
        </is>
      </c>
      <c r="D214" s="10" t="inlineStr">
        <is>
          <t>GCA</t>
        </is>
      </c>
      <c r="E214" s="10" t="inlineStr">
        <is>
          <t xml:space="preserve">Ahorros a la Vista </t>
        </is>
      </c>
      <c r="F214" s="10" t="inlineStr">
        <is>
          <t xml:space="preserve">Gestión de Cuentas de Ahorro </t>
        </is>
      </c>
      <c r="G214" s="10" t="inlineStr">
        <is>
          <t>Apertura de cuentas de ahorros  y certificados de aportación</t>
        </is>
      </c>
      <c r="H214" s="10" t="inlineStr">
        <is>
          <t>Papeletas para depósito inicial</t>
        </is>
      </c>
      <c r="I214" s="10" t="inlineStr">
        <is>
          <t>Papeleta registrada por el cliente e ingresada a ventanilla</t>
        </is>
      </c>
      <c r="J214" s="10" t="inlineStr">
        <is>
          <t xml:space="preserve">Jefe de Captaciones </t>
        </is>
      </c>
      <c r="K214" s="10" t="inlineStr">
        <is>
          <t>N/A</t>
        </is>
      </c>
      <c r="L214" s="10" t="inlineStr">
        <is>
          <t>DOCUMENTOS FISICOS-ARCHIVOS DE LA OFICINA</t>
        </is>
      </c>
      <c r="M214" s="10" t="inlineStr">
        <is>
          <t>DOCUMENTO DE ARCHIVO-FÍSICO</t>
        </is>
      </c>
      <c r="N214" s="10" t="inlineStr">
        <is>
          <t>PRIMARIOS</t>
        </is>
      </c>
      <c r="O214" s="10" t="inlineStr">
        <is>
          <t>DOCUMENTOS HABILITANTES</t>
        </is>
      </c>
      <c r="P214" s="10" t="inlineStr">
        <is>
          <t>PUBLICA(1)</t>
        </is>
      </c>
      <c r="Q214" s="10" t="inlineStr">
        <is>
          <t>MEDIA(2)</t>
        </is>
      </c>
      <c r="R214" s="10" t="inlineStr">
        <is>
          <t>MEDIA(2)</t>
        </is>
      </c>
      <c r="S214" s="10">
        <f>+(IF(P214="PUBLICA(1)",1,IF(P214="USO INTERNO(2)",2,IF(P214="RESTRINGIDO(3)",3,3))))+(IF(Q214="BAJA(1)",1,IF(Q214="MEDIA(2)",2,IF(Q214="ALTA(3)",3,3))))+(IF(R214="BAJA(1)",1,IF(R214="MEDIA(2)",2,IF(R214="ALTA(3)",3,3))))</f>
        <v/>
      </c>
      <c r="T214" s="10">
        <f>+IF(S214&lt;6,"BAJA",IF(S214&lt;8,"MEDIA","ALTA"))</f>
        <v/>
      </c>
      <c r="U214" s="10" t="inlineStr">
        <is>
          <t>-</t>
        </is>
      </c>
      <c r="V214" s="24" t="n">
        <v>45595</v>
      </c>
      <c r="W214" s="19" t="inlineStr">
        <is>
          <t>N/A</t>
        </is>
      </c>
      <c r="X214" s="10">
        <f>+IFERROR(IF(VLOOKUP(Tabla2[[#This Row],[ID]],'EVALUACION DE RIESGO'!A:A,1,FALSE)=Tabla2[[#This Row],[ID]],"SI","NO"),"NO")</f>
        <v/>
      </c>
      <c r="AD214">
        <f>IF(AND(Y214="",AA214=""),"",IF(OR(LEFT(AA214,2)="L0",LEFT(AA214,2)="L1",Y214="No Iniciado"),"CRÍTICO - Incumplimiento Normativo SEPS",IF(AND(OR(LEFT(AA214,2)="L4",LEFT(AA214,2)="L5"),AND(AC214&lt;&gt;"",AC214&lt;&gt;"N/A")),"CONFORME - Control Efectivo ISO 27001","OBSERVACIÓN - Revisar Controles")))</f>
        <v/>
      </c>
    </row>
    <row r="215">
      <c r="A215" s="99" t="inlineStr">
        <is>
          <t>34-GCA</t>
        </is>
      </c>
      <c r="B215" s="10" t="inlineStr">
        <is>
          <t>PRODUCTIVO</t>
        </is>
      </c>
      <c r="C215" s="10" t="inlineStr">
        <is>
          <t>Gestión de Captaciones</t>
        </is>
      </c>
      <c r="D215" s="10" t="inlineStr">
        <is>
          <t>GCA</t>
        </is>
      </c>
      <c r="E215" s="10" t="inlineStr">
        <is>
          <t xml:space="preserve">Ahorros a la Vista </t>
        </is>
      </c>
      <c r="F215" s="10" t="inlineStr">
        <is>
          <t xml:space="preserve">Gestión de Cuentas de Ahorro </t>
        </is>
      </c>
      <c r="G215" s="10" t="inlineStr">
        <is>
          <t>Apertura de cuentas de ahorros  y certificados de aportación</t>
        </is>
      </c>
      <c r="H215" s="10" t="inlineStr">
        <is>
          <t>File digitalizado de socio/cuenta ahorrista/cliente</t>
        </is>
      </c>
      <c r="I215" s="10" t="inlineStr">
        <is>
          <t>Files de respaldo de los documentos de salida de la apertura de cuentas, digitalizados y cargados a FIT</t>
        </is>
      </c>
      <c r="J215" s="10" t="inlineStr">
        <is>
          <t xml:space="preserve">Jefe de Captaciones </t>
        </is>
      </c>
      <c r="K215" s="10" t="inlineStr">
        <is>
          <t>FIT</t>
        </is>
      </c>
      <c r="L215" s="10" t="inlineStr">
        <is>
          <t>UBICACIÓN DIGITAL-CORE FINANCIERO</t>
        </is>
      </c>
      <c r="M215" s="10" t="inlineStr">
        <is>
          <t>SISTEMAS DE INFORMACIÓN CORPORATIVOS</t>
        </is>
      </c>
      <c r="N215" s="10" t="inlineStr">
        <is>
          <t>PRIMARIOS</t>
        </is>
      </c>
      <c r="O215" s="10" t="inlineStr">
        <is>
          <t>DOCUMENTOS HABILITANTES</t>
        </is>
      </c>
      <c r="P215" s="10" t="inlineStr">
        <is>
          <t>USO INTERNO(2)</t>
        </is>
      </c>
      <c r="Q215" s="10" t="inlineStr">
        <is>
          <t>MEDIA(2)</t>
        </is>
      </c>
      <c r="R215" s="10" t="inlineStr">
        <is>
          <t>MEDIA(2)</t>
        </is>
      </c>
      <c r="S215" s="10">
        <f>+(IF(P215="PUBLICA(1)",1,IF(P215="USO INTERNO(2)",2,IF(P215="RESTRINGIDO(3)",3,3))))+(IF(Q215="BAJA(1)",1,IF(Q215="MEDIA(2)",2,IF(Q215="ALTA(3)",3,3))))+(IF(R215="BAJA(1)",1,IF(R215="MEDIA(2)",2,IF(R215="ALTA(3)",3,3))))</f>
        <v/>
      </c>
      <c r="T215" s="10">
        <f>+IF(S215&lt;6,"BAJA",IF(S215&lt;8,"MEDIA","ALTA"))</f>
        <v/>
      </c>
      <c r="U215" s="10" t="inlineStr">
        <is>
          <t>-</t>
        </is>
      </c>
      <c r="V215" s="24" t="n">
        <v>45595</v>
      </c>
      <c r="W215" s="19" t="inlineStr">
        <is>
          <t>N/A</t>
        </is>
      </c>
      <c r="X215" s="10">
        <f>+IFERROR(IF(VLOOKUP(Tabla2[[#This Row],[ID]],'EVALUACION DE RIESGO'!A:A,1,FALSE)=Tabla2[[#This Row],[ID]],"SI","NO"),"NO")</f>
        <v/>
      </c>
      <c r="AD215">
        <f>IF(AND(Y215="",AA215=""),"",IF(OR(LEFT(AA215,2)="L0",LEFT(AA215,2)="L1",Y215="No Iniciado"),"CRÍTICO - Incumplimiento Normativo SEPS",IF(AND(OR(LEFT(AA215,2)="L4",LEFT(AA215,2)="L5"),AND(AC215&lt;&gt;"",AC215&lt;&gt;"N/A")),"CONFORME - Control Efectivo ISO 27001","OBSERVACIÓN - Revisar Controles")))</f>
        <v/>
      </c>
    </row>
    <row r="216">
      <c r="A216" s="99" t="inlineStr">
        <is>
          <t>35-GCA</t>
        </is>
      </c>
      <c r="B216" s="10" t="inlineStr">
        <is>
          <t>PRODUCTIVO</t>
        </is>
      </c>
      <c r="C216" s="10" t="inlineStr">
        <is>
          <t>Gestión de Captaciones</t>
        </is>
      </c>
      <c r="D216" s="10" t="inlineStr">
        <is>
          <t>GCA</t>
        </is>
      </c>
      <c r="E216" s="10" t="inlineStr">
        <is>
          <t xml:space="preserve">Ahorros a la Vista </t>
        </is>
      </c>
      <c r="F216" s="10" t="inlineStr">
        <is>
          <t xml:space="preserve">Gestión de Cuentas de Ahorro </t>
        </is>
      </c>
      <c r="G216" s="10" t="inlineStr">
        <is>
          <t>Apertura de cuentas de ahorros  y certificados de aportación</t>
        </is>
      </c>
      <c r="H216" s="10" t="inlineStr">
        <is>
          <t>Certificación de información</t>
        </is>
      </c>
      <c r="I216" s="10" t="inlineStr">
        <is>
          <t>Certificado de la entrega de información personal del cliente entregado al asesor de servicio</t>
        </is>
      </c>
      <c r="J216" s="10" t="inlineStr">
        <is>
          <t xml:space="preserve">Jefe de Captaciones </t>
        </is>
      </c>
      <c r="K216" s="10" t="inlineStr">
        <is>
          <t>FIT</t>
        </is>
      </c>
      <c r="L216" s="10" t="inlineStr">
        <is>
          <t>UBICACIÓN DIGITAL-CORE FINANCIERO</t>
        </is>
      </c>
      <c r="M216" s="10" t="inlineStr">
        <is>
          <t>SISTEMAS DE INFORMACIÓN CORPORATIVOS</t>
        </is>
      </c>
      <c r="N216" s="10" t="inlineStr">
        <is>
          <t>PRIMARIOS</t>
        </is>
      </c>
      <c r="O216" s="10" t="inlineStr">
        <is>
          <t>DOCUMENTOS HABILITANTES</t>
        </is>
      </c>
      <c r="P216" s="10" t="inlineStr">
        <is>
          <t>USO INTERNO(2)</t>
        </is>
      </c>
      <c r="Q216" s="10" t="inlineStr">
        <is>
          <t>MEDIA(2)</t>
        </is>
      </c>
      <c r="R216" s="10" t="inlineStr">
        <is>
          <t>MEDIA(2)</t>
        </is>
      </c>
      <c r="S216" s="10">
        <f>+(IF(P216="PUBLICA(1)",1,IF(P216="USO INTERNO(2)",2,IF(P216="RESTRINGIDO(3)",3,3))))+(IF(Q216="BAJA(1)",1,IF(Q216="MEDIA(2)",2,IF(Q216="ALTA(3)",3,3))))+(IF(R216="BAJA(1)",1,IF(R216="MEDIA(2)",2,IF(R216="ALTA(3)",3,3))))</f>
        <v/>
      </c>
      <c r="T216" s="10">
        <f>+IF(S216&lt;6,"BAJA",IF(S216&lt;8,"MEDIA","ALTA"))</f>
        <v/>
      </c>
      <c r="U216" s="10" t="inlineStr">
        <is>
          <t>-</t>
        </is>
      </c>
      <c r="V216" s="24" t="n">
        <v>45595</v>
      </c>
      <c r="W216" s="19" t="inlineStr">
        <is>
          <t>N/A</t>
        </is>
      </c>
      <c r="X216" s="10">
        <f>+IFERROR(IF(VLOOKUP(Tabla2[[#This Row],[ID]],'EVALUACION DE RIESGO'!A:A,1,FALSE)=Tabla2[[#This Row],[ID]],"SI","NO"),"NO")</f>
        <v/>
      </c>
      <c r="AD216">
        <f>IF(AND(Y216="",AA216=""),"",IF(OR(LEFT(AA216,2)="L0",LEFT(AA216,2)="L1",Y216="No Iniciado"),"CRÍTICO - Incumplimiento Normativo SEPS",IF(AND(OR(LEFT(AA216,2)="L4",LEFT(AA216,2)="L5"),AND(AC216&lt;&gt;"",AC216&lt;&gt;"N/A")),"CONFORME - Control Efectivo ISO 27001","OBSERVACIÓN - Revisar Controles")))</f>
        <v/>
      </c>
    </row>
    <row r="217">
      <c r="A217" s="99" t="inlineStr">
        <is>
          <t>36-GCA</t>
        </is>
      </c>
      <c r="B217" s="10" t="inlineStr">
        <is>
          <t>PRODUCTIVO</t>
        </is>
      </c>
      <c r="C217" s="10" t="inlineStr">
        <is>
          <t>Gestión de Captaciones</t>
        </is>
      </c>
      <c r="D217" s="10" t="inlineStr">
        <is>
          <t>GCA</t>
        </is>
      </c>
      <c r="E217" s="10" t="inlineStr">
        <is>
          <t xml:space="preserve">Ahorros a la Vista </t>
        </is>
      </c>
      <c r="F217" s="10" t="inlineStr">
        <is>
          <t xml:space="preserve">Gestión de Cuentas de Ahorro </t>
        </is>
      </c>
      <c r="G217" s="10" t="inlineStr">
        <is>
          <t>Bloqueo y desbloqueo de cuentas de ahorros</t>
        </is>
      </c>
      <c r="H217" s="10" t="inlineStr">
        <is>
          <t>Autorización de bloqueo de cuenta</t>
        </is>
      </c>
      <c r="I217" s="10" t="inlineStr">
        <is>
          <t>Formato realizado por los Asesores de Servicios de autorización para bloquear las cuentas de ahorro</t>
        </is>
      </c>
      <c r="J217" s="10" t="inlineStr">
        <is>
          <t xml:space="preserve">Jefe de Captaciones </t>
        </is>
      </c>
      <c r="K217" s="10" t="inlineStr">
        <is>
          <t>FIT</t>
        </is>
      </c>
      <c r="L217" s="10" t="inlineStr">
        <is>
          <t>UBICACIÓN DIGITAL-CORE FINANCIERO</t>
        </is>
      </c>
      <c r="M217" s="10" t="inlineStr">
        <is>
          <t>SISTEMAS DE INFORMACIÓN CORPORATIVOS</t>
        </is>
      </c>
      <c r="N217" s="10" t="inlineStr">
        <is>
          <t>PRIMARIOS</t>
        </is>
      </c>
      <c r="O217" s="10" t="inlineStr">
        <is>
          <t>DOCUMENTOS HABILITANTES</t>
        </is>
      </c>
      <c r="P217" s="10" t="inlineStr">
        <is>
          <t>USO INTERNO(2)</t>
        </is>
      </c>
      <c r="Q217" s="10" t="inlineStr">
        <is>
          <t>MEDIA(2)</t>
        </is>
      </c>
      <c r="R217" s="10" t="inlineStr">
        <is>
          <t>MEDIA(2)</t>
        </is>
      </c>
      <c r="S217" s="10">
        <f>+(IF(P217="PUBLICA(1)",1,IF(P217="USO INTERNO(2)",2,IF(P217="RESTRINGIDO(3)",3,3))))+(IF(Q217="BAJA(1)",1,IF(Q217="MEDIA(2)",2,IF(Q217="ALTA(3)",3,3))))+(IF(R217="BAJA(1)",1,IF(R217="MEDIA(2)",2,IF(R217="ALTA(3)",3,3))))</f>
        <v/>
      </c>
      <c r="T217" s="10">
        <f>+IF(S217&lt;6,"BAJA",IF(S217&lt;8,"MEDIA","ALTA"))</f>
        <v/>
      </c>
      <c r="U217" s="10" t="inlineStr">
        <is>
          <t>-</t>
        </is>
      </c>
      <c r="V217" s="24" t="n">
        <v>45595</v>
      </c>
      <c r="W217" s="19" t="inlineStr">
        <is>
          <t>N/A</t>
        </is>
      </c>
      <c r="X217" s="10">
        <f>+IFERROR(IF(VLOOKUP(Tabla2[[#This Row],[ID]],'EVALUACION DE RIESGO'!A:A,1,FALSE)=Tabla2[[#This Row],[ID]],"SI","NO"),"NO")</f>
        <v/>
      </c>
      <c r="AD217">
        <f>IF(AND(Y217="",AA217=""),"",IF(OR(LEFT(AA217,2)="L0",LEFT(AA217,2)="L1",Y217="No Iniciado"),"CRÍTICO - Incumplimiento Normativo SEPS",IF(AND(OR(LEFT(AA217,2)="L4",LEFT(AA217,2)="L5"),AND(AC217&lt;&gt;"",AC217&lt;&gt;"N/A")),"CONFORME - Control Efectivo ISO 27001","OBSERVACIÓN - Revisar Controles")))</f>
        <v/>
      </c>
    </row>
    <row r="218">
      <c r="A218" s="99" t="inlineStr">
        <is>
          <t>37-GCA</t>
        </is>
      </c>
      <c r="B218" s="10" t="inlineStr">
        <is>
          <t>PRODUCTIVO</t>
        </is>
      </c>
      <c r="C218" s="10" t="inlineStr">
        <is>
          <t>Gestión de Captaciones</t>
        </is>
      </c>
      <c r="D218" s="10" t="inlineStr">
        <is>
          <t>GCA</t>
        </is>
      </c>
      <c r="E218" s="10" t="inlineStr">
        <is>
          <t xml:space="preserve">Ahorros a la Vista </t>
        </is>
      </c>
      <c r="F218" s="10" t="inlineStr">
        <is>
          <t xml:space="preserve">Gestión de Cuentas de Ahorro </t>
        </is>
      </c>
      <c r="G218" s="10" t="inlineStr">
        <is>
          <t>Cierre de cuenta de ahorros y certificados de aportación</t>
        </is>
      </c>
      <c r="H218" s="10" t="inlineStr">
        <is>
          <t>Carta de cierre de cuenta / Solicitud de cierre de cuenta</t>
        </is>
      </c>
      <c r="I218" s="10" t="inlineStr">
        <is>
          <t>Documento del socio que realiza el socio, indicando el cierre de la cuenta.</t>
        </is>
      </c>
      <c r="J218" s="10" t="inlineStr">
        <is>
          <t xml:space="preserve">Jefe de Captaciones </t>
        </is>
      </c>
      <c r="K218" s="10" t="inlineStr">
        <is>
          <t>FIT</t>
        </is>
      </c>
      <c r="L218" s="10" t="inlineStr">
        <is>
          <t>UBICACIÓN DIGITAL-CORE FINANCIERO</t>
        </is>
      </c>
      <c r="M218" s="10" t="inlineStr">
        <is>
          <t>SISTEMAS DE INFORMACIÓN CORPORATIVOS</t>
        </is>
      </c>
      <c r="N218" s="10" t="inlineStr">
        <is>
          <t>PRIMARIOS</t>
        </is>
      </c>
      <c r="O218" s="10" t="inlineStr">
        <is>
          <t>DOCUMENTOS HABILITANTES</t>
        </is>
      </c>
      <c r="P218" s="10" t="inlineStr">
        <is>
          <t>USO INTERNO(2)</t>
        </is>
      </c>
      <c r="Q218" s="10" t="inlineStr">
        <is>
          <t>MEDIA(2)</t>
        </is>
      </c>
      <c r="R218" s="10" t="inlineStr">
        <is>
          <t>MEDIA(2)</t>
        </is>
      </c>
      <c r="S218" s="10">
        <f>+(IF(P218="PUBLICA(1)",1,IF(P218="USO INTERNO(2)",2,IF(P218="RESTRINGIDO(3)",3,3))))+(IF(Q218="BAJA(1)",1,IF(Q218="MEDIA(2)",2,IF(Q218="ALTA(3)",3,3))))+(IF(R218="BAJA(1)",1,IF(R218="MEDIA(2)",2,IF(R218="ALTA(3)",3,3))))</f>
        <v/>
      </c>
      <c r="T218" s="10">
        <f>+IF(S218&lt;6,"BAJA",IF(S218&lt;8,"MEDIA","ALTA"))</f>
        <v/>
      </c>
      <c r="U218" s="10" t="inlineStr">
        <is>
          <t>-</t>
        </is>
      </c>
      <c r="V218" s="24" t="n">
        <v>45595</v>
      </c>
      <c r="W218" s="19" t="inlineStr">
        <is>
          <t>N/A</t>
        </is>
      </c>
      <c r="X218" s="10">
        <f>+IFERROR(IF(VLOOKUP(Tabla2[[#This Row],[ID]],'EVALUACION DE RIESGO'!A:A,1,FALSE)=Tabla2[[#This Row],[ID]],"SI","NO"),"NO")</f>
        <v/>
      </c>
      <c r="AD218">
        <f>IF(AND(Y218="",AA218=""),"",IF(OR(LEFT(AA218,2)="L0",LEFT(AA218,2)="L1",Y218="No Iniciado"),"CRÍTICO - Incumplimiento Normativo SEPS",IF(AND(OR(LEFT(AA218,2)="L4",LEFT(AA218,2)="L5"),AND(AC218&lt;&gt;"",AC218&lt;&gt;"N/A")),"CONFORME - Control Efectivo ISO 27001","OBSERVACIÓN - Revisar Controles")))</f>
        <v/>
      </c>
    </row>
    <row r="219">
      <c r="A219" s="99" t="inlineStr">
        <is>
          <t>38-GCA</t>
        </is>
      </c>
      <c r="B219" s="10" t="inlineStr">
        <is>
          <t>PRODUCTIVO</t>
        </is>
      </c>
      <c r="C219" s="10" t="inlineStr">
        <is>
          <t>Gestión de Captaciones</t>
        </is>
      </c>
      <c r="D219" s="10" t="inlineStr">
        <is>
          <t>GCA</t>
        </is>
      </c>
      <c r="E219" s="10" t="inlineStr">
        <is>
          <t xml:space="preserve">Ahorros a la Vista </t>
        </is>
      </c>
      <c r="F219" s="10" t="inlineStr">
        <is>
          <t xml:space="preserve">Gestión de Cuentas de Ahorro </t>
        </is>
      </c>
      <c r="G219" s="10" t="inlineStr">
        <is>
          <t>Cierre de cuenta de ahorros y certificados de aportación</t>
        </is>
      </c>
      <c r="H219" s="10" t="inlineStr">
        <is>
          <t>Formulación de consentimiento de liquidación de haberes</t>
        </is>
      </c>
      <c r="I219" s="10" t="inlineStr">
        <is>
          <t xml:space="preserve">Formulario exportado del sistema donde se detalla el estado de la cuenta a cerrar </t>
        </is>
      </c>
      <c r="J219" s="10" t="inlineStr">
        <is>
          <t xml:space="preserve">Jefe de Captaciones </t>
        </is>
      </c>
      <c r="K219" s="10" t="inlineStr">
        <is>
          <t>FIT</t>
        </is>
      </c>
      <c r="L219" s="10" t="inlineStr">
        <is>
          <t>UBICACIÓN DIGITAL-CORE FINANCIERO</t>
        </is>
      </c>
      <c r="M219" s="10" t="inlineStr">
        <is>
          <t>SISTEMAS DE INFORMACIÓN CORPORATIVOS</t>
        </is>
      </c>
      <c r="N219" s="10" t="inlineStr">
        <is>
          <t>PRIMARIOS</t>
        </is>
      </c>
      <c r="O219" s="10" t="inlineStr">
        <is>
          <t>DOCUMENTOS HABILITANTES</t>
        </is>
      </c>
      <c r="P219" s="10" t="inlineStr">
        <is>
          <t>USO INTERNO(2)</t>
        </is>
      </c>
      <c r="Q219" s="10" t="inlineStr">
        <is>
          <t>MEDIA(2)</t>
        </is>
      </c>
      <c r="R219" s="10" t="inlineStr">
        <is>
          <t>MEDIA(2)</t>
        </is>
      </c>
      <c r="S219" s="10">
        <f>+(IF(P219="PUBLICA(1)",1,IF(P219="USO INTERNO(2)",2,IF(P219="RESTRINGIDO(3)",3,3))))+(IF(Q219="BAJA(1)",1,IF(Q219="MEDIA(2)",2,IF(Q219="ALTA(3)",3,3))))+(IF(R219="BAJA(1)",1,IF(R219="MEDIA(2)",2,IF(R219="ALTA(3)",3,3))))</f>
        <v/>
      </c>
      <c r="T219" s="10">
        <f>+IF(S219&lt;6,"BAJA",IF(S219&lt;8,"MEDIA","ALTA"))</f>
        <v/>
      </c>
      <c r="U219" s="10" t="inlineStr">
        <is>
          <t>-</t>
        </is>
      </c>
      <c r="V219" s="24" t="n">
        <v>45595</v>
      </c>
      <c r="W219" s="19" t="inlineStr">
        <is>
          <t>N/A</t>
        </is>
      </c>
      <c r="X219" s="10">
        <f>+IFERROR(IF(VLOOKUP(Tabla2[[#This Row],[ID]],'EVALUACION DE RIESGO'!A:A,1,FALSE)=Tabla2[[#This Row],[ID]],"SI","NO"),"NO")</f>
        <v/>
      </c>
      <c r="AD219">
        <f>IF(AND(Y219="",AA219=""),"",IF(OR(LEFT(AA219,2)="L0",LEFT(AA219,2)="L1",Y219="No Iniciado"),"CRÍTICO - Incumplimiento Normativo SEPS",IF(AND(OR(LEFT(AA219,2)="L4",LEFT(AA219,2)="L5"),AND(AC219&lt;&gt;"",AC219&lt;&gt;"N/A")),"CONFORME - Control Efectivo ISO 27001","OBSERVACIÓN - Revisar Controles")))</f>
        <v/>
      </c>
    </row>
    <row r="220">
      <c r="A220" s="99" t="inlineStr">
        <is>
          <t>39-GCA</t>
        </is>
      </c>
      <c r="B220" s="10" t="inlineStr">
        <is>
          <t>PRODUCTIVO</t>
        </is>
      </c>
      <c r="C220" s="10" t="inlineStr">
        <is>
          <t>Gestión de Captaciones</t>
        </is>
      </c>
      <c r="D220" s="10" t="inlineStr">
        <is>
          <t>GCA</t>
        </is>
      </c>
      <c r="E220" s="10" t="inlineStr">
        <is>
          <t xml:space="preserve">Ahorros a la Vista </t>
        </is>
      </c>
      <c r="F220" s="10" t="inlineStr">
        <is>
          <t xml:space="preserve">Gestión de Cuentas de Ahorro </t>
        </is>
      </c>
      <c r="G220" s="10" t="inlineStr">
        <is>
          <t xml:space="preserve">Transferencia de certificados de aportación            </t>
        </is>
      </c>
      <c r="H220" s="10" t="inlineStr">
        <is>
          <t>Solicitud de transferencias de certificados de aportación</t>
        </is>
      </c>
      <c r="I220" s="10" t="inlineStr">
        <is>
          <t>Documento donde se registra la cuenta e información del socio, firmas responsabilidad de clientes, asesor, consejo de administración en su aprobación anexa la cédula del cliente</t>
        </is>
      </c>
      <c r="J220" s="10" t="inlineStr">
        <is>
          <t xml:space="preserve">Jefe de Captaciones </t>
        </is>
      </c>
      <c r="K220" s="10" t="inlineStr">
        <is>
          <t>Asesor de Servicio</t>
        </is>
      </c>
      <c r="L220" s="10" t="inlineStr">
        <is>
          <t>DOCUMENTOS FISICOS-ARCHIVOS DE LA OFICINA</t>
        </is>
      </c>
      <c r="M220" s="10" t="inlineStr">
        <is>
          <t>DOCUMENTO DE ARCHIVO-FÍSICO</t>
        </is>
      </c>
      <c r="N220" s="10" t="inlineStr">
        <is>
          <t>PRIMARIOS</t>
        </is>
      </c>
      <c r="O220" s="10" t="inlineStr">
        <is>
          <t>DOCUMENTOS HABILITANTES</t>
        </is>
      </c>
      <c r="P220" s="10" t="inlineStr">
        <is>
          <t>PUBLICA(1)</t>
        </is>
      </c>
      <c r="Q220" s="10" t="inlineStr">
        <is>
          <t>MEDIA(2)</t>
        </is>
      </c>
      <c r="R220" s="10" t="inlineStr">
        <is>
          <t>MEDIA(2)</t>
        </is>
      </c>
      <c r="S220" s="10">
        <f>+(IF(P220="PUBLICA(1)",1,IF(P220="USO INTERNO(2)",2,IF(P220="RESTRINGIDO(3)",3,3))))+(IF(Q220="BAJA(1)",1,IF(Q220="MEDIA(2)",2,IF(Q220="ALTA(3)",3,3))))+(IF(R220="BAJA(1)",1,IF(R220="MEDIA(2)",2,IF(R220="ALTA(3)",3,3))))</f>
        <v/>
      </c>
      <c r="T220" s="10">
        <f>+IF(S220&lt;6,"BAJA",IF(S220&lt;8,"MEDIA","ALTA"))</f>
        <v/>
      </c>
      <c r="U220" s="10" t="inlineStr">
        <is>
          <t>-</t>
        </is>
      </c>
      <c r="V220" s="24" t="n">
        <v>45595</v>
      </c>
      <c r="W220" s="19" t="inlineStr">
        <is>
          <t>N/A</t>
        </is>
      </c>
      <c r="X220" s="10">
        <f>+IFERROR(IF(VLOOKUP(Tabla2[[#This Row],[ID]],'EVALUACION DE RIESGO'!A:A,1,FALSE)=Tabla2[[#This Row],[ID]],"SI","NO"),"NO")</f>
        <v/>
      </c>
      <c r="AD220">
        <f>IF(AND(Y220="",AA220=""),"",IF(OR(LEFT(AA220,2)="L0",LEFT(AA220,2)="L1",Y220="No Iniciado"),"CRÍTICO - Incumplimiento Normativo SEPS",IF(AND(OR(LEFT(AA220,2)="L4",LEFT(AA220,2)="L5"),AND(AC220&lt;&gt;"",AC220&lt;&gt;"N/A")),"CONFORME - Control Efectivo ISO 27001","OBSERVACIÓN - Revisar Controles")))</f>
        <v/>
      </c>
    </row>
    <row r="221">
      <c r="A221" s="99" t="inlineStr">
        <is>
          <t>40-GCA</t>
        </is>
      </c>
      <c r="B221" s="10" t="inlineStr">
        <is>
          <t>PRODUCTIVO</t>
        </is>
      </c>
      <c r="C221" s="10" t="inlineStr">
        <is>
          <t>Gestión de Captaciones</t>
        </is>
      </c>
      <c r="D221" s="10" t="inlineStr">
        <is>
          <t>GCA</t>
        </is>
      </c>
      <c r="E221" s="10" t="inlineStr">
        <is>
          <t xml:space="preserve">Ahorros a la Vista </t>
        </is>
      </c>
      <c r="F221" s="10" t="inlineStr">
        <is>
          <t xml:space="preserve">Gestión de Cuentas de Ahorro </t>
        </is>
      </c>
      <c r="G221" s="10" t="inlineStr">
        <is>
          <t xml:space="preserve">Transferencia de certificados de aportación            </t>
        </is>
      </c>
      <c r="H221" s="10" t="inlineStr">
        <is>
          <t>Detalle de socios receptores de transferencia de certificados de aportación</t>
        </is>
      </c>
      <c r="I221" s="10" t="inlineStr">
        <is>
          <t xml:space="preserve">Formato donde se registra el socio que reporta la devolución o transacción de valores entre cuentas de ahorro normas y certificados de aportación </t>
        </is>
      </c>
      <c r="J221" s="10" t="inlineStr">
        <is>
          <t xml:space="preserve">Jefe de Captaciones </t>
        </is>
      </c>
      <c r="K221" s="10" t="inlineStr">
        <is>
          <t>Asesor de Servicio</t>
        </is>
      </c>
      <c r="L221" s="10" t="inlineStr">
        <is>
          <t>UBICACIÓN DIGITAL-EQUIPO DEL CUSTODIO</t>
        </is>
      </c>
      <c r="M221" s="10" t="inlineStr">
        <is>
          <t>DISCOS DUROS, SERVIDORES, DISCOS O MEDIOS PORTÁTILES, CINTAS O MEDIOS DE VIDEO Y AUDIO, ETC.</t>
        </is>
      </c>
      <c r="N221" s="10" t="inlineStr">
        <is>
          <t>PRIMARIOS</t>
        </is>
      </c>
      <c r="O221" s="10" t="inlineStr">
        <is>
          <t>INFORMACIÓN DE SOCIOS Y CLIENTES</t>
        </is>
      </c>
      <c r="P221" s="10" t="inlineStr">
        <is>
          <t>PUBLICA(1)</t>
        </is>
      </c>
      <c r="Q221" s="10" t="inlineStr">
        <is>
          <t>MEDIA(2)</t>
        </is>
      </c>
      <c r="R221" s="10" t="inlineStr">
        <is>
          <t>BAJA(1)</t>
        </is>
      </c>
      <c r="S221" s="10">
        <f>+(IF(P221="PUBLICA(1)",1,IF(P221="USO INTERNO(2)",2,IF(P221="RESTRINGIDO(3)",3,3))))+(IF(Q221="BAJA(1)",1,IF(Q221="MEDIA(2)",2,IF(Q221="ALTA(3)",3,3))))+(IF(R221="BAJA(1)",1,IF(R221="MEDIA(2)",2,IF(R221="ALTA(3)",3,3))))</f>
        <v/>
      </c>
      <c r="T221" s="10">
        <f>+IF(S221&lt;6,"BAJA",IF(S221&lt;8,"MEDIA","ALTA"))</f>
        <v/>
      </c>
      <c r="U221" s="10" t="inlineStr">
        <is>
          <t>-</t>
        </is>
      </c>
      <c r="V221" s="24" t="n">
        <v>45595</v>
      </c>
      <c r="W221" s="19" t="inlineStr">
        <is>
          <t>N/A</t>
        </is>
      </c>
      <c r="X221" s="10">
        <f>+IFERROR(IF(VLOOKUP(Tabla2[[#This Row],[ID]],'EVALUACION DE RIESGO'!A:A,1,FALSE)=Tabla2[[#This Row],[ID]],"SI","NO"),"NO")</f>
        <v/>
      </c>
      <c r="AD221">
        <f>IF(AND(Y221="",AA221=""),"",IF(OR(LEFT(AA221,2)="L0",LEFT(AA221,2)="L1",Y221="No Iniciado"),"CRÍTICO - Incumplimiento Normativo SEPS",IF(AND(OR(LEFT(AA221,2)="L4",LEFT(AA221,2)="L5"),AND(AC221&lt;&gt;"",AC221&lt;&gt;"N/A")),"CONFORME - Control Efectivo ISO 27001","OBSERVACIÓN - Revisar Controles")))</f>
        <v/>
      </c>
    </row>
    <row r="222">
      <c r="A222" s="99" t="inlineStr">
        <is>
          <t>41-GCA</t>
        </is>
      </c>
      <c r="B222" s="10" t="inlineStr">
        <is>
          <t>PRODUCTIVO</t>
        </is>
      </c>
      <c r="C222" s="10" t="inlineStr">
        <is>
          <t>Gestión de Captaciones</t>
        </is>
      </c>
      <c r="D222" s="10" t="inlineStr">
        <is>
          <t>GCA</t>
        </is>
      </c>
      <c r="E222" s="10" t="inlineStr">
        <is>
          <t xml:space="preserve">Ahorros a la Vista </t>
        </is>
      </c>
      <c r="F222" s="10" t="inlineStr">
        <is>
          <t xml:space="preserve">Gestión de Cuentas de Ahorro </t>
        </is>
      </c>
      <c r="G222" s="10" t="inlineStr">
        <is>
          <t xml:space="preserve">Transferencia de certificados de aportación            </t>
        </is>
      </c>
      <c r="H222" s="10" t="inlineStr">
        <is>
          <t>Matriz consolidada de transferencias de certificados de aportación por agencia</t>
        </is>
      </c>
      <c r="I222" s="10" t="inlineStr">
        <is>
          <t>Consolidación de información de las transferencias realizadas de certificados de aportación</t>
        </is>
      </c>
      <c r="J222" s="10" t="inlineStr">
        <is>
          <t xml:space="preserve">Jefe de Captaciones </t>
        </is>
      </c>
      <c r="K222" s="10" t="inlineStr">
        <is>
          <t>Asesor de Servicio</t>
        </is>
      </c>
      <c r="L222" s="10" t="inlineStr">
        <is>
          <t>UBICACIÓN DIGITAL-EQUIPO DEL CUSTODIO</t>
        </is>
      </c>
      <c r="M222" s="10" t="inlineStr">
        <is>
          <t>DISCOS DUROS, SERVIDORES, DISCOS O MEDIOS PORTÁTILES, CINTAS O MEDIOS DE VIDEO Y AUDIO, ETC.</t>
        </is>
      </c>
      <c r="N222" s="10" t="inlineStr">
        <is>
          <t>PRIMARIOS</t>
        </is>
      </c>
      <c r="O222" s="10" t="inlineStr">
        <is>
          <t>INFORMACIÓN DE SOCIOS Y CLIENTES</t>
        </is>
      </c>
      <c r="P222" s="10" t="inlineStr">
        <is>
          <t>PUBLICA(1)</t>
        </is>
      </c>
      <c r="Q222" s="10" t="inlineStr">
        <is>
          <t>MEDIA(2)</t>
        </is>
      </c>
      <c r="R222" s="10" t="inlineStr">
        <is>
          <t>BAJA(1)</t>
        </is>
      </c>
      <c r="S222" s="10">
        <f>+(IF(P222="PUBLICA(1)",1,IF(P222="USO INTERNO(2)",2,IF(P222="RESTRINGIDO(3)",3,3))))+(IF(Q222="BAJA(1)",1,IF(Q222="MEDIA(2)",2,IF(Q222="ALTA(3)",3,3))))+(IF(R222="BAJA(1)",1,IF(R222="MEDIA(2)",2,IF(R222="ALTA(3)",3,3))))</f>
        <v/>
      </c>
      <c r="T222" s="10">
        <f>+IF(S222&lt;6,"BAJA",IF(S222&lt;8,"MEDIA","ALTA"))</f>
        <v/>
      </c>
      <c r="U222" s="10" t="inlineStr">
        <is>
          <t>-</t>
        </is>
      </c>
      <c r="V222" s="24" t="n">
        <v>45595</v>
      </c>
      <c r="W222" s="19" t="inlineStr">
        <is>
          <t>N/A</t>
        </is>
      </c>
      <c r="X222" s="10">
        <f>+IFERROR(IF(VLOOKUP(Tabla2[[#This Row],[ID]],'EVALUACION DE RIESGO'!A:A,1,FALSE)=Tabla2[[#This Row],[ID]],"SI","NO"),"NO")</f>
        <v/>
      </c>
      <c r="AD222">
        <f>IF(AND(Y222="",AA222=""),"",IF(OR(LEFT(AA222,2)="L0",LEFT(AA222,2)="L1",Y222="No Iniciado"),"CRÍTICO - Incumplimiento Normativo SEPS",IF(AND(OR(LEFT(AA222,2)="L4",LEFT(AA222,2)="L5"),AND(AC222&lt;&gt;"",AC222&lt;&gt;"N/A")),"CONFORME - Control Efectivo ISO 27001","OBSERVACIÓN - Revisar Controles")))</f>
        <v/>
      </c>
    </row>
    <row r="223">
      <c r="A223" s="99" t="inlineStr">
        <is>
          <t>42-GCA</t>
        </is>
      </c>
      <c r="B223" s="10" t="inlineStr">
        <is>
          <t>PRODUCTIVO</t>
        </is>
      </c>
      <c r="C223" s="10" t="inlineStr">
        <is>
          <t>Gestión de Captaciones</t>
        </is>
      </c>
      <c r="D223" s="10" t="inlineStr">
        <is>
          <t>GCA</t>
        </is>
      </c>
      <c r="E223" s="10" t="inlineStr">
        <is>
          <t xml:space="preserve">Ahorros a la Vista </t>
        </is>
      </c>
      <c r="F223" s="10" t="inlineStr">
        <is>
          <t xml:space="preserve">Gestión de Cuentas de Ahorro </t>
        </is>
      </c>
      <c r="G223" s="10" t="inlineStr">
        <is>
          <t>Elaboración, Anulación y canje de libretas de ahorro</t>
        </is>
      </c>
      <c r="H223" s="10" t="inlineStr">
        <is>
          <t>Libreta de ahorros</t>
        </is>
      </c>
      <c r="I223" s="10" t="inlineStr">
        <is>
          <t>Libreta de ahorros entrega al cliente donde se detalla el estado de la cuenta e información del cliente</t>
        </is>
      </c>
      <c r="J223" s="10" t="inlineStr">
        <is>
          <t xml:space="preserve">Jefe de Captaciones </t>
        </is>
      </c>
      <c r="K223" s="10" t="inlineStr">
        <is>
          <t>N/A</t>
        </is>
      </c>
      <c r="L223" s="10" t="inlineStr">
        <is>
          <t>DOCUMENTOS FISICOS-ARCHIVOS DE LA OFICINA</t>
        </is>
      </c>
      <c r="M223" s="10" t="inlineStr">
        <is>
          <t>DOCUMENTO DE ARCHIVO-FÍSICO</t>
        </is>
      </c>
      <c r="N223" s="10" t="inlineStr">
        <is>
          <t>PRIMARIOS</t>
        </is>
      </c>
      <c r="O223" s="10" t="inlineStr">
        <is>
          <t>DOCUMENTOS HABILITANTES</t>
        </is>
      </c>
      <c r="P223" s="10" t="inlineStr">
        <is>
          <t>USO INTERNO(2)</t>
        </is>
      </c>
      <c r="Q223" s="10" t="inlineStr">
        <is>
          <t>MEDIA(2)</t>
        </is>
      </c>
      <c r="R223" s="10" t="inlineStr">
        <is>
          <t>MEDIA(2)</t>
        </is>
      </c>
      <c r="S223" s="10">
        <f>+(IF(P223="PUBLICA(1)",1,IF(P223="USO INTERNO(2)",2,IF(P223="RESTRINGIDO(3)",3,3))))+(IF(Q223="BAJA(1)",1,IF(Q223="MEDIA(2)",2,IF(Q223="ALTA(3)",3,3))))+(IF(R223="BAJA(1)",1,IF(R223="MEDIA(2)",2,IF(R223="ALTA(3)",3,3))))</f>
        <v/>
      </c>
      <c r="T223" s="10">
        <f>+IF(S223&lt;6,"BAJA",IF(S223&lt;8,"MEDIA","ALTA"))</f>
        <v/>
      </c>
      <c r="U223" s="10" t="inlineStr">
        <is>
          <t>-</t>
        </is>
      </c>
      <c r="V223" s="24" t="n">
        <v>45595</v>
      </c>
      <c r="W223" s="19" t="inlineStr">
        <is>
          <t>N/A</t>
        </is>
      </c>
      <c r="X223" s="10">
        <f>+IFERROR(IF(VLOOKUP(Tabla2[[#This Row],[ID]],'EVALUACION DE RIESGO'!A:A,1,FALSE)=Tabla2[[#This Row],[ID]],"SI","NO"),"NO")</f>
        <v/>
      </c>
      <c r="AD223">
        <f>IF(AND(Y223="",AA223=""),"",IF(OR(LEFT(AA223,2)="L0",LEFT(AA223,2)="L1",Y223="No Iniciado"),"CRÍTICO - Incumplimiento Normativo SEPS",IF(AND(OR(LEFT(AA223,2)="L4",LEFT(AA223,2)="L5"),AND(AC223&lt;&gt;"",AC223&lt;&gt;"N/A")),"CONFORME - Control Efectivo ISO 27001","OBSERVACIÓN - Revisar Controles")))</f>
        <v/>
      </c>
    </row>
    <row r="224">
      <c r="A224" s="99" t="inlineStr">
        <is>
          <t>43-GCA</t>
        </is>
      </c>
      <c r="B224" s="10" t="inlineStr">
        <is>
          <t>PRODUCTIVO</t>
        </is>
      </c>
      <c r="C224" s="10" t="inlineStr">
        <is>
          <t>Gestión de Captaciones</t>
        </is>
      </c>
      <c r="D224" s="10" t="inlineStr">
        <is>
          <t>GCA</t>
        </is>
      </c>
      <c r="E224" s="10" t="inlineStr">
        <is>
          <t xml:space="preserve">Ahorros a la Vista </t>
        </is>
      </c>
      <c r="F224" s="10" t="inlineStr">
        <is>
          <t xml:space="preserve">Gestión de Cuentas de Ahorro </t>
        </is>
      </c>
      <c r="G224" s="10" t="inlineStr">
        <is>
          <t>Elaboración, Anulación y canje de libretas de ahorro</t>
        </is>
      </c>
      <c r="H224" s="10" t="inlineStr">
        <is>
          <t>Denuncia realizada en la página del Consejo de la Judicatura, Sistema de Documentos Extraviados</t>
        </is>
      </c>
      <c r="I224" s="10" t="inlineStr">
        <is>
          <t xml:space="preserve">Denuncia impresa del Consejo de la Judicatura  realizada por el cliente </t>
        </is>
      </c>
      <c r="J224" s="10" t="inlineStr">
        <is>
          <t xml:space="preserve">Jefe de Captaciones </t>
        </is>
      </c>
      <c r="K224" s="10" t="inlineStr">
        <is>
          <t>Asesor de Servicio</t>
        </is>
      </c>
      <c r="L224" s="10" t="inlineStr">
        <is>
          <t>DOCUMENTOS FISICOS-ARCHIVOS DE LA OFICINA</t>
        </is>
      </c>
      <c r="M224" s="10" t="inlineStr">
        <is>
          <t>DOCUMENTO DE ARCHIVO-FÍSICO</t>
        </is>
      </c>
      <c r="N224" s="10" t="inlineStr">
        <is>
          <t>PRIMARIOS</t>
        </is>
      </c>
      <c r="O224" s="10" t="inlineStr">
        <is>
          <t>INFORMACIÓN DE SOCIOS Y CLIENTES</t>
        </is>
      </c>
      <c r="P224" s="10" t="inlineStr">
        <is>
          <t>USO INTERNO(2)</t>
        </is>
      </c>
      <c r="Q224" s="10" t="inlineStr">
        <is>
          <t>MEDIA(2)</t>
        </is>
      </c>
      <c r="R224" s="10" t="inlineStr">
        <is>
          <t>BAJA(1)</t>
        </is>
      </c>
      <c r="S224" s="10">
        <f>+(IF(P224="PUBLICA(1)",1,IF(P224="USO INTERNO(2)",2,IF(P224="RESTRINGIDO(3)",3,3))))+(IF(Q224="BAJA(1)",1,IF(Q224="MEDIA(2)",2,IF(Q224="ALTA(3)",3,3))))+(IF(R224="BAJA(1)",1,IF(R224="MEDIA(2)",2,IF(R224="ALTA(3)",3,3))))</f>
        <v/>
      </c>
      <c r="T224" s="10">
        <f>+IF(S224&lt;6,"BAJA",IF(S224&lt;8,"MEDIA","ALTA"))</f>
        <v/>
      </c>
      <c r="U224" s="10" t="inlineStr">
        <is>
          <t>-</t>
        </is>
      </c>
      <c r="V224" s="24" t="n">
        <v>45595</v>
      </c>
      <c r="W224" s="19" t="inlineStr">
        <is>
          <t>N/A</t>
        </is>
      </c>
      <c r="X224" s="10">
        <f>+IFERROR(IF(VLOOKUP(Tabla2[[#This Row],[ID]],'EVALUACION DE RIESGO'!A:A,1,FALSE)=Tabla2[[#This Row],[ID]],"SI","NO"),"NO")</f>
        <v/>
      </c>
      <c r="AD224">
        <f>IF(AND(Y224="",AA224=""),"",IF(OR(LEFT(AA224,2)="L0",LEFT(AA224,2)="L1",Y224="No Iniciado"),"CRÍTICO - Incumplimiento Normativo SEPS",IF(AND(OR(LEFT(AA224,2)="L4",LEFT(AA224,2)="L5"),AND(AC224&lt;&gt;"",AC224&lt;&gt;"N/A")),"CONFORME - Control Efectivo ISO 27001","OBSERVACIÓN - Revisar Controles")))</f>
        <v/>
      </c>
    </row>
    <row r="225">
      <c r="A225" s="99" t="inlineStr">
        <is>
          <t>44-GCA</t>
        </is>
      </c>
      <c r="B225" s="10" t="inlineStr">
        <is>
          <t>PRODUCTIVO</t>
        </is>
      </c>
      <c r="C225" s="10" t="inlineStr">
        <is>
          <t>Gestión de Captaciones</t>
        </is>
      </c>
      <c r="D225" s="10" t="inlineStr">
        <is>
          <t>GCA</t>
        </is>
      </c>
      <c r="E225" s="10" t="inlineStr">
        <is>
          <t xml:space="preserve">Ahorros a la Vista </t>
        </is>
      </c>
      <c r="F225" s="10" t="inlineStr">
        <is>
          <t xml:space="preserve">Gestión de Cuentas de Ahorro </t>
        </is>
      </c>
      <c r="G225" s="10" t="inlineStr">
        <is>
          <t>Elaboración, Anulación y canje de libretas de ahorro</t>
        </is>
      </c>
      <c r="H225" s="10" t="inlineStr">
        <is>
          <t>Autorización de débito servicios corporativos</t>
        </is>
      </c>
      <c r="I225" s="10" t="inlineStr">
        <is>
          <t>Formato firmado por el cliente donde se detallan los débitos realizados y motivos</t>
        </is>
      </c>
      <c r="J225" s="10" t="inlineStr">
        <is>
          <t xml:space="preserve">Jefe de Captaciones </t>
        </is>
      </c>
      <c r="K225" s="10" t="inlineStr">
        <is>
          <t>Asesor de Servicio</t>
        </is>
      </c>
      <c r="L225" s="10" t="inlineStr">
        <is>
          <t>DOCUMENTOS FISICOS-ARCHIVOS DE LA OFICINA</t>
        </is>
      </c>
      <c r="M225" s="10" t="inlineStr">
        <is>
          <t>DOCUMENTO DE ARCHIVO-FÍSICO</t>
        </is>
      </c>
      <c r="N225" s="10" t="inlineStr">
        <is>
          <t>PRIMARIOS</t>
        </is>
      </c>
      <c r="O225" s="10" t="inlineStr">
        <is>
          <t>DOCUMENTOS HABILITANTES</t>
        </is>
      </c>
      <c r="P225" s="10" t="inlineStr">
        <is>
          <t>PUBLICA(1)</t>
        </is>
      </c>
      <c r="Q225" s="10" t="inlineStr">
        <is>
          <t>MEDIA(2)</t>
        </is>
      </c>
      <c r="R225" s="10" t="inlineStr">
        <is>
          <t>MEDIA(2)</t>
        </is>
      </c>
      <c r="S225" s="10">
        <f>+(IF(P225="PUBLICA(1)",1,IF(P225="USO INTERNO(2)",2,IF(P225="RESTRINGIDO(3)",3,3))))+(IF(Q225="BAJA(1)",1,IF(Q225="MEDIA(2)",2,IF(Q225="ALTA(3)",3,3))))+(IF(R225="BAJA(1)",1,IF(R225="MEDIA(2)",2,IF(R225="ALTA(3)",3,3))))</f>
        <v/>
      </c>
      <c r="T225" s="10">
        <f>+IF(S225&lt;6,"BAJA",IF(S225&lt;8,"MEDIA","ALTA"))</f>
        <v/>
      </c>
      <c r="U225" s="10" t="inlineStr">
        <is>
          <t>-</t>
        </is>
      </c>
      <c r="V225" s="24" t="n">
        <v>45595</v>
      </c>
      <c r="W225" s="19" t="inlineStr">
        <is>
          <t>N/A</t>
        </is>
      </c>
      <c r="X225" s="10">
        <f>+IFERROR(IF(VLOOKUP(Tabla2[[#This Row],[ID]],'EVALUACION DE RIESGO'!A:A,1,FALSE)=Tabla2[[#This Row],[ID]],"SI","NO"),"NO")</f>
        <v/>
      </c>
      <c r="AD225">
        <f>IF(AND(Y225="",AA225=""),"",IF(OR(LEFT(AA225,2)="L0",LEFT(AA225,2)="L1",Y225="No Iniciado"),"CRÍTICO - Incumplimiento Normativo SEPS",IF(AND(OR(LEFT(AA225,2)="L4",LEFT(AA225,2)="L5"),AND(AC225&lt;&gt;"",AC225&lt;&gt;"N/A")),"CONFORME - Control Efectivo ISO 27001","OBSERVACIÓN - Revisar Controles")))</f>
        <v/>
      </c>
    </row>
    <row r="226">
      <c r="A226" s="99" t="inlineStr">
        <is>
          <t>45-GCA</t>
        </is>
      </c>
      <c r="B226" s="10" t="inlineStr">
        <is>
          <t>PRODUCTIVO</t>
        </is>
      </c>
      <c r="C226" s="10" t="inlineStr">
        <is>
          <t>Gestión de Captaciones</t>
        </is>
      </c>
      <c r="D226" s="10" t="inlineStr">
        <is>
          <t>GCA</t>
        </is>
      </c>
      <c r="E226" s="10" t="inlineStr">
        <is>
          <t xml:space="preserve">Ahorros a la Vista </t>
        </is>
      </c>
      <c r="F226" s="10" t="inlineStr">
        <is>
          <t xml:space="preserve">Gestión de Cuentas de Ahorro </t>
        </is>
      </c>
      <c r="G226" s="10" t="inlineStr">
        <is>
          <t>Elaboración, Anulación y canje de libretas de ahorro</t>
        </is>
      </c>
      <c r="H226" s="10" t="inlineStr">
        <is>
          <t>Registro de datos de nueva libreta</t>
        </is>
      </c>
      <c r="I226" s="10" t="inlineStr">
        <is>
          <t>Registro de datos realizado en el sistema, a tanto la cuenta y numero de cartola</t>
        </is>
      </c>
      <c r="J226" s="10" t="inlineStr">
        <is>
          <t xml:space="preserve">Jefe de Captaciones </t>
        </is>
      </c>
      <c r="K226" s="10" t="inlineStr">
        <is>
          <t>FIT</t>
        </is>
      </c>
      <c r="L226" s="10" t="inlineStr">
        <is>
          <t>UBICACIÓN DIGITAL-CORE FINANCIERO</t>
        </is>
      </c>
      <c r="M226" s="10" t="inlineStr">
        <is>
          <t>SISTEMAS DE INFORMACIÓN CORPORATIVOS</t>
        </is>
      </c>
      <c r="N226" s="10" t="inlineStr">
        <is>
          <t>PRIMARIOS</t>
        </is>
      </c>
      <c r="O226" s="10" t="inlineStr">
        <is>
          <t>DOCUMENTOS HABILITANTES</t>
        </is>
      </c>
      <c r="P226" s="10" t="inlineStr">
        <is>
          <t>PUBLICA(1)</t>
        </is>
      </c>
      <c r="Q226" s="10" t="inlineStr">
        <is>
          <t>MEDIA(2)</t>
        </is>
      </c>
      <c r="R226" s="10" t="inlineStr">
        <is>
          <t>MEDIA(2)</t>
        </is>
      </c>
      <c r="S226" s="10">
        <f>+(IF(P226="PUBLICA(1)",1,IF(P226="USO INTERNO(2)",2,IF(P226="RESTRINGIDO(3)",3,3))))+(IF(Q226="BAJA(1)",1,IF(Q226="MEDIA(2)",2,IF(Q226="ALTA(3)",3,3))))+(IF(R226="BAJA(1)",1,IF(R226="MEDIA(2)",2,IF(R226="ALTA(3)",3,3))))</f>
        <v/>
      </c>
      <c r="T226" s="10">
        <f>+IF(S226&lt;6,"BAJA",IF(S226&lt;8,"MEDIA","ALTA"))</f>
        <v/>
      </c>
      <c r="U226" s="10" t="inlineStr">
        <is>
          <t>-</t>
        </is>
      </c>
      <c r="V226" s="24" t="n">
        <v>45595</v>
      </c>
      <c r="W226" s="19" t="inlineStr">
        <is>
          <t>N/A</t>
        </is>
      </c>
      <c r="X226" s="10">
        <f>+IFERROR(IF(VLOOKUP(Tabla2[[#This Row],[ID]],'EVALUACION DE RIESGO'!A:A,1,FALSE)=Tabla2[[#This Row],[ID]],"SI","NO"),"NO")</f>
        <v/>
      </c>
      <c r="AD226">
        <f>IF(AND(Y226="",AA226=""),"",IF(OR(LEFT(AA226,2)="L0",LEFT(AA226,2)="L1",Y226="No Iniciado"),"CRÍTICO - Incumplimiento Normativo SEPS",IF(AND(OR(LEFT(AA226,2)="L4",LEFT(AA226,2)="L5"),AND(AC226&lt;&gt;"",AC226&lt;&gt;"N/A")),"CONFORME - Control Efectivo ISO 27001","OBSERVACIÓN - Revisar Controles")))</f>
        <v/>
      </c>
    </row>
    <row r="227">
      <c r="A227" s="99" t="inlineStr">
        <is>
          <t>46-GCA</t>
        </is>
      </c>
      <c r="B227" s="10" t="inlineStr">
        <is>
          <t>PRODUCTIVO</t>
        </is>
      </c>
      <c r="C227" s="10" t="inlineStr">
        <is>
          <t>Gestión de Captaciones</t>
        </is>
      </c>
      <c r="D227" s="10" t="inlineStr">
        <is>
          <t>GCA</t>
        </is>
      </c>
      <c r="E227" s="10" t="inlineStr">
        <is>
          <t xml:space="preserve">Ahorros a la Vista </t>
        </is>
      </c>
      <c r="F227" s="10" t="inlineStr">
        <is>
          <t xml:space="preserve">Gestión de Cuentas de Ahorro </t>
        </is>
      </c>
      <c r="G227" s="10" t="inlineStr">
        <is>
          <t xml:space="preserve">Informe de aperturas y cierres de cuentas             </t>
        </is>
      </c>
      <c r="H227" s="10" t="inlineStr">
        <is>
          <t>Informe de cuentas aperturadas y cerradas</t>
        </is>
      </c>
      <c r="I227" s="10" t="inlineStr">
        <is>
          <t>Oficio que detalla la política, actividad de ahorros a la vista, cuentas aperturadas por producto con oficina cantidad y monto, se agrega un cuadro de crecimiento, motivos de cierres de cuentas , detalle del total de cuentas y socios activos e inactivos</t>
        </is>
      </c>
      <c r="J227" s="10" t="inlineStr">
        <is>
          <t xml:space="preserve">Jefe de Captaciones </t>
        </is>
      </c>
      <c r="K227" s="10" t="inlineStr">
        <is>
          <t>Analista de Negocios</t>
        </is>
      </c>
      <c r="L227" s="10" t="inlineStr">
        <is>
          <t>UBICACIÓN DIGITAL-EQUIPO DEL CUSTODIO</t>
        </is>
      </c>
      <c r="M227" s="10" t="inlineStr">
        <is>
          <t>DISCOS DUROS, SERVIDORES, DISCOS O MEDIOS PORTÁTILES, CINTAS O MEDIOS DE VIDEO Y AUDIO, ETC.</t>
        </is>
      </c>
      <c r="N227" s="10" t="inlineStr">
        <is>
          <t>PRIMARIOS</t>
        </is>
      </c>
      <c r="O227" s="10" t="inlineStr">
        <is>
          <t>INFORMACIÓN DE SOCIOS Y CLIENTES</t>
        </is>
      </c>
      <c r="P227" s="10" t="inlineStr">
        <is>
          <t>USO INTERNO(2)</t>
        </is>
      </c>
      <c r="Q227" s="10" t="inlineStr">
        <is>
          <t>MEDIA(2)</t>
        </is>
      </c>
      <c r="R227" s="10" t="inlineStr">
        <is>
          <t>BAJA(1)</t>
        </is>
      </c>
      <c r="S227" s="10">
        <f>+(IF(P227="PUBLICA(1)",1,IF(P227="USO INTERNO(2)",2,IF(P227="RESTRINGIDO(3)",3,3))))+(IF(Q227="BAJA(1)",1,IF(Q227="MEDIA(2)",2,IF(Q227="ALTA(3)",3,3))))+(IF(R227="BAJA(1)",1,IF(R227="MEDIA(2)",2,IF(R227="ALTA(3)",3,3))))</f>
        <v/>
      </c>
      <c r="T227" s="10">
        <f>+IF(S227&lt;6,"BAJA",IF(S227&lt;8,"MEDIA","ALTA"))</f>
        <v/>
      </c>
      <c r="U227" s="10" t="inlineStr">
        <is>
          <t>-</t>
        </is>
      </c>
      <c r="V227" s="24" t="n">
        <v>45595</v>
      </c>
      <c r="W227" s="19" t="inlineStr">
        <is>
          <t>N/A</t>
        </is>
      </c>
      <c r="X227" s="10">
        <f>+IFERROR(IF(VLOOKUP(Tabla2[[#This Row],[ID]],'EVALUACION DE RIESGO'!A:A,1,FALSE)=Tabla2[[#This Row],[ID]],"SI","NO"),"NO")</f>
        <v/>
      </c>
      <c r="AD227">
        <f>IF(AND(Y227="",AA227=""),"",IF(OR(LEFT(AA227,2)="L0",LEFT(AA227,2)="L1",Y227="No Iniciado"),"CRÍTICO - Incumplimiento Normativo SEPS",IF(AND(OR(LEFT(AA227,2)="L4",LEFT(AA227,2)="L5"),AND(AC227&lt;&gt;"",AC227&lt;&gt;"N/A")),"CONFORME - Control Efectivo ISO 27001","OBSERVACIÓN - Revisar Controles")))</f>
        <v/>
      </c>
    </row>
    <row r="228">
      <c r="A228" s="99" t="inlineStr">
        <is>
          <t>47-GCA</t>
        </is>
      </c>
      <c r="B228" s="10" t="inlineStr">
        <is>
          <t>PRODUCTIVO</t>
        </is>
      </c>
      <c r="C228" s="10" t="inlineStr">
        <is>
          <t>Gestión de Captaciones</t>
        </is>
      </c>
      <c r="D228" s="10" t="inlineStr">
        <is>
          <t>GCA</t>
        </is>
      </c>
      <c r="E228" s="10" t="inlineStr">
        <is>
          <t xml:space="preserve">Ahorros a la Vista </t>
        </is>
      </c>
      <c r="F228" s="10" t="inlineStr">
        <is>
          <t xml:space="preserve">Gestión de Cuentas de Ahorro </t>
        </is>
      </c>
      <c r="G228" s="10" t="inlineStr">
        <is>
          <t xml:space="preserve">Informe de aperturas y cierres de cuentas             </t>
        </is>
      </c>
      <c r="H228" s="10" t="inlineStr">
        <is>
          <t>Reporte de cuentas con saldo inferiores al monto establecido</t>
        </is>
      </c>
      <c r="I228" s="10" t="inlineStr">
        <is>
          <t>Reporte de cuentas con saldos inferiores gestionado por operaciones y riesgos con información del cliente</t>
        </is>
      </c>
      <c r="J228" s="10" t="inlineStr">
        <is>
          <t xml:space="preserve">Jefe de Captaciones </t>
        </is>
      </c>
      <c r="K228" s="10" t="inlineStr">
        <is>
          <t>Analista de Negocios</t>
        </is>
      </c>
      <c r="L228" s="10" t="inlineStr">
        <is>
          <t>UBICACIÓN DIGITAL-EQUIPO DEL CUSTODIO</t>
        </is>
      </c>
      <c r="M228" s="10" t="inlineStr">
        <is>
          <t>DISCOS DUROS, SERVIDORES, DISCOS O MEDIOS PORTÁTILES, CINTAS O MEDIOS DE VIDEO Y AUDIO, ETC.</t>
        </is>
      </c>
      <c r="N228" s="10" t="inlineStr">
        <is>
          <t>PRIMARIOS</t>
        </is>
      </c>
      <c r="O228" s="10" t="inlineStr">
        <is>
          <t>INFORMACIÓN DE SOCIOS Y CLIENTES</t>
        </is>
      </c>
      <c r="P228" s="10" t="inlineStr">
        <is>
          <t>USO INTERNO(2)</t>
        </is>
      </c>
      <c r="Q228" s="10" t="inlineStr">
        <is>
          <t>MEDIA(2)</t>
        </is>
      </c>
      <c r="R228" s="10" t="inlineStr">
        <is>
          <t>BAJA(1)</t>
        </is>
      </c>
      <c r="S228" s="10">
        <f>+(IF(P228="PUBLICA(1)",1,IF(P228="USO INTERNO(2)",2,IF(P228="RESTRINGIDO(3)",3,3))))+(IF(Q228="BAJA(1)",1,IF(Q228="MEDIA(2)",2,IF(Q228="ALTA(3)",3,3))))+(IF(R228="BAJA(1)",1,IF(R228="MEDIA(2)",2,IF(R228="ALTA(3)",3,3))))</f>
        <v/>
      </c>
      <c r="T228" s="10">
        <f>+IF(S228&lt;6,"BAJA",IF(S228&lt;8,"MEDIA","ALTA"))</f>
        <v/>
      </c>
      <c r="U228" s="10" t="inlineStr">
        <is>
          <t>-</t>
        </is>
      </c>
      <c r="V228" s="24" t="n">
        <v>45595</v>
      </c>
      <c r="W228" s="19" t="inlineStr">
        <is>
          <t>N/A</t>
        </is>
      </c>
      <c r="X228" s="10">
        <f>+IFERROR(IF(VLOOKUP(Tabla2[[#This Row],[ID]],'EVALUACION DE RIESGO'!A:A,1,FALSE)=Tabla2[[#This Row],[ID]],"SI","NO"),"NO")</f>
        <v/>
      </c>
      <c r="AD228">
        <f>IF(AND(Y228="",AA228=""),"",IF(OR(LEFT(AA228,2)="L0",LEFT(AA228,2)="L1",Y228="No Iniciado"),"CRÍTICO - Incumplimiento Normativo SEPS",IF(AND(OR(LEFT(AA228,2)="L4",LEFT(AA228,2)="L5"),AND(AC228&lt;&gt;"",AC228&lt;&gt;"N/A")),"CONFORME - Control Efectivo ISO 27001","OBSERVACIÓN - Revisar Controles")))</f>
        <v/>
      </c>
    </row>
    <row r="229">
      <c r="A229" s="99" t="inlineStr">
        <is>
          <t>48-GCA</t>
        </is>
      </c>
      <c r="B229" s="10" t="inlineStr">
        <is>
          <t>PRODUCTIVO</t>
        </is>
      </c>
      <c r="C229" s="10" t="inlineStr">
        <is>
          <t>Gestión de Captaciones</t>
        </is>
      </c>
      <c r="D229" s="10" t="inlineStr">
        <is>
          <t>GCA</t>
        </is>
      </c>
      <c r="E229" s="10" t="inlineStr">
        <is>
          <t xml:space="preserve">Ahorros a la Vista </t>
        </is>
      </c>
      <c r="F229" s="10" t="inlineStr">
        <is>
          <t xml:space="preserve">Gestión  de Ahorro Programado </t>
        </is>
      </c>
      <c r="G229" s="10" t="inlineStr">
        <is>
          <t xml:space="preserve">Apertura de cuenta de ahorro programado       </t>
        </is>
      </c>
      <c r="H229" s="10" t="inlineStr">
        <is>
          <t>File del socio</t>
        </is>
      </c>
      <c r="I229" s="10" t="inlineStr">
        <is>
          <t>File consolidado ingresado al sistema Fit con toda la documentación necesaria para la apertura de la cuenta</t>
        </is>
      </c>
      <c r="J229" s="10" t="inlineStr">
        <is>
          <t xml:space="preserve">Jefe de Captaciones </t>
        </is>
      </c>
      <c r="K229" s="10" t="inlineStr">
        <is>
          <t>FIT</t>
        </is>
      </c>
      <c r="L229" s="10" t="inlineStr">
        <is>
          <t>UBICACIÓN DIGITAL-CORE FINANCIERO</t>
        </is>
      </c>
      <c r="M229" s="10" t="inlineStr">
        <is>
          <t>SISTEMAS DE INFORMACIÓN CORPORATIVOS</t>
        </is>
      </c>
      <c r="N229" s="10" t="inlineStr">
        <is>
          <t>PRIMARIOS</t>
        </is>
      </c>
      <c r="O229" s="10" t="inlineStr">
        <is>
          <t>INFORMACIÓN DE SOCIOS Y CLIENTES</t>
        </is>
      </c>
      <c r="P229" s="10" t="inlineStr">
        <is>
          <t>USO INTERNO(2)</t>
        </is>
      </c>
      <c r="Q229" s="10" t="inlineStr">
        <is>
          <t>MEDIA(2)</t>
        </is>
      </c>
      <c r="R229" s="10" t="inlineStr">
        <is>
          <t>MEDIA(2)</t>
        </is>
      </c>
      <c r="S229" s="10">
        <f>+(IF(P229="PUBLICA(1)",1,IF(P229="USO INTERNO(2)",2,IF(P229="RESTRINGIDO(3)",3,3))))+(IF(Q229="BAJA(1)",1,IF(Q229="MEDIA(2)",2,IF(Q229="ALTA(3)",3,3))))+(IF(R229="BAJA(1)",1,IF(R229="MEDIA(2)",2,IF(R229="ALTA(3)",3,3))))</f>
        <v/>
      </c>
      <c r="T229" s="10">
        <f>+IF(S229&lt;6,"BAJA",IF(S229&lt;8,"MEDIA","ALTA"))</f>
        <v/>
      </c>
      <c r="U229" s="10" t="inlineStr">
        <is>
          <t>-</t>
        </is>
      </c>
      <c r="V229" s="24" t="n">
        <v>45595</v>
      </c>
      <c r="W229" s="19" t="inlineStr">
        <is>
          <t>N/A</t>
        </is>
      </c>
      <c r="X229" s="10">
        <f>+IFERROR(IF(VLOOKUP(Tabla2[[#This Row],[ID]],'EVALUACION DE RIESGO'!A:A,1,FALSE)=Tabla2[[#This Row],[ID]],"SI","NO"),"NO")</f>
        <v/>
      </c>
      <c r="AD229">
        <f>IF(AND(Y229="",AA229=""),"",IF(OR(LEFT(AA229,2)="L0",LEFT(AA229,2)="L1",Y229="No Iniciado"),"CRÍTICO - Incumplimiento Normativo SEPS",IF(AND(OR(LEFT(AA229,2)="L4",LEFT(AA229,2)="L5"),AND(AC229&lt;&gt;"",AC229&lt;&gt;"N/A")),"CONFORME - Control Efectivo ISO 27001","OBSERVACIÓN - Revisar Controles")))</f>
        <v/>
      </c>
    </row>
    <row r="230">
      <c r="A230" s="99" t="inlineStr">
        <is>
          <t>49-GCA</t>
        </is>
      </c>
      <c r="B230" s="10" t="inlineStr">
        <is>
          <t>PRODUCTIVO</t>
        </is>
      </c>
      <c r="C230" s="10" t="inlineStr">
        <is>
          <t>Gestión de Captaciones</t>
        </is>
      </c>
      <c r="D230" s="10" t="inlineStr">
        <is>
          <t>GCA</t>
        </is>
      </c>
      <c r="E230" s="10" t="inlineStr">
        <is>
          <t xml:space="preserve">Ahorros a la Vista </t>
        </is>
      </c>
      <c r="F230" s="10" t="inlineStr">
        <is>
          <t xml:space="preserve">Gestión  de Ahorro Programado </t>
        </is>
      </c>
      <c r="G230" s="10" t="inlineStr">
        <is>
          <t xml:space="preserve">Apertura de cuenta de ahorro programado       </t>
        </is>
      </c>
      <c r="H230" s="10" t="inlineStr">
        <is>
          <t>Contrato de Apertura de Cuentas de Ahorro</t>
        </is>
      </c>
      <c r="I230" s="10" t="inlineStr">
        <is>
          <t>Documento de contrato que contiene información del socio y términos y condiciones del contrato, contiene firmas de validación</t>
        </is>
      </c>
      <c r="J230" s="10" t="inlineStr">
        <is>
          <t xml:space="preserve">Jefe de Captaciones </t>
        </is>
      </c>
      <c r="K230" s="10" t="inlineStr">
        <is>
          <t>Asesor de Servicio</t>
        </is>
      </c>
      <c r="L230" s="10" t="inlineStr">
        <is>
          <t>DOCUMENTOS FISICOS-ARCHIVOS DE LA OFICINA</t>
        </is>
      </c>
      <c r="M230" s="10" t="inlineStr">
        <is>
          <t>DOCUMENTO DE ARCHIVO-FÍSICO</t>
        </is>
      </c>
      <c r="N230" s="10" t="inlineStr">
        <is>
          <t>PRIMARIOS</t>
        </is>
      </c>
      <c r="O230" s="10" t="inlineStr">
        <is>
          <t>DOCUMENTOS HABILITANTES</t>
        </is>
      </c>
      <c r="P230" s="10" t="inlineStr">
        <is>
          <t>USO INTERNO(2)</t>
        </is>
      </c>
      <c r="Q230" s="10" t="inlineStr">
        <is>
          <t>MEDIA(2)</t>
        </is>
      </c>
      <c r="R230" s="10" t="inlineStr">
        <is>
          <t>MEDIA(2)</t>
        </is>
      </c>
      <c r="S230" s="10">
        <f>+(IF(P230="PUBLICA(1)",1,IF(P230="USO INTERNO(2)",2,IF(P230="RESTRINGIDO(3)",3,3))))+(IF(Q230="BAJA(1)",1,IF(Q230="MEDIA(2)",2,IF(Q230="ALTA(3)",3,3))))+(IF(R230="BAJA(1)",1,IF(R230="MEDIA(2)",2,IF(R230="ALTA(3)",3,3))))</f>
        <v/>
      </c>
      <c r="T230" s="10">
        <f>+IF(S230&lt;6,"BAJA",IF(S230&lt;8,"MEDIA","ALTA"))</f>
        <v/>
      </c>
      <c r="U230" s="10" t="inlineStr">
        <is>
          <t>-</t>
        </is>
      </c>
      <c r="V230" s="24" t="n">
        <v>45595</v>
      </c>
      <c r="W230" s="19" t="inlineStr">
        <is>
          <t>N/A</t>
        </is>
      </c>
      <c r="X230" s="10">
        <f>+IFERROR(IF(VLOOKUP(Tabla2[[#This Row],[ID]],'EVALUACION DE RIESGO'!A:A,1,FALSE)=Tabla2[[#This Row],[ID]],"SI","NO"),"NO")</f>
        <v/>
      </c>
      <c r="AD230">
        <f>IF(AND(Y230="",AA230=""),"",IF(OR(LEFT(AA230,2)="L0",LEFT(AA230,2)="L1",Y230="No Iniciado"),"CRÍTICO - Incumplimiento Normativo SEPS",IF(AND(OR(LEFT(AA230,2)="L4",LEFT(AA230,2)="L5"),AND(AC230&lt;&gt;"",AC230&lt;&gt;"N/A")),"CONFORME - Control Efectivo ISO 27001","OBSERVACIÓN - Revisar Controles")))</f>
        <v/>
      </c>
    </row>
    <row r="231">
      <c r="A231" s="99" t="inlineStr">
        <is>
          <t>50-GCA</t>
        </is>
      </c>
      <c r="B231" s="10" t="inlineStr">
        <is>
          <t>PRODUCTIVO</t>
        </is>
      </c>
      <c r="C231" s="10" t="inlineStr">
        <is>
          <t>Gestión de Captaciones</t>
        </is>
      </c>
      <c r="D231" s="10" t="inlineStr">
        <is>
          <t>GCA</t>
        </is>
      </c>
      <c r="E231" s="10" t="inlineStr">
        <is>
          <t xml:space="preserve">Ahorros a la Vista </t>
        </is>
      </c>
      <c r="F231" s="10" t="inlineStr">
        <is>
          <t xml:space="preserve">Gestión  de Ahorro Programado </t>
        </is>
      </c>
      <c r="G231" s="10" t="inlineStr">
        <is>
          <t xml:space="preserve">Renovación de ahorro programado               </t>
        </is>
      </c>
      <c r="H231" s="10" t="inlineStr">
        <is>
          <t>File del socio</t>
        </is>
      </c>
      <c r="I231" s="10" t="inlineStr">
        <is>
          <t>File consolidado ingresado al sistema Fit con toda la documentación necesaria para la apertura de la cuenta</t>
        </is>
      </c>
      <c r="J231" s="10" t="inlineStr">
        <is>
          <t xml:space="preserve">Jefe de Captaciones </t>
        </is>
      </c>
      <c r="K231" s="10" t="inlineStr">
        <is>
          <t>FIT</t>
        </is>
      </c>
      <c r="L231" s="10" t="inlineStr">
        <is>
          <t>UBICACIÓN DIGITAL-CORE FINANCIERO</t>
        </is>
      </c>
      <c r="M231" s="10" t="inlineStr">
        <is>
          <t>SISTEMAS DE INFORMACIÓN CORPORATIVOS</t>
        </is>
      </c>
      <c r="N231" s="10" t="inlineStr">
        <is>
          <t>PRIMARIOS</t>
        </is>
      </c>
      <c r="O231" s="10" t="inlineStr">
        <is>
          <t>INFORMACIÓN DE SOCIOS Y CLIENTES</t>
        </is>
      </c>
      <c r="P231" s="10" t="inlineStr">
        <is>
          <t>USO INTERNO(2)</t>
        </is>
      </c>
      <c r="Q231" s="10" t="inlineStr">
        <is>
          <t>MEDIA(2)</t>
        </is>
      </c>
      <c r="R231" s="10" t="inlineStr">
        <is>
          <t>MEDIA(2)</t>
        </is>
      </c>
      <c r="S231" s="10">
        <f>+(IF(P231="PUBLICA(1)",1,IF(P231="USO INTERNO(2)",2,IF(P231="RESTRINGIDO(3)",3,3))))+(IF(Q231="BAJA(1)",1,IF(Q231="MEDIA(2)",2,IF(Q231="ALTA(3)",3,3))))+(IF(R231="BAJA(1)",1,IF(R231="MEDIA(2)",2,IF(R231="ALTA(3)",3,3))))</f>
        <v/>
      </c>
      <c r="T231" s="10">
        <f>+IF(S231&lt;6,"BAJA",IF(S231&lt;8,"MEDIA","ALTA"))</f>
        <v/>
      </c>
      <c r="U231" s="10" t="inlineStr">
        <is>
          <t>-</t>
        </is>
      </c>
      <c r="V231" s="24" t="n">
        <v>45595</v>
      </c>
      <c r="W231" s="19" t="inlineStr">
        <is>
          <t>N/A</t>
        </is>
      </c>
      <c r="X231" s="10">
        <f>+IFERROR(IF(VLOOKUP(Tabla2[[#This Row],[ID]],'EVALUACION DE RIESGO'!A:A,1,FALSE)=Tabla2[[#This Row],[ID]],"SI","NO"),"NO")</f>
        <v/>
      </c>
      <c r="AD231">
        <f>IF(AND(Y231="",AA231=""),"",IF(OR(LEFT(AA231,2)="L0",LEFT(AA231,2)="L1",Y231="No Iniciado"),"CRÍTICO - Incumplimiento Normativo SEPS",IF(AND(OR(LEFT(AA231,2)="L4",LEFT(AA231,2)="L5"),AND(AC231&lt;&gt;"",AC231&lt;&gt;"N/A")),"CONFORME - Control Efectivo ISO 27001","OBSERVACIÓN - Revisar Controles")))</f>
        <v/>
      </c>
    </row>
    <row r="232">
      <c r="A232" s="99" t="inlineStr">
        <is>
          <t>51-GCA</t>
        </is>
      </c>
      <c r="B232" s="10" t="inlineStr">
        <is>
          <t>PRODUCTIVO</t>
        </is>
      </c>
      <c r="C232" s="10" t="inlineStr">
        <is>
          <t>Gestión de Captaciones</t>
        </is>
      </c>
      <c r="D232" s="10" t="inlineStr">
        <is>
          <t>GCA</t>
        </is>
      </c>
      <c r="E232" s="10" t="inlineStr">
        <is>
          <t xml:space="preserve">Ahorros a la Vista </t>
        </is>
      </c>
      <c r="F232" s="10" t="inlineStr">
        <is>
          <t xml:space="preserve">Gestión  de Ahorro Programado </t>
        </is>
      </c>
      <c r="G232" s="10" t="inlineStr">
        <is>
          <t xml:space="preserve">Renovación de ahorro programado               </t>
        </is>
      </c>
      <c r="H232" s="10" t="inlineStr">
        <is>
          <t>Contrato de Apertura de Cuentas de Ahorro</t>
        </is>
      </c>
      <c r="I232" s="10" t="inlineStr">
        <is>
          <t>Documento de contrato que contiene información del socio y términos y condiciones del contrato, contiene firmas de validación</t>
        </is>
      </c>
      <c r="J232" s="10" t="inlineStr">
        <is>
          <t xml:space="preserve">Jefe de Captaciones </t>
        </is>
      </c>
      <c r="K232" s="10" t="inlineStr">
        <is>
          <t>Asesor de Servicio</t>
        </is>
      </c>
      <c r="L232" s="10" t="inlineStr">
        <is>
          <t>DOCUMENTOS FISICOS-ARCHIVOS DE LA OFICINA</t>
        </is>
      </c>
      <c r="M232" s="10" t="inlineStr">
        <is>
          <t>DOCUMENTO DE ARCHIVO-FÍSICO</t>
        </is>
      </c>
      <c r="N232" s="10" t="inlineStr">
        <is>
          <t>PRIMARIOS</t>
        </is>
      </c>
      <c r="O232" s="10" t="inlineStr">
        <is>
          <t>DOCUMENTOS HABILITANTES</t>
        </is>
      </c>
      <c r="P232" s="10" t="inlineStr">
        <is>
          <t>USO INTERNO(2)</t>
        </is>
      </c>
      <c r="Q232" s="10" t="inlineStr">
        <is>
          <t>MEDIA(2)</t>
        </is>
      </c>
      <c r="R232" s="10" t="inlineStr">
        <is>
          <t>MEDIA(2)</t>
        </is>
      </c>
      <c r="S232" s="10">
        <f>+(IF(P232="PUBLICA(1)",1,IF(P232="USO INTERNO(2)",2,IF(P232="RESTRINGIDO(3)",3,3))))+(IF(Q232="BAJA(1)",1,IF(Q232="MEDIA(2)",2,IF(Q232="ALTA(3)",3,3))))+(IF(R232="BAJA(1)",1,IF(R232="MEDIA(2)",2,IF(R232="ALTA(3)",3,3))))</f>
        <v/>
      </c>
      <c r="T232" s="10">
        <f>+IF(S232&lt;6,"BAJA",IF(S232&lt;8,"MEDIA","ALTA"))</f>
        <v/>
      </c>
      <c r="U232" s="10" t="inlineStr">
        <is>
          <t>-</t>
        </is>
      </c>
      <c r="V232" s="24" t="n">
        <v>45595</v>
      </c>
      <c r="W232" s="19" t="inlineStr">
        <is>
          <t>N/A</t>
        </is>
      </c>
      <c r="X232" s="10">
        <f>+IFERROR(IF(VLOOKUP(Tabla2[[#This Row],[ID]],'EVALUACION DE RIESGO'!A:A,1,FALSE)=Tabla2[[#This Row],[ID]],"SI","NO"),"NO")</f>
        <v/>
      </c>
      <c r="AD232">
        <f>IF(AND(Y232="",AA232=""),"",IF(OR(LEFT(AA232,2)="L0",LEFT(AA232,2)="L1",Y232="No Iniciado"),"CRÍTICO - Incumplimiento Normativo SEPS",IF(AND(OR(LEFT(AA232,2)="L4",LEFT(AA232,2)="L5"),AND(AC232&lt;&gt;"",AC232&lt;&gt;"N/A")),"CONFORME - Control Efectivo ISO 27001","OBSERVACIÓN - Revisar Controles")))</f>
        <v/>
      </c>
    </row>
    <row r="233">
      <c r="A233" s="99" t="inlineStr">
        <is>
          <t>52-GCA</t>
        </is>
      </c>
      <c r="B233" s="10" t="inlineStr">
        <is>
          <t>PRODUCTIVO</t>
        </is>
      </c>
      <c r="C233" s="10" t="inlineStr">
        <is>
          <t>Gestión de Captaciones</t>
        </is>
      </c>
      <c r="D233" s="10" t="inlineStr">
        <is>
          <t>GCA</t>
        </is>
      </c>
      <c r="E233" s="10" t="inlineStr">
        <is>
          <t xml:space="preserve">Ahorros a la Vista </t>
        </is>
      </c>
      <c r="F233" s="10" t="inlineStr">
        <is>
          <t xml:space="preserve">Gestión  de Ahorro Programado </t>
        </is>
      </c>
      <c r="G233" s="10" t="inlineStr">
        <is>
          <t xml:space="preserve">Cancelación de ahorro programado            </t>
        </is>
      </c>
      <c r="H233" s="10" t="inlineStr">
        <is>
          <t>Autorización de cierre de cuenta</t>
        </is>
      </c>
      <c r="I233" s="10" t="inlineStr">
        <is>
          <t>Autorización obtenida del sistema FIT donde detalla el lugar y la fecha, información del socio, y firma de autorización del cierre de la cuenta</t>
        </is>
      </c>
      <c r="J233" s="10" t="inlineStr">
        <is>
          <t xml:space="preserve">Jefe de Captaciones </t>
        </is>
      </c>
      <c r="K233" s="10" t="inlineStr">
        <is>
          <t>Asesor de Servicio</t>
        </is>
      </c>
      <c r="L233" s="10" t="inlineStr">
        <is>
          <t>UBICACIÓN DIGITAL-EQUIPO DEL CUSTODIO</t>
        </is>
      </c>
      <c r="M233" s="10" t="inlineStr">
        <is>
          <t>DISCOS DUROS, SERVIDORES, DISCOS O MEDIOS PORTÁTILES, CINTAS O MEDIOS DE VIDEO Y AUDIO, ETC.</t>
        </is>
      </c>
      <c r="N233" s="10" t="inlineStr">
        <is>
          <t>PRIMARIOS</t>
        </is>
      </c>
      <c r="O233" s="10" t="inlineStr">
        <is>
          <t>DOCUMENTOS HABILITANTES</t>
        </is>
      </c>
      <c r="P233" s="10" t="inlineStr">
        <is>
          <t>PUBLICA(1)</t>
        </is>
      </c>
      <c r="Q233" s="10" t="inlineStr">
        <is>
          <t>MEDIA(2)</t>
        </is>
      </c>
      <c r="R233" s="10" t="inlineStr">
        <is>
          <t>MEDIA(2)</t>
        </is>
      </c>
      <c r="S233" s="10">
        <f>+(IF(P233="PUBLICA(1)",1,IF(P233="USO INTERNO(2)",2,IF(P233="RESTRINGIDO(3)",3,3))))+(IF(Q233="BAJA(1)",1,IF(Q233="MEDIA(2)",2,IF(Q233="ALTA(3)",3,3))))+(IF(R233="BAJA(1)",1,IF(R233="MEDIA(2)",2,IF(R233="ALTA(3)",3,3))))</f>
        <v/>
      </c>
      <c r="T233" s="10">
        <f>+IF(S233&lt;6,"BAJA",IF(S233&lt;8,"MEDIA","ALTA"))</f>
        <v/>
      </c>
      <c r="U233" s="10" t="inlineStr">
        <is>
          <t>-</t>
        </is>
      </c>
      <c r="V233" s="24" t="n">
        <v>45595</v>
      </c>
      <c r="W233" s="19" t="inlineStr">
        <is>
          <t>N/A</t>
        </is>
      </c>
      <c r="X233" s="10">
        <f>+IFERROR(IF(VLOOKUP(Tabla2[[#This Row],[ID]],'EVALUACION DE RIESGO'!A:A,1,FALSE)=Tabla2[[#This Row],[ID]],"SI","NO"),"NO")</f>
        <v/>
      </c>
      <c r="AD233">
        <f>IF(AND(Y233="",AA233=""),"",IF(OR(LEFT(AA233,2)="L0",LEFT(AA233,2)="L1",Y233="No Iniciado"),"CRÍTICO - Incumplimiento Normativo SEPS",IF(AND(OR(LEFT(AA233,2)="L4",LEFT(AA233,2)="L5"),AND(AC233&lt;&gt;"",AC233&lt;&gt;"N/A")),"CONFORME - Control Efectivo ISO 27001","OBSERVACIÓN - Revisar Controles")))</f>
        <v/>
      </c>
    </row>
    <row r="234">
      <c r="A234" s="99" t="inlineStr">
        <is>
          <t>53-GCA</t>
        </is>
      </c>
      <c r="B234" s="10" t="inlineStr">
        <is>
          <t>PRODUCTIVO</t>
        </is>
      </c>
      <c r="C234" s="10" t="inlineStr">
        <is>
          <t>Gestión de Captaciones</t>
        </is>
      </c>
      <c r="D234" s="10" t="inlineStr">
        <is>
          <t>GCA</t>
        </is>
      </c>
      <c r="E234" s="10" t="inlineStr">
        <is>
          <t xml:space="preserve">Ahorros a la Vista </t>
        </is>
      </c>
      <c r="F234" s="10" t="inlineStr">
        <is>
          <t xml:space="preserve">Gestión  de Ahorro Programado </t>
        </is>
      </c>
      <c r="G234" s="10" t="inlineStr">
        <is>
          <t xml:space="preserve">Cancelación de ahorro programado            </t>
        </is>
      </c>
      <c r="H234" s="10" t="inlineStr">
        <is>
          <t>Solicitud de liquidación por cancelación de ahorro programado</t>
        </is>
      </c>
      <c r="I234" s="10" t="inlineStr">
        <is>
          <t>Solicitud que el socio realiza para realizar la operación</t>
        </is>
      </c>
      <c r="J234" s="10" t="inlineStr">
        <is>
          <t xml:space="preserve">Jefe de Captaciones </t>
        </is>
      </c>
      <c r="K234" s="10" t="inlineStr">
        <is>
          <t>Asesor de Servicio</t>
        </is>
      </c>
      <c r="L234" s="10" t="inlineStr">
        <is>
          <t>DOCUMENTOS FISICOS-ARCHIVOS DE LA OFICINA</t>
        </is>
      </c>
      <c r="M234" s="10" t="inlineStr">
        <is>
          <t>DOCUMENTO DE ARCHIVO-FÍSICO</t>
        </is>
      </c>
      <c r="N234" s="10" t="inlineStr">
        <is>
          <t>PRIMARIOS</t>
        </is>
      </c>
      <c r="O234" s="10" t="inlineStr">
        <is>
          <t>DOCUMENTOS HABILITANTES</t>
        </is>
      </c>
      <c r="P234" s="10" t="inlineStr">
        <is>
          <t>PUBLICA(1)</t>
        </is>
      </c>
      <c r="Q234" s="10" t="inlineStr">
        <is>
          <t>MEDIA(2)</t>
        </is>
      </c>
      <c r="R234" s="10" t="inlineStr">
        <is>
          <t>MEDIA(2)</t>
        </is>
      </c>
      <c r="S234" s="10">
        <f>+(IF(P234="PUBLICA(1)",1,IF(P234="USO INTERNO(2)",2,IF(P234="RESTRINGIDO(3)",3,3))))+(IF(Q234="BAJA(1)",1,IF(Q234="MEDIA(2)",2,IF(Q234="ALTA(3)",3,3))))+(IF(R234="BAJA(1)",1,IF(R234="MEDIA(2)",2,IF(R234="ALTA(3)",3,3))))</f>
        <v/>
      </c>
      <c r="T234" s="10">
        <f>+IF(S234&lt;6,"BAJA",IF(S234&lt;8,"MEDIA","ALTA"))</f>
        <v/>
      </c>
      <c r="U234" s="10" t="inlineStr">
        <is>
          <t>-</t>
        </is>
      </c>
      <c r="V234" s="24" t="n">
        <v>45595</v>
      </c>
      <c r="W234" s="19" t="inlineStr">
        <is>
          <t>N/A</t>
        </is>
      </c>
      <c r="X234" s="10">
        <f>+IFERROR(IF(VLOOKUP(Tabla2[[#This Row],[ID]],'EVALUACION DE RIESGO'!A:A,1,FALSE)=Tabla2[[#This Row],[ID]],"SI","NO"),"NO")</f>
        <v/>
      </c>
      <c r="AD234">
        <f>IF(AND(Y234="",AA234=""),"",IF(OR(LEFT(AA234,2)="L0",LEFT(AA234,2)="L1",Y234="No Iniciado"),"CRÍTICO - Incumplimiento Normativo SEPS",IF(AND(OR(LEFT(AA234,2)="L4",LEFT(AA234,2)="L5"),AND(AC234&lt;&gt;"",AC234&lt;&gt;"N/A")),"CONFORME - Control Efectivo ISO 27001","OBSERVACIÓN - Revisar Controles")))</f>
        <v/>
      </c>
    </row>
    <row r="235">
      <c r="A235" s="99" t="inlineStr">
        <is>
          <t>54-GCA</t>
        </is>
      </c>
      <c r="B235" s="10" t="inlineStr">
        <is>
          <t>PRODUCTIVO</t>
        </is>
      </c>
      <c r="C235" s="10" t="inlineStr">
        <is>
          <t>Gestión de Captaciones</t>
        </is>
      </c>
      <c r="D235" s="10" t="inlineStr">
        <is>
          <t>GCA</t>
        </is>
      </c>
      <c r="E235" s="10" t="inlineStr">
        <is>
          <t xml:space="preserve">Ahorros a la Vista </t>
        </is>
      </c>
      <c r="F235" s="10" t="inlineStr">
        <is>
          <t xml:space="preserve">Gestión de Servicios Cooperativos </t>
        </is>
      </c>
      <c r="G235" s="10" t="inlineStr">
        <is>
          <t>Desbloqueo de usuarios de Cooperativa Virtual y reseteo de contraseña o preguntas de seguridad.</t>
        </is>
      </c>
      <c r="H235" s="10" t="inlineStr">
        <is>
          <t>Formulario de mantenimiento usuario web transaccional</t>
        </is>
      </c>
      <c r="I235" s="10" t="inlineStr">
        <is>
          <t>Formulario obtenido del sistema FIT que detalla la actividad realizada de activación o reseteo de claves, contiene firma del socio</t>
        </is>
      </c>
      <c r="J235" s="10" t="inlineStr">
        <is>
          <t xml:space="preserve">Jefe de Captaciones </t>
        </is>
      </c>
      <c r="K235" s="10" t="inlineStr">
        <is>
          <t>Asesor de Servicio</t>
        </is>
      </c>
      <c r="L235" s="10" t="inlineStr">
        <is>
          <t>DOCUMENTOS FISICOS-ARCHIVOS DE LA OFICINA</t>
        </is>
      </c>
      <c r="M235" s="10" t="inlineStr">
        <is>
          <t>DOCUMENTO DE ARCHIVO-FÍSICO</t>
        </is>
      </c>
      <c r="N235" s="10" t="inlineStr">
        <is>
          <t>PRIMARIOS</t>
        </is>
      </c>
      <c r="O235" s="10" t="inlineStr">
        <is>
          <t>DOCUMENTOS HABILITANTES</t>
        </is>
      </c>
      <c r="P235" s="10" t="inlineStr">
        <is>
          <t>USO INTERNO(2)</t>
        </is>
      </c>
      <c r="Q235" s="10" t="inlineStr">
        <is>
          <t>MEDIA(2)</t>
        </is>
      </c>
      <c r="R235" s="10" t="inlineStr">
        <is>
          <t>MEDIA(2)</t>
        </is>
      </c>
      <c r="S235" s="10">
        <f>+(IF(P235="PUBLICA(1)",1,IF(P235="USO INTERNO(2)",2,IF(P235="RESTRINGIDO(3)",3,3))))+(IF(Q235="BAJA(1)",1,IF(Q235="MEDIA(2)",2,IF(Q235="ALTA(3)",3,3))))+(IF(R235="BAJA(1)",1,IF(R235="MEDIA(2)",2,IF(R235="ALTA(3)",3,3))))</f>
        <v/>
      </c>
      <c r="T235" s="10">
        <f>+IF(S235&lt;6,"BAJA",IF(S235&lt;8,"MEDIA","ALTA"))</f>
        <v/>
      </c>
      <c r="U235" s="10" t="inlineStr">
        <is>
          <t>-</t>
        </is>
      </c>
      <c r="V235" s="24" t="n">
        <v>45595</v>
      </c>
      <c r="W235" s="19" t="inlineStr">
        <is>
          <t>N/A</t>
        </is>
      </c>
      <c r="X235" s="10">
        <f>+IFERROR(IF(VLOOKUP(Tabla2[[#This Row],[ID]],'EVALUACION DE RIESGO'!A:A,1,FALSE)=Tabla2[[#This Row],[ID]],"SI","NO"),"NO")</f>
        <v/>
      </c>
      <c r="AD235">
        <f>IF(AND(Y235="",AA235=""),"",IF(OR(LEFT(AA235,2)="L0",LEFT(AA235,2)="L1",Y235="No Iniciado"),"CRÍTICO - Incumplimiento Normativo SEPS",IF(AND(OR(LEFT(AA235,2)="L4",LEFT(AA235,2)="L5"),AND(AC235&lt;&gt;"",AC235&lt;&gt;"N/A")),"CONFORME - Control Efectivo ISO 27001","OBSERVACIÓN - Revisar Controles")))</f>
        <v/>
      </c>
    </row>
    <row r="236">
      <c r="A236" s="99" t="inlineStr">
        <is>
          <t>55-GCA</t>
        </is>
      </c>
      <c r="B236" s="10" t="inlineStr">
        <is>
          <t>PRODUCTIVO</t>
        </is>
      </c>
      <c r="C236" s="10" t="inlineStr">
        <is>
          <t>Gestión de Captaciones</t>
        </is>
      </c>
      <c r="D236" s="10" t="inlineStr">
        <is>
          <t>GCA</t>
        </is>
      </c>
      <c r="E236" s="10" t="inlineStr">
        <is>
          <t xml:space="preserve">Ahorros a la Vista </t>
        </is>
      </c>
      <c r="F236" s="10" t="inlineStr">
        <is>
          <t xml:space="preserve">Gestión de Servicios Cooperativos </t>
        </is>
      </c>
      <c r="G236" s="10" t="inlineStr">
        <is>
          <t>Emisión de referencias financieras y estados de cuenta</t>
        </is>
      </c>
      <c r="H236" s="10" t="inlineStr">
        <is>
          <t>Solicitud de pedido de certificación/Autorización de débito servicios corporativos</t>
        </is>
      </c>
      <c r="I236" s="10" t="inlineStr">
        <is>
          <t>Formato firmado por el cliente donde se detallan los débitos realizados y motivos</t>
        </is>
      </c>
      <c r="J236" s="10" t="inlineStr">
        <is>
          <t xml:space="preserve">Jefe de Captaciones </t>
        </is>
      </c>
      <c r="K236" s="10" t="inlineStr">
        <is>
          <t>Asesor de Servicio</t>
        </is>
      </c>
      <c r="L236" s="10" t="inlineStr">
        <is>
          <t>DOCUMENTOS FISICOS-ARCHIVOS DE LA OFICINA</t>
        </is>
      </c>
      <c r="M236" s="10" t="inlineStr">
        <is>
          <t>DOCUMENTO DE ARCHIVO-FÍSICO</t>
        </is>
      </c>
      <c r="N236" s="10" t="inlineStr">
        <is>
          <t>PRIMARIOS</t>
        </is>
      </c>
      <c r="O236" s="10" t="inlineStr">
        <is>
          <t>DOCUMENTOS HABILITANTES</t>
        </is>
      </c>
      <c r="P236" s="10" t="inlineStr">
        <is>
          <t>PUBLICA(1)</t>
        </is>
      </c>
      <c r="Q236" s="10" t="inlineStr">
        <is>
          <t>MEDIA(2)</t>
        </is>
      </c>
      <c r="R236" s="10" t="inlineStr">
        <is>
          <t>MEDIA(2)</t>
        </is>
      </c>
      <c r="S236" s="10">
        <f>+(IF(P236="PUBLICA(1)",1,IF(P236="USO INTERNO(2)",2,IF(P236="RESTRINGIDO(3)",3,3))))+(IF(Q236="BAJA(1)",1,IF(Q236="MEDIA(2)",2,IF(Q236="ALTA(3)",3,3))))+(IF(R236="BAJA(1)",1,IF(R236="MEDIA(2)",2,IF(R236="ALTA(3)",3,3))))</f>
        <v/>
      </c>
      <c r="T236" s="10">
        <f>+IF(S236&lt;6,"BAJA",IF(S236&lt;8,"MEDIA","ALTA"))</f>
        <v/>
      </c>
      <c r="U236" s="10" t="inlineStr">
        <is>
          <t>-</t>
        </is>
      </c>
      <c r="V236" s="24" t="n">
        <v>45595</v>
      </c>
      <c r="W236" s="19" t="inlineStr">
        <is>
          <t>N/A</t>
        </is>
      </c>
      <c r="X236" s="10">
        <f>+IFERROR(IF(VLOOKUP(Tabla2[[#This Row],[ID]],'EVALUACION DE RIESGO'!A:A,1,FALSE)=Tabla2[[#This Row],[ID]],"SI","NO"),"NO")</f>
        <v/>
      </c>
      <c r="AD236">
        <f>IF(AND(Y236="",AA236=""),"",IF(OR(LEFT(AA236,2)="L0",LEFT(AA236,2)="L1",Y236="No Iniciado"),"CRÍTICO - Incumplimiento Normativo SEPS",IF(AND(OR(LEFT(AA236,2)="L4",LEFT(AA236,2)="L5"),AND(AC236&lt;&gt;"",AC236&lt;&gt;"N/A")),"CONFORME - Control Efectivo ISO 27001","OBSERVACIÓN - Revisar Controles")))</f>
        <v/>
      </c>
    </row>
    <row r="237">
      <c r="A237" s="99" t="inlineStr">
        <is>
          <t>56-GCA</t>
        </is>
      </c>
      <c r="B237" s="10" t="inlineStr">
        <is>
          <t>PRODUCTIVO</t>
        </is>
      </c>
      <c r="C237" s="10" t="inlineStr">
        <is>
          <t>Gestión de Captaciones</t>
        </is>
      </c>
      <c r="D237" s="10" t="inlineStr">
        <is>
          <t>GCA</t>
        </is>
      </c>
      <c r="E237" s="10" t="inlineStr">
        <is>
          <t xml:space="preserve">Ahorros a la Vista </t>
        </is>
      </c>
      <c r="F237" s="10" t="inlineStr">
        <is>
          <t>Actualización de datos</t>
        </is>
      </c>
      <c r="G237" s="10" t="inlineStr">
        <is>
          <t xml:space="preserve">Actualización de datos en forma presencial </t>
        </is>
      </c>
      <c r="H237" s="10" t="inlineStr">
        <is>
          <t>Registro de información del socio</t>
        </is>
      </c>
      <c r="I237" s="10" t="inlineStr">
        <is>
          <t>Registro de información actualizada del socio en el Core financiero</t>
        </is>
      </c>
      <c r="J237" s="10" t="inlineStr">
        <is>
          <t xml:space="preserve">Jefe de Captaciones </t>
        </is>
      </c>
      <c r="K237" s="10" t="inlineStr">
        <is>
          <t>FT</t>
        </is>
      </c>
      <c r="L237" s="10" t="inlineStr">
        <is>
          <t>UBICACIÓN DIGITAL-CORE FINANCIERO</t>
        </is>
      </c>
      <c r="M237" s="10" t="inlineStr">
        <is>
          <t>SISTEMAS DE INFORMACIÓN CORPORATIVOS</t>
        </is>
      </c>
      <c r="N237" s="10" t="inlineStr">
        <is>
          <t>PRIMARIOS</t>
        </is>
      </c>
      <c r="O237" s="10" t="inlineStr">
        <is>
          <t>INFORMACIÓN DE SOCIOS Y CLIENTES</t>
        </is>
      </c>
      <c r="P237" s="10" t="inlineStr">
        <is>
          <t>PUBLICA(1)</t>
        </is>
      </c>
      <c r="Q237" s="10" t="inlineStr">
        <is>
          <t>MEDIA(2)</t>
        </is>
      </c>
      <c r="R237" s="10" t="inlineStr">
        <is>
          <t>MEDIA(2)</t>
        </is>
      </c>
      <c r="S237" s="10">
        <f>+(IF(P237="PUBLICA(1)",1,IF(P237="USO INTERNO(2)",2,IF(P237="RESTRINGIDO(3)",3,3))))+(IF(Q237="BAJA(1)",1,IF(Q237="MEDIA(2)",2,IF(Q237="ALTA(3)",3,3))))+(IF(R237="BAJA(1)",1,IF(R237="MEDIA(2)",2,IF(R237="ALTA(3)",3,3))))</f>
        <v/>
      </c>
      <c r="T237" s="10">
        <f>+IF(S237&lt;6,"BAJA",IF(S237&lt;8,"MEDIA","ALTA"))</f>
        <v/>
      </c>
      <c r="U237" s="10" t="inlineStr">
        <is>
          <t>-</t>
        </is>
      </c>
      <c r="V237" s="24" t="n">
        <v>45595</v>
      </c>
      <c r="W237" s="19" t="inlineStr">
        <is>
          <t>N/A</t>
        </is>
      </c>
      <c r="X237" s="10">
        <f>+IFERROR(IF(VLOOKUP(Tabla2[[#This Row],[ID]],'EVALUACION DE RIESGO'!A:A,1,FALSE)=Tabla2[[#This Row],[ID]],"SI","NO"),"NO")</f>
        <v/>
      </c>
      <c r="AD237">
        <f>IF(AND(Y237="",AA237=""),"",IF(OR(LEFT(AA237,2)="L0",LEFT(AA237,2)="L1",Y237="No Iniciado"),"CRÍTICO - Incumplimiento Normativo SEPS",IF(AND(OR(LEFT(AA237,2)="L4",LEFT(AA237,2)="L5"),AND(AC237&lt;&gt;"",AC237&lt;&gt;"N/A")),"CONFORME - Control Efectivo ISO 27001","OBSERVACIÓN - Revisar Controles")))</f>
        <v/>
      </c>
    </row>
    <row r="238">
      <c r="A238" s="99" t="inlineStr">
        <is>
          <t>57-GCA</t>
        </is>
      </c>
      <c r="B238" s="10" t="inlineStr">
        <is>
          <t>PRODUCTIVO</t>
        </is>
      </c>
      <c r="C238" s="10" t="inlineStr">
        <is>
          <t>Gestión de Captaciones</t>
        </is>
      </c>
      <c r="D238" s="10" t="inlineStr">
        <is>
          <t>GCA</t>
        </is>
      </c>
      <c r="E238" s="10" t="inlineStr">
        <is>
          <t xml:space="preserve">Ahorros a la Vista </t>
        </is>
      </c>
      <c r="F238" s="10" t="inlineStr">
        <is>
          <t>Actualización de datos</t>
        </is>
      </c>
      <c r="G238" s="10" t="inlineStr">
        <is>
          <t xml:space="preserve">Actualización de datos en forma presencial </t>
        </is>
      </c>
      <c r="H238" s="10" t="inlineStr">
        <is>
          <t>Certificación de información</t>
        </is>
      </c>
      <c r="I238" s="10" t="inlineStr">
        <is>
          <t>Certificado de la entrega de información personal del cliente entregado al asesor de servicio</t>
        </is>
      </c>
      <c r="J238" s="10" t="inlineStr">
        <is>
          <t xml:space="preserve">Jefe de Captaciones </t>
        </is>
      </c>
      <c r="K238" s="10" t="inlineStr">
        <is>
          <t>Asesor de Servicio</t>
        </is>
      </c>
      <c r="L238" s="10" t="inlineStr">
        <is>
          <t>DOCUMENTOS FISICOS-ARCHIVOS DE LA OFICINA</t>
        </is>
      </c>
      <c r="M238" s="10" t="inlineStr">
        <is>
          <t>DOCUMENTO DE ARCHIVO-FÍSICO</t>
        </is>
      </c>
      <c r="N238" s="10" t="inlineStr">
        <is>
          <t>PRIMARIOS</t>
        </is>
      </c>
      <c r="O238" s="10" t="inlineStr">
        <is>
          <t>DOCUMENTOS HABILITANTES</t>
        </is>
      </c>
      <c r="P238" s="10" t="inlineStr">
        <is>
          <t>USO INTERNO(2)</t>
        </is>
      </c>
      <c r="Q238" s="10" t="inlineStr">
        <is>
          <t>MEDIA(2)</t>
        </is>
      </c>
      <c r="R238" s="10" t="inlineStr">
        <is>
          <t>MEDIA(2)</t>
        </is>
      </c>
      <c r="S238" s="10">
        <f>+(IF(P238="PUBLICA(1)",1,IF(P238="USO INTERNO(2)",2,IF(P238="RESTRINGIDO(3)",3,3))))+(IF(Q238="BAJA(1)",1,IF(Q238="MEDIA(2)",2,IF(Q238="ALTA(3)",3,3))))+(IF(R238="BAJA(1)",1,IF(R238="MEDIA(2)",2,IF(R238="ALTA(3)",3,3))))</f>
        <v/>
      </c>
      <c r="T238" s="10">
        <f>+IF(S238&lt;6,"BAJA",IF(S238&lt;8,"MEDIA","ALTA"))</f>
        <v/>
      </c>
      <c r="U238" s="10" t="inlineStr">
        <is>
          <t>-</t>
        </is>
      </c>
      <c r="V238" s="24" t="n">
        <v>45595</v>
      </c>
      <c r="W238" s="19" t="inlineStr">
        <is>
          <t>N/A</t>
        </is>
      </c>
      <c r="X238" s="10">
        <f>+IFERROR(IF(VLOOKUP(Tabla2[[#This Row],[ID]],'EVALUACION DE RIESGO'!A:A,1,FALSE)=Tabla2[[#This Row],[ID]],"SI","NO"),"NO")</f>
        <v/>
      </c>
      <c r="AD238">
        <f>IF(AND(Y238="",AA238=""),"",IF(OR(LEFT(AA238,2)="L0",LEFT(AA238,2)="L1",Y238="No Iniciado"),"CRÍTICO - Incumplimiento Normativo SEPS",IF(AND(OR(LEFT(AA238,2)="L4",LEFT(AA238,2)="L5"),AND(AC238&lt;&gt;"",AC238&lt;&gt;"N/A")),"CONFORME - Control Efectivo ISO 27001","OBSERVACIÓN - Revisar Controles")))</f>
        <v/>
      </c>
    </row>
    <row r="239">
      <c r="A239" s="99" t="inlineStr">
        <is>
          <t>58-GCA</t>
        </is>
      </c>
      <c r="B239" s="10" t="inlineStr">
        <is>
          <t>PRODUCTIVO</t>
        </is>
      </c>
      <c r="C239" s="10" t="inlineStr">
        <is>
          <t>Gestión de Captaciones</t>
        </is>
      </c>
      <c r="D239" s="10" t="inlineStr">
        <is>
          <t>GCA</t>
        </is>
      </c>
      <c r="E239" s="10" t="inlineStr">
        <is>
          <t xml:space="preserve">Ahorros a la Vista </t>
        </is>
      </c>
      <c r="F239" s="10" t="inlineStr">
        <is>
          <t>Actualización de datos</t>
        </is>
      </c>
      <c r="G239" s="10" t="inlineStr">
        <is>
          <t xml:space="preserve">Actualización de datos en forma presencial </t>
        </is>
      </c>
      <c r="H239" s="10" t="inlineStr">
        <is>
          <t>File digitalizado socio/cuenta ahorrista/cliente.</t>
        </is>
      </c>
      <c r="I239" s="10" t="inlineStr">
        <is>
          <t>File digital de la información consolidad del cliente una vez actualizada</t>
        </is>
      </c>
      <c r="J239" s="10" t="inlineStr">
        <is>
          <t xml:space="preserve">Jefe de Captaciones </t>
        </is>
      </c>
      <c r="K239" s="10" t="inlineStr">
        <is>
          <t>FIT</t>
        </is>
      </c>
      <c r="L239" s="10" t="inlineStr">
        <is>
          <t>UBICACIÓN DIGITAL-CORE FINANCIERO</t>
        </is>
      </c>
      <c r="M239" s="10" t="inlineStr">
        <is>
          <t>SISTEMAS DE INFORMACIÓN CORPORATIVOS</t>
        </is>
      </c>
      <c r="N239" s="10" t="inlineStr">
        <is>
          <t>PRIMARIOS</t>
        </is>
      </c>
      <c r="O239" s="10" t="inlineStr">
        <is>
          <t>INFORMACIÓN DE SOCIOS Y CLIENTES</t>
        </is>
      </c>
      <c r="P239" s="10" t="inlineStr">
        <is>
          <t>USO INTERNO(2)</t>
        </is>
      </c>
      <c r="Q239" s="10" t="inlineStr">
        <is>
          <t>MEDIA(2)</t>
        </is>
      </c>
      <c r="R239" s="10" t="inlineStr">
        <is>
          <t>MEDIA(2)</t>
        </is>
      </c>
      <c r="S239" s="10">
        <f>+(IF(P239="PUBLICA(1)",1,IF(P239="USO INTERNO(2)",2,IF(P239="RESTRINGIDO(3)",3,3))))+(IF(Q239="BAJA(1)",1,IF(Q239="MEDIA(2)",2,IF(Q239="ALTA(3)",3,3))))+(IF(R239="BAJA(1)",1,IF(R239="MEDIA(2)",2,IF(R239="ALTA(3)",3,3))))</f>
        <v/>
      </c>
      <c r="T239" s="10">
        <f>+IF(S239&lt;6,"BAJA",IF(S239&lt;8,"MEDIA","ALTA"))</f>
        <v/>
      </c>
      <c r="U239" s="10" t="inlineStr">
        <is>
          <t>-</t>
        </is>
      </c>
      <c r="V239" s="24" t="n">
        <v>45595</v>
      </c>
      <c r="W239" s="19" t="inlineStr">
        <is>
          <t>N/A</t>
        </is>
      </c>
      <c r="X239" s="10">
        <f>+IFERROR(IF(VLOOKUP(Tabla2[[#This Row],[ID]],'EVALUACION DE RIESGO'!A:A,1,FALSE)=Tabla2[[#This Row],[ID]],"SI","NO"),"NO")</f>
        <v/>
      </c>
      <c r="AD239">
        <f>IF(AND(Y239="",AA239=""),"",IF(OR(LEFT(AA239,2)="L0",LEFT(AA239,2)="L1",Y239="No Iniciado"),"CRÍTICO - Incumplimiento Normativo SEPS",IF(AND(OR(LEFT(AA239,2)="L4",LEFT(AA239,2)="L5"),AND(AC239&lt;&gt;"",AC239&lt;&gt;"N/A")),"CONFORME - Control Efectivo ISO 27001","OBSERVACIÓN - Revisar Controles")))</f>
        <v/>
      </c>
    </row>
    <row r="240">
      <c r="A240" s="99" t="inlineStr">
        <is>
          <t>65-GCA</t>
        </is>
      </c>
      <c r="B240" s="10" t="inlineStr">
        <is>
          <t>PRODUCTIVO</t>
        </is>
      </c>
      <c r="C240" s="10" t="inlineStr">
        <is>
          <t>Gestión de Captaciones</t>
        </is>
      </c>
      <c r="D240" s="10" t="inlineStr">
        <is>
          <t>GCA</t>
        </is>
      </c>
      <c r="E240" s="10" t="inlineStr">
        <is>
          <t>N/A</t>
        </is>
      </c>
      <c r="F240" s="10" t="inlineStr">
        <is>
          <t>-</t>
        </is>
      </c>
      <c r="G240" s="10" t="inlineStr">
        <is>
          <t>N/A</t>
        </is>
      </c>
      <c r="H240" s="10" t="inlineStr">
        <is>
          <t xml:space="preserve">Equipos de computación </t>
        </is>
      </c>
      <c r="I240" s="10" t="inlineStr">
        <is>
          <t>Equipos de computación donde se realiza la gestión del área</t>
        </is>
      </c>
      <c r="J240" s="10" t="inlineStr">
        <is>
          <t xml:space="preserve">Jefe de Captaciones </t>
        </is>
      </c>
      <c r="K240" s="10" t="inlineStr">
        <is>
          <t xml:space="preserve">Jefe de Captaciones </t>
        </is>
      </c>
      <c r="L240" s="10" t="inlineStr">
        <is>
          <t>UBICACIÓN FISICA-MATRIZ ATUNTAQUI</t>
        </is>
      </c>
      <c r="M240" s="10" t="inlineStr">
        <is>
          <t>DISCOS DUROS, SERVIDORES, DISCOS O MEDIOS PORTÁTILES, CINTAS O MEDIOS DE VIDEO Y AUDIO, ETC.</t>
        </is>
      </c>
      <c r="N240" s="10" t="inlineStr">
        <is>
          <t>APOYO</t>
        </is>
      </c>
      <c r="O240" s="10" t="inlineStr">
        <is>
          <t>HARDWARE</t>
        </is>
      </c>
      <c r="P240" s="10" t="inlineStr">
        <is>
          <t>RESTRINGIDO(3)</t>
        </is>
      </c>
      <c r="Q240" s="10" t="inlineStr">
        <is>
          <t>MEDIA(2)</t>
        </is>
      </c>
      <c r="R240" s="10" t="inlineStr">
        <is>
          <t>MEDIA(2)</t>
        </is>
      </c>
      <c r="S240" s="10">
        <f>+(IF(P240="PUBLICA(1)",1,IF(P240="USO INTERNO(2)",2,IF(P240="RESTRINGIDO(3)",3,3))))+(IF(Q240="BAJA(1)",1,IF(Q240="MEDIA(2)",2,IF(Q240="ALTA(3)",3,3))))+(IF(R240="BAJA(1)",1,IF(R240="MEDIA(2)",2,IF(R240="ALTA(3)",3,3))))</f>
        <v/>
      </c>
      <c r="T240" s="10">
        <f>+IF(S240&lt;6,"BAJA",IF(S240&lt;8,"MEDIA","ALTA"))</f>
        <v/>
      </c>
      <c r="U240" s="10" t="inlineStr">
        <is>
          <t>-</t>
        </is>
      </c>
      <c r="V240" s="24" t="n">
        <v>45712</v>
      </c>
      <c r="W240" s="19" t="inlineStr">
        <is>
          <t>N/A</t>
        </is>
      </c>
      <c r="X240" s="10">
        <f>+IFERROR(IF(VLOOKUP(Tabla2[[#This Row],[ID]],'EVALUACION DE RIESGO'!A:A,1,FALSE)=Tabla2[[#This Row],[ID]],"SI","NO"),"NO")</f>
        <v/>
      </c>
      <c r="AD240">
        <f>IF(AND(Y240="",AA240=""),"",IF(OR(LEFT(AA240,2)="L0",LEFT(AA240,2)="L1",Y240="No Iniciado"),"CRÍTICO - Incumplimiento Normativo SEPS",IF(AND(OR(LEFT(AA240,2)="L4",LEFT(AA240,2)="L5"),AND(AC240&lt;&gt;"",AC240&lt;&gt;"N/A")),"CONFORME - Control Efectivo ISO 27001","OBSERVACIÓN - Revisar Controles")))</f>
        <v/>
      </c>
    </row>
    <row r="241">
      <c r="A241" s="99" t="inlineStr">
        <is>
          <t>66-GCA</t>
        </is>
      </c>
      <c r="B241" s="10" t="inlineStr">
        <is>
          <t>PRODUCTIVO</t>
        </is>
      </c>
      <c r="C241" s="10" t="inlineStr">
        <is>
          <t>Gestión de Captaciones</t>
        </is>
      </c>
      <c r="D241" s="10" t="inlineStr">
        <is>
          <t>GCA</t>
        </is>
      </c>
      <c r="E241" s="10" t="inlineStr">
        <is>
          <t>N/A</t>
        </is>
      </c>
      <c r="F241" s="10" t="inlineStr">
        <is>
          <t>-</t>
        </is>
      </c>
      <c r="G241" s="10" t="inlineStr">
        <is>
          <t>N/A</t>
        </is>
      </c>
      <c r="H241" s="10" t="inlineStr">
        <is>
          <t>Jefe de Captaciones</t>
        </is>
      </c>
      <c r="I241" s="10" t="inlineStr">
        <is>
          <t>N/A</t>
        </is>
      </c>
      <c r="J241" s="10" t="inlineStr">
        <is>
          <t xml:space="preserve">Jefe de Captaciones </t>
        </is>
      </c>
      <c r="K241" s="10" t="inlineStr">
        <is>
          <t>N/A</t>
        </is>
      </c>
      <c r="L241" s="10" t="inlineStr">
        <is>
          <t>N/A</t>
        </is>
      </c>
      <c r="M241" s="10" t="inlineStr">
        <is>
          <t>N/A</t>
        </is>
      </c>
      <c r="N241" s="10" t="inlineStr">
        <is>
          <t>APOYO</t>
        </is>
      </c>
      <c r="O241" s="10" t="inlineStr">
        <is>
          <t>RECURSO HUMANO</t>
        </is>
      </c>
      <c r="P241" s="10" t="inlineStr">
        <is>
          <t>USO INTERNO(2)</t>
        </is>
      </c>
      <c r="Q241" s="10" t="inlineStr">
        <is>
          <t>MEDIA(2)</t>
        </is>
      </c>
      <c r="R241" s="10" t="inlineStr">
        <is>
          <t>MEDIA(2)</t>
        </is>
      </c>
      <c r="S241" s="10">
        <f>+(IF(P241="PUBLICA(1)",1,IF(P241="USO INTERNO(2)",2,IF(P241="RESTRINGIDO(3)",3,3))))+(IF(Q241="BAJA(1)",1,IF(Q241="MEDIA(2)",2,IF(Q241="ALTA(3)",3,3))))+(IF(R241="BAJA(1)",1,IF(R241="MEDIA(2)",2,IF(R241="ALTA(3)",3,3))))</f>
        <v/>
      </c>
      <c r="T241" s="10">
        <f>+IF(S241&lt;6,"BAJA",IF(S241&lt;8,"MEDIA","ALTA"))</f>
        <v/>
      </c>
      <c r="U241" s="10" t="inlineStr">
        <is>
          <t>-</t>
        </is>
      </c>
      <c r="V241" s="24" t="n">
        <v>45712</v>
      </c>
      <c r="W241" s="19" t="inlineStr">
        <is>
          <t>N/A</t>
        </is>
      </c>
      <c r="X241" s="10">
        <f>+IFERROR(IF(VLOOKUP(Tabla2[[#This Row],[ID]],'EVALUACION DE RIESGO'!A:A,1,FALSE)=Tabla2[[#This Row],[ID]],"SI","NO"),"NO")</f>
        <v/>
      </c>
      <c r="AD241">
        <f>IF(AND(Y241="",AA241=""),"",IF(OR(LEFT(AA241,2)="L0",LEFT(AA241,2)="L1",Y241="No Iniciado"),"CRÍTICO - Incumplimiento Normativo SEPS",IF(AND(OR(LEFT(AA241,2)="L4",LEFT(AA241,2)="L5"),AND(AC241&lt;&gt;"",AC241&lt;&gt;"N/A")),"CONFORME - Control Efectivo ISO 27001","OBSERVACIÓN - Revisar Controles")))</f>
        <v/>
      </c>
    </row>
    <row r="242">
      <c r="A242" s="99" t="inlineStr">
        <is>
          <t>1-GCO</t>
        </is>
      </c>
      <c r="B242" s="10" t="inlineStr">
        <is>
          <t>PRODUCTIVO</t>
        </is>
      </c>
      <c r="C242" s="10" t="inlineStr">
        <is>
          <t>Gestión de Colocaciones</t>
        </is>
      </c>
      <c r="D242" s="10" t="inlineStr">
        <is>
          <t>GCO</t>
        </is>
      </c>
      <c r="E242" s="10" t="inlineStr">
        <is>
          <t>Gestión de Crédito de Consumo</t>
        </is>
      </c>
      <c r="F242" s="10" t="inlineStr">
        <is>
          <t>-</t>
        </is>
      </c>
      <c r="G242" s="10" t="inlineStr">
        <is>
          <t>Solicitud de crédito</t>
        </is>
      </c>
      <c r="H242" s="10" t="inlineStr">
        <is>
          <t>File de crédito</t>
        </is>
      </c>
      <c r="I242" s="10" t="inlineStr">
        <is>
          <t>File digital que contiene toda la documentación referente a los lineamientos del tipo de crédito</t>
        </is>
      </c>
      <c r="J242" s="10" t="inlineStr">
        <is>
          <t>Jefe de Negocios</t>
        </is>
      </c>
      <c r="K242" s="10" t="inlineStr">
        <is>
          <t>FIT</t>
        </is>
      </c>
      <c r="L242" s="10" t="inlineStr">
        <is>
          <t>UBICACIÓN DIGITAL-CORE FINANCIERO</t>
        </is>
      </c>
      <c r="M242" s="10" t="inlineStr">
        <is>
          <t>DOCUMENTO DE ARCHIVO-ELECTRÓNICO</t>
        </is>
      </c>
      <c r="N242" s="10" t="inlineStr">
        <is>
          <t>PRIMARIOS</t>
        </is>
      </c>
      <c r="O242" s="10" t="inlineStr">
        <is>
          <t>INFORMACIÓN DE SOCIOS Y CLIENTES</t>
        </is>
      </c>
      <c r="P242" s="10" t="inlineStr">
        <is>
          <t>RESTRINGIDO(3)</t>
        </is>
      </c>
      <c r="Q242" s="10" t="inlineStr">
        <is>
          <t>MEDIA(2)</t>
        </is>
      </c>
      <c r="R242" s="10" t="inlineStr">
        <is>
          <t>MEDIA(2)</t>
        </is>
      </c>
      <c r="S242" s="10">
        <f>+(IF(P242="PUBLICA(1)",1,IF(P242="USO INTERNO(2)",2,IF(P242="RESTRINGIDO(3)",3,3))))+(IF(Q242="BAJA(1)",1,IF(Q242="MEDIA(2)",2,IF(Q242="ALTA(3)",3,3))))+(IF(R242="BAJA(1)",1,IF(R242="MEDIA(2)",2,IF(R242="ALTA(3)",3,3))))</f>
        <v/>
      </c>
      <c r="T242" s="10">
        <f>+IF(S242&lt;6,"BAJA",IF(S242&lt;8,"MEDIA","ALTA"))</f>
        <v/>
      </c>
      <c r="U242" s="10" t="inlineStr">
        <is>
          <t>-</t>
        </is>
      </c>
      <c r="V242" s="24" t="inlineStr">
        <is>
          <t>8/02/225</t>
        </is>
      </c>
      <c r="W242" s="19" t="inlineStr">
        <is>
          <t>N/A</t>
        </is>
      </c>
      <c r="X242" s="10">
        <f>+IFERROR(IF(VLOOKUP(Tabla2[[#This Row],[ID]],'EVALUACION DE RIESGO'!A:A,1,FALSE)=Tabla2[[#This Row],[ID]],"SI","NO"),"NO")</f>
        <v/>
      </c>
      <c r="AD242">
        <f>IF(AND(Y242="",AA242=""),"",IF(OR(LEFT(AA242,2)="L0",LEFT(AA242,2)="L1",Y242="No Iniciado"),"CRÍTICO - Incumplimiento Normativo SEPS",IF(AND(OR(LEFT(AA242,2)="L4",LEFT(AA242,2)="L5"),AND(AC242&lt;&gt;"",AC242&lt;&gt;"N/A")),"CONFORME - Control Efectivo ISO 27001","OBSERVACIÓN - Revisar Controles")))</f>
        <v/>
      </c>
    </row>
    <row r="243">
      <c r="A243" s="99" t="inlineStr">
        <is>
          <t>2-GCO</t>
        </is>
      </c>
      <c r="B243" s="10" t="inlineStr">
        <is>
          <t>PRODUCTIVO</t>
        </is>
      </c>
      <c r="C243" s="10" t="inlineStr">
        <is>
          <t>Gestión de Colocaciones</t>
        </is>
      </c>
      <c r="D243" s="10" t="inlineStr">
        <is>
          <t>GCO</t>
        </is>
      </c>
      <c r="E243" s="10" t="inlineStr">
        <is>
          <t>Gestión de Crédito de Consumo</t>
        </is>
      </c>
      <c r="F243" s="10" t="inlineStr">
        <is>
          <t>-</t>
        </is>
      </c>
      <c r="G243" s="10" t="inlineStr">
        <is>
          <t>Solicitud de créditos con garantía de plazo fijo</t>
        </is>
      </c>
      <c r="H243" s="10" t="inlineStr">
        <is>
          <t>File de crédito / Certificado del DPF</t>
        </is>
      </c>
      <c r="I243" s="10" t="inlineStr">
        <is>
          <t>File digital que contiene toda la documentación referente a los lineamientos del tipo de crédito, de adjunta la copia del DPF</t>
        </is>
      </c>
      <c r="J243" s="10" t="inlineStr">
        <is>
          <t>Jefe de Negocios</t>
        </is>
      </c>
      <c r="K243" s="10" t="inlineStr">
        <is>
          <t>FIT</t>
        </is>
      </c>
      <c r="L243" s="10" t="inlineStr">
        <is>
          <t>UBICACIÓN DIGITAL-CORE FINANCIERO</t>
        </is>
      </c>
      <c r="M243" s="10" t="inlineStr">
        <is>
          <t>DOCUMENTO DE ARCHIVO-ELECTRÓNICO</t>
        </is>
      </c>
      <c r="N243" s="10" t="inlineStr">
        <is>
          <t>PRIMARIOS</t>
        </is>
      </c>
      <c r="O243" s="10" t="inlineStr">
        <is>
          <t>INFORMACIÓN DE SOCIOS Y CLIENTES</t>
        </is>
      </c>
      <c r="P243" s="10" t="inlineStr">
        <is>
          <t>RESTRINGIDO(3)</t>
        </is>
      </c>
      <c r="Q243" s="10" t="inlineStr">
        <is>
          <t>MEDIA(2)</t>
        </is>
      </c>
      <c r="R243" s="10" t="inlineStr">
        <is>
          <t>MEDIA(2)</t>
        </is>
      </c>
      <c r="S243" s="10">
        <f>+(IF(P243="PUBLICA(1)",1,IF(P243="USO INTERNO(2)",2,IF(P243="RESTRINGIDO(3)",3,3))))+(IF(Q243="BAJA(1)",1,IF(Q243="MEDIA(2)",2,IF(Q243="ALTA(3)",3,3))))+(IF(R243="BAJA(1)",1,IF(R243="MEDIA(2)",2,IF(R243="ALTA(3)",3,3))))</f>
        <v/>
      </c>
      <c r="T243" s="10">
        <f>+IF(S243&lt;6,"BAJA",IF(S243&lt;8,"MEDIA","ALTA"))</f>
        <v/>
      </c>
      <c r="U243" s="10" t="inlineStr">
        <is>
          <t>-</t>
        </is>
      </c>
      <c r="V243" s="24" t="inlineStr">
        <is>
          <t>8/02/225</t>
        </is>
      </c>
      <c r="W243" s="19" t="inlineStr">
        <is>
          <t>N/A</t>
        </is>
      </c>
      <c r="X243" s="10">
        <f>+IFERROR(IF(VLOOKUP(Tabla2[[#This Row],[ID]],'EVALUACION DE RIESGO'!A:A,1,FALSE)=Tabla2[[#This Row],[ID]],"SI","NO"),"NO")</f>
        <v/>
      </c>
      <c r="AD243">
        <f>IF(AND(Y243="",AA243=""),"",IF(OR(LEFT(AA243,2)="L0",LEFT(AA243,2)="L1",Y243="No Iniciado"),"CRÍTICO - Incumplimiento Normativo SEPS",IF(AND(OR(LEFT(AA243,2)="L4",LEFT(AA243,2)="L5"),AND(AC243&lt;&gt;"",AC243&lt;&gt;"N/A")),"CONFORME - Control Efectivo ISO 27001","OBSERVACIÓN - Revisar Controles")))</f>
        <v/>
      </c>
    </row>
    <row r="244">
      <c r="A244" s="99" t="inlineStr">
        <is>
          <t>3-GCO</t>
        </is>
      </c>
      <c r="B244" s="10" t="inlineStr">
        <is>
          <t>PRODUCTIVO</t>
        </is>
      </c>
      <c r="C244" s="10" t="inlineStr">
        <is>
          <t>Gestión de Colocaciones</t>
        </is>
      </c>
      <c r="D244" s="10" t="inlineStr">
        <is>
          <t>GCO</t>
        </is>
      </c>
      <c r="E244" s="10" t="inlineStr">
        <is>
          <t>Gestión de Crédito de Consumo</t>
        </is>
      </c>
      <c r="F244" s="10" t="inlineStr">
        <is>
          <t>-</t>
        </is>
      </c>
      <c r="G244" s="10" t="inlineStr">
        <is>
          <t>Solicitud de créditos con garantía prendaria de Oro</t>
        </is>
      </c>
      <c r="H244" s="10" t="inlineStr">
        <is>
          <t>File de crédito</t>
        </is>
      </c>
      <c r="I244" s="10" t="inlineStr">
        <is>
          <t>File digital que contiene toda la documentación referente a los lineamientos del tipo de crédito</t>
        </is>
      </c>
      <c r="J244" s="10" t="inlineStr">
        <is>
          <t>Jefe de Negocios</t>
        </is>
      </c>
      <c r="K244" s="10" t="inlineStr">
        <is>
          <t>FIT</t>
        </is>
      </c>
      <c r="L244" s="10" t="inlineStr">
        <is>
          <t>UBICACIÓN DIGITAL-CORE FINANCIERO</t>
        </is>
      </c>
      <c r="M244" s="10" t="inlineStr">
        <is>
          <t>DOCUMENTO DE ARCHIVO-ELECTRÓNICO</t>
        </is>
      </c>
      <c r="N244" s="10" t="inlineStr">
        <is>
          <t>PRIMARIOS</t>
        </is>
      </c>
      <c r="O244" s="10" t="inlineStr">
        <is>
          <t>INFORMACIÓN DE SOCIOS Y CLIENTES</t>
        </is>
      </c>
      <c r="P244" s="10" t="inlineStr">
        <is>
          <t>USO INTERNO(2)</t>
        </is>
      </c>
      <c r="Q244" s="10" t="inlineStr">
        <is>
          <t>MEDIA(2)</t>
        </is>
      </c>
      <c r="R244" s="10" t="inlineStr">
        <is>
          <t>MEDIA(2)</t>
        </is>
      </c>
      <c r="S244" s="10">
        <f>+(IF(P244="PUBLICA(1)",1,IF(P244="USO INTERNO(2)",2,IF(P244="RESTRINGIDO(3)",3,3))))+(IF(Q244="BAJA(1)",1,IF(Q244="MEDIA(2)",2,IF(Q244="ALTA(3)",3,3))))+(IF(R244="BAJA(1)",1,IF(R244="MEDIA(2)",2,IF(R244="ALTA(3)",3,3))))</f>
        <v/>
      </c>
      <c r="T244" s="10">
        <f>+IF(S244&lt;6,"BAJA",IF(S244&lt;8,"MEDIA","ALTA"))</f>
        <v/>
      </c>
      <c r="U244" s="10" t="inlineStr">
        <is>
          <t>-</t>
        </is>
      </c>
      <c r="V244" s="24" t="inlineStr">
        <is>
          <t>8/02/225</t>
        </is>
      </c>
      <c r="W244" s="19" t="inlineStr">
        <is>
          <t>N/A</t>
        </is>
      </c>
      <c r="X244" s="10">
        <f>+IFERROR(IF(VLOOKUP(Tabla2[[#This Row],[ID]],'EVALUACION DE RIESGO'!A:A,1,FALSE)=Tabla2[[#This Row],[ID]],"SI","NO"),"NO")</f>
        <v/>
      </c>
      <c r="AD244">
        <f>IF(AND(Y244="",AA244=""),"",IF(OR(LEFT(AA244,2)="L0",LEFT(AA244,2)="L1",Y244="No Iniciado"),"CRÍTICO - Incumplimiento Normativo SEPS",IF(AND(OR(LEFT(AA244,2)="L4",LEFT(AA244,2)="L5"),AND(AC244&lt;&gt;"",AC244&lt;&gt;"N/A")),"CONFORME - Control Efectivo ISO 27001","OBSERVACIÓN - Revisar Controles")))</f>
        <v/>
      </c>
    </row>
    <row r="245">
      <c r="A245" s="99" t="inlineStr">
        <is>
          <t>4-GCO</t>
        </is>
      </c>
      <c r="B245" s="10" t="inlineStr">
        <is>
          <t>PRODUCTIVO</t>
        </is>
      </c>
      <c r="C245" s="10" t="inlineStr">
        <is>
          <t>Gestión de Colocaciones</t>
        </is>
      </c>
      <c r="D245" s="10" t="inlineStr">
        <is>
          <t>GCO</t>
        </is>
      </c>
      <c r="E245" s="10" t="inlineStr">
        <is>
          <t>Gestión de Crédito de Consumo</t>
        </is>
      </c>
      <c r="F245" s="10" t="inlineStr">
        <is>
          <t>-</t>
        </is>
      </c>
      <c r="G245" s="10" t="inlineStr">
        <is>
          <t>Solicitud de créditos con garantía prendaria de Oro</t>
        </is>
      </c>
      <c r="H245" s="10" t="inlineStr">
        <is>
          <t>Prenda de oro</t>
        </is>
      </c>
      <c r="I245" s="10" t="inlineStr">
        <is>
          <t>Prenda de garantía que se recibe para otorgar el crédito</t>
        </is>
      </c>
      <c r="J245" s="10" t="inlineStr">
        <is>
          <t>Jefe de Negocios</t>
        </is>
      </c>
      <c r="K245" s="10" t="inlineStr">
        <is>
          <t>Supervisor Operativo</t>
        </is>
      </c>
      <c r="L245" s="10" t="inlineStr">
        <is>
          <t>DOCUMENTOS FISICOS-ARCHIVOS DE LA OFICINA</t>
        </is>
      </c>
      <c r="M245" s="10" t="inlineStr">
        <is>
          <t>DOCUMENTO DE ARCHIVO-FÍSICO</t>
        </is>
      </c>
      <c r="N245" s="10" t="inlineStr">
        <is>
          <t>PRIMARIOS</t>
        </is>
      </c>
      <c r="O245" s="10" t="inlineStr">
        <is>
          <t>INFORMACIÓN DE SOCIOS Y CLIENTES</t>
        </is>
      </c>
      <c r="P245" s="10" t="inlineStr">
        <is>
          <t>USO INTERNO(2)</t>
        </is>
      </c>
      <c r="Q245" s="10" t="inlineStr">
        <is>
          <t>MEDIA(2)</t>
        </is>
      </c>
      <c r="R245" s="10" t="inlineStr">
        <is>
          <t>MEDIA(2)</t>
        </is>
      </c>
      <c r="S245" s="10">
        <f>+(IF(P245="PUBLICA(1)",1,IF(P245="USO INTERNO(2)",2,IF(P245="RESTRINGIDO(3)",3,3))))+(IF(Q245="BAJA(1)",1,IF(Q245="MEDIA(2)",2,IF(Q245="ALTA(3)",3,3))))+(IF(R245="BAJA(1)",1,IF(R245="MEDIA(2)",2,IF(R245="ALTA(3)",3,3))))</f>
        <v/>
      </c>
      <c r="T245" s="10">
        <f>+IF(S245&lt;6,"BAJA",IF(S245&lt;8,"MEDIA","ALTA"))</f>
        <v/>
      </c>
      <c r="U245" s="10" t="inlineStr">
        <is>
          <t>-</t>
        </is>
      </c>
      <c r="V245" s="24" t="inlineStr">
        <is>
          <t>8/02/225</t>
        </is>
      </c>
      <c r="W245" s="19" t="inlineStr">
        <is>
          <t>N/A</t>
        </is>
      </c>
      <c r="X245" s="10">
        <f>+IFERROR(IF(VLOOKUP(Tabla2[[#This Row],[ID]],'EVALUACION DE RIESGO'!A:A,1,FALSE)=Tabla2[[#This Row],[ID]],"SI","NO"),"NO")</f>
        <v/>
      </c>
      <c r="AD245">
        <f>IF(AND(Y245="",AA245=""),"",IF(OR(LEFT(AA245,2)="L0",LEFT(AA245,2)="L1",Y245="No Iniciado"),"CRÍTICO - Incumplimiento Normativo SEPS",IF(AND(OR(LEFT(AA245,2)="L4",LEFT(AA245,2)="L5"),AND(AC245&lt;&gt;"",AC245&lt;&gt;"N/A")),"CONFORME - Control Efectivo ISO 27001","OBSERVACIÓN - Revisar Controles")))</f>
        <v/>
      </c>
    </row>
    <row r="246">
      <c r="A246" s="99" t="inlineStr">
        <is>
          <t>5-GCO</t>
        </is>
      </c>
      <c r="B246" s="10" t="inlineStr">
        <is>
          <t>PRODUCTIVO</t>
        </is>
      </c>
      <c r="C246" s="10" t="inlineStr">
        <is>
          <t>Gestión de Colocaciones</t>
        </is>
      </c>
      <c r="D246" s="10" t="inlineStr">
        <is>
          <t>GCO</t>
        </is>
      </c>
      <c r="E246" s="10" t="inlineStr">
        <is>
          <t>Gestión de Crédito de Consumo</t>
        </is>
      </c>
      <c r="F246" s="10" t="inlineStr">
        <is>
          <t>-</t>
        </is>
      </c>
      <c r="G246" s="10" t="inlineStr">
        <is>
          <t>Solicitud de créditos con garantía prendaria de Oro</t>
        </is>
      </c>
      <c r="H246" s="10" t="inlineStr">
        <is>
          <t>Formulario y foro de la prenda para custodia</t>
        </is>
      </c>
      <c r="I246" s="10" t="inlineStr">
        <is>
          <t>Acta entrega que se realiza para la recepción de la prenda</t>
        </is>
      </c>
      <c r="J246" s="10" t="inlineStr">
        <is>
          <t>Jefe de Negocios</t>
        </is>
      </c>
      <c r="K246" s="10" t="inlineStr">
        <is>
          <t>FIT</t>
        </is>
      </c>
      <c r="L246" s="10" t="inlineStr">
        <is>
          <t>UBICACIÓN DIGITAL-CORE FINANCIERO</t>
        </is>
      </c>
      <c r="M246" s="10" t="inlineStr">
        <is>
          <t>DOCUMENTO DE ARCHIVO-ELECTRÓNICO</t>
        </is>
      </c>
      <c r="N246" s="10" t="inlineStr">
        <is>
          <t>PRIMARIOS</t>
        </is>
      </c>
      <c r="O246" s="10" t="inlineStr">
        <is>
          <t>DOCUMENTOS HABILITANTES</t>
        </is>
      </c>
      <c r="P246" s="10" t="inlineStr">
        <is>
          <t>USO INTERNO(2)</t>
        </is>
      </c>
      <c r="Q246" s="10" t="inlineStr">
        <is>
          <t>MEDIA(2)</t>
        </is>
      </c>
      <c r="R246" s="10" t="inlineStr">
        <is>
          <t>MEDIA(2)</t>
        </is>
      </c>
      <c r="S246" s="10">
        <f>+(IF(P246="PUBLICA(1)",1,IF(P246="USO INTERNO(2)",2,IF(P246="RESTRINGIDO(3)",3,3))))+(IF(Q246="BAJA(1)",1,IF(Q246="MEDIA(2)",2,IF(Q246="ALTA(3)",3,3))))+(IF(R246="BAJA(1)",1,IF(R246="MEDIA(2)",2,IF(R246="ALTA(3)",3,3))))</f>
        <v/>
      </c>
      <c r="T246" s="10">
        <f>+IF(S246&lt;6,"BAJA",IF(S246&lt;8,"MEDIA","ALTA"))</f>
        <v/>
      </c>
      <c r="U246" s="10" t="inlineStr">
        <is>
          <t>-</t>
        </is>
      </c>
      <c r="V246" s="24" t="inlineStr">
        <is>
          <t>8/02/225</t>
        </is>
      </c>
      <c r="W246" s="19" t="inlineStr">
        <is>
          <t>N/A</t>
        </is>
      </c>
      <c r="X246" s="10">
        <f>+IFERROR(IF(VLOOKUP(Tabla2[[#This Row],[ID]],'EVALUACION DE RIESGO'!A:A,1,FALSE)=Tabla2[[#This Row],[ID]],"SI","NO"),"NO")</f>
        <v/>
      </c>
      <c r="AD246">
        <f>IF(AND(Y246="",AA246=""),"",IF(OR(LEFT(AA246,2)="L0",LEFT(AA246,2)="L1",Y246="No Iniciado"),"CRÍTICO - Incumplimiento Normativo SEPS",IF(AND(OR(LEFT(AA246,2)="L4",LEFT(AA246,2)="L5"),AND(AC246&lt;&gt;"",AC246&lt;&gt;"N/A")),"CONFORME - Control Efectivo ISO 27001","OBSERVACIÓN - Revisar Controles")))</f>
        <v/>
      </c>
    </row>
    <row r="247">
      <c r="A247" s="99" t="inlineStr">
        <is>
          <t>6-GCO</t>
        </is>
      </c>
      <c r="B247" s="10" t="inlineStr">
        <is>
          <t>PRODUCTIVO</t>
        </is>
      </c>
      <c r="C247" s="10" t="inlineStr">
        <is>
          <t>Gestión de Colocaciones</t>
        </is>
      </c>
      <c r="D247" s="10" t="inlineStr">
        <is>
          <t>GCO</t>
        </is>
      </c>
      <c r="E247" s="10" t="inlineStr">
        <is>
          <t>Gestión de Crédito de Consumo</t>
        </is>
      </c>
      <c r="F247" s="10" t="inlineStr">
        <is>
          <t>-</t>
        </is>
      </c>
      <c r="G247" s="10" t="inlineStr">
        <is>
          <t>Solicitud de novación, refinanciamiento, o reestructuración de créditos</t>
        </is>
      </c>
      <c r="H247" s="10" t="inlineStr">
        <is>
          <t>File de crédito / Informe de análisis de novación, refinanciamiento y restructuración</t>
        </is>
      </c>
      <c r="I247" s="10" t="inlineStr">
        <is>
          <t>File digital que contiene toda la documentación referente a los lineamientos del tipo de crédito /  el informe de análisis se adjunta al file del crédito</t>
        </is>
      </c>
      <c r="J247" s="10" t="inlineStr">
        <is>
          <t>Jefe de Negocios</t>
        </is>
      </c>
      <c r="K247" s="10" t="inlineStr">
        <is>
          <t>FIT</t>
        </is>
      </c>
      <c r="L247" s="10" t="inlineStr">
        <is>
          <t>UBICACIÓN DIGITAL-CORE FINANCIERO</t>
        </is>
      </c>
      <c r="M247" s="10" t="inlineStr">
        <is>
          <t>DOCUMENTO DE ARCHIVO-ELECTRÓNICO</t>
        </is>
      </c>
      <c r="N247" s="10" t="inlineStr">
        <is>
          <t>PRIMARIOS</t>
        </is>
      </c>
      <c r="O247" s="10" t="inlineStr">
        <is>
          <t>INFORMACIÓN DE SOCIOS Y CLIENTES</t>
        </is>
      </c>
      <c r="P247" s="10" t="inlineStr">
        <is>
          <t>RESTRINGIDO(3)</t>
        </is>
      </c>
      <c r="Q247" s="10" t="inlineStr">
        <is>
          <t>MEDIA(2)</t>
        </is>
      </c>
      <c r="R247" s="10" t="inlineStr">
        <is>
          <t>MEDIA(2)</t>
        </is>
      </c>
      <c r="S247" s="10">
        <f>+(IF(P247="PUBLICA(1)",1,IF(P247="USO INTERNO(2)",2,IF(P247="RESTRINGIDO(3)",3,3))))+(IF(Q247="BAJA(1)",1,IF(Q247="MEDIA(2)",2,IF(Q247="ALTA(3)",3,3))))+(IF(R247="BAJA(1)",1,IF(R247="MEDIA(2)",2,IF(R247="ALTA(3)",3,3))))</f>
        <v/>
      </c>
      <c r="T247" s="10">
        <f>+IF(S247&lt;6,"BAJA",IF(S247&lt;8,"MEDIA","ALTA"))</f>
        <v/>
      </c>
      <c r="U247" s="10" t="inlineStr">
        <is>
          <t>-</t>
        </is>
      </c>
      <c r="V247" s="24" t="inlineStr">
        <is>
          <t>8/02/225</t>
        </is>
      </c>
      <c r="W247" s="19" t="inlineStr">
        <is>
          <t>N/A</t>
        </is>
      </c>
      <c r="X247" s="10">
        <f>+IFERROR(IF(VLOOKUP(Tabla2[[#This Row],[ID]],'EVALUACION DE RIESGO'!A:A,1,FALSE)=Tabla2[[#This Row],[ID]],"SI","NO"),"NO")</f>
        <v/>
      </c>
      <c r="AD247">
        <f>IF(AND(Y247="",AA247=""),"",IF(OR(LEFT(AA247,2)="L0",LEFT(AA247,2)="L1",Y247="No Iniciado"),"CRÍTICO - Incumplimiento Normativo SEPS",IF(AND(OR(LEFT(AA247,2)="L4",LEFT(AA247,2)="L5"),AND(AC247&lt;&gt;"",AC247&lt;&gt;"N/A")),"CONFORME - Control Efectivo ISO 27001","OBSERVACIÓN - Revisar Controles")))</f>
        <v/>
      </c>
    </row>
    <row r="248">
      <c r="A248" s="99" t="inlineStr">
        <is>
          <t>7-GCO</t>
        </is>
      </c>
      <c r="B248" s="10" t="inlineStr">
        <is>
          <t>PRODUCTIVO</t>
        </is>
      </c>
      <c r="C248" s="10" t="inlineStr">
        <is>
          <t>Gestión de Colocaciones</t>
        </is>
      </c>
      <c r="D248" s="10" t="inlineStr">
        <is>
          <t>GCO</t>
        </is>
      </c>
      <c r="E248" s="10" t="inlineStr">
        <is>
          <t>Gestión de Crédito de Consumo</t>
        </is>
      </c>
      <c r="F248" s="10" t="inlineStr">
        <is>
          <t>-</t>
        </is>
      </c>
      <c r="G248" s="10" t="inlineStr">
        <is>
          <t xml:space="preserve">Seguimiento al destino del crédito    </t>
        </is>
      </c>
      <c r="H248" s="10" t="inlineStr">
        <is>
          <t>Formulario de destino del crédito</t>
        </is>
      </c>
      <c r="I248" s="10" t="inlineStr">
        <is>
          <t>Formulario de detalle del destino de la solicitud del crédito</t>
        </is>
      </c>
      <c r="J248" s="10" t="inlineStr">
        <is>
          <t>Jefe de Negocios</t>
        </is>
      </c>
      <c r="K248" s="10" t="inlineStr">
        <is>
          <t>FIT</t>
        </is>
      </c>
      <c r="L248" s="10" t="inlineStr">
        <is>
          <t>UBICACIÓN DIGITAL-CORE FINANCIERO</t>
        </is>
      </c>
      <c r="M248" s="10" t="inlineStr">
        <is>
          <t>DOCUMENTO DE ARCHIVO-ELECTRÓNICO</t>
        </is>
      </c>
      <c r="N248" s="10" t="inlineStr">
        <is>
          <t>PRIMARIOS</t>
        </is>
      </c>
      <c r="O248" s="10" t="inlineStr">
        <is>
          <t>INFORMACIÓN DE SOCIOS Y CLIENTES</t>
        </is>
      </c>
      <c r="P248" s="10" t="inlineStr">
        <is>
          <t>USO INTERNO(2)</t>
        </is>
      </c>
      <c r="Q248" s="10" t="inlineStr">
        <is>
          <t>MEDIA(2)</t>
        </is>
      </c>
      <c r="R248" s="10" t="inlineStr">
        <is>
          <t>MEDIA(2)</t>
        </is>
      </c>
      <c r="S248" s="10">
        <f>+(IF(P248="PUBLICA(1)",1,IF(P248="USO INTERNO(2)",2,IF(P248="RESTRINGIDO(3)",3,3))))+(IF(Q248="BAJA(1)",1,IF(Q248="MEDIA(2)",2,IF(Q248="ALTA(3)",3,3))))+(IF(R248="BAJA(1)",1,IF(R248="MEDIA(2)",2,IF(R248="ALTA(3)",3,3))))</f>
        <v/>
      </c>
      <c r="T248" s="10">
        <f>+IF(S248&lt;6,"BAJA",IF(S248&lt;8,"MEDIA","ALTA"))</f>
        <v/>
      </c>
      <c r="U248" s="10" t="inlineStr">
        <is>
          <t>-</t>
        </is>
      </c>
      <c r="V248" s="24" t="inlineStr">
        <is>
          <t>8/02/225</t>
        </is>
      </c>
      <c r="W248" s="19" t="inlineStr">
        <is>
          <t>N/A</t>
        </is>
      </c>
      <c r="X248" s="10">
        <f>+IFERROR(IF(VLOOKUP(Tabla2[[#This Row],[ID]],'EVALUACION DE RIESGO'!A:A,1,FALSE)=Tabla2[[#This Row],[ID]],"SI","NO"),"NO")</f>
        <v/>
      </c>
      <c r="AD248">
        <f>IF(AND(Y248="",AA248=""),"",IF(OR(LEFT(AA248,2)="L0",LEFT(AA248,2)="L1",Y248="No Iniciado"),"CRÍTICO - Incumplimiento Normativo SEPS",IF(AND(OR(LEFT(AA248,2)="L4",LEFT(AA248,2)="L5"),AND(AC248&lt;&gt;"",AC248&lt;&gt;"N/A")),"CONFORME - Control Efectivo ISO 27001","OBSERVACIÓN - Revisar Controles")))</f>
        <v/>
      </c>
    </row>
    <row r="249">
      <c r="A249" s="99" t="inlineStr">
        <is>
          <t>8-GCO</t>
        </is>
      </c>
      <c r="B249" s="10" t="inlineStr">
        <is>
          <t>PRODUCTIVO</t>
        </is>
      </c>
      <c r="C249" s="10" t="inlineStr">
        <is>
          <t>Gestión de Colocaciones</t>
        </is>
      </c>
      <c r="D249" s="10" t="inlineStr">
        <is>
          <t>GCO</t>
        </is>
      </c>
      <c r="E249" s="10" t="inlineStr">
        <is>
          <t>Gestión de PYMES</t>
        </is>
      </c>
      <c r="F249" s="10" t="inlineStr">
        <is>
          <t>-</t>
        </is>
      </c>
      <c r="G249" s="10" t="inlineStr">
        <is>
          <t xml:space="preserve">Solicitud de crédito PYME </t>
        </is>
      </c>
      <c r="H249" s="10" t="inlineStr">
        <is>
          <t>File de crédito / Formulario previo al otorgamiento del crédito</t>
        </is>
      </c>
      <c r="I249" s="10" t="inlineStr">
        <is>
          <t>File digital que contiene toda la documentación referente a los lineamientos del tipo de crédito / el formulario previo se adjunta al otorgamiento del crédito</t>
        </is>
      </c>
      <c r="J249" s="10" t="inlineStr">
        <is>
          <t>Gerente de Negocios</t>
        </is>
      </c>
      <c r="K249" s="10" t="inlineStr">
        <is>
          <t>FIT</t>
        </is>
      </c>
      <c r="L249" s="10" t="inlineStr">
        <is>
          <t>UBICACIÓN DIGITAL-CORE FINANCIERO</t>
        </is>
      </c>
      <c r="M249" s="10" t="inlineStr">
        <is>
          <t>DOCUMENTO DE ARCHIVO-ELECTRÓNICO</t>
        </is>
      </c>
      <c r="N249" s="10" t="inlineStr">
        <is>
          <t>PRIMARIOS</t>
        </is>
      </c>
      <c r="O249" s="10" t="inlineStr">
        <is>
          <t>INFORMACIÓN DE SOCIOS Y CLIENTES</t>
        </is>
      </c>
      <c r="P249" s="10" t="inlineStr">
        <is>
          <t>RESTRINGIDO(3)</t>
        </is>
      </c>
      <c r="Q249" s="10" t="inlineStr">
        <is>
          <t>MEDIA(2)</t>
        </is>
      </c>
      <c r="R249" s="10" t="inlineStr">
        <is>
          <t>MEDIA(2)</t>
        </is>
      </c>
      <c r="S249" s="10">
        <f>+(IF(P249="PUBLICA(1)",1,IF(P249="USO INTERNO(2)",2,IF(P249="RESTRINGIDO(3)",3,3))))+(IF(Q249="BAJA(1)",1,IF(Q249="MEDIA(2)",2,IF(Q249="ALTA(3)",3,3))))+(IF(R249="BAJA(1)",1,IF(R249="MEDIA(2)",2,IF(R249="ALTA(3)",3,3))))</f>
        <v/>
      </c>
      <c r="T249" s="10">
        <f>+IF(S249&lt;6,"BAJA",IF(S249&lt;8,"MEDIA","ALTA"))</f>
        <v/>
      </c>
      <c r="U249" s="10" t="inlineStr">
        <is>
          <t>-</t>
        </is>
      </c>
      <c r="V249" s="24" t="inlineStr">
        <is>
          <t>8/02/225</t>
        </is>
      </c>
      <c r="W249" s="19" t="inlineStr">
        <is>
          <t>N/A</t>
        </is>
      </c>
      <c r="X249" s="10">
        <f>+IFERROR(IF(VLOOKUP(Tabla2[[#This Row],[ID]],'EVALUACION DE RIESGO'!A:A,1,FALSE)=Tabla2[[#This Row],[ID]],"SI","NO"),"NO")</f>
        <v/>
      </c>
      <c r="AD249">
        <f>IF(AND(Y249="",AA249=""),"",IF(OR(LEFT(AA249,2)="L0",LEFT(AA249,2)="L1",Y249="No Iniciado"),"CRÍTICO - Incumplimiento Normativo SEPS",IF(AND(OR(LEFT(AA249,2)="L4",LEFT(AA249,2)="L5"),AND(AC249&lt;&gt;"",AC249&lt;&gt;"N/A")),"CONFORME - Control Efectivo ISO 27001","OBSERVACIÓN - Revisar Controles")))</f>
        <v/>
      </c>
    </row>
    <row r="250">
      <c r="A250" s="99" t="inlineStr">
        <is>
          <t>9-GCO</t>
        </is>
      </c>
      <c r="B250" s="10" t="inlineStr">
        <is>
          <t>PRODUCTIVO</t>
        </is>
      </c>
      <c r="C250" s="10" t="inlineStr">
        <is>
          <t>Gestión de Colocaciones</t>
        </is>
      </c>
      <c r="D250" s="10" t="inlineStr">
        <is>
          <t>GCO</t>
        </is>
      </c>
      <c r="E250" s="10" t="inlineStr">
        <is>
          <t>Gestión de PYMES</t>
        </is>
      </c>
      <c r="F250" s="10" t="inlineStr">
        <is>
          <t>-</t>
        </is>
      </c>
      <c r="G250" s="10" t="inlineStr">
        <is>
          <t>Solicitud de novación, refinanciamiento, o reestructuración de créditos PYME</t>
        </is>
      </c>
      <c r="H250" s="10" t="inlineStr">
        <is>
          <t>File de crédito / Informe de análisis de novación, refinanciamiento y restructuración</t>
        </is>
      </c>
      <c r="I250" s="10" t="inlineStr">
        <is>
          <t>File digital que contiene toda la documentación referente a los lineamientos del tipo de crédito / el Informe de análisis de novación, refinanciamiento y restructuración se adjunta al file del crédito</t>
        </is>
      </c>
      <c r="J250" s="10" t="inlineStr">
        <is>
          <t>Gerente de Negocios</t>
        </is>
      </c>
      <c r="K250" s="10" t="inlineStr">
        <is>
          <t>FIT</t>
        </is>
      </c>
      <c r="L250" s="10" t="inlineStr">
        <is>
          <t>UBICACIÓN DIGITAL-CORE FINANCIERO</t>
        </is>
      </c>
      <c r="M250" s="10" t="inlineStr">
        <is>
          <t>DOCUMENTO DE ARCHIVO-ELECTRÓNICO</t>
        </is>
      </c>
      <c r="N250" s="10" t="inlineStr">
        <is>
          <t>PRIMARIOS</t>
        </is>
      </c>
      <c r="O250" s="10" t="inlineStr">
        <is>
          <t>INFORMACIÓN DE SOCIOS Y CLIENTES</t>
        </is>
      </c>
      <c r="P250" s="10" t="inlineStr">
        <is>
          <t>RESTRINGIDO(3)</t>
        </is>
      </c>
      <c r="Q250" s="10" t="inlineStr">
        <is>
          <t>MEDIA(2)</t>
        </is>
      </c>
      <c r="R250" s="10" t="inlineStr">
        <is>
          <t>MEDIA(2)</t>
        </is>
      </c>
      <c r="S250" s="10">
        <f>+(IF(P250="PUBLICA(1)",1,IF(P250="USO INTERNO(2)",2,IF(P250="RESTRINGIDO(3)",3,3))))+(IF(Q250="BAJA(1)",1,IF(Q250="MEDIA(2)",2,IF(Q250="ALTA(3)",3,3))))+(IF(R250="BAJA(1)",1,IF(R250="MEDIA(2)",2,IF(R250="ALTA(3)",3,3))))</f>
        <v/>
      </c>
      <c r="T250" s="10">
        <f>+IF(S250&lt;6,"BAJA",IF(S250&lt;8,"MEDIA","ALTA"))</f>
        <v/>
      </c>
      <c r="U250" s="10" t="inlineStr">
        <is>
          <t>-</t>
        </is>
      </c>
      <c r="V250" s="24" t="inlineStr">
        <is>
          <t>8/02/225</t>
        </is>
      </c>
      <c r="W250" s="19" t="inlineStr">
        <is>
          <t>N/A</t>
        </is>
      </c>
      <c r="X250" s="10">
        <f>+IFERROR(IF(VLOOKUP(Tabla2[[#This Row],[ID]],'EVALUACION DE RIESGO'!A:A,1,FALSE)=Tabla2[[#This Row],[ID]],"SI","NO"),"NO")</f>
        <v/>
      </c>
      <c r="AD250">
        <f>IF(AND(Y250="",AA250=""),"",IF(OR(LEFT(AA250,2)="L0",LEFT(AA250,2)="L1",Y250="No Iniciado"),"CRÍTICO - Incumplimiento Normativo SEPS",IF(AND(OR(LEFT(AA250,2)="L4",LEFT(AA250,2)="L5"),AND(AC250&lt;&gt;"",AC250&lt;&gt;"N/A")),"CONFORME - Control Efectivo ISO 27001","OBSERVACIÓN - Revisar Controles")))</f>
        <v/>
      </c>
    </row>
    <row r="251">
      <c r="A251" s="99" t="inlineStr">
        <is>
          <t>10-GCO</t>
        </is>
      </c>
      <c r="B251" s="10" t="inlineStr">
        <is>
          <t>PRODUCTIVO</t>
        </is>
      </c>
      <c r="C251" s="10" t="inlineStr">
        <is>
          <t>Gestión de Colocaciones</t>
        </is>
      </c>
      <c r="D251" s="10" t="inlineStr">
        <is>
          <t>GCO</t>
        </is>
      </c>
      <c r="E251" s="10" t="inlineStr">
        <is>
          <t>Gestión de PYMES</t>
        </is>
      </c>
      <c r="F251" s="10" t="inlineStr">
        <is>
          <t>-</t>
        </is>
      </c>
      <c r="G251" s="10" t="inlineStr">
        <is>
          <t>Destino y control a los créditos PYME</t>
        </is>
      </c>
      <c r="H251" s="10" t="inlineStr">
        <is>
          <t>Formulario de destino del crédito</t>
        </is>
      </c>
      <c r="I251" s="10" t="inlineStr">
        <is>
          <t>Formulario adjunto al file del crédito</t>
        </is>
      </c>
      <c r="J251" s="10" t="inlineStr">
        <is>
          <t>Gerente de Negocios</t>
        </is>
      </c>
      <c r="K251" s="10" t="inlineStr">
        <is>
          <t>FIT</t>
        </is>
      </c>
      <c r="L251" s="10" t="inlineStr">
        <is>
          <t>UBICACIÓN DIGITAL-CORE FINANCIERO</t>
        </is>
      </c>
      <c r="M251" s="10" t="inlineStr">
        <is>
          <t>DOCUMENTO DE ARCHIVO-ELECTRÓNICO</t>
        </is>
      </c>
      <c r="N251" s="10" t="inlineStr">
        <is>
          <t>PRIMARIOS</t>
        </is>
      </c>
      <c r="O251" s="10" t="inlineStr">
        <is>
          <t>INFORMACIÓN DE SOCIOS Y CLIENTES</t>
        </is>
      </c>
      <c r="P251" s="10" t="inlineStr">
        <is>
          <t>USO INTERNO(2)</t>
        </is>
      </c>
      <c r="Q251" s="10" t="inlineStr">
        <is>
          <t>MEDIA(2)</t>
        </is>
      </c>
      <c r="R251" s="10" t="inlineStr">
        <is>
          <t>MEDIA(2)</t>
        </is>
      </c>
      <c r="S251" s="10">
        <f>+(IF(P251="PUBLICA(1)",1,IF(P251="USO INTERNO(2)",2,IF(P251="RESTRINGIDO(3)",3,3))))+(IF(Q251="BAJA(1)",1,IF(Q251="MEDIA(2)",2,IF(Q251="ALTA(3)",3,3))))+(IF(R251="BAJA(1)",1,IF(R251="MEDIA(2)",2,IF(R251="ALTA(3)",3,3))))</f>
        <v/>
      </c>
      <c r="T251" s="10">
        <f>+IF(S251&lt;6,"BAJA",IF(S251&lt;8,"MEDIA","ALTA"))</f>
        <v/>
      </c>
      <c r="U251" s="10" t="inlineStr">
        <is>
          <t>-</t>
        </is>
      </c>
      <c r="V251" s="24" t="inlineStr">
        <is>
          <t>8/02/225</t>
        </is>
      </c>
      <c r="W251" s="19" t="inlineStr">
        <is>
          <t>N/A</t>
        </is>
      </c>
      <c r="X251" s="10">
        <f>+IFERROR(IF(VLOOKUP(Tabla2[[#This Row],[ID]],'EVALUACION DE RIESGO'!A:A,1,FALSE)=Tabla2[[#This Row],[ID]],"SI","NO"),"NO")</f>
        <v/>
      </c>
      <c r="AD251">
        <f>IF(AND(Y251="",AA251=""),"",IF(OR(LEFT(AA251,2)="L0",LEFT(AA251,2)="L1",Y251="No Iniciado"),"CRÍTICO - Incumplimiento Normativo SEPS",IF(AND(OR(LEFT(AA251,2)="L4",LEFT(AA251,2)="L5"),AND(AC251&lt;&gt;"",AC251&lt;&gt;"N/A")),"CONFORME - Control Efectivo ISO 27001","OBSERVACIÓN - Revisar Controles")))</f>
        <v/>
      </c>
    </row>
    <row r="252">
      <c r="A252" s="99" t="inlineStr">
        <is>
          <t>11-GCO</t>
        </is>
      </c>
      <c r="B252" s="10" t="inlineStr">
        <is>
          <t>PRODUCTIVO</t>
        </is>
      </c>
      <c r="C252" s="10" t="inlineStr">
        <is>
          <t>Gestión de Colocaciones</t>
        </is>
      </c>
      <c r="D252" s="10" t="inlineStr">
        <is>
          <t>GCO</t>
        </is>
      </c>
      <c r="E252" s="10" t="inlineStr">
        <is>
          <t>Procesamiento de Crédito</t>
        </is>
      </c>
      <c r="F252" s="10" t="inlineStr">
        <is>
          <t>-</t>
        </is>
      </c>
      <c r="G252" s="10" t="inlineStr">
        <is>
          <t>Predespacho de solicitudes de crédito</t>
        </is>
      </c>
      <c r="H252" s="10" t="inlineStr">
        <is>
          <t>Registro del sistema</t>
        </is>
      </c>
      <c r="I252" s="10" t="inlineStr">
        <is>
          <t>Registro realizado en el sistema como una etapa de la revisión y aprobación del crédito</t>
        </is>
      </c>
      <c r="J252" s="10" t="inlineStr">
        <is>
          <t>Jefe de Negocios</t>
        </is>
      </c>
      <c r="K252" s="10" t="inlineStr">
        <is>
          <t>FIT</t>
        </is>
      </c>
      <c r="L252" s="10" t="inlineStr">
        <is>
          <t>UBICACIÓN DIGITAL-CORE FINANCIERO</t>
        </is>
      </c>
      <c r="M252" s="10" t="inlineStr">
        <is>
          <t>DOCUMENTO DE ARCHIVO-ELECTRÓNICO</t>
        </is>
      </c>
      <c r="N252" s="10" t="inlineStr">
        <is>
          <t>PRIMARIOS</t>
        </is>
      </c>
      <c r="O252" s="10" t="inlineStr">
        <is>
          <t>INFORMACIÓN DE SOCIOS Y CLIENTES</t>
        </is>
      </c>
      <c r="P252" s="10" t="inlineStr">
        <is>
          <t>USO INTERNO(2)</t>
        </is>
      </c>
      <c r="Q252" s="10" t="inlineStr">
        <is>
          <t>BAJA(1)</t>
        </is>
      </c>
      <c r="R252" s="10" t="inlineStr">
        <is>
          <t>MEDIA(2)</t>
        </is>
      </c>
      <c r="S252" s="10">
        <f>+(IF(P252="PUBLICA(1)",1,IF(P252="USO INTERNO(2)",2,IF(P252="RESTRINGIDO(3)",3,3))))+(IF(Q252="BAJA(1)",1,IF(Q252="MEDIA(2)",2,IF(Q252="ALTA(3)",3,3))))+(IF(R252="BAJA(1)",1,IF(R252="MEDIA(2)",2,IF(R252="ALTA(3)",3,3))))</f>
        <v/>
      </c>
      <c r="T252" s="10">
        <f>+IF(S252&lt;6,"BAJA",IF(S252&lt;8,"MEDIA","ALTA"))</f>
        <v/>
      </c>
      <c r="U252" s="10" t="inlineStr">
        <is>
          <t>-</t>
        </is>
      </c>
      <c r="V252" s="24" t="inlineStr">
        <is>
          <t>8/02/225</t>
        </is>
      </c>
      <c r="W252" s="19" t="inlineStr">
        <is>
          <t>N/A</t>
        </is>
      </c>
      <c r="X252" s="10">
        <f>+IFERROR(IF(VLOOKUP(Tabla2[[#This Row],[ID]],'EVALUACION DE RIESGO'!A:A,1,FALSE)=Tabla2[[#This Row],[ID]],"SI","NO"),"NO")</f>
        <v/>
      </c>
      <c r="AD252">
        <f>IF(AND(Y252="",AA252=""),"",IF(OR(LEFT(AA252,2)="L0",LEFT(AA252,2)="L1",Y252="No Iniciado"),"CRÍTICO - Incumplimiento Normativo SEPS",IF(AND(OR(LEFT(AA252,2)="L4",LEFT(AA252,2)="L5"),AND(AC252&lt;&gt;"",AC252&lt;&gt;"N/A")),"CONFORME - Control Efectivo ISO 27001","OBSERVACIÓN - Revisar Controles")))</f>
        <v/>
      </c>
    </row>
    <row r="253">
      <c r="A253" s="99" t="inlineStr">
        <is>
          <t>12-GCO</t>
        </is>
      </c>
      <c r="B253" s="10" t="inlineStr">
        <is>
          <t>PRODUCTIVO</t>
        </is>
      </c>
      <c r="C253" s="10" t="inlineStr">
        <is>
          <t>Gestión de Colocaciones</t>
        </is>
      </c>
      <c r="D253" s="10" t="inlineStr">
        <is>
          <t>GCO</t>
        </is>
      </c>
      <c r="E253" s="10" t="inlineStr">
        <is>
          <t>Procesamiento de Crédito</t>
        </is>
      </c>
      <c r="F253" s="10" t="inlineStr">
        <is>
          <t>-</t>
        </is>
      </c>
      <c r="G253" s="10" t="inlineStr">
        <is>
          <t>Verificación de Información de la Solicitud de Crédito</t>
        </is>
      </c>
      <c r="H253" s="10" t="inlineStr">
        <is>
          <t>File de crédito</t>
        </is>
      </c>
      <c r="I253" s="10" t="inlineStr">
        <is>
          <t>File digital que contiene toda la documentación referente a los lineamientos del tipo de crédito</t>
        </is>
      </c>
      <c r="J253" s="10" t="inlineStr">
        <is>
          <t>Jefe de Negocios</t>
        </is>
      </c>
      <c r="K253" s="10" t="inlineStr">
        <is>
          <t>FIT</t>
        </is>
      </c>
      <c r="L253" s="10" t="inlineStr">
        <is>
          <t>UBICACIÓN DIGITAL-CORE FINANCIERO</t>
        </is>
      </c>
      <c r="M253" s="10" t="inlineStr">
        <is>
          <t>DOCUMENTO DE ARCHIVO-ELECTRÓNICO</t>
        </is>
      </c>
      <c r="N253" s="10" t="inlineStr">
        <is>
          <t>PRIMARIOS</t>
        </is>
      </c>
      <c r="O253" s="10" t="inlineStr">
        <is>
          <t>INFORMACIÓN DE SOCIOS Y CLIENTES</t>
        </is>
      </c>
      <c r="P253" s="10" t="inlineStr">
        <is>
          <t>RESTRINGIDO(3)</t>
        </is>
      </c>
      <c r="Q253" s="10" t="inlineStr">
        <is>
          <t>MEDIA(2)</t>
        </is>
      </c>
      <c r="R253" s="10" t="inlineStr">
        <is>
          <t>MEDIA(2)</t>
        </is>
      </c>
      <c r="S253" s="10">
        <f>+(IF(P253="PUBLICA(1)",1,IF(P253="USO INTERNO(2)",2,IF(P253="RESTRINGIDO(3)",3,3))))+(IF(Q253="BAJA(1)",1,IF(Q253="MEDIA(2)",2,IF(Q253="ALTA(3)",3,3))))+(IF(R253="BAJA(1)",1,IF(R253="MEDIA(2)",2,IF(R253="ALTA(3)",3,3))))</f>
        <v/>
      </c>
      <c r="T253" s="10">
        <f>+IF(S253&lt;6,"BAJA",IF(S253&lt;8,"MEDIA","ALTA"))</f>
        <v/>
      </c>
      <c r="U253" s="10" t="inlineStr">
        <is>
          <t>-</t>
        </is>
      </c>
      <c r="V253" s="24" t="inlineStr">
        <is>
          <t>8/02/225</t>
        </is>
      </c>
      <c r="W253" s="19" t="inlineStr">
        <is>
          <t>N/A</t>
        </is>
      </c>
      <c r="X253" s="10">
        <f>+IFERROR(IF(VLOOKUP(Tabla2[[#This Row],[ID]],'EVALUACION DE RIESGO'!A:A,1,FALSE)=Tabla2[[#This Row],[ID]],"SI","NO"),"NO")</f>
        <v/>
      </c>
      <c r="AD253">
        <f>IF(AND(Y253="",AA253=""),"",IF(OR(LEFT(AA253,2)="L0",LEFT(AA253,2)="L1",Y253="No Iniciado"),"CRÍTICO - Incumplimiento Normativo SEPS",IF(AND(OR(LEFT(AA253,2)="L4",LEFT(AA253,2)="L5"),AND(AC253&lt;&gt;"",AC253&lt;&gt;"N/A")),"CONFORME - Control Efectivo ISO 27001","OBSERVACIÓN - Revisar Controles")))</f>
        <v/>
      </c>
    </row>
    <row r="254">
      <c r="A254" s="99" t="inlineStr">
        <is>
          <t>13-GCO</t>
        </is>
      </c>
      <c r="B254" s="10" t="inlineStr">
        <is>
          <t>PRODUCTIVO</t>
        </is>
      </c>
      <c r="C254" s="10" t="inlineStr">
        <is>
          <t>Gestión de Colocaciones</t>
        </is>
      </c>
      <c r="D254" s="10" t="inlineStr">
        <is>
          <t>GCO</t>
        </is>
      </c>
      <c r="E254" s="10" t="inlineStr">
        <is>
          <t>Procesamiento de Crédito</t>
        </is>
      </c>
      <c r="F254" s="10" t="inlineStr">
        <is>
          <t>-</t>
        </is>
      </c>
      <c r="G254" s="10" t="inlineStr">
        <is>
          <t>Verificación de Información de la Solicitud de Crédito</t>
        </is>
      </c>
      <c r="H254" s="10" t="inlineStr">
        <is>
          <t>Certificación de garantía</t>
        </is>
      </c>
      <c r="I254" s="10" t="inlineStr">
        <is>
          <t>Certificación realizada con el socio para validar la garantía, se adjunta al file del crédito</t>
        </is>
      </c>
      <c r="J254" s="10" t="inlineStr">
        <is>
          <t>Jefe de Negocios</t>
        </is>
      </c>
      <c r="K254" s="10" t="inlineStr">
        <is>
          <t>FIT</t>
        </is>
      </c>
      <c r="L254" s="10" t="inlineStr">
        <is>
          <t>UBICACIÓN DIGITAL-CORE FINANCIERO</t>
        </is>
      </c>
      <c r="M254" s="10" t="inlineStr">
        <is>
          <t>DOCUMENTO DE ARCHIVO-ELECTRÓNICO</t>
        </is>
      </c>
      <c r="N254" s="10" t="inlineStr">
        <is>
          <t>PRIMARIOS</t>
        </is>
      </c>
      <c r="O254" s="10" t="inlineStr">
        <is>
          <t>INFORMACIÓN DE SOCIOS Y CLIENTES</t>
        </is>
      </c>
      <c r="P254" s="10" t="inlineStr">
        <is>
          <t>RESTRINGIDO(3)</t>
        </is>
      </c>
      <c r="Q254" s="10" t="inlineStr">
        <is>
          <t>MEDIA(2)</t>
        </is>
      </c>
      <c r="R254" s="10" t="inlineStr">
        <is>
          <t>MEDIA(2)</t>
        </is>
      </c>
      <c r="S254" s="10">
        <f>+(IF(P254="PUBLICA(1)",1,IF(P254="USO INTERNO(2)",2,IF(P254="RESTRINGIDO(3)",3,3))))+(IF(Q254="BAJA(1)",1,IF(Q254="MEDIA(2)",2,IF(Q254="ALTA(3)",3,3))))+(IF(R254="BAJA(1)",1,IF(R254="MEDIA(2)",2,IF(R254="ALTA(3)",3,3))))</f>
        <v/>
      </c>
      <c r="T254" s="10">
        <f>+IF(S254&lt;6,"BAJA",IF(S254&lt;8,"MEDIA","ALTA"))</f>
        <v/>
      </c>
      <c r="U254" s="10" t="inlineStr">
        <is>
          <t>-</t>
        </is>
      </c>
      <c r="V254" s="24" t="inlineStr">
        <is>
          <t>8/02/225</t>
        </is>
      </c>
      <c r="W254" s="19" t="inlineStr">
        <is>
          <t>N/A</t>
        </is>
      </c>
      <c r="X254" s="10">
        <f>+IFERROR(IF(VLOOKUP(Tabla2[[#This Row],[ID]],'EVALUACION DE RIESGO'!A:A,1,FALSE)=Tabla2[[#This Row],[ID]],"SI","NO"),"NO")</f>
        <v/>
      </c>
      <c r="AD254">
        <f>IF(AND(Y254="",AA254=""),"",IF(OR(LEFT(AA254,2)="L0",LEFT(AA254,2)="L1",Y254="No Iniciado"),"CRÍTICO - Incumplimiento Normativo SEPS",IF(AND(OR(LEFT(AA254,2)="L4",LEFT(AA254,2)="L5"),AND(AC254&lt;&gt;"",AC254&lt;&gt;"N/A")),"CONFORME - Control Efectivo ISO 27001","OBSERVACIÓN - Revisar Controles")))</f>
        <v/>
      </c>
    </row>
    <row r="255">
      <c r="A255" s="99" t="inlineStr">
        <is>
          <t>14-GCO</t>
        </is>
      </c>
      <c r="B255" s="10" t="inlineStr">
        <is>
          <t>PRODUCTIVO</t>
        </is>
      </c>
      <c r="C255" s="10" t="inlineStr">
        <is>
          <t>Gestión de Colocaciones</t>
        </is>
      </c>
      <c r="D255" s="10" t="inlineStr">
        <is>
          <t>GCO</t>
        </is>
      </c>
      <c r="E255" s="10" t="inlineStr">
        <is>
          <t>Procesamiento de Crédito</t>
        </is>
      </c>
      <c r="F255" s="10" t="inlineStr">
        <is>
          <t>-</t>
        </is>
      </c>
      <c r="G255" s="10" t="inlineStr">
        <is>
          <t>Verificación de Información de la Solicitud de Crédito</t>
        </is>
      </c>
      <c r="H255" s="10" t="inlineStr">
        <is>
          <t>Ticket de aprobación</t>
        </is>
      </c>
      <c r="I255" s="10" t="inlineStr">
        <is>
          <t>Registro que se realiza en el sistema como una etapa de la revisión y aprobación del crédito</t>
        </is>
      </c>
      <c r="J255" s="10" t="inlineStr">
        <is>
          <t>Jefe de Negocios</t>
        </is>
      </c>
      <c r="K255" s="10" t="inlineStr">
        <is>
          <t>FIT</t>
        </is>
      </c>
      <c r="L255" s="10" t="inlineStr">
        <is>
          <t>UBICACIÓN DIGITAL-CORE FINANCIERO</t>
        </is>
      </c>
      <c r="M255" s="10" t="inlineStr">
        <is>
          <t>DOCUMENTO DE ARCHIVO-ELECTRÓNICO</t>
        </is>
      </c>
      <c r="N255" s="10" t="inlineStr">
        <is>
          <t>PRIMARIOS</t>
        </is>
      </c>
      <c r="O255" s="10" t="inlineStr">
        <is>
          <t>INFORMACIÓN DE SOCIOS Y CLIENTES</t>
        </is>
      </c>
      <c r="P255" s="10" t="inlineStr">
        <is>
          <t>USO INTERNO(2)</t>
        </is>
      </c>
      <c r="Q255" s="10" t="inlineStr">
        <is>
          <t>BAJA(1)</t>
        </is>
      </c>
      <c r="R255" s="10" t="inlineStr">
        <is>
          <t>MEDIA(2)</t>
        </is>
      </c>
      <c r="S255" s="10">
        <f>+(IF(P255="PUBLICA(1)",1,IF(P255="USO INTERNO(2)",2,IF(P255="RESTRINGIDO(3)",3,3))))+(IF(Q255="BAJA(1)",1,IF(Q255="MEDIA(2)",2,IF(Q255="ALTA(3)",3,3))))+(IF(R255="BAJA(1)",1,IF(R255="MEDIA(2)",2,IF(R255="ALTA(3)",3,3))))</f>
        <v/>
      </c>
      <c r="T255" s="10">
        <f>+IF(S255&lt;6,"BAJA",IF(S255&lt;8,"MEDIA","ALTA"))</f>
        <v/>
      </c>
      <c r="U255" s="10" t="inlineStr">
        <is>
          <t>-</t>
        </is>
      </c>
      <c r="V255" s="24" t="inlineStr">
        <is>
          <t>8/02/225</t>
        </is>
      </c>
      <c r="W255" s="19" t="inlineStr">
        <is>
          <t>N/A</t>
        </is>
      </c>
      <c r="X255" s="10">
        <f>+IFERROR(IF(VLOOKUP(Tabla2[[#This Row],[ID]],'EVALUACION DE RIESGO'!A:A,1,FALSE)=Tabla2[[#This Row],[ID]],"SI","NO"),"NO")</f>
        <v/>
      </c>
      <c r="AD255">
        <f>IF(AND(Y255="",AA255=""),"",IF(OR(LEFT(AA255,2)="L0",LEFT(AA255,2)="L1",Y255="No Iniciado"),"CRÍTICO - Incumplimiento Normativo SEPS",IF(AND(OR(LEFT(AA255,2)="L4",LEFT(AA255,2)="L5"),AND(AC255&lt;&gt;"",AC255&lt;&gt;"N/A")),"CONFORME - Control Efectivo ISO 27001","OBSERVACIÓN - Revisar Controles")))</f>
        <v/>
      </c>
    </row>
    <row r="256">
      <c r="A256" s="99" t="inlineStr">
        <is>
          <t>15-GCO</t>
        </is>
      </c>
      <c r="B256" s="10" t="inlineStr">
        <is>
          <t>PRODUCTIVO</t>
        </is>
      </c>
      <c r="C256" s="10" t="inlineStr">
        <is>
          <t>Gestión de Colocaciones</t>
        </is>
      </c>
      <c r="D256" s="10" t="inlineStr">
        <is>
          <t>GCO</t>
        </is>
      </c>
      <c r="E256" s="10" t="inlineStr">
        <is>
          <t>Procesamiento de Crédito</t>
        </is>
      </c>
      <c r="F256" s="10" t="inlineStr">
        <is>
          <t>-</t>
        </is>
      </c>
      <c r="G256" s="10" t="inlineStr">
        <is>
          <t xml:space="preserve">Aprobación de la solicitud de crédito                </t>
        </is>
      </c>
      <c r="H256" s="10" t="inlineStr">
        <is>
          <t>Registro del sistema de fábrica de crédito</t>
        </is>
      </c>
      <c r="I256" s="10" t="inlineStr">
        <is>
          <t>Registro final que se realiza en el sistema FIT para aprobar el crédito</t>
        </is>
      </c>
      <c r="J256" s="10" t="inlineStr">
        <is>
          <t>Jefe de Negocios</t>
        </is>
      </c>
      <c r="K256" s="10" t="inlineStr">
        <is>
          <t>FIT</t>
        </is>
      </c>
      <c r="L256" s="10" t="inlineStr">
        <is>
          <t>UBICACIÓN DIGITAL-CORE FINANCIERO</t>
        </is>
      </c>
      <c r="M256" s="10" t="inlineStr">
        <is>
          <t>DOCUMENTO DE ARCHIVO-ELECTRÓNICO</t>
        </is>
      </c>
      <c r="N256" s="10" t="inlineStr">
        <is>
          <t>PRIMARIOS</t>
        </is>
      </c>
      <c r="O256" s="10" t="inlineStr">
        <is>
          <t>COMUNICACIÓN INTERNA</t>
        </is>
      </c>
      <c r="P256" s="10" t="inlineStr">
        <is>
          <t>USO INTERNO(2)</t>
        </is>
      </c>
      <c r="Q256" s="10" t="inlineStr">
        <is>
          <t>MEDIA(2)</t>
        </is>
      </c>
      <c r="R256" s="10" t="inlineStr">
        <is>
          <t>MEDIA(2)</t>
        </is>
      </c>
      <c r="S256" s="10">
        <f>+(IF(P256="PUBLICA(1)",1,IF(P256="USO INTERNO(2)",2,IF(P256="RESTRINGIDO(3)",3,3))))+(IF(Q256="BAJA(1)",1,IF(Q256="MEDIA(2)",2,IF(Q256="ALTA(3)",3,3))))+(IF(R256="BAJA(1)",1,IF(R256="MEDIA(2)",2,IF(R256="ALTA(3)",3,3))))</f>
        <v/>
      </c>
      <c r="T256" s="10">
        <f>+IF(S256&lt;6,"BAJA",IF(S256&lt;8,"MEDIA","ALTA"))</f>
        <v/>
      </c>
      <c r="U256" s="10" t="inlineStr">
        <is>
          <t>-</t>
        </is>
      </c>
      <c r="V256" s="24" t="inlineStr">
        <is>
          <t>8/02/225</t>
        </is>
      </c>
      <c r="W256" s="19" t="inlineStr">
        <is>
          <t>N/A</t>
        </is>
      </c>
      <c r="X256" s="10">
        <f>+IFERROR(IF(VLOOKUP(Tabla2[[#This Row],[ID]],'EVALUACION DE RIESGO'!A:A,1,FALSE)=Tabla2[[#This Row],[ID]],"SI","NO"),"NO")</f>
        <v/>
      </c>
      <c r="AD256">
        <f>IF(AND(Y256="",AA256=""),"",IF(OR(LEFT(AA256,2)="L0",LEFT(AA256,2)="L1",Y256="No Iniciado"),"CRÍTICO - Incumplimiento Normativo SEPS",IF(AND(OR(LEFT(AA256,2)="L4",LEFT(AA256,2)="L5"),AND(AC256&lt;&gt;"",AC256&lt;&gt;"N/A")),"CONFORME - Control Efectivo ISO 27001","OBSERVACIÓN - Revisar Controles")))</f>
        <v/>
      </c>
    </row>
    <row r="257">
      <c r="A257" s="99" t="inlineStr">
        <is>
          <t>16-GCO</t>
        </is>
      </c>
      <c r="B257" s="10" t="inlineStr">
        <is>
          <t>PRODUCTIVO</t>
        </is>
      </c>
      <c r="C257" s="10" t="inlineStr">
        <is>
          <t>Gestión de Colocaciones</t>
        </is>
      </c>
      <c r="D257" s="10" t="inlineStr">
        <is>
          <t>GCO</t>
        </is>
      </c>
      <c r="E257" s="10" t="inlineStr">
        <is>
          <t>Procesamiento de Crédito</t>
        </is>
      </c>
      <c r="F257" s="10" t="inlineStr">
        <is>
          <t>-</t>
        </is>
      </c>
      <c r="G257" s="10" t="inlineStr">
        <is>
          <t xml:space="preserve">Desembolso del crédito   </t>
        </is>
      </c>
      <c r="H257" s="10" t="inlineStr">
        <is>
          <t>File de crédito</t>
        </is>
      </c>
      <c r="I257" s="10" t="inlineStr">
        <is>
          <t>File digital que contiene toda la documentación referente a los lineamientos del tipo de crédito</t>
        </is>
      </c>
      <c r="J257" s="10" t="inlineStr">
        <is>
          <t>Jefe de Negocios</t>
        </is>
      </c>
      <c r="K257" s="10" t="inlineStr">
        <is>
          <t>FIT</t>
        </is>
      </c>
      <c r="L257" s="10" t="inlineStr">
        <is>
          <t>UBICACIÓN DIGITAL-CORE FINANCIERO</t>
        </is>
      </c>
      <c r="M257" s="10" t="inlineStr">
        <is>
          <t>DOCUMENTO DE ARCHIVO-ELECTRÓNICO</t>
        </is>
      </c>
      <c r="N257" s="10" t="inlineStr">
        <is>
          <t>PRIMARIOS</t>
        </is>
      </c>
      <c r="O257" s="10" t="inlineStr">
        <is>
          <t>INFORMACIÓN DE SOCIOS Y CLIENTES</t>
        </is>
      </c>
      <c r="P257" s="10" t="inlineStr">
        <is>
          <t>RESTRINGIDO(3)</t>
        </is>
      </c>
      <c r="Q257" s="10" t="inlineStr">
        <is>
          <t>MEDIA(2)</t>
        </is>
      </c>
      <c r="R257" s="10" t="inlineStr">
        <is>
          <t>MEDIA(2)</t>
        </is>
      </c>
      <c r="S257" s="10">
        <f>+(IF(P257="PUBLICA(1)",1,IF(P257="USO INTERNO(2)",2,IF(P257="RESTRINGIDO(3)",3,3))))+(IF(Q257="BAJA(1)",1,IF(Q257="MEDIA(2)",2,IF(Q257="ALTA(3)",3,3))))+(IF(R257="BAJA(1)",1,IF(R257="MEDIA(2)",2,IF(R257="ALTA(3)",3,3))))</f>
        <v/>
      </c>
      <c r="T257" s="10">
        <f>+IF(S257&lt;6,"BAJA",IF(S257&lt;8,"MEDIA","ALTA"))</f>
        <v/>
      </c>
      <c r="U257" s="10" t="inlineStr">
        <is>
          <t>-</t>
        </is>
      </c>
      <c r="V257" s="24" t="inlineStr">
        <is>
          <t>8/02/225</t>
        </is>
      </c>
      <c r="W257" s="19" t="inlineStr">
        <is>
          <t>N/A</t>
        </is>
      </c>
      <c r="X257" s="10">
        <f>+IFERROR(IF(VLOOKUP(Tabla2[[#This Row],[ID]],'EVALUACION DE RIESGO'!A:A,1,FALSE)=Tabla2[[#This Row],[ID]],"SI","NO"),"NO")</f>
        <v/>
      </c>
      <c r="AD257">
        <f>IF(AND(Y257="",AA257=""),"",IF(OR(LEFT(AA257,2)="L0",LEFT(AA257,2)="L1",Y257="No Iniciado"),"CRÍTICO - Incumplimiento Normativo SEPS",IF(AND(OR(LEFT(AA257,2)="L4",LEFT(AA257,2)="L5"),AND(AC257&lt;&gt;"",AC257&lt;&gt;"N/A")),"CONFORME - Control Efectivo ISO 27001","OBSERVACIÓN - Revisar Controles")))</f>
        <v/>
      </c>
    </row>
    <row r="258">
      <c r="A258" s="99" t="inlineStr">
        <is>
          <t>17-GCO</t>
        </is>
      </c>
      <c r="B258" s="10" t="inlineStr">
        <is>
          <t>PRODUCTIVO</t>
        </is>
      </c>
      <c r="C258" s="10" t="inlineStr">
        <is>
          <t>Gestión de Colocaciones</t>
        </is>
      </c>
      <c r="D258" s="10" t="inlineStr">
        <is>
          <t>GCO</t>
        </is>
      </c>
      <c r="E258" s="10" t="inlineStr">
        <is>
          <t>Procesamiento de Crédito</t>
        </is>
      </c>
      <c r="F258" s="10" t="inlineStr">
        <is>
          <t>-</t>
        </is>
      </c>
      <c r="G258" s="10" t="inlineStr">
        <is>
          <t xml:space="preserve">Desembolso del crédito   </t>
        </is>
      </c>
      <c r="H258" s="10" t="inlineStr">
        <is>
          <t>Formulario de licitud de fondos</t>
        </is>
      </c>
      <c r="I258" s="10" t="inlineStr">
        <is>
          <t xml:space="preserve">Formulario firmado que se carga en FIT como registro de validación </t>
        </is>
      </c>
      <c r="J258" s="10" t="inlineStr">
        <is>
          <t>Jefe de Negocios</t>
        </is>
      </c>
      <c r="K258" s="10" t="inlineStr">
        <is>
          <t>FIT</t>
        </is>
      </c>
      <c r="L258" s="10" t="inlineStr">
        <is>
          <t>UBICACIÓN DIGITAL-CORE FINANCIERO</t>
        </is>
      </c>
      <c r="M258" s="10" t="inlineStr">
        <is>
          <t>DOCUMENTO DE ARCHIVO-ELECTRÓNICO</t>
        </is>
      </c>
      <c r="N258" s="10" t="inlineStr">
        <is>
          <t>PRIMARIOS</t>
        </is>
      </c>
      <c r="O258" s="10" t="inlineStr">
        <is>
          <t>INFORMACIÓN DE SOCIOS Y CLIENTES</t>
        </is>
      </c>
      <c r="P258" s="10" t="inlineStr">
        <is>
          <t>RESTRINGIDO(3)</t>
        </is>
      </c>
      <c r="Q258" s="10" t="inlineStr">
        <is>
          <t>MEDIA(2)</t>
        </is>
      </c>
      <c r="R258" s="10" t="inlineStr">
        <is>
          <t>MEDIA(2)</t>
        </is>
      </c>
      <c r="S258" s="10">
        <f>+(IF(P258="PUBLICA(1)",1,IF(P258="USO INTERNO(2)",2,IF(P258="RESTRINGIDO(3)",3,3))))+(IF(Q258="BAJA(1)",1,IF(Q258="MEDIA(2)",2,IF(Q258="ALTA(3)",3,3))))+(IF(R258="BAJA(1)",1,IF(R258="MEDIA(2)",2,IF(R258="ALTA(3)",3,3))))</f>
        <v/>
      </c>
      <c r="T258" s="10">
        <f>+IF(S258&lt;6,"BAJA",IF(S258&lt;8,"MEDIA","ALTA"))</f>
        <v/>
      </c>
      <c r="U258" s="10" t="inlineStr">
        <is>
          <t>-</t>
        </is>
      </c>
      <c r="V258" s="24" t="inlineStr">
        <is>
          <t>8/02/225</t>
        </is>
      </c>
      <c r="W258" s="19" t="inlineStr">
        <is>
          <t>N/A</t>
        </is>
      </c>
      <c r="X258" s="10">
        <f>+IFERROR(IF(VLOOKUP(Tabla2[[#This Row],[ID]],'EVALUACION DE RIESGO'!A:A,1,FALSE)=Tabla2[[#This Row],[ID]],"SI","NO"),"NO")</f>
        <v/>
      </c>
      <c r="AD258">
        <f>IF(AND(Y258="",AA258=""),"",IF(OR(LEFT(AA258,2)="L0",LEFT(AA258,2)="L1",Y258="No Iniciado"),"CRÍTICO - Incumplimiento Normativo SEPS",IF(AND(OR(LEFT(AA258,2)="L4",LEFT(AA258,2)="L5"),AND(AC258&lt;&gt;"",AC258&lt;&gt;"N/A")),"CONFORME - Control Efectivo ISO 27001","OBSERVACIÓN - Revisar Controles")))</f>
        <v/>
      </c>
    </row>
    <row r="259">
      <c r="A259" s="99" t="inlineStr">
        <is>
          <t>18-GCO</t>
        </is>
      </c>
      <c r="B259" s="10" t="inlineStr">
        <is>
          <t>PRODUCTIVO</t>
        </is>
      </c>
      <c r="C259" s="10" t="inlineStr">
        <is>
          <t>Gestión de Colocaciones</t>
        </is>
      </c>
      <c r="D259" s="10" t="inlineStr">
        <is>
          <t>GCO</t>
        </is>
      </c>
      <c r="E259" s="10" t="inlineStr">
        <is>
          <t>Administración de Cartera</t>
        </is>
      </c>
      <c r="F259" s="10" t="inlineStr">
        <is>
          <t>-</t>
        </is>
      </c>
      <c r="G259" s="10" t="inlineStr">
        <is>
          <t>Re-avalúos de bienes</t>
        </is>
      </c>
      <c r="H259" s="10" t="inlineStr">
        <is>
          <t>Avalúo de los bienes</t>
        </is>
      </c>
      <c r="I259" s="10" t="inlineStr">
        <is>
          <t>Requisito del desembolso que se agrega al registro del crédito en el sistema FIT</t>
        </is>
      </c>
      <c r="J259" s="10" t="inlineStr">
        <is>
          <t>Jefe de Negocios</t>
        </is>
      </c>
      <c r="K259" s="10" t="inlineStr">
        <is>
          <t>FIT</t>
        </is>
      </c>
      <c r="L259" s="10" t="inlineStr">
        <is>
          <t>UBICACIÓN DIGITAL-CORE FINANCIERO</t>
        </is>
      </c>
      <c r="M259" s="10" t="inlineStr">
        <is>
          <t>DOCUMENTO DE ARCHIVO-ELECTRÓNICO</t>
        </is>
      </c>
      <c r="N259" s="10" t="inlineStr">
        <is>
          <t>PRIMARIOS</t>
        </is>
      </c>
      <c r="O259" s="10" t="inlineStr">
        <is>
          <t>INFORMACIÓN DE SOCIOS Y CLIENTES</t>
        </is>
      </c>
      <c r="P259" s="10" t="inlineStr">
        <is>
          <t>RESTRINGIDO(3)</t>
        </is>
      </c>
      <c r="Q259" s="10" t="inlineStr">
        <is>
          <t>MEDIA(2)</t>
        </is>
      </c>
      <c r="R259" s="10" t="inlineStr">
        <is>
          <t>MEDIA(2)</t>
        </is>
      </c>
      <c r="S259" s="10">
        <f>+(IF(P259="PUBLICA(1)",1,IF(P259="USO INTERNO(2)",2,IF(P259="RESTRINGIDO(3)",3,3))))+(IF(Q259="BAJA(1)",1,IF(Q259="MEDIA(2)",2,IF(Q259="ALTA(3)",3,3))))+(IF(R259="BAJA(1)",1,IF(R259="MEDIA(2)",2,IF(R259="ALTA(3)",3,3))))</f>
        <v/>
      </c>
      <c r="T259" s="10">
        <f>+IF(S259&lt;6,"BAJA",IF(S259&lt;8,"MEDIA","ALTA"))</f>
        <v/>
      </c>
      <c r="U259" s="10" t="inlineStr">
        <is>
          <t>-</t>
        </is>
      </c>
      <c r="V259" s="24" t="inlineStr">
        <is>
          <t>8/02/225</t>
        </is>
      </c>
      <c r="W259" s="19" t="inlineStr">
        <is>
          <t>N/A</t>
        </is>
      </c>
      <c r="X259" s="10">
        <f>+IFERROR(IF(VLOOKUP(Tabla2[[#This Row],[ID]],'EVALUACION DE RIESGO'!A:A,1,FALSE)=Tabla2[[#This Row],[ID]],"SI","NO"),"NO")</f>
        <v/>
      </c>
      <c r="AD259">
        <f>IF(AND(Y259="",AA259=""),"",IF(OR(LEFT(AA259,2)="L0",LEFT(AA259,2)="L1",Y259="No Iniciado"),"CRÍTICO - Incumplimiento Normativo SEPS",IF(AND(OR(LEFT(AA259,2)="L4",LEFT(AA259,2)="L5"),AND(AC259&lt;&gt;"",AC259&lt;&gt;"N/A")),"CONFORME - Control Efectivo ISO 27001","OBSERVACIÓN - Revisar Controles")))</f>
        <v/>
      </c>
    </row>
    <row r="260">
      <c r="A260" s="99" t="inlineStr">
        <is>
          <t>19-GCO</t>
        </is>
      </c>
      <c r="B260" s="10" t="inlineStr">
        <is>
          <t>PRODUCTIVO</t>
        </is>
      </c>
      <c r="C260" s="10" t="inlineStr">
        <is>
          <t>Gestión de Colocaciones</t>
        </is>
      </c>
      <c r="D260" s="10" t="inlineStr">
        <is>
          <t>GCO</t>
        </is>
      </c>
      <c r="E260" s="10" t="inlineStr">
        <is>
          <t>Administración de Cartera</t>
        </is>
      </c>
      <c r="F260" s="10" t="inlineStr">
        <is>
          <t>-</t>
        </is>
      </c>
      <c r="G260" s="10" t="inlineStr">
        <is>
          <t>Re-avalúos de bienes</t>
        </is>
      </c>
      <c r="H260" s="10" t="inlineStr">
        <is>
          <t>Factura del servicio de avalúo/Anexo de los socios debitados</t>
        </is>
      </c>
      <c r="I260" s="10" t="inlineStr">
        <is>
          <t xml:space="preserve">Factura de avalúo que el cliente presenta, no es requirente ya que el se sube al sistema el Avalúo </t>
        </is>
      </c>
      <c r="J260" s="10" t="inlineStr">
        <is>
          <t>Jefe de Negocios</t>
        </is>
      </c>
      <c r="K260" s="10" t="inlineStr">
        <is>
          <t>FIT</t>
        </is>
      </c>
      <c r="L260" s="10" t="inlineStr">
        <is>
          <t>UBICACIÓN DIGITAL-CORE FINANCIERO</t>
        </is>
      </c>
      <c r="M260" s="10" t="inlineStr">
        <is>
          <t>DOCUMENTO DE ARCHIVO-ELECTRÓNICO</t>
        </is>
      </c>
      <c r="N260" s="10" t="inlineStr">
        <is>
          <t>PRIMARIOS</t>
        </is>
      </c>
      <c r="O260" s="10" t="inlineStr">
        <is>
          <t>INFORMACIÓN DE SOCIOS Y CLIENTES</t>
        </is>
      </c>
      <c r="P260" s="10" t="inlineStr">
        <is>
          <t>USO INTERNO(2)</t>
        </is>
      </c>
      <c r="Q260" s="10" t="inlineStr">
        <is>
          <t>MEDIA(2)</t>
        </is>
      </c>
      <c r="R260" s="10" t="inlineStr">
        <is>
          <t>MEDIA(2)</t>
        </is>
      </c>
      <c r="S260" s="10">
        <f>+(IF(P260="PUBLICA(1)",1,IF(P260="USO INTERNO(2)",2,IF(P260="RESTRINGIDO(3)",3,3))))+(IF(Q260="BAJA(1)",1,IF(Q260="MEDIA(2)",2,IF(Q260="ALTA(3)",3,3))))+(IF(R260="BAJA(1)",1,IF(R260="MEDIA(2)",2,IF(R260="ALTA(3)",3,3))))</f>
        <v/>
      </c>
      <c r="T260" s="10">
        <f>+IF(S260&lt;6,"BAJA",IF(S260&lt;8,"MEDIA","ALTA"))</f>
        <v/>
      </c>
      <c r="U260" s="10" t="inlineStr">
        <is>
          <t>-</t>
        </is>
      </c>
      <c r="V260" s="24" t="inlineStr">
        <is>
          <t>8/02/225</t>
        </is>
      </c>
      <c r="W260" s="19" t="inlineStr">
        <is>
          <t>N/A</t>
        </is>
      </c>
      <c r="X260" s="10">
        <f>+IFERROR(IF(VLOOKUP(Tabla2[[#This Row],[ID]],'EVALUACION DE RIESGO'!A:A,1,FALSE)=Tabla2[[#This Row],[ID]],"SI","NO"),"NO")</f>
        <v/>
      </c>
      <c r="AD260">
        <f>IF(AND(Y260="",AA260=""),"",IF(OR(LEFT(AA260,2)="L0",LEFT(AA260,2)="L1",Y260="No Iniciado"),"CRÍTICO - Incumplimiento Normativo SEPS",IF(AND(OR(LEFT(AA260,2)="L4",LEFT(AA260,2)="L5"),AND(AC260&lt;&gt;"",AC260&lt;&gt;"N/A")),"CONFORME - Control Efectivo ISO 27001","OBSERVACIÓN - Revisar Controles")))</f>
        <v/>
      </c>
    </row>
    <row r="261">
      <c r="A261" s="99" t="inlineStr">
        <is>
          <t>20-GCO</t>
        </is>
      </c>
      <c r="B261" s="10" t="inlineStr">
        <is>
          <t>PRODUCTIVO</t>
        </is>
      </c>
      <c r="C261" s="10" t="inlineStr">
        <is>
          <t>Gestión de Colocaciones</t>
        </is>
      </c>
      <c r="D261" s="10" t="inlineStr">
        <is>
          <t>GCO</t>
        </is>
      </c>
      <c r="E261" s="10" t="inlineStr">
        <is>
          <t>Administración de Cartera</t>
        </is>
      </c>
      <c r="F261" s="10" t="inlineStr">
        <is>
          <t>-</t>
        </is>
      </c>
      <c r="G261" s="10" t="inlineStr">
        <is>
          <t>Gestión de Vinculados y de Créditos con Cupo</t>
        </is>
      </c>
      <c r="H261" s="10" t="inlineStr">
        <is>
          <t>Formulario de créditos con cupo</t>
        </is>
      </c>
      <c r="I261" s="10" t="inlineStr">
        <is>
          <t>Formulario de crédito con cupo adjunto al file del crédito</t>
        </is>
      </c>
      <c r="J261" s="10" t="inlineStr">
        <is>
          <t>Jefe de Negocios</t>
        </is>
      </c>
      <c r="K261" s="10" t="inlineStr">
        <is>
          <t>Jefe de Negocios</t>
        </is>
      </c>
      <c r="L261" s="10" t="inlineStr">
        <is>
          <t>UBICACIÓN DIGITAL-EQUIPO DEL RESPONSABLE</t>
        </is>
      </c>
      <c r="M261" s="10" t="inlineStr">
        <is>
          <t>DISCOS DUROS, SERVIDORES, DISCOS O MEDIOS PORTÁTILES, CINTAS O MEDIOS DE VIDEO Y AUDIO, ETC.</t>
        </is>
      </c>
      <c r="N261" s="10" t="inlineStr">
        <is>
          <t>PRIMARIOS</t>
        </is>
      </c>
      <c r="O261" s="10" t="inlineStr">
        <is>
          <t>DOCUMENTOS TÉCNICOS</t>
        </is>
      </c>
      <c r="P261" s="10" t="inlineStr">
        <is>
          <t>USO INTERNO(2)</t>
        </is>
      </c>
      <c r="Q261" s="10" t="inlineStr">
        <is>
          <t>BAJA(1)</t>
        </is>
      </c>
      <c r="R261" s="10" t="inlineStr">
        <is>
          <t>BAJA(1)</t>
        </is>
      </c>
      <c r="S261" s="10">
        <f>+(IF(P261="PUBLICA(1)",1,IF(P261="USO INTERNO(2)",2,IF(P261="RESTRINGIDO(3)",3,3))))+(IF(Q261="BAJA(1)",1,IF(Q261="MEDIA(2)",2,IF(Q261="ALTA(3)",3,3))))+(IF(R261="BAJA(1)",1,IF(R261="MEDIA(2)",2,IF(R261="ALTA(3)",3,3))))</f>
        <v/>
      </c>
      <c r="T261" s="10">
        <f>+IF(S261&lt;6,"BAJA",IF(S261&lt;8,"MEDIA","ALTA"))</f>
        <v/>
      </c>
      <c r="U261" s="10" t="inlineStr">
        <is>
          <t>-</t>
        </is>
      </c>
      <c r="V261" s="24" t="inlineStr">
        <is>
          <t>8/02/225</t>
        </is>
      </c>
      <c r="W261" s="19" t="inlineStr">
        <is>
          <t>N/A</t>
        </is>
      </c>
      <c r="X261" s="10">
        <f>+IFERROR(IF(VLOOKUP(Tabla2[[#This Row],[ID]],'EVALUACION DE RIESGO'!A:A,1,FALSE)=Tabla2[[#This Row],[ID]],"SI","NO"),"NO")</f>
        <v/>
      </c>
      <c r="AD261">
        <f>IF(AND(Y261="",AA261=""),"",IF(OR(LEFT(AA261,2)="L0",LEFT(AA261,2)="L1",Y261="No Iniciado"),"CRÍTICO - Incumplimiento Normativo SEPS",IF(AND(OR(LEFT(AA261,2)="L4",LEFT(AA261,2)="L5"),AND(AC261&lt;&gt;"",AC261&lt;&gt;"N/A")),"CONFORME - Control Efectivo ISO 27001","OBSERVACIÓN - Revisar Controles")))</f>
        <v/>
      </c>
    </row>
    <row r="262">
      <c r="A262" s="99" t="inlineStr">
        <is>
          <t>21-GCO</t>
        </is>
      </c>
      <c r="B262" s="10" t="inlineStr">
        <is>
          <t>PRODUCTIVO</t>
        </is>
      </c>
      <c r="C262" s="10" t="inlineStr">
        <is>
          <t>Gestión de Colocaciones</t>
        </is>
      </c>
      <c r="D262" s="10" t="inlineStr">
        <is>
          <t>GCO</t>
        </is>
      </c>
      <c r="E262" s="10" t="inlineStr">
        <is>
          <t>Administración de Cartera</t>
        </is>
      </c>
      <c r="F262" s="10" t="inlineStr">
        <is>
          <t>-</t>
        </is>
      </c>
      <c r="G262" s="10" t="inlineStr">
        <is>
          <t>Gestión de Vinculados y de Créditos con Cupo</t>
        </is>
      </c>
      <c r="H262" s="10" t="inlineStr">
        <is>
          <t>Reporte recovinculados</t>
        </is>
      </c>
      <c r="I262" s="10" t="inlineStr">
        <is>
          <t>Reporte de recovinculados con información de empleados que se presenta a Consejo de Administración</t>
        </is>
      </c>
      <c r="J262" s="10" t="inlineStr">
        <is>
          <t>Jefe de Negocios</t>
        </is>
      </c>
      <c r="K262" s="10" t="inlineStr">
        <is>
          <t>Jefe de Negocios</t>
        </is>
      </c>
      <c r="L262" s="10" t="inlineStr">
        <is>
          <t>UBICACIÓN DIGITAL-EQUIPO DEL RESPONSABLE</t>
        </is>
      </c>
      <c r="M262" s="10" t="inlineStr">
        <is>
          <t>DISCOS DUROS, SERVIDORES, DISCOS O MEDIOS PORTÁTILES, CINTAS O MEDIOS DE VIDEO Y AUDIO, ETC.</t>
        </is>
      </c>
      <c r="N262" s="10" t="inlineStr">
        <is>
          <t>PRIMARIOS</t>
        </is>
      </c>
      <c r="O262" s="10" t="inlineStr">
        <is>
          <t>DOCUMENTOS TÉCNICOS</t>
        </is>
      </c>
      <c r="P262" s="10" t="inlineStr">
        <is>
          <t>USO INTERNO(2)</t>
        </is>
      </c>
      <c r="Q262" s="10" t="inlineStr">
        <is>
          <t>BAJA(1)</t>
        </is>
      </c>
      <c r="R262" s="10" t="inlineStr">
        <is>
          <t>BAJA(1)</t>
        </is>
      </c>
      <c r="S262" s="10">
        <f>+(IF(P262="PUBLICA(1)",1,IF(P262="USO INTERNO(2)",2,IF(P262="RESTRINGIDO(3)",3,3))))+(IF(Q262="BAJA(1)",1,IF(Q262="MEDIA(2)",2,IF(Q262="ALTA(3)",3,3))))+(IF(R262="BAJA(1)",1,IF(R262="MEDIA(2)",2,IF(R262="ALTA(3)",3,3))))</f>
        <v/>
      </c>
      <c r="T262" s="10">
        <f>+IF(S262&lt;6,"BAJA",IF(S262&lt;8,"MEDIA","ALTA"))</f>
        <v/>
      </c>
      <c r="U262" s="10" t="inlineStr">
        <is>
          <t>-</t>
        </is>
      </c>
      <c r="V262" s="24" t="inlineStr">
        <is>
          <t>8/02/225</t>
        </is>
      </c>
      <c r="W262" s="19" t="inlineStr">
        <is>
          <t>N/A</t>
        </is>
      </c>
      <c r="X262" s="10">
        <f>+IFERROR(IF(VLOOKUP(Tabla2[[#This Row],[ID]],'EVALUACION DE RIESGO'!A:A,1,FALSE)=Tabla2[[#This Row],[ID]],"SI","NO"),"NO")</f>
        <v/>
      </c>
      <c r="AD262">
        <f>IF(AND(Y262="",AA262=""),"",IF(OR(LEFT(AA262,2)="L0",LEFT(AA262,2)="L1",Y262="No Iniciado"),"CRÍTICO - Incumplimiento Normativo SEPS",IF(AND(OR(LEFT(AA262,2)="L4",LEFT(AA262,2)="L5"),AND(AC262&lt;&gt;"",AC262&lt;&gt;"N/A")),"CONFORME - Control Efectivo ISO 27001","OBSERVACIÓN - Revisar Controles")))</f>
        <v/>
      </c>
    </row>
    <row r="263">
      <c r="A263" s="99" t="inlineStr">
        <is>
          <t>22-GCO</t>
        </is>
      </c>
      <c r="B263" s="10" t="inlineStr">
        <is>
          <t>PRODUCTIVO</t>
        </is>
      </c>
      <c r="C263" s="10" t="inlineStr">
        <is>
          <t>Gestión de Colocaciones</t>
        </is>
      </c>
      <c r="D263" s="10" t="inlineStr">
        <is>
          <t>GCO</t>
        </is>
      </c>
      <c r="E263" s="10" t="inlineStr">
        <is>
          <t>Administración de Cartera</t>
        </is>
      </c>
      <c r="F263" s="10" t="inlineStr">
        <is>
          <t>-</t>
        </is>
      </c>
      <c r="G263" s="10" t="inlineStr">
        <is>
          <t>Gestión de Vinculados y de Créditos con Cupo</t>
        </is>
      </c>
      <c r="H263" s="10" t="inlineStr">
        <is>
          <t>Reporte de créditos aprobados</t>
        </is>
      </c>
      <c r="I263" s="10" t="inlineStr">
        <is>
          <t>Reporte de créditos aprobados con información de empleados que se envía a consejo de Vigilancia</t>
        </is>
      </c>
      <c r="J263" s="10" t="inlineStr">
        <is>
          <t>Jefe de Negocios</t>
        </is>
      </c>
      <c r="K263" s="10" t="inlineStr">
        <is>
          <t>Jefe de Negocios</t>
        </is>
      </c>
      <c r="L263" s="10" t="inlineStr">
        <is>
          <t>UBICACIÓN DIGITAL-EQUIPO DEL RESPONSABLE</t>
        </is>
      </c>
      <c r="M263" s="10" t="inlineStr">
        <is>
          <t>DISCOS DUROS, SERVIDORES, DISCOS O MEDIOS PORTÁTILES, CINTAS O MEDIOS DE VIDEO Y AUDIO, ETC.</t>
        </is>
      </c>
      <c r="N263" s="10" t="inlineStr">
        <is>
          <t>PRIMARIOS</t>
        </is>
      </c>
      <c r="O263" s="10" t="inlineStr">
        <is>
          <t>DOCUMENTOS TÉCNICOS</t>
        </is>
      </c>
      <c r="P263" s="10" t="inlineStr">
        <is>
          <t>USO INTERNO(2)</t>
        </is>
      </c>
      <c r="Q263" s="10" t="inlineStr">
        <is>
          <t>MEDIA(2)</t>
        </is>
      </c>
      <c r="R263" s="10" t="inlineStr">
        <is>
          <t>BAJA(1)</t>
        </is>
      </c>
      <c r="S263" s="10">
        <f>+(IF(P263="PUBLICA(1)",1,IF(P263="USO INTERNO(2)",2,IF(P263="RESTRINGIDO(3)",3,3))))+(IF(Q263="BAJA(1)",1,IF(Q263="MEDIA(2)",2,IF(Q263="ALTA(3)",3,3))))+(IF(R263="BAJA(1)",1,IF(R263="MEDIA(2)",2,IF(R263="ALTA(3)",3,3))))</f>
        <v/>
      </c>
      <c r="T263" s="10">
        <f>+IF(S263&lt;6,"BAJA",IF(S263&lt;8,"MEDIA","ALTA"))</f>
        <v/>
      </c>
      <c r="U263" s="10" t="inlineStr">
        <is>
          <t>-</t>
        </is>
      </c>
      <c r="V263" s="24" t="inlineStr">
        <is>
          <t>8/02/225</t>
        </is>
      </c>
      <c r="W263" s="19" t="inlineStr">
        <is>
          <t>N/A</t>
        </is>
      </c>
      <c r="X263" s="10">
        <f>+IFERROR(IF(VLOOKUP(Tabla2[[#This Row],[ID]],'EVALUACION DE RIESGO'!A:A,1,FALSE)=Tabla2[[#This Row],[ID]],"SI","NO"),"NO")</f>
        <v/>
      </c>
      <c r="AD263">
        <f>IF(AND(Y263="",AA263=""),"",IF(OR(LEFT(AA263,2)="L0",LEFT(AA263,2)="L1",Y263="No Iniciado"),"CRÍTICO - Incumplimiento Normativo SEPS",IF(AND(OR(LEFT(AA263,2)="L4",LEFT(AA263,2)="L5"),AND(AC263&lt;&gt;"",AC263&lt;&gt;"N/A")),"CONFORME - Control Efectivo ISO 27001","OBSERVACIÓN - Revisar Controles")))</f>
        <v/>
      </c>
    </row>
    <row r="264" ht="20.45" customHeight="1" s="106">
      <c r="A264" s="99" t="inlineStr">
        <is>
          <t>23-GCO</t>
        </is>
      </c>
      <c r="B264" s="10" t="inlineStr">
        <is>
          <t>PRODUCTIVO</t>
        </is>
      </c>
      <c r="C264" s="10" t="inlineStr">
        <is>
          <t>Gestión de Colocaciones</t>
        </is>
      </c>
      <c r="D264" s="10" t="inlineStr">
        <is>
          <t>GCO</t>
        </is>
      </c>
      <c r="E264" s="10" t="inlineStr">
        <is>
          <t>Administración de Cartera</t>
        </is>
      </c>
      <c r="F264" s="10" t="inlineStr">
        <is>
          <t>-</t>
        </is>
      </c>
      <c r="G264" s="10" t="inlineStr">
        <is>
          <t>Transferencia de cartera a Asesores de Negocio</t>
        </is>
      </c>
      <c r="H264" s="17" t="inlineStr">
        <is>
          <t>Cartera transferida</t>
        </is>
      </c>
      <c r="I264" s="17" t="inlineStr">
        <is>
          <t>Archivo de registro que cuenta con el detalle de la cartera a transferir</t>
        </is>
      </c>
      <c r="J264" s="10" t="inlineStr">
        <is>
          <t>Jefe de Negocios</t>
        </is>
      </c>
      <c r="K264" s="10" t="inlineStr">
        <is>
          <t>Jefe de Negocios</t>
        </is>
      </c>
      <c r="L264" s="10" t="inlineStr">
        <is>
          <t>UBICACIÓN DIGITAL-EQUIPO DEL RESPONSABLE</t>
        </is>
      </c>
      <c r="M264" s="10" t="inlineStr">
        <is>
          <t>DISCOS DUROS, SERVIDORES, DISCOS O MEDIOS PORTÁTILES, CINTAS O MEDIOS DE VIDEO Y AUDIO, ETC.</t>
        </is>
      </c>
      <c r="N264" s="10" t="inlineStr">
        <is>
          <t>PRIMARIOS</t>
        </is>
      </c>
      <c r="O264" s="10" t="inlineStr">
        <is>
          <t>DOCUMENTOS TÉCNICOS</t>
        </is>
      </c>
      <c r="P264" s="10" t="inlineStr">
        <is>
          <t>RESTRINGIDO(3)</t>
        </is>
      </c>
      <c r="Q264" s="10" t="inlineStr">
        <is>
          <t>ALTA(3)</t>
        </is>
      </c>
      <c r="R264" s="10" t="inlineStr">
        <is>
          <t>MEDIA(2)</t>
        </is>
      </c>
      <c r="S264" s="10">
        <f>+(IF(P264="PUBLICA(1)",1,IF(P264="USO INTERNO(2)",2,IF(P264="RESTRINGIDO(3)",3,3))))+(IF(Q264="BAJA(1)",1,IF(Q264="MEDIA(2)",2,IF(Q264="ALTA(3)",3,3))))+(IF(R264="BAJA(1)",1,IF(R264="MEDIA(2)",2,IF(R264="ALTA(3)",3,3))))</f>
        <v/>
      </c>
      <c r="T264" s="10">
        <f>+IF(S264&lt;6,"BAJA",IF(S264&lt;8,"MEDIA","ALTA"))</f>
        <v/>
      </c>
      <c r="U264" s="10" t="inlineStr">
        <is>
          <t>-</t>
        </is>
      </c>
      <c r="V264" s="24" t="inlineStr">
        <is>
          <t>8/02/225</t>
        </is>
      </c>
      <c r="W264" s="19" t="inlineStr">
        <is>
          <t>N/A</t>
        </is>
      </c>
      <c r="X264" s="10">
        <f>+IFERROR(IF(VLOOKUP(Tabla2[[#This Row],[ID]],'EVALUACION DE RIESGO'!A:A,1,FALSE)=Tabla2[[#This Row],[ID]],"SI","NO"),"NO")</f>
        <v/>
      </c>
      <c r="AD264">
        <f>IF(AND(Y264="",AA264=""),"",IF(OR(LEFT(AA264,2)="L0",LEFT(AA264,2)="L1",Y264="No Iniciado"),"CRÍTICO - Incumplimiento Normativo SEPS",IF(AND(OR(LEFT(AA264,2)="L4",LEFT(AA264,2)="L5"),AND(AC264&lt;&gt;"",AC264&lt;&gt;"N/A")),"CONFORME - Control Efectivo ISO 27001","OBSERVACIÓN - Revisar Controles")))</f>
        <v/>
      </c>
    </row>
    <row r="265">
      <c r="A265" s="99" t="inlineStr">
        <is>
          <t>24-GCO</t>
        </is>
      </c>
      <c r="B265" s="10" t="inlineStr">
        <is>
          <t>PRODUCTIVO</t>
        </is>
      </c>
      <c r="C265" s="10" t="inlineStr">
        <is>
          <t>Gestión de Colocaciones</t>
        </is>
      </c>
      <c r="D265" s="10" t="inlineStr">
        <is>
          <t>GCO</t>
        </is>
      </c>
      <c r="E265" s="10" t="inlineStr">
        <is>
          <t>Administración de Cartera</t>
        </is>
      </c>
      <c r="F265" s="10" t="inlineStr">
        <is>
          <t>-</t>
        </is>
      </c>
      <c r="G265" s="10" t="inlineStr">
        <is>
          <t>Calificación de cartera</t>
        </is>
      </c>
      <c r="H265" s="10" t="inlineStr">
        <is>
          <t>Informe de los resultados de la calificación de cartera</t>
        </is>
      </c>
      <c r="I265" s="10" t="inlineStr">
        <is>
          <t>Informe de calificación que se comparte mensualmente a Riesgos.</t>
        </is>
      </c>
      <c r="J265" s="10" t="inlineStr">
        <is>
          <t>Jefe de Negocios</t>
        </is>
      </c>
      <c r="K265" s="10" t="inlineStr">
        <is>
          <t>Jefe de Negocios</t>
        </is>
      </c>
      <c r="L265" s="10" t="inlineStr">
        <is>
          <t>UBICACIÓN DIGITAL-EQUIPO DEL RESPONSABLE</t>
        </is>
      </c>
      <c r="M265" s="10" t="inlineStr">
        <is>
          <t>DISCOS DUROS, SERVIDORES, DISCOS O MEDIOS PORTÁTILES, CINTAS O MEDIOS DE VIDEO Y AUDIO, ETC.</t>
        </is>
      </c>
      <c r="N265" s="10" t="inlineStr">
        <is>
          <t>PRIMARIOS</t>
        </is>
      </c>
      <c r="O265" s="10" t="inlineStr">
        <is>
          <t>DOCUMENTOS TÉCNICOS</t>
        </is>
      </c>
      <c r="P265" s="10" t="inlineStr">
        <is>
          <t>USO INTERNO(2)</t>
        </is>
      </c>
      <c r="Q265" s="10" t="inlineStr">
        <is>
          <t>MEDIA(2)</t>
        </is>
      </c>
      <c r="R265" s="10" t="inlineStr">
        <is>
          <t>BAJA(1)</t>
        </is>
      </c>
      <c r="S265" s="10">
        <f>+(IF(P265="PUBLICA(1)",1,IF(P265="USO INTERNO(2)",2,IF(P265="RESTRINGIDO(3)",3,3))))+(IF(Q265="BAJA(1)",1,IF(Q265="MEDIA(2)",2,IF(Q265="ALTA(3)",3,3))))+(IF(R265="BAJA(1)",1,IF(R265="MEDIA(2)",2,IF(R265="ALTA(3)",3,3))))</f>
        <v/>
      </c>
      <c r="T265" s="10">
        <f>+IF(S265&lt;6,"BAJA",IF(S265&lt;8,"MEDIA","ALTA"))</f>
        <v/>
      </c>
      <c r="U265" s="10" t="inlineStr">
        <is>
          <t>-</t>
        </is>
      </c>
      <c r="V265" s="24" t="inlineStr">
        <is>
          <t>8/02/225</t>
        </is>
      </c>
      <c r="W265" s="19" t="inlineStr">
        <is>
          <t>N/A</t>
        </is>
      </c>
      <c r="X265" s="10">
        <f>+IFERROR(IF(VLOOKUP(Tabla2[[#This Row],[ID]],'EVALUACION DE RIESGO'!A:A,1,FALSE)=Tabla2[[#This Row],[ID]],"SI","NO"),"NO")</f>
        <v/>
      </c>
      <c r="AD265">
        <f>IF(AND(Y265="",AA265=""),"",IF(OR(LEFT(AA265,2)="L0",LEFT(AA265,2)="L1",Y265="No Iniciado"),"CRÍTICO - Incumplimiento Normativo SEPS",IF(AND(OR(LEFT(AA265,2)="L4",LEFT(AA265,2)="L5"),AND(AC265&lt;&gt;"",AC265&lt;&gt;"N/A")),"CONFORME - Control Efectivo ISO 27001","OBSERVACIÓN - Revisar Controles")))</f>
        <v/>
      </c>
    </row>
    <row r="266">
      <c r="A266" s="99" t="inlineStr">
        <is>
          <t>25-GCO</t>
        </is>
      </c>
      <c r="B266" s="10" t="inlineStr">
        <is>
          <t>PRODUCTIVO</t>
        </is>
      </c>
      <c r="C266" s="10" t="inlineStr">
        <is>
          <t>Gestión de Colocaciones</t>
        </is>
      </c>
      <c r="D266" s="10" t="inlineStr">
        <is>
          <t>GCO</t>
        </is>
      </c>
      <c r="E266" s="10" t="inlineStr">
        <is>
          <t>Administración de Cartera</t>
        </is>
      </c>
      <c r="F266" s="10" t="inlineStr">
        <is>
          <t>-</t>
        </is>
      </c>
      <c r="G266" s="10" t="inlineStr">
        <is>
          <t>Calificación de cartera</t>
        </is>
      </c>
      <c r="H266" s="10" t="inlineStr">
        <is>
          <t>Reportes de provisión de cartera</t>
        </is>
      </c>
      <c r="I266" s="10" t="inlineStr">
        <is>
          <t>Reporte que contiene oficina, monto calificado, cartera según valancie, provisión requerida, totales, detalle de provisiones, cartera en riesgo</t>
        </is>
      </c>
      <c r="J266" s="10" t="inlineStr">
        <is>
          <t>Jefe de Negocios</t>
        </is>
      </c>
      <c r="K266" s="10" t="inlineStr">
        <is>
          <t>Jefe de Negocios</t>
        </is>
      </c>
      <c r="L266" s="10" t="inlineStr">
        <is>
          <t>UBICACIÓN DIGITAL-EQUIPO DEL RESPONSABLE</t>
        </is>
      </c>
      <c r="M266" s="10" t="inlineStr">
        <is>
          <t>DISCOS DUROS, SERVIDORES, DISCOS O MEDIOS PORTÁTILES, CINTAS O MEDIOS DE VIDEO Y AUDIO, ETC.</t>
        </is>
      </c>
      <c r="N266" s="10" t="inlineStr">
        <is>
          <t>PRIMARIOS</t>
        </is>
      </c>
      <c r="O266" s="10" t="inlineStr">
        <is>
          <t>DOCUMENTOS TÉCNICOS</t>
        </is>
      </c>
      <c r="P266" s="10" t="inlineStr">
        <is>
          <t>RESTRINGIDO(3)</t>
        </is>
      </c>
      <c r="Q266" s="10" t="inlineStr">
        <is>
          <t>MEDIA(2)</t>
        </is>
      </c>
      <c r="R266" s="10" t="inlineStr">
        <is>
          <t>MEDIA(2)</t>
        </is>
      </c>
      <c r="S266" s="10">
        <f>+(IF(P266="PUBLICA(1)",1,IF(P266="USO INTERNO(2)",2,IF(P266="RESTRINGIDO(3)",3,3))))+(IF(Q266="BAJA(1)",1,IF(Q266="MEDIA(2)",2,IF(Q266="ALTA(3)",3,3))))+(IF(R266="BAJA(1)",1,IF(R266="MEDIA(2)",2,IF(R266="ALTA(3)",3,3))))</f>
        <v/>
      </c>
      <c r="T266" s="10">
        <f>+IF(S266&lt;6,"BAJA",IF(S266&lt;8,"MEDIA","ALTA"))</f>
        <v/>
      </c>
      <c r="U266" s="10" t="inlineStr">
        <is>
          <t>-</t>
        </is>
      </c>
      <c r="V266" s="24" t="inlineStr">
        <is>
          <t>8/02/225</t>
        </is>
      </c>
      <c r="W266" s="19" t="inlineStr">
        <is>
          <t>N/A</t>
        </is>
      </c>
      <c r="X266" s="10">
        <f>+IFERROR(IF(VLOOKUP(Tabla2[[#This Row],[ID]],'EVALUACION DE RIESGO'!A:A,1,FALSE)=Tabla2[[#This Row],[ID]],"SI","NO"),"NO")</f>
        <v/>
      </c>
      <c r="AD266">
        <f>IF(AND(Y266="",AA266=""),"",IF(OR(LEFT(AA266,2)="L0",LEFT(AA266,2)="L1",Y266="No Iniciado"),"CRÍTICO - Incumplimiento Normativo SEPS",IF(AND(OR(LEFT(AA266,2)="L4",LEFT(AA266,2)="L5"),AND(AC266&lt;&gt;"",AC266&lt;&gt;"N/A")),"CONFORME - Control Efectivo ISO 27001","OBSERVACIÓN - Revisar Controles")))</f>
        <v/>
      </c>
    </row>
    <row r="267">
      <c r="A267" s="99" t="inlineStr">
        <is>
          <t>26-GCO</t>
        </is>
      </c>
      <c r="B267" s="10" t="inlineStr">
        <is>
          <t>PRODUCTIVO</t>
        </is>
      </c>
      <c r="C267" s="10" t="inlineStr">
        <is>
          <t>Gestión de Colocaciones</t>
        </is>
      </c>
      <c r="D267" s="10" t="inlineStr">
        <is>
          <t>GCO</t>
        </is>
      </c>
      <c r="E267" s="10" t="inlineStr">
        <is>
          <t>Administración de Cartera</t>
        </is>
      </c>
      <c r="F267" s="10" t="inlineStr">
        <is>
          <t>-</t>
        </is>
      </c>
      <c r="G267" s="10" t="inlineStr">
        <is>
          <t xml:space="preserve">Depuración de garantías reales y pagarés </t>
        </is>
      </c>
      <c r="H267" s="10" t="inlineStr">
        <is>
          <t>Registro de entrega de pagarés cancelados</t>
        </is>
      </c>
      <c r="I267" s="10" t="inlineStr">
        <is>
          <t>Supervisor operativo y asesor de desembolso</t>
        </is>
      </c>
      <c r="J267" s="10" t="inlineStr">
        <is>
          <t>Jefe de Negocios</t>
        </is>
      </c>
      <c r="K267" s="10" t="inlineStr">
        <is>
          <t>Supervisor operativo / asesor de desembolso</t>
        </is>
      </c>
      <c r="L267" s="10" t="inlineStr">
        <is>
          <t>UBICACIÓN DIGITAL-EQUIPO DEL RESPONSABLE</t>
        </is>
      </c>
      <c r="M267" s="10" t="inlineStr">
        <is>
          <t>DISCOS DUROS, SERVIDORES, DISCOS O MEDIOS PORTÁTILES, CINTAS O MEDIOS DE VIDEO Y AUDIO, ETC.</t>
        </is>
      </c>
      <c r="N267" s="10" t="inlineStr">
        <is>
          <t>PRIMARIOS</t>
        </is>
      </c>
      <c r="O267" s="10" t="inlineStr">
        <is>
          <t>COMUNICACIÓN INTERNA</t>
        </is>
      </c>
      <c r="P267" s="10" t="inlineStr">
        <is>
          <t>USO INTERNO(2)</t>
        </is>
      </c>
      <c r="Q267" s="10" t="inlineStr">
        <is>
          <t>MEDIA(2)</t>
        </is>
      </c>
      <c r="R267" s="10" t="inlineStr">
        <is>
          <t>MEDIA(2)</t>
        </is>
      </c>
      <c r="S267" s="10">
        <f>+(IF(P267="PUBLICA(1)",1,IF(P267="USO INTERNO(2)",2,IF(P267="RESTRINGIDO(3)",3,3))))+(IF(Q267="BAJA(1)",1,IF(Q267="MEDIA(2)",2,IF(Q267="ALTA(3)",3,3))))+(IF(R267="BAJA(1)",1,IF(R267="MEDIA(2)",2,IF(R267="ALTA(3)",3,3))))</f>
        <v/>
      </c>
      <c r="T267" s="10">
        <f>+IF(S267&lt;6,"BAJA",IF(S267&lt;8,"MEDIA","ALTA"))</f>
        <v/>
      </c>
      <c r="U267" s="10" t="inlineStr">
        <is>
          <t>-</t>
        </is>
      </c>
      <c r="V267" s="24" t="inlineStr">
        <is>
          <t>8/02/225</t>
        </is>
      </c>
      <c r="W267" s="19" t="inlineStr">
        <is>
          <t>N/A</t>
        </is>
      </c>
      <c r="X267" s="10">
        <f>+IFERROR(IF(VLOOKUP(Tabla2[[#This Row],[ID]],'EVALUACION DE RIESGO'!A:A,1,FALSE)=Tabla2[[#This Row],[ID]],"SI","NO"),"NO")</f>
        <v/>
      </c>
      <c r="AD267">
        <f>IF(AND(Y267="",AA267=""),"",IF(OR(LEFT(AA267,2)="L0",LEFT(AA267,2)="L1",Y267="No Iniciado"),"CRÍTICO - Incumplimiento Normativo SEPS",IF(AND(OR(LEFT(AA267,2)="L4",LEFT(AA267,2)="L5"),AND(AC267&lt;&gt;"",AC267&lt;&gt;"N/A")),"CONFORME - Control Efectivo ISO 27001","OBSERVACIÓN - Revisar Controles")))</f>
        <v/>
      </c>
    </row>
    <row r="268">
      <c r="A268" s="99" t="inlineStr">
        <is>
          <t>27-GCO</t>
        </is>
      </c>
      <c r="B268" s="10" t="inlineStr">
        <is>
          <t>PRODUCTIVO</t>
        </is>
      </c>
      <c r="C268" s="10" t="inlineStr">
        <is>
          <t>Gestión de Colocaciones</t>
        </is>
      </c>
      <c r="D268" s="10" t="inlineStr">
        <is>
          <t>GCO</t>
        </is>
      </c>
      <c r="E268" s="10" t="inlineStr">
        <is>
          <t>Administración de Cartera</t>
        </is>
      </c>
      <c r="F268" s="10" t="inlineStr">
        <is>
          <t>-</t>
        </is>
      </c>
      <c r="G268" s="10" t="inlineStr">
        <is>
          <t xml:space="preserve">Depuración de garantías reales y pagarés </t>
        </is>
      </c>
      <c r="H268" s="10" t="inlineStr">
        <is>
          <t>Contratos de Prenda, Escrituras de hipoteca, escritura o el contrato de prenda industrial o de reserva de dominio</t>
        </is>
      </c>
      <c r="I268" s="10" t="inlineStr">
        <is>
          <t>Supervisor operativo y asesor de desembolso</t>
        </is>
      </c>
      <c r="J268" s="10" t="inlineStr">
        <is>
          <t>Jefe de Negocios</t>
        </is>
      </c>
      <c r="K268" s="10" t="inlineStr">
        <is>
          <t>Supervisor operativo / asesor de desembolso</t>
        </is>
      </c>
      <c r="L268" s="10" t="inlineStr">
        <is>
          <t>DOCUMENTOS FISICOS-ARCHIVOS DE LA OFICINA</t>
        </is>
      </c>
      <c r="M268" s="10" t="inlineStr">
        <is>
          <t>DOCUMENTO DE ARCHIVO-FÍSICO</t>
        </is>
      </c>
      <c r="N268" s="10" t="inlineStr">
        <is>
          <t>PRIMARIOS</t>
        </is>
      </c>
      <c r="O268" s="10" t="inlineStr">
        <is>
          <t>DOCUMENTOS HABILITANTES</t>
        </is>
      </c>
      <c r="P268" s="10" t="inlineStr">
        <is>
          <t>USO INTERNO(2)</t>
        </is>
      </c>
      <c r="Q268" s="10" t="inlineStr">
        <is>
          <t>MEDIA(2)</t>
        </is>
      </c>
      <c r="R268" s="10" t="inlineStr">
        <is>
          <t>MEDIA(2)</t>
        </is>
      </c>
      <c r="S268" s="10">
        <f>+(IF(P268="PUBLICA(1)",1,IF(P268="USO INTERNO(2)",2,IF(P268="RESTRINGIDO(3)",3,3))))+(IF(Q268="BAJA(1)",1,IF(Q268="MEDIA(2)",2,IF(Q268="ALTA(3)",3,3))))+(IF(R268="BAJA(1)",1,IF(R268="MEDIA(2)",2,IF(R268="ALTA(3)",3,3))))</f>
        <v/>
      </c>
      <c r="T268" s="10">
        <f>+IF(S268&lt;6,"BAJA",IF(S268&lt;8,"MEDIA","ALTA"))</f>
        <v/>
      </c>
      <c r="U268" s="10" t="inlineStr">
        <is>
          <t>-</t>
        </is>
      </c>
      <c r="V268" s="24" t="inlineStr">
        <is>
          <t>8/02/225</t>
        </is>
      </c>
      <c r="W268" s="19" t="inlineStr">
        <is>
          <t>N/A</t>
        </is>
      </c>
      <c r="X268" s="10">
        <f>+IFERROR(IF(VLOOKUP(Tabla2[[#This Row],[ID]],'EVALUACION DE RIESGO'!A:A,1,FALSE)=Tabla2[[#This Row],[ID]],"SI","NO"),"NO")</f>
        <v/>
      </c>
      <c r="AD268">
        <f>IF(AND(Y268="",AA268=""),"",IF(OR(LEFT(AA268,2)="L0",LEFT(AA268,2)="L1",Y268="No Iniciado"),"CRÍTICO - Incumplimiento Normativo SEPS",IF(AND(OR(LEFT(AA268,2)="L4",LEFT(AA268,2)="L5"),AND(AC268&lt;&gt;"",AC268&lt;&gt;"N/A")),"CONFORME - Control Efectivo ISO 27001","OBSERVACIÓN - Revisar Controles")))</f>
        <v/>
      </c>
    </row>
    <row r="269" ht="20.45" customHeight="1" s="106">
      <c r="A269" s="99" t="inlineStr">
        <is>
          <t>28-GCO</t>
        </is>
      </c>
      <c r="B269" s="10" t="inlineStr">
        <is>
          <t>PRODUCTIVO</t>
        </is>
      </c>
      <c r="C269" s="10" t="inlineStr">
        <is>
          <t>Gestión de Colocaciones</t>
        </is>
      </c>
      <c r="D269" s="10" t="inlineStr">
        <is>
          <t>GCO</t>
        </is>
      </c>
      <c r="E269" s="10" t="inlineStr">
        <is>
          <t>Administración de Cartera</t>
        </is>
      </c>
      <c r="F269" s="10" t="inlineStr">
        <is>
          <t>-</t>
        </is>
      </c>
      <c r="G269" s="10" t="inlineStr">
        <is>
          <t>Levantamiento de garantía hipotecaria y cancelación de prenda o reserva de dominio.</t>
        </is>
      </c>
      <c r="H269" s="17" t="inlineStr">
        <is>
          <t>Minuta de levantamiento de hipoteca o prenda</t>
        </is>
      </c>
      <c r="I269" s="17" t="inlineStr">
        <is>
          <t>Escritura de hipoteca que realiza el socio y se recepta el físico</t>
        </is>
      </c>
      <c r="J269" s="10" t="inlineStr">
        <is>
          <t>Jefe de Negocios</t>
        </is>
      </c>
      <c r="K269" s="10" t="inlineStr">
        <is>
          <t>Jefe de Negocios</t>
        </is>
      </c>
      <c r="L269" s="10" t="inlineStr">
        <is>
          <t>DOCUMENTOS FISICOS-ARCHIVOS DE LA OFICINA</t>
        </is>
      </c>
      <c r="M269" s="10" t="inlineStr">
        <is>
          <t>DOCUMENTO DE ARCHIVO-FÍSICO</t>
        </is>
      </c>
      <c r="N269" s="10" t="inlineStr">
        <is>
          <t>PRIMARIOS</t>
        </is>
      </c>
      <c r="O269" s="10" t="inlineStr">
        <is>
          <t>DOCUMENTOS HABILITANTES</t>
        </is>
      </c>
      <c r="P269" s="10" t="inlineStr">
        <is>
          <t>RESTRINGIDO(3)</t>
        </is>
      </c>
      <c r="Q269" s="10" t="inlineStr">
        <is>
          <t>MEDIA(2)</t>
        </is>
      </c>
      <c r="R269" s="10" t="inlineStr">
        <is>
          <t>ALTA(3)</t>
        </is>
      </c>
      <c r="S269" s="10">
        <f>+(IF(P269="PUBLICA(1)",1,IF(P269="USO INTERNO(2)",2,IF(P269="RESTRINGIDO(3)",3,3))))+(IF(Q269="BAJA(1)",1,IF(Q269="MEDIA(2)",2,IF(Q269="ALTA(3)",3,3))))+(IF(R269="BAJA(1)",1,IF(R269="MEDIA(2)",2,IF(R269="ALTA(3)",3,3))))</f>
        <v/>
      </c>
      <c r="T269" s="10">
        <f>+IF(S269&lt;6,"BAJA",IF(S269&lt;8,"MEDIA","ALTA"))</f>
        <v/>
      </c>
      <c r="U269" s="10" t="inlineStr">
        <is>
          <t>-</t>
        </is>
      </c>
      <c r="V269" s="24" t="inlineStr">
        <is>
          <t>8/02/225</t>
        </is>
      </c>
      <c r="W269" s="19" t="inlineStr">
        <is>
          <t>N/A</t>
        </is>
      </c>
      <c r="X269" s="10">
        <f>+IFERROR(IF(VLOOKUP(Tabla2[[#This Row],[ID]],'EVALUACION DE RIESGO'!A:A,1,FALSE)=Tabla2[[#This Row],[ID]],"SI","NO"),"NO")</f>
        <v/>
      </c>
      <c r="AD269">
        <f>IF(AND(Y269="",AA269=""),"",IF(OR(LEFT(AA269,2)="L0",LEFT(AA269,2)="L1",Y269="No Iniciado"),"CRÍTICO - Incumplimiento Normativo SEPS",IF(AND(OR(LEFT(AA269,2)="L4",LEFT(AA269,2)="L5"),AND(AC269&lt;&gt;"",AC269&lt;&gt;"N/A")),"CONFORME - Control Efectivo ISO 27001","OBSERVACIÓN - Revisar Controles")))</f>
        <v/>
      </c>
    </row>
    <row r="270">
      <c r="A270" s="99" t="inlineStr">
        <is>
          <t>29-GCO</t>
        </is>
      </c>
      <c r="B270" s="10" t="inlineStr">
        <is>
          <t>PRODUCTIVO</t>
        </is>
      </c>
      <c r="C270" s="10" t="inlineStr">
        <is>
          <t>Gestión de Colocaciones</t>
        </is>
      </c>
      <c r="D270" s="10" t="inlineStr">
        <is>
          <t>GCO</t>
        </is>
      </c>
      <c r="E270" s="10" t="inlineStr">
        <is>
          <t>Gestión de Microcrédito</t>
        </is>
      </c>
      <c r="F270" s="10" t="inlineStr">
        <is>
          <t>-</t>
        </is>
      </c>
      <c r="G270" s="10" t="inlineStr">
        <is>
          <t>Solicitud de crédito</t>
        </is>
      </c>
      <c r="H270" s="10" t="inlineStr">
        <is>
          <t>File de crédito / formulario previo al otorgamiento del crédito</t>
        </is>
      </c>
      <c r="I270" s="10" t="inlineStr">
        <is>
          <t>Documentos adjuntos de justificación de la solicitud del crédito, cada file depende del tipo de crédito check list de requisitos</t>
        </is>
      </c>
      <c r="J270" s="10" t="inlineStr">
        <is>
          <t>Jefe de Negocios</t>
        </is>
      </c>
      <c r="K270" s="10" t="inlineStr">
        <is>
          <t>Asedor de Negocios</t>
        </is>
      </c>
      <c r="L270" s="10" t="inlineStr">
        <is>
          <t>DOCUMENTOS FISICOS-ARCHIVOS DE LA OFICINA</t>
        </is>
      </c>
      <c r="M270" s="10" t="inlineStr">
        <is>
          <t>DOCUMENTO DE ARCHIVO-FÍSICO</t>
        </is>
      </c>
      <c r="N270" s="10" t="inlineStr">
        <is>
          <t>PRIMARIOS</t>
        </is>
      </c>
      <c r="O270" s="10" t="inlineStr">
        <is>
          <t>INFORMACIÓN DE SOCIOS Y CLIENTES</t>
        </is>
      </c>
      <c r="P270" s="10" t="inlineStr">
        <is>
          <t>RESTRINGIDO(3)</t>
        </is>
      </c>
      <c r="Q270" s="10" t="inlineStr">
        <is>
          <t>MEDIA(2)</t>
        </is>
      </c>
      <c r="R270" s="10" t="inlineStr">
        <is>
          <t>MEDIA(2)</t>
        </is>
      </c>
      <c r="S270" s="10">
        <f>+(IF(P270="PUBLICA(1)",1,IF(P270="USO INTERNO(2)",2,IF(P270="RESTRINGIDO(3)",3,3))))+(IF(Q270="BAJA(1)",1,IF(Q270="MEDIA(2)",2,IF(Q270="ALTA(3)",3,3))))+(IF(R270="BAJA(1)",1,IF(R270="MEDIA(2)",2,IF(R270="ALTA(3)",3,3))))</f>
        <v/>
      </c>
      <c r="T270" s="10">
        <f>+IF(S270&lt;6,"BAJA",IF(S270&lt;8,"MEDIA","ALTA"))</f>
        <v/>
      </c>
      <c r="U270" s="10" t="inlineStr">
        <is>
          <t>-</t>
        </is>
      </c>
      <c r="V270" s="24" t="inlineStr">
        <is>
          <t>8/02/225</t>
        </is>
      </c>
      <c r="W270" s="19" t="inlineStr">
        <is>
          <t>N/A</t>
        </is>
      </c>
      <c r="X270" s="10">
        <f>+IFERROR(IF(VLOOKUP(Tabla2[[#This Row],[ID]],'EVALUACION DE RIESGO'!A:A,1,FALSE)=Tabla2[[#This Row],[ID]],"SI","NO"),"NO")</f>
        <v/>
      </c>
      <c r="AD270">
        <f>IF(AND(Y270="",AA270=""),"",IF(OR(LEFT(AA270,2)="L0",LEFT(AA270,2)="L1",Y270="No Iniciado"),"CRÍTICO - Incumplimiento Normativo SEPS",IF(AND(OR(LEFT(AA270,2)="L4",LEFT(AA270,2)="L5"),AND(AC270&lt;&gt;"",AC270&lt;&gt;"N/A")),"CONFORME - Control Efectivo ISO 27001","OBSERVACIÓN - Revisar Controles")))</f>
        <v/>
      </c>
    </row>
    <row r="271">
      <c r="A271" s="99" t="inlineStr">
        <is>
          <t>30-GCO</t>
        </is>
      </c>
      <c r="B271" s="10" t="inlineStr">
        <is>
          <t>PRODUCTIVO</t>
        </is>
      </c>
      <c r="C271" s="10" t="inlineStr">
        <is>
          <t>Gestión de Colocaciones</t>
        </is>
      </c>
      <c r="D271" s="10" t="inlineStr">
        <is>
          <t>GCO</t>
        </is>
      </c>
      <c r="E271" s="10" t="inlineStr">
        <is>
          <t>Gestión de Microcrédito</t>
        </is>
      </c>
      <c r="F271" s="10" t="inlineStr">
        <is>
          <t>-</t>
        </is>
      </c>
      <c r="G271" s="10" t="inlineStr">
        <is>
          <t>Solicitud de novación, refinanciamiento, o reestructuración de créditos</t>
        </is>
      </c>
      <c r="H271" s="10" t="inlineStr">
        <is>
          <t>File de crédito / Informe de análisis de novación, refinanciamiento y restructuración</t>
        </is>
      </c>
      <c r="I271" s="10" t="inlineStr">
        <is>
          <t>Documentos adjuntos de justificación de la solicitud de  novación del crédito, cada file depende del tipo de crédito check list de requisitos</t>
        </is>
      </c>
      <c r="J271" s="10" t="inlineStr">
        <is>
          <t>Jefe de Negocios</t>
        </is>
      </c>
      <c r="K271" s="10" t="inlineStr">
        <is>
          <t>Asedor de Negocios</t>
        </is>
      </c>
      <c r="L271" s="10" t="inlineStr">
        <is>
          <t>DOCUMENTOS FISICOS-ARCHIVOS DE LA OFICINA</t>
        </is>
      </c>
      <c r="M271" s="10" t="inlineStr">
        <is>
          <t>DOCUMENTO DE ARCHIVO-FÍSICO</t>
        </is>
      </c>
      <c r="N271" s="10" t="inlineStr">
        <is>
          <t>PRIMARIOS</t>
        </is>
      </c>
      <c r="O271" s="10" t="inlineStr">
        <is>
          <t>INFORMACIÓN DE SOCIOS Y CLIENTES</t>
        </is>
      </c>
      <c r="P271" s="10" t="inlineStr">
        <is>
          <t>RESTRINGIDO(3)</t>
        </is>
      </c>
      <c r="Q271" s="10" t="inlineStr">
        <is>
          <t>MEDIA(2)</t>
        </is>
      </c>
      <c r="R271" s="10" t="inlineStr">
        <is>
          <t>MEDIA(2)</t>
        </is>
      </c>
      <c r="S271" s="10">
        <f>+(IF(P271="PUBLICA(1)",1,IF(P271="USO INTERNO(2)",2,IF(P271="RESTRINGIDO(3)",3,3))))+(IF(Q271="BAJA(1)",1,IF(Q271="MEDIA(2)",2,IF(Q271="ALTA(3)",3,3))))+(IF(R271="BAJA(1)",1,IF(R271="MEDIA(2)",2,IF(R271="ALTA(3)",3,3))))</f>
        <v/>
      </c>
      <c r="T271" s="10">
        <f>+IF(S271&lt;6,"BAJA",IF(S271&lt;8,"MEDIA","ALTA"))</f>
        <v/>
      </c>
      <c r="U271" s="10" t="inlineStr">
        <is>
          <t>-</t>
        </is>
      </c>
      <c r="V271" s="24" t="inlineStr">
        <is>
          <t>8/02/225</t>
        </is>
      </c>
      <c r="W271" s="19" t="inlineStr">
        <is>
          <t>N/A</t>
        </is>
      </c>
      <c r="X271" s="10">
        <f>+IFERROR(IF(VLOOKUP(Tabla2[[#This Row],[ID]],'EVALUACION DE RIESGO'!A:A,1,FALSE)=Tabla2[[#This Row],[ID]],"SI","NO"),"NO")</f>
        <v/>
      </c>
      <c r="AD271">
        <f>IF(AND(Y271="",AA271=""),"",IF(OR(LEFT(AA271,2)="L0",LEFT(AA271,2)="L1",Y271="No Iniciado"),"CRÍTICO - Incumplimiento Normativo SEPS",IF(AND(OR(LEFT(AA271,2)="L4",LEFT(AA271,2)="L5"),AND(AC271&lt;&gt;"",AC271&lt;&gt;"N/A")),"CONFORME - Control Efectivo ISO 27001","OBSERVACIÓN - Revisar Controles")))</f>
        <v/>
      </c>
    </row>
    <row r="272">
      <c r="A272" s="99" t="inlineStr">
        <is>
          <t>31-GCO</t>
        </is>
      </c>
      <c r="B272" s="10" t="inlineStr">
        <is>
          <t>PRODUCTIVO</t>
        </is>
      </c>
      <c r="C272" s="10" t="inlineStr">
        <is>
          <t>Gestión de Colocaciones</t>
        </is>
      </c>
      <c r="D272" s="10" t="inlineStr">
        <is>
          <t>GCO</t>
        </is>
      </c>
      <c r="E272" s="10" t="inlineStr">
        <is>
          <t>Gestión de Microcrédito</t>
        </is>
      </c>
      <c r="F272" s="10" t="inlineStr">
        <is>
          <t>-</t>
        </is>
      </c>
      <c r="G272" s="10" t="inlineStr">
        <is>
          <t xml:space="preserve">Seguimiento al destino del crédito </t>
        </is>
      </c>
      <c r="H272" s="10" t="inlineStr">
        <is>
          <t>Formulario de destino del crédito</t>
        </is>
      </c>
      <c r="I272" s="10" t="inlineStr">
        <is>
          <t>Formulario de verificación en sitio y observaciones necesarias del destino de los créditos</t>
        </is>
      </c>
      <c r="J272" s="10" t="inlineStr">
        <is>
          <t>Jefe de Negocios</t>
        </is>
      </c>
      <c r="K272" s="10" t="inlineStr">
        <is>
          <t>Asedor de Negocios</t>
        </is>
      </c>
      <c r="L272" s="10" t="inlineStr">
        <is>
          <t>DOCUMENTOS FISICOS-ARCHIVOS DE LA OFICINA</t>
        </is>
      </c>
      <c r="M272" s="10" t="inlineStr">
        <is>
          <t>DOCUMENTO DE ARCHIVO-FÍSICO</t>
        </is>
      </c>
      <c r="N272" s="10" t="inlineStr">
        <is>
          <t>PRIMARIOS</t>
        </is>
      </c>
      <c r="O272" s="10" t="inlineStr">
        <is>
          <t>INFORMACIÓN DE SOCIOS Y CLIENTES</t>
        </is>
      </c>
      <c r="P272" s="10" t="inlineStr">
        <is>
          <t>RESTRINGIDO(3)</t>
        </is>
      </c>
      <c r="Q272" s="10" t="inlineStr">
        <is>
          <t>MEDIA(2)</t>
        </is>
      </c>
      <c r="R272" s="10" t="inlineStr">
        <is>
          <t>MEDIA(2)</t>
        </is>
      </c>
      <c r="S272" s="10">
        <f>+(IF(P272="PUBLICA(1)",1,IF(P272="USO INTERNO(2)",2,IF(P272="RESTRINGIDO(3)",3,3))))+(IF(Q272="BAJA(1)",1,IF(Q272="MEDIA(2)",2,IF(Q272="ALTA(3)",3,3))))+(IF(R272="BAJA(1)",1,IF(R272="MEDIA(2)",2,IF(R272="ALTA(3)",3,3))))</f>
        <v/>
      </c>
      <c r="T272" s="10">
        <f>+IF(S272&lt;6,"BAJA",IF(S272&lt;8,"MEDIA","ALTA"))</f>
        <v/>
      </c>
      <c r="U272" s="10" t="inlineStr">
        <is>
          <t>-</t>
        </is>
      </c>
      <c r="V272" s="24" t="inlineStr">
        <is>
          <t>8/02/225</t>
        </is>
      </c>
      <c r="W272" s="19" t="inlineStr">
        <is>
          <t>N/A</t>
        </is>
      </c>
      <c r="X272" s="10">
        <f>+IFERROR(IF(VLOOKUP(Tabla2[[#This Row],[ID]],'EVALUACION DE RIESGO'!A:A,1,FALSE)=Tabla2[[#This Row],[ID]],"SI","NO"),"NO")</f>
        <v/>
      </c>
      <c r="AD272">
        <f>IF(AND(Y272="",AA272=""),"",IF(OR(LEFT(AA272,2)="L0",LEFT(AA272,2)="L1",Y272="No Iniciado"),"CRÍTICO - Incumplimiento Normativo SEPS",IF(AND(OR(LEFT(AA272,2)="L4",LEFT(AA272,2)="L5"),AND(AC272&lt;&gt;"",AC272&lt;&gt;"N/A")),"CONFORME - Control Efectivo ISO 27001","OBSERVACIÓN - Revisar Controles")))</f>
        <v/>
      </c>
    </row>
    <row r="273" ht="20.45" customHeight="1" s="106">
      <c r="A273" s="99" t="inlineStr">
        <is>
          <t>32-GCO</t>
        </is>
      </c>
      <c r="B273" s="10" t="inlineStr">
        <is>
          <t>PRODUCTIVO</t>
        </is>
      </c>
      <c r="C273" s="10" t="inlineStr">
        <is>
          <t>Gestión de Colocaciones</t>
        </is>
      </c>
      <c r="D273" s="10" t="inlineStr">
        <is>
          <t>GCO</t>
        </is>
      </c>
      <c r="E273" s="10" t="inlineStr">
        <is>
          <t>Gestión de Compra y Venta de Cartera</t>
        </is>
      </c>
      <c r="F273" s="10" t="inlineStr">
        <is>
          <t>-</t>
        </is>
      </c>
      <c r="G273" s="10" t="inlineStr">
        <is>
          <t xml:space="preserve">Calificación de Empresas Originadoras e Instituciones Financieras que venden cartera </t>
        </is>
      </c>
      <c r="H273" s="17" t="inlineStr">
        <is>
          <t>Convenio de compra de cartera</t>
        </is>
      </c>
      <c r="I273" s="17" t="inlineStr">
        <is>
          <t>Convenio de compra de cartera aprobado por GG y certificado por el CAD</t>
        </is>
      </c>
      <c r="J273" s="10" t="inlineStr">
        <is>
          <t>Gerente de Negocios</t>
        </is>
      </c>
      <c r="K273" s="10" t="inlineStr">
        <is>
          <t>Gerente de Negocios</t>
        </is>
      </c>
      <c r="L273" s="10" t="inlineStr">
        <is>
          <t>DOCUMENTOS FISICOS-ARCHIVOS DE LA OFICINA</t>
        </is>
      </c>
      <c r="M273" s="10" t="inlineStr">
        <is>
          <t>DOCUMENTO DE ARCHIVO-FÍSICO</t>
        </is>
      </c>
      <c r="N273" s="10" t="inlineStr">
        <is>
          <t>PRIMARIOS</t>
        </is>
      </c>
      <c r="O273" s="10" t="inlineStr">
        <is>
          <t>DOCUMENTOS HABILITANTES</t>
        </is>
      </c>
      <c r="P273" s="10" t="inlineStr">
        <is>
          <t>RESTRINGIDO(3)</t>
        </is>
      </c>
      <c r="Q273" s="10" t="inlineStr">
        <is>
          <t>ALTA(3)</t>
        </is>
      </c>
      <c r="R273" s="10" t="inlineStr">
        <is>
          <t>ALTA(3)</t>
        </is>
      </c>
      <c r="S273" s="10">
        <f>+(IF(P273="PUBLICA(1)",1,IF(P273="USO INTERNO(2)",2,IF(P273="RESTRINGIDO(3)",3,3))))+(IF(Q273="BAJA(1)",1,IF(Q273="MEDIA(2)",2,IF(Q273="ALTA(3)",3,3))))+(IF(R273="BAJA(1)",1,IF(R273="MEDIA(2)",2,IF(R273="ALTA(3)",3,3))))</f>
        <v/>
      </c>
      <c r="T273" s="10">
        <f>+IF(S273&lt;6,"BAJA",IF(S273&lt;8,"MEDIA","ALTA"))</f>
        <v/>
      </c>
      <c r="U273" s="10" t="inlineStr">
        <is>
          <t>-</t>
        </is>
      </c>
      <c r="V273" s="24" t="inlineStr">
        <is>
          <t>8/02/225</t>
        </is>
      </c>
      <c r="W273" s="19" t="inlineStr">
        <is>
          <t>N/A</t>
        </is>
      </c>
      <c r="X273" s="10">
        <f>+IFERROR(IF(VLOOKUP(Tabla2[[#This Row],[ID]],'EVALUACION DE RIESGO'!A:A,1,FALSE)=Tabla2[[#This Row],[ID]],"SI","NO"),"NO")</f>
        <v/>
      </c>
      <c r="AD273">
        <f>IF(AND(Y273="",AA273=""),"",IF(OR(LEFT(AA273,2)="L0",LEFT(AA273,2)="L1",Y273="No Iniciado"),"CRÍTICO - Incumplimiento Normativo SEPS",IF(AND(OR(LEFT(AA273,2)="L4",LEFT(AA273,2)="L5"),AND(AC273&lt;&gt;"",AC273&lt;&gt;"N/A")),"CONFORME - Control Efectivo ISO 27001","OBSERVACIÓN - Revisar Controles")))</f>
        <v/>
      </c>
    </row>
    <row r="274">
      <c r="A274" s="99" t="inlineStr">
        <is>
          <t>33-GCO</t>
        </is>
      </c>
      <c r="B274" s="10" t="inlineStr">
        <is>
          <t>PRODUCTIVO</t>
        </is>
      </c>
      <c r="C274" s="10" t="inlineStr">
        <is>
          <t>Gestión de Colocaciones</t>
        </is>
      </c>
      <c r="D274" s="10" t="inlineStr">
        <is>
          <t>GCO</t>
        </is>
      </c>
      <c r="E274" s="10" t="inlineStr">
        <is>
          <t>Gestión de Compra y Venta de Cartera</t>
        </is>
      </c>
      <c r="F274" s="10" t="inlineStr">
        <is>
          <t>-</t>
        </is>
      </c>
      <c r="G274" s="10" t="inlineStr">
        <is>
          <t xml:space="preserve">Calificación de Empresas Originadoras e Instituciones Financieras que venden cartera </t>
        </is>
      </c>
      <c r="H274" s="10" t="inlineStr">
        <is>
          <t>Informe de riesgos del proveedor</t>
        </is>
      </c>
      <c r="I274" s="10" t="inlineStr">
        <is>
          <t>Informe del análisis de riesgos del proveedor</t>
        </is>
      </c>
      <c r="J274" s="10" t="inlineStr">
        <is>
          <t>Gerente de Negocios</t>
        </is>
      </c>
      <c r="K274" s="10" t="inlineStr">
        <is>
          <t>Gerente de Negocios</t>
        </is>
      </c>
      <c r="L274" s="10" t="inlineStr">
        <is>
          <t>UBICACIÓN DIGITAL-EQUIPO DEL RESPONSABLE</t>
        </is>
      </c>
      <c r="M274" s="10" t="inlineStr">
        <is>
          <t>DISCOS DUROS, SERVIDORES, DISCOS O MEDIOS PORTÁTILES, CINTAS O MEDIOS DE VIDEO Y AUDIO, ETC.</t>
        </is>
      </c>
      <c r="N274" s="10" t="inlineStr">
        <is>
          <t>PRIMARIOS</t>
        </is>
      </c>
      <c r="O274" s="10" t="inlineStr">
        <is>
          <t>DOCUMENTOS TÉCNICOS</t>
        </is>
      </c>
      <c r="P274" s="10" t="inlineStr">
        <is>
          <t>USO INTERNO(2)</t>
        </is>
      </c>
      <c r="Q274" s="10" t="inlineStr">
        <is>
          <t>MEDIA(2)</t>
        </is>
      </c>
      <c r="R274" s="10" t="inlineStr">
        <is>
          <t>MEDIA(2)</t>
        </is>
      </c>
      <c r="S274" s="10">
        <f>+(IF(P274="PUBLICA(1)",1,IF(P274="USO INTERNO(2)",2,IF(P274="RESTRINGIDO(3)",3,3))))+(IF(Q274="BAJA(1)",1,IF(Q274="MEDIA(2)",2,IF(Q274="ALTA(3)",3,3))))+(IF(R274="BAJA(1)",1,IF(R274="MEDIA(2)",2,IF(R274="ALTA(3)",3,3))))</f>
        <v/>
      </c>
      <c r="T274" s="10">
        <f>+IF(S274&lt;6,"BAJA",IF(S274&lt;8,"MEDIA","ALTA"))</f>
        <v/>
      </c>
      <c r="U274" s="10" t="inlineStr">
        <is>
          <t>-</t>
        </is>
      </c>
      <c r="V274" s="24" t="inlineStr">
        <is>
          <t>8/02/225</t>
        </is>
      </c>
      <c r="W274" s="19" t="inlineStr">
        <is>
          <t>N/A</t>
        </is>
      </c>
      <c r="X274" s="10">
        <f>+IFERROR(IF(VLOOKUP(Tabla2[[#This Row],[ID]],'EVALUACION DE RIESGO'!A:A,1,FALSE)=Tabla2[[#This Row],[ID]],"SI","NO"),"NO")</f>
        <v/>
      </c>
      <c r="AD274">
        <f>IF(AND(Y274="",AA274=""),"",IF(OR(LEFT(AA274,2)="L0",LEFT(AA274,2)="L1",Y274="No Iniciado"),"CRÍTICO - Incumplimiento Normativo SEPS",IF(AND(OR(LEFT(AA274,2)="L4",LEFT(AA274,2)="L5"),AND(AC274&lt;&gt;"",AC274&lt;&gt;"N/A")),"CONFORME - Control Efectivo ISO 27001","OBSERVACIÓN - Revisar Controles")))</f>
        <v/>
      </c>
    </row>
    <row r="275">
      <c r="A275" s="99" t="inlineStr">
        <is>
          <t>34-GCO</t>
        </is>
      </c>
      <c r="B275" s="10" t="inlineStr">
        <is>
          <t>PRODUCTIVO</t>
        </is>
      </c>
      <c r="C275" s="10" t="inlineStr">
        <is>
          <t>Gestión de Colocaciones</t>
        </is>
      </c>
      <c r="D275" s="10" t="inlineStr">
        <is>
          <t>GCO</t>
        </is>
      </c>
      <c r="E275" s="10" t="inlineStr">
        <is>
          <t>Gestión de Compra y Venta de Cartera</t>
        </is>
      </c>
      <c r="F275" s="10" t="inlineStr">
        <is>
          <t>-</t>
        </is>
      </c>
      <c r="G275" s="10" t="inlineStr">
        <is>
          <t xml:space="preserve">Compra de cartera a Empresas Originadoras / Instituciones Financieras </t>
        </is>
      </c>
      <c r="H275" s="10" t="inlineStr">
        <is>
          <t>Informe de análisis de costo beneficio de la inversión</t>
        </is>
      </c>
      <c r="I275" s="10" t="inlineStr">
        <is>
          <t>Informe de análisis de liquidez y análisis de costo beneficio respectivamente para proponer la compra de cartera</t>
        </is>
      </c>
      <c r="J275" s="10" t="inlineStr">
        <is>
          <t>Gerente de Negocios</t>
        </is>
      </c>
      <c r="K275" s="10" t="inlineStr">
        <is>
          <t>Gerente de Negocios</t>
        </is>
      </c>
      <c r="L275" s="10" t="inlineStr">
        <is>
          <t>DOCUMENTOS FISICOS-ARCHIVOS DE LA OFICINA</t>
        </is>
      </c>
      <c r="M275" s="10" t="inlineStr">
        <is>
          <t>DOCUMENTO DE ARCHIVO-FÍSICO</t>
        </is>
      </c>
      <c r="N275" s="10" t="inlineStr">
        <is>
          <t>PRIMARIOS</t>
        </is>
      </c>
      <c r="O275" s="10" t="inlineStr">
        <is>
          <t>DOCUMENTOS TÉCNICOS</t>
        </is>
      </c>
      <c r="P275" s="10" t="inlineStr">
        <is>
          <t>USO INTERNO(2)</t>
        </is>
      </c>
      <c r="Q275" s="10" t="inlineStr">
        <is>
          <t>MEDIA(2)</t>
        </is>
      </c>
      <c r="R275" s="10" t="inlineStr">
        <is>
          <t>MEDIA(2)</t>
        </is>
      </c>
      <c r="S275" s="10">
        <f>+(IF(P275="PUBLICA(1)",1,IF(P275="USO INTERNO(2)",2,IF(P275="RESTRINGIDO(3)",3,3))))+(IF(Q275="BAJA(1)",1,IF(Q275="MEDIA(2)",2,IF(Q275="ALTA(3)",3,3))))+(IF(R275="BAJA(1)",1,IF(R275="MEDIA(2)",2,IF(R275="ALTA(3)",3,3))))</f>
        <v/>
      </c>
      <c r="T275" s="10">
        <f>+IF(S275&lt;6,"BAJA",IF(S275&lt;8,"MEDIA","ALTA"))</f>
        <v/>
      </c>
      <c r="U275" s="10" t="inlineStr">
        <is>
          <t>-</t>
        </is>
      </c>
      <c r="V275" s="24" t="inlineStr">
        <is>
          <t>8/02/225</t>
        </is>
      </c>
      <c r="W275" s="19" t="inlineStr">
        <is>
          <t>N/A</t>
        </is>
      </c>
      <c r="X275" s="10">
        <f>+IFERROR(IF(VLOOKUP(Tabla2[[#This Row],[ID]],'EVALUACION DE RIESGO'!A:A,1,FALSE)=Tabla2[[#This Row],[ID]],"SI","NO"),"NO")</f>
        <v/>
      </c>
      <c r="AD275">
        <f>IF(AND(Y275="",AA275=""),"",IF(OR(LEFT(AA275,2)="L0",LEFT(AA275,2)="L1",Y275="No Iniciado"),"CRÍTICO - Incumplimiento Normativo SEPS",IF(AND(OR(LEFT(AA275,2)="L4",LEFT(AA275,2)="L5"),AND(AC275&lt;&gt;"",AC275&lt;&gt;"N/A")),"CONFORME - Control Efectivo ISO 27001","OBSERVACIÓN - Revisar Controles")))</f>
        <v/>
      </c>
    </row>
    <row r="276">
      <c r="A276" s="99" t="inlineStr">
        <is>
          <t>35-GCO</t>
        </is>
      </c>
      <c r="B276" s="10" t="inlineStr">
        <is>
          <t>PRODUCTIVO</t>
        </is>
      </c>
      <c r="C276" s="10" t="inlineStr">
        <is>
          <t>Gestión de Colocaciones</t>
        </is>
      </c>
      <c r="D276" s="10" t="inlineStr">
        <is>
          <t>GCO</t>
        </is>
      </c>
      <c r="E276" s="10" t="inlineStr">
        <is>
          <t>Gestión de Compra y Venta de Cartera</t>
        </is>
      </c>
      <c r="F276" s="10" t="inlineStr">
        <is>
          <t>-</t>
        </is>
      </c>
      <c r="G276" s="10" t="inlineStr">
        <is>
          <t xml:space="preserve">Compra de cartera a Empresas Originadoras </t>
        </is>
      </c>
      <c r="H276" s="10" t="inlineStr">
        <is>
          <t>Informe de riesgos</t>
        </is>
      </c>
      <c r="I276" s="10" t="inlineStr">
        <is>
          <t>Informe adjunto al informe de compra de cartera con el monto estimado</t>
        </is>
      </c>
      <c r="J276" s="10" t="inlineStr">
        <is>
          <t>Gerente de Negocios</t>
        </is>
      </c>
      <c r="K276" s="10" t="inlineStr">
        <is>
          <t>Gerente de Negocios</t>
        </is>
      </c>
      <c r="L276" s="10" t="inlineStr">
        <is>
          <t>DOCUMENTOS FISICOS-ARCHIVOS DE LA OFICINA</t>
        </is>
      </c>
      <c r="M276" s="10" t="inlineStr">
        <is>
          <t>DOCUMENTO DE ARCHIVO-FÍSICO</t>
        </is>
      </c>
      <c r="N276" s="10" t="inlineStr">
        <is>
          <t>PRIMARIOS</t>
        </is>
      </c>
      <c r="O276" s="10" t="inlineStr">
        <is>
          <t>DOCUMENTOS TÉCNICOS</t>
        </is>
      </c>
      <c r="P276" s="10" t="inlineStr">
        <is>
          <t>USO INTERNO(2)</t>
        </is>
      </c>
      <c r="Q276" s="10" t="inlineStr">
        <is>
          <t>MEDIA(2)</t>
        </is>
      </c>
      <c r="R276" s="10" t="inlineStr">
        <is>
          <t>MEDIA(2)</t>
        </is>
      </c>
      <c r="S276" s="10">
        <f>+(IF(P276="PUBLICA(1)",1,IF(P276="USO INTERNO(2)",2,IF(P276="RESTRINGIDO(3)",3,3))))+(IF(Q276="BAJA(1)",1,IF(Q276="MEDIA(2)",2,IF(Q276="ALTA(3)",3,3))))+(IF(R276="BAJA(1)",1,IF(R276="MEDIA(2)",2,IF(R276="ALTA(3)",3,3))))</f>
        <v/>
      </c>
      <c r="T276" s="10">
        <f>+IF(S276&lt;6,"BAJA",IF(S276&lt;8,"MEDIA","ALTA"))</f>
        <v/>
      </c>
      <c r="U276" s="10" t="inlineStr">
        <is>
          <t>-</t>
        </is>
      </c>
      <c r="V276" s="24" t="inlineStr">
        <is>
          <t>8/02/225</t>
        </is>
      </c>
      <c r="W276" s="19" t="inlineStr">
        <is>
          <t>N/A</t>
        </is>
      </c>
      <c r="X276" s="10">
        <f>+IFERROR(IF(VLOOKUP(Tabla2[[#This Row],[ID]],'EVALUACION DE RIESGO'!A:A,1,FALSE)=Tabla2[[#This Row],[ID]],"SI","NO"),"NO")</f>
        <v/>
      </c>
      <c r="AD276">
        <f>IF(AND(Y276="",AA276=""),"",IF(OR(LEFT(AA276,2)="L0",LEFT(AA276,2)="L1",Y276="No Iniciado"),"CRÍTICO - Incumplimiento Normativo SEPS",IF(AND(OR(LEFT(AA276,2)="L4",LEFT(AA276,2)="L5"),AND(AC276&lt;&gt;"",AC276&lt;&gt;"N/A")),"CONFORME - Control Efectivo ISO 27001","OBSERVACIÓN - Revisar Controles")))</f>
        <v/>
      </c>
    </row>
    <row r="277">
      <c r="A277" s="99" t="inlineStr">
        <is>
          <t>36-GCO</t>
        </is>
      </c>
      <c r="B277" s="10" t="inlineStr">
        <is>
          <t>PRODUCTIVO</t>
        </is>
      </c>
      <c r="C277" s="10" t="inlineStr">
        <is>
          <t>Gestión de Colocaciones</t>
        </is>
      </c>
      <c r="D277" s="10" t="inlineStr">
        <is>
          <t>GCO</t>
        </is>
      </c>
      <c r="E277" s="10" t="inlineStr">
        <is>
          <t>Gestión de Compra y Venta de Cartera</t>
        </is>
      </c>
      <c r="F277" s="10" t="inlineStr">
        <is>
          <t>-</t>
        </is>
      </c>
      <c r="G277" s="10" t="inlineStr">
        <is>
          <t xml:space="preserve">Compra de cartera a Empresas Originadoras </t>
        </is>
      </c>
      <c r="H277" s="10" t="inlineStr">
        <is>
          <t>Informes de las áreas</t>
        </is>
      </c>
      <c r="I277" s="10" t="inlineStr">
        <is>
          <t>Informes de sustento de la compra de cartera Informe de Negocios, Informe de Riesgos, Informe de Cumplimiento, Informe Jurídico</t>
        </is>
      </c>
      <c r="J277" s="10" t="inlineStr">
        <is>
          <t>Gerente de Negocios</t>
        </is>
      </c>
      <c r="K277" s="10" t="inlineStr">
        <is>
          <t>Gerente de Negocios</t>
        </is>
      </c>
      <c r="L277" s="10" t="inlineStr">
        <is>
          <t>DOCUMENTOS FISICOS-ARCHIVOS DE LA OFICINA</t>
        </is>
      </c>
      <c r="M277" s="10" t="inlineStr">
        <is>
          <t>DOCUMENTO DE ARCHIVO-FÍSICO</t>
        </is>
      </c>
      <c r="N277" s="10" t="inlineStr">
        <is>
          <t>PRIMARIOS</t>
        </is>
      </c>
      <c r="O277" s="10" t="inlineStr">
        <is>
          <t>DOCUMENTOS TÉCNICOS</t>
        </is>
      </c>
      <c r="P277" s="10" t="inlineStr">
        <is>
          <t>USO INTERNO(2)</t>
        </is>
      </c>
      <c r="Q277" s="10" t="inlineStr">
        <is>
          <t>MEDIA(2)</t>
        </is>
      </c>
      <c r="R277" s="10" t="inlineStr">
        <is>
          <t>MEDIA(2)</t>
        </is>
      </c>
      <c r="S277" s="10">
        <f>+(IF(P277="PUBLICA(1)",1,IF(P277="USO INTERNO(2)",2,IF(P277="RESTRINGIDO(3)",3,3))))+(IF(Q277="BAJA(1)",1,IF(Q277="MEDIA(2)",2,IF(Q277="ALTA(3)",3,3))))+(IF(R277="BAJA(1)",1,IF(R277="MEDIA(2)",2,IF(R277="ALTA(3)",3,3))))</f>
        <v/>
      </c>
      <c r="T277" s="10">
        <f>+IF(S277&lt;6,"BAJA",IF(S277&lt;8,"MEDIA","ALTA"))</f>
        <v/>
      </c>
      <c r="U277" s="10" t="inlineStr">
        <is>
          <t>-</t>
        </is>
      </c>
      <c r="V277" s="24" t="inlineStr">
        <is>
          <t>8/02/225</t>
        </is>
      </c>
      <c r="W277" s="19" t="inlineStr">
        <is>
          <t>N/A</t>
        </is>
      </c>
      <c r="X277" s="10">
        <f>+IFERROR(IF(VLOOKUP(Tabla2[[#This Row],[ID]],'EVALUACION DE RIESGO'!A:A,1,FALSE)=Tabla2[[#This Row],[ID]],"SI","NO"),"NO")</f>
        <v/>
      </c>
      <c r="AD277">
        <f>IF(AND(Y277="",AA277=""),"",IF(OR(LEFT(AA277,2)="L0",LEFT(AA277,2)="L1",Y277="No Iniciado"),"CRÍTICO - Incumplimiento Normativo SEPS",IF(AND(OR(LEFT(AA277,2)="L4",LEFT(AA277,2)="L5"),AND(AC277&lt;&gt;"",AC277&lt;&gt;"N/A")),"CONFORME - Control Efectivo ISO 27001","OBSERVACIÓN - Revisar Controles")))</f>
        <v/>
      </c>
    </row>
    <row r="278">
      <c r="A278" s="99" t="inlineStr">
        <is>
          <t>37-GCO</t>
        </is>
      </c>
      <c r="B278" s="10" t="inlineStr">
        <is>
          <t>PRODUCTIVO</t>
        </is>
      </c>
      <c r="C278" s="10" t="inlineStr">
        <is>
          <t>Gestión de Colocaciones</t>
        </is>
      </c>
      <c r="D278" s="10" t="inlineStr">
        <is>
          <t>GCO</t>
        </is>
      </c>
      <c r="E278" s="10" t="inlineStr">
        <is>
          <t>Gestión de Compra y Venta de Cartera</t>
        </is>
      </c>
      <c r="F278" s="10" t="inlineStr">
        <is>
          <t>-</t>
        </is>
      </c>
      <c r="G278" s="10" t="inlineStr">
        <is>
          <t xml:space="preserve">Compra de cartera a Empresas Originadoras </t>
        </is>
      </c>
      <c r="H278" s="10" t="inlineStr">
        <is>
          <t>Informe de compra de cartera</t>
        </is>
      </c>
      <c r="I278" s="10" t="inlineStr">
        <is>
          <t>Informe consolidado de compra de cartera a instituciones financieras remitido al CAD</t>
        </is>
      </c>
      <c r="J278" s="10" t="inlineStr">
        <is>
          <t>Gerente de Negocios</t>
        </is>
      </c>
      <c r="K278" s="10" t="inlineStr">
        <is>
          <t>Gerente de Negocios</t>
        </is>
      </c>
      <c r="L278" s="10" t="inlineStr">
        <is>
          <t>DOCUMENTOS FISICOS-ARCHIVOS DE LA OFICINA</t>
        </is>
      </c>
      <c r="M278" s="10" t="inlineStr">
        <is>
          <t>DOCUMENTO DE ARCHIVO-FÍSICO</t>
        </is>
      </c>
      <c r="N278" s="10" t="inlineStr">
        <is>
          <t>PRIMARIOS</t>
        </is>
      </c>
      <c r="O278" s="10" t="inlineStr">
        <is>
          <t>DOCUMENTOS TÉCNICOS</t>
        </is>
      </c>
      <c r="P278" s="10" t="inlineStr">
        <is>
          <t>USO INTERNO(2)</t>
        </is>
      </c>
      <c r="Q278" s="10" t="inlineStr">
        <is>
          <t>MEDIA(2)</t>
        </is>
      </c>
      <c r="R278" s="10" t="inlineStr">
        <is>
          <t>MEDIA(2)</t>
        </is>
      </c>
      <c r="S278" s="10">
        <f>+(IF(P278="PUBLICA(1)",1,IF(P278="USO INTERNO(2)",2,IF(P278="RESTRINGIDO(3)",3,3))))+(IF(Q278="BAJA(1)",1,IF(Q278="MEDIA(2)",2,IF(Q278="ALTA(3)",3,3))))+(IF(R278="BAJA(1)",1,IF(R278="MEDIA(2)",2,IF(R278="ALTA(3)",3,3))))</f>
        <v/>
      </c>
      <c r="T278" s="10">
        <f>+IF(S278&lt;6,"BAJA",IF(S278&lt;8,"MEDIA","ALTA"))</f>
        <v/>
      </c>
      <c r="U278" s="10" t="inlineStr">
        <is>
          <t>-</t>
        </is>
      </c>
      <c r="V278" s="24" t="inlineStr">
        <is>
          <t>8/02/225</t>
        </is>
      </c>
      <c r="W278" s="19" t="inlineStr">
        <is>
          <t>N/A</t>
        </is>
      </c>
      <c r="X278" s="10">
        <f>+IFERROR(IF(VLOOKUP(Tabla2[[#This Row],[ID]],'EVALUACION DE RIESGO'!A:A,1,FALSE)=Tabla2[[#This Row],[ID]],"SI","NO"),"NO")</f>
        <v/>
      </c>
      <c r="AD278">
        <f>IF(AND(Y278="",AA278=""),"",IF(OR(LEFT(AA278,2)="L0",LEFT(AA278,2)="L1",Y278="No Iniciado"),"CRÍTICO - Incumplimiento Normativo SEPS",IF(AND(OR(LEFT(AA278,2)="L4",LEFT(AA278,2)="L5"),AND(AC278&lt;&gt;"",AC278&lt;&gt;"N/A")),"CONFORME - Control Efectivo ISO 27001","OBSERVACIÓN - Revisar Controles")))</f>
        <v/>
      </c>
    </row>
    <row r="279">
      <c r="A279" s="99" t="inlineStr">
        <is>
          <t>38-GCO</t>
        </is>
      </c>
      <c r="B279" s="10" t="inlineStr">
        <is>
          <t>PRODUCTIVO</t>
        </is>
      </c>
      <c r="C279" s="10" t="inlineStr">
        <is>
          <t>Gestión de Colocaciones</t>
        </is>
      </c>
      <c r="D279" s="10" t="inlineStr">
        <is>
          <t>GCO</t>
        </is>
      </c>
      <c r="E279" s="10" t="inlineStr">
        <is>
          <t>Gestión de Compra y Venta de Cartera</t>
        </is>
      </c>
      <c r="F279" s="10" t="inlineStr">
        <is>
          <t>-</t>
        </is>
      </c>
      <c r="G279" s="10" t="inlineStr">
        <is>
          <t xml:space="preserve">Compra de cartera a Empresas Originadoras </t>
        </is>
      </c>
      <c r="H279" s="10" t="inlineStr">
        <is>
          <t>Resolución de consejo de administración</t>
        </is>
      </c>
      <c r="I279" s="10" t="inlineStr">
        <is>
          <t>Resolución de compra de cartera y el pago de la misma</t>
        </is>
      </c>
      <c r="J279" s="10" t="inlineStr">
        <is>
          <t>Gerente de Negocios</t>
        </is>
      </c>
      <c r="K279" s="10" t="inlineStr">
        <is>
          <t>Gerente de Negocios</t>
        </is>
      </c>
      <c r="L279" s="10" t="inlineStr">
        <is>
          <t>DOCUMENTOS FISICOS-ARCHIVOS DE LA OFICINA</t>
        </is>
      </c>
      <c r="M279" s="10" t="inlineStr">
        <is>
          <t>DOCUMENTO DE ARCHIVO-FÍSICO</t>
        </is>
      </c>
      <c r="N279" s="10" t="inlineStr">
        <is>
          <t>PRIMARIOS</t>
        </is>
      </c>
      <c r="O279" s="10" t="inlineStr">
        <is>
          <t>COMUNICACIÓN INTERNA</t>
        </is>
      </c>
      <c r="P279" s="10" t="inlineStr">
        <is>
          <t>USO INTERNO(2)</t>
        </is>
      </c>
      <c r="Q279" s="10" t="inlineStr">
        <is>
          <t>MEDIA(2)</t>
        </is>
      </c>
      <c r="R279" s="10" t="inlineStr">
        <is>
          <t>MEDIA(2)</t>
        </is>
      </c>
      <c r="S279" s="10">
        <f>+(IF(P279="PUBLICA(1)",1,IF(P279="USO INTERNO(2)",2,IF(P279="RESTRINGIDO(3)",3,3))))+(IF(Q279="BAJA(1)",1,IF(Q279="MEDIA(2)",2,IF(Q279="ALTA(3)",3,3))))+(IF(R279="BAJA(1)",1,IF(R279="MEDIA(2)",2,IF(R279="ALTA(3)",3,3))))</f>
        <v/>
      </c>
      <c r="T279" s="10">
        <f>+IF(S279&lt;6,"BAJA",IF(S279&lt;8,"MEDIA","ALTA"))</f>
        <v/>
      </c>
      <c r="U279" s="10" t="inlineStr">
        <is>
          <t>-</t>
        </is>
      </c>
      <c r="V279" s="24" t="inlineStr">
        <is>
          <t>8/02/225</t>
        </is>
      </c>
      <c r="W279" s="19" t="inlineStr">
        <is>
          <t>N/A</t>
        </is>
      </c>
      <c r="X279" s="10">
        <f>+IFERROR(IF(VLOOKUP(Tabla2[[#This Row],[ID]],'EVALUACION DE RIESGO'!A:A,1,FALSE)=Tabla2[[#This Row],[ID]],"SI","NO"),"NO")</f>
        <v/>
      </c>
      <c r="AD279">
        <f>IF(AND(Y279="",AA279=""),"",IF(OR(LEFT(AA279,2)="L0",LEFT(AA279,2)="L1",Y279="No Iniciado"),"CRÍTICO - Incumplimiento Normativo SEPS",IF(AND(OR(LEFT(AA279,2)="L4",LEFT(AA279,2)="L5"),AND(AC279&lt;&gt;"",AC279&lt;&gt;"N/A")),"CONFORME - Control Efectivo ISO 27001","OBSERVACIÓN - Revisar Controles")))</f>
        <v/>
      </c>
    </row>
    <row r="280" ht="20.45" customHeight="1" s="106">
      <c r="A280" s="99" t="inlineStr">
        <is>
          <t>39-GCO</t>
        </is>
      </c>
      <c r="B280" s="10" t="inlineStr">
        <is>
          <t>PRODUCTIVO</t>
        </is>
      </c>
      <c r="C280" s="10" t="inlineStr">
        <is>
          <t>Gestión de Colocaciones</t>
        </is>
      </c>
      <c r="D280" s="10" t="inlineStr">
        <is>
          <t>GCO</t>
        </is>
      </c>
      <c r="E280" s="10" t="inlineStr">
        <is>
          <t>Gestión de Compra y Venta de Cartera</t>
        </is>
      </c>
      <c r="F280" s="10" t="inlineStr">
        <is>
          <t>-</t>
        </is>
      </c>
      <c r="G280" s="10" t="inlineStr">
        <is>
          <t xml:space="preserve">Compra de cartera a Empresas Originadoras </t>
        </is>
      </c>
      <c r="H280" s="17" t="inlineStr">
        <is>
          <t>Expedientes físicos</t>
        </is>
      </c>
      <c r="I280" s="17" t="inlineStr">
        <is>
          <t xml:space="preserve">Documentación física resultante del proceso de compra de cartera </t>
        </is>
      </c>
      <c r="J280" s="10" t="inlineStr">
        <is>
          <t>Gerente de Negocios</t>
        </is>
      </c>
      <c r="K280" s="10" t="inlineStr">
        <is>
          <t>Gerente de Negocios</t>
        </is>
      </c>
      <c r="L280" s="10" t="inlineStr">
        <is>
          <t>DOCUMENTOS FISICOS-ARCHIVOS DE LA OFICINA</t>
        </is>
      </c>
      <c r="M280" s="10" t="inlineStr">
        <is>
          <t>DOCUMENTO DE ARCHIVO-FÍSICO</t>
        </is>
      </c>
      <c r="N280" s="10" t="inlineStr">
        <is>
          <t>PRIMARIOS</t>
        </is>
      </c>
      <c r="O280" s="10" t="inlineStr">
        <is>
          <t>DOCUMENTOS TÉCNICOS</t>
        </is>
      </c>
      <c r="P280" s="10" t="inlineStr">
        <is>
          <t>RESTRINGIDO(3)</t>
        </is>
      </c>
      <c r="Q280" s="10" t="inlineStr">
        <is>
          <t>MEDIA(2)</t>
        </is>
      </c>
      <c r="R280" s="10" t="inlineStr">
        <is>
          <t>ALTA(3)</t>
        </is>
      </c>
      <c r="S280" s="10">
        <f>+(IF(P280="PUBLICA(1)",1,IF(P280="USO INTERNO(2)",2,IF(P280="RESTRINGIDO(3)",3,3))))+(IF(Q280="BAJA(1)",1,IF(Q280="MEDIA(2)",2,IF(Q280="ALTA(3)",3,3))))+(IF(R280="BAJA(1)",1,IF(R280="MEDIA(2)",2,IF(R280="ALTA(3)",3,3))))</f>
        <v/>
      </c>
      <c r="T280" s="10">
        <f>+IF(S280&lt;6,"BAJA",IF(S280&lt;8,"MEDIA","ALTA"))</f>
        <v/>
      </c>
      <c r="U280" s="10" t="inlineStr">
        <is>
          <t>-</t>
        </is>
      </c>
      <c r="V280" s="24" t="inlineStr">
        <is>
          <t>8/02/225</t>
        </is>
      </c>
      <c r="W280" s="19" t="inlineStr">
        <is>
          <t>N/A</t>
        </is>
      </c>
      <c r="X280" s="10">
        <f>+IFERROR(IF(VLOOKUP(Tabla2[[#This Row],[ID]],'EVALUACION DE RIESGO'!A:A,1,FALSE)=Tabla2[[#This Row],[ID]],"SI","NO"),"NO")</f>
        <v/>
      </c>
      <c r="AD280">
        <f>IF(AND(Y280="",AA280=""),"",IF(OR(LEFT(AA280,2)="L0",LEFT(AA280,2)="L1",Y280="No Iniciado"),"CRÍTICO - Incumplimiento Normativo SEPS",IF(AND(OR(LEFT(AA280,2)="L4",LEFT(AA280,2)="L5"),AND(AC280&lt;&gt;"",AC280&lt;&gt;"N/A")),"CONFORME - Control Efectivo ISO 27001","OBSERVACIÓN - Revisar Controles")))</f>
        <v/>
      </c>
    </row>
    <row r="281" ht="20.45" customHeight="1" s="106">
      <c r="A281" s="99" t="inlineStr">
        <is>
          <t>40-GCO</t>
        </is>
      </c>
      <c r="B281" s="10" t="inlineStr">
        <is>
          <t>PRODUCTIVO</t>
        </is>
      </c>
      <c r="C281" s="10" t="inlineStr">
        <is>
          <t>Gestión de Colocaciones</t>
        </is>
      </c>
      <c r="D281" s="10" t="inlineStr">
        <is>
          <t>GCO</t>
        </is>
      </c>
      <c r="E281" s="10" t="inlineStr">
        <is>
          <t>Gestión de Compra y Venta de Cartera</t>
        </is>
      </c>
      <c r="F281" s="10" t="inlineStr">
        <is>
          <t>-</t>
        </is>
      </c>
      <c r="G281" s="10" t="inlineStr">
        <is>
          <t xml:space="preserve">Compra de cartera a Empresas Originadoras </t>
        </is>
      </c>
      <c r="H281" s="17" t="inlineStr">
        <is>
          <t>Expedientes digitales</t>
        </is>
      </c>
      <c r="I281" s="17" t="inlineStr">
        <is>
          <t xml:space="preserve">Documentación digital resultante del proceso de compra de cartera </t>
        </is>
      </c>
      <c r="J281" s="10" t="inlineStr">
        <is>
          <t>Gerente de Negocios</t>
        </is>
      </c>
      <c r="K281" s="10" t="inlineStr">
        <is>
          <t>Gerente de Negocios</t>
        </is>
      </c>
      <c r="L281" s="10" t="inlineStr">
        <is>
          <t>UBICACIÓN DIGITAL-EQUIPO DEL RESPONSABLE</t>
        </is>
      </c>
      <c r="M281" s="10" t="inlineStr">
        <is>
          <t>DISCOS DUROS, SERVIDORES, DISCOS O MEDIOS PORTÁTILES, CINTAS O MEDIOS DE VIDEO Y AUDIO, ETC.</t>
        </is>
      </c>
      <c r="N281" s="10" t="inlineStr">
        <is>
          <t>PRIMARIOS</t>
        </is>
      </c>
      <c r="O281" s="10" t="inlineStr">
        <is>
          <t>DOCUMENTOS TÉCNICOS</t>
        </is>
      </c>
      <c r="P281" s="10" t="inlineStr">
        <is>
          <t>RESTRINGIDO(3)</t>
        </is>
      </c>
      <c r="Q281" s="10" t="inlineStr">
        <is>
          <t>MEDIA(2)</t>
        </is>
      </c>
      <c r="R281" s="10" t="inlineStr">
        <is>
          <t>ALTA(3)</t>
        </is>
      </c>
      <c r="S281" s="10">
        <f>+(IF(P281="PUBLICA(1)",1,IF(P281="USO INTERNO(2)",2,IF(P281="RESTRINGIDO(3)",3,3))))+(IF(Q281="BAJA(1)",1,IF(Q281="MEDIA(2)",2,IF(Q281="ALTA(3)",3,3))))+(IF(R281="BAJA(1)",1,IF(R281="MEDIA(2)",2,IF(R281="ALTA(3)",3,3))))</f>
        <v/>
      </c>
      <c r="T281" s="10">
        <f>+IF(S281&lt;6,"BAJA",IF(S281&lt;8,"MEDIA","ALTA"))</f>
        <v/>
      </c>
      <c r="U281" s="10" t="inlineStr">
        <is>
          <t>-</t>
        </is>
      </c>
      <c r="V281" s="24" t="inlineStr">
        <is>
          <t>8/02/225</t>
        </is>
      </c>
      <c r="W281" s="19" t="inlineStr">
        <is>
          <t>N/A</t>
        </is>
      </c>
      <c r="X281" s="10">
        <f>+IFERROR(IF(VLOOKUP(Tabla2[[#This Row],[ID]],'EVALUACION DE RIESGO'!A:A,1,FALSE)=Tabla2[[#This Row],[ID]],"SI","NO"),"NO")</f>
        <v/>
      </c>
      <c r="AD281">
        <f>IF(AND(Y281="",AA281=""),"",IF(OR(LEFT(AA281,2)="L0",LEFT(AA281,2)="L1",Y281="No Iniciado"),"CRÍTICO - Incumplimiento Normativo SEPS",IF(AND(OR(LEFT(AA281,2)="L4",LEFT(AA281,2)="L5"),AND(AC281&lt;&gt;"",AC281&lt;&gt;"N/A")),"CONFORME - Control Efectivo ISO 27001","OBSERVACIÓN - Revisar Controles")))</f>
        <v/>
      </c>
    </row>
    <row r="282">
      <c r="A282" s="99" t="inlineStr">
        <is>
          <t>41-GCO</t>
        </is>
      </c>
      <c r="B282" s="10" t="inlineStr">
        <is>
          <t>PRODUCTIVO</t>
        </is>
      </c>
      <c r="C282" s="10" t="inlineStr">
        <is>
          <t>Gestión de Colocaciones</t>
        </is>
      </c>
      <c r="D282" s="10" t="inlineStr">
        <is>
          <t>GCO</t>
        </is>
      </c>
      <c r="E282" s="10" t="inlineStr">
        <is>
          <t>Gestión de Compra y Venta de Cartera</t>
        </is>
      </c>
      <c r="F282" s="10" t="inlineStr">
        <is>
          <t>-</t>
        </is>
      </c>
      <c r="G282" s="10" t="inlineStr">
        <is>
          <t xml:space="preserve">Migración de datos y pago de compra </t>
        </is>
      </c>
      <c r="H282" s="10" t="inlineStr">
        <is>
          <t>Operaciones de crédito</t>
        </is>
      </c>
      <c r="I282" s="10" t="inlineStr">
        <is>
          <t>Archivos de operaciones de crédito adquiridas</t>
        </is>
      </c>
      <c r="J282" s="10" t="inlineStr">
        <is>
          <t>Gerente de Negocios</t>
        </is>
      </c>
      <c r="K282" s="10" t="inlineStr">
        <is>
          <t>Gerente de Negocios</t>
        </is>
      </c>
      <c r="L282" s="10" t="inlineStr">
        <is>
          <t>UBICACIÓN DIGITAL-EQUIPO DEL RESPONSABLE</t>
        </is>
      </c>
      <c r="M282" s="10" t="inlineStr">
        <is>
          <t>DISCOS DUROS, SERVIDORES, DISCOS O MEDIOS PORTÁTILES, CINTAS O MEDIOS DE VIDEO Y AUDIO, ETC.</t>
        </is>
      </c>
      <c r="N282" s="10" t="inlineStr">
        <is>
          <t>PRIMARIOS</t>
        </is>
      </c>
      <c r="O282" s="10" t="inlineStr">
        <is>
          <t>DOCUMENTOS TÉCNICOS</t>
        </is>
      </c>
      <c r="P282" s="10" t="inlineStr">
        <is>
          <t>RESTRINGIDO(3)</t>
        </is>
      </c>
      <c r="Q282" s="10" t="inlineStr">
        <is>
          <t>MEDIA(2)</t>
        </is>
      </c>
      <c r="R282" s="10" t="inlineStr">
        <is>
          <t>MEDIA(2)</t>
        </is>
      </c>
      <c r="S282" s="10">
        <f>+(IF(P282="PUBLICA(1)",1,IF(P282="USO INTERNO(2)",2,IF(P282="RESTRINGIDO(3)",3,3))))+(IF(Q282="BAJA(1)",1,IF(Q282="MEDIA(2)",2,IF(Q282="ALTA(3)",3,3))))+(IF(R282="BAJA(1)",1,IF(R282="MEDIA(2)",2,IF(R282="ALTA(3)",3,3))))</f>
        <v/>
      </c>
      <c r="T282" s="10">
        <f>+IF(S282&lt;6,"BAJA",IF(S282&lt;8,"MEDIA","ALTA"))</f>
        <v/>
      </c>
      <c r="U282" s="10" t="inlineStr">
        <is>
          <t>-</t>
        </is>
      </c>
      <c r="V282" s="24" t="inlineStr">
        <is>
          <t>8/02/225</t>
        </is>
      </c>
      <c r="W282" s="19" t="inlineStr">
        <is>
          <t>N/A</t>
        </is>
      </c>
      <c r="X282" s="10">
        <f>+IFERROR(IF(VLOOKUP(Tabla2[[#This Row],[ID]],'EVALUACION DE RIESGO'!A:A,1,FALSE)=Tabla2[[#This Row],[ID]],"SI","NO"),"NO")</f>
        <v/>
      </c>
      <c r="AD282">
        <f>IF(AND(Y282="",AA282=""),"",IF(OR(LEFT(AA282,2)="L0",LEFT(AA282,2)="L1",Y282="No Iniciado"),"CRÍTICO - Incumplimiento Normativo SEPS",IF(AND(OR(LEFT(AA282,2)="L4",LEFT(AA282,2)="L5"),AND(AC282&lt;&gt;"",AC282&lt;&gt;"N/A")),"CONFORME - Control Efectivo ISO 27001","OBSERVACIÓN - Revisar Controles")))</f>
        <v/>
      </c>
    </row>
    <row r="283" ht="12" customHeight="1" s="106">
      <c r="A283" s="99" t="inlineStr">
        <is>
          <t>42-GCO</t>
        </is>
      </c>
      <c r="B283" s="10" t="inlineStr">
        <is>
          <t>PRODUCTIVO</t>
        </is>
      </c>
      <c r="C283" s="10" t="inlineStr">
        <is>
          <t>Gestión de Colocaciones</t>
        </is>
      </c>
      <c r="D283" s="10" t="inlineStr">
        <is>
          <t>GCO</t>
        </is>
      </c>
      <c r="E283" s="10" t="inlineStr">
        <is>
          <t>Gestión de Compra y Venta de Cartera</t>
        </is>
      </c>
      <c r="F283" s="10" t="inlineStr">
        <is>
          <t>-</t>
        </is>
      </c>
      <c r="G283" s="10" t="inlineStr">
        <is>
          <t xml:space="preserve">Migración de datos y pago de compra </t>
        </is>
      </c>
      <c r="H283" s="17" t="inlineStr">
        <is>
          <t>Pagarés endosados</t>
        </is>
      </c>
      <c r="I283" s="17" t="inlineStr">
        <is>
          <t>Garantías de pagarés recibidas por el proveedor</t>
        </is>
      </c>
      <c r="J283" s="10" t="inlineStr">
        <is>
          <t>Gerente de Negocios</t>
        </is>
      </c>
      <c r="K283" s="10" t="inlineStr">
        <is>
          <t>Tesorero</t>
        </is>
      </c>
      <c r="L283" s="10" t="inlineStr">
        <is>
          <t>DOCUMENTOS FISICOS-ARCHIVOS DE LA OFICINA</t>
        </is>
      </c>
      <c r="M283" s="10" t="inlineStr">
        <is>
          <t>DOCUMENTO DE ARCHIVO-FÍSICO</t>
        </is>
      </c>
      <c r="N283" s="10" t="inlineStr">
        <is>
          <t>PRIMARIOS</t>
        </is>
      </c>
      <c r="O283" s="10" t="inlineStr">
        <is>
          <t>DOCUMENTOS HABILITANTES</t>
        </is>
      </c>
      <c r="P283" s="10" t="inlineStr">
        <is>
          <t>RESTRINGIDO(3)</t>
        </is>
      </c>
      <c r="Q283" s="10" t="inlineStr">
        <is>
          <t>ALTA(3)</t>
        </is>
      </c>
      <c r="R283" s="10" t="inlineStr">
        <is>
          <t>MEDIA(2)</t>
        </is>
      </c>
      <c r="S283" s="10">
        <f>+(IF(P283="PUBLICA(1)",1,IF(P283="USO INTERNO(2)",2,IF(P283="RESTRINGIDO(3)",3,3))))+(IF(Q283="BAJA(1)",1,IF(Q283="MEDIA(2)",2,IF(Q283="ALTA(3)",3,3))))+(IF(R283="BAJA(1)",1,IF(R283="MEDIA(2)",2,IF(R283="ALTA(3)",3,3))))</f>
        <v/>
      </c>
      <c r="T283" s="10">
        <f>+IF(S283&lt;6,"BAJA",IF(S283&lt;8,"MEDIA","ALTA"))</f>
        <v/>
      </c>
      <c r="U283" s="10" t="inlineStr">
        <is>
          <t>-</t>
        </is>
      </c>
      <c r="V283" s="24" t="inlineStr">
        <is>
          <t>8/02/225</t>
        </is>
      </c>
      <c r="W283" s="19" t="inlineStr">
        <is>
          <t>N/A</t>
        </is>
      </c>
      <c r="X283" s="10">
        <f>+IFERROR(IF(VLOOKUP(Tabla2[[#This Row],[ID]],'EVALUACION DE RIESGO'!A:A,1,FALSE)=Tabla2[[#This Row],[ID]],"SI","NO"),"NO")</f>
        <v/>
      </c>
      <c r="AD283">
        <f>IF(AND(Y283="",AA283=""),"",IF(OR(LEFT(AA283,2)="L0",LEFT(AA283,2)="L1",Y283="No Iniciado"),"CRÍTICO - Incumplimiento Normativo SEPS",IF(AND(OR(LEFT(AA283,2)="L4",LEFT(AA283,2)="L5"),AND(AC283&lt;&gt;"",AC283&lt;&gt;"N/A")),"CONFORME - Control Efectivo ISO 27001","OBSERVACIÓN - Revisar Controles")))</f>
        <v/>
      </c>
    </row>
    <row r="284">
      <c r="A284" s="99" t="inlineStr">
        <is>
          <t>43-GCO</t>
        </is>
      </c>
      <c r="B284" s="10" t="inlineStr">
        <is>
          <t>PRODUCTIVO</t>
        </is>
      </c>
      <c r="C284" s="10" t="inlineStr">
        <is>
          <t>Gestión de Colocaciones</t>
        </is>
      </c>
      <c r="D284" s="10" t="inlineStr">
        <is>
          <t>GCO</t>
        </is>
      </c>
      <c r="E284" s="10" t="inlineStr">
        <is>
          <t>Gestión de Compra y Venta de Cartera</t>
        </is>
      </c>
      <c r="F284" s="10" t="inlineStr">
        <is>
          <t>-</t>
        </is>
      </c>
      <c r="G284" s="10" t="inlineStr">
        <is>
          <t xml:space="preserve">Migración de datos y pago de compra </t>
        </is>
      </c>
      <c r="H284" s="10" t="inlineStr">
        <is>
          <t>Contratos de reserva de dominio</t>
        </is>
      </c>
      <c r="I284" s="10" t="inlineStr">
        <is>
          <t>Contratos de reserva de dominio registrados a favor de la Cooperativa</t>
        </is>
      </c>
      <c r="J284" s="10" t="inlineStr">
        <is>
          <t>Gerente de Negocios</t>
        </is>
      </c>
      <c r="K284" s="10" t="inlineStr">
        <is>
          <t>Tesorero</t>
        </is>
      </c>
      <c r="L284" s="10" t="inlineStr">
        <is>
          <t>DOCUMENTOS FISICOS-ARCHIVOS DE LA OFICINA</t>
        </is>
      </c>
      <c r="M284" s="10" t="inlineStr">
        <is>
          <t>DOCUMENTO DE ARCHIVO-FÍSICO</t>
        </is>
      </c>
      <c r="N284" s="10" t="inlineStr">
        <is>
          <t>PRIMARIOS</t>
        </is>
      </c>
      <c r="O284" s="10" t="inlineStr">
        <is>
          <t>DOCUMENTOS HABILITANTES</t>
        </is>
      </c>
      <c r="P284" s="10" t="inlineStr">
        <is>
          <t>USO INTERNO(2)</t>
        </is>
      </c>
      <c r="Q284" s="10" t="inlineStr">
        <is>
          <t>MEDIA(2)</t>
        </is>
      </c>
      <c r="R284" s="10" t="inlineStr">
        <is>
          <t>MEDIA(2)</t>
        </is>
      </c>
      <c r="S284" s="10">
        <f>+(IF(P284="PUBLICA(1)",1,IF(P284="USO INTERNO(2)",2,IF(P284="RESTRINGIDO(3)",3,3))))+(IF(Q284="BAJA(1)",1,IF(Q284="MEDIA(2)",2,IF(Q284="ALTA(3)",3,3))))+(IF(R284="BAJA(1)",1,IF(R284="MEDIA(2)",2,IF(R284="ALTA(3)",3,3))))</f>
        <v/>
      </c>
      <c r="T284" s="10">
        <f>+IF(S284&lt;6,"BAJA",IF(S284&lt;8,"MEDIA","ALTA"))</f>
        <v/>
      </c>
      <c r="U284" s="10" t="inlineStr">
        <is>
          <t>-</t>
        </is>
      </c>
      <c r="V284" s="24" t="inlineStr">
        <is>
          <t>8/02/225</t>
        </is>
      </c>
      <c r="W284" s="19" t="inlineStr">
        <is>
          <t>N/A</t>
        </is>
      </c>
      <c r="X284" s="10">
        <f>+IFERROR(IF(VLOOKUP(Tabla2[[#This Row],[ID]],'EVALUACION DE RIESGO'!A:A,1,FALSE)=Tabla2[[#This Row],[ID]],"SI","NO"),"NO")</f>
        <v/>
      </c>
      <c r="AD284">
        <f>IF(AND(Y284="",AA284=""),"",IF(OR(LEFT(AA284,2)="L0",LEFT(AA284,2)="L1",Y284="No Iniciado"),"CRÍTICO - Incumplimiento Normativo SEPS",IF(AND(OR(LEFT(AA284,2)="L4",LEFT(AA284,2)="L5"),AND(AC284&lt;&gt;"",AC284&lt;&gt;"N/A")),"CONFORME - Control Efectivo ISO 27001","OBSERVACIÓN - Revisar Controles")))</f>
        <v/>
      </c>
    </row>
    <row r="285" ht="30.6" customHeight="1" s="106">
      <c r="A285" s="99" t="inlineStr">
        <is>
          <t>44-GCO</t>
        </is>
      </c>
      <c r="B285" s="10" t="inlineStr">
        <is>
          <t>PRODUCTIVO</t>
        </is>
      </c>
      <c r="C285" s="10" t="inlineStr">
        <is>
          <t>Gestión de Colocaciones</t>
        </is>
      </c>
      <c r="D285" s="10" t="inlineStr">
        <is>
          <t>GCO</t>
        </is>
      </c>
      <c r="E285" s="10" t="inlineStr">
        <is>
          <t>Gestión de Compra y Venta de Cartera</t>
        </is>
      </c>
      <c r="F285" s="10" t="inlineStr">
        <is>
          <t>-</t>
        </is>
      </c>
      <c r="G285" s="10" t="inlineStr">
        <is>
          <t xml:space="preserve">Migración de datos y pago de compra </t>
        </is>
      </c>
      <c r="H285" s="17" t="inlineStr">
        <is>
          <t>Pólizas de seguro endosadas</t>
        </is>
      </c>
      <c r="I285" s="17" t="inlineStr">
        <is>
          <t>Documentos de pólizas enviadas a Tesorería,   así como los pagares endosados hipotecas y pólizas de seguro para el archivo bajo custodio</t>
        </is>
      </c>
      <c r="J285" s="10" t="inlineStr">
        <is>
          <t>Gerente de Negocios</t>
        </is>
      </c>
      <c r="K285" s="10" t="inlineStr">
        <is>
          <t>Tesorero</t>
        </is>
      </c>
      <c r="L285" s="10" t="inlineStr">
        <is>
          <t>DOCUMENTOS FISICOS-ARCHIVOS DE LA OFICINA</t>
        </is>
      </c>
      <c r="M285" s="10" t="inlineStr">
        <is>
          <t>DOCUMENTO DE ARCHIVO-FÍSICO</t>
        </is>
      </c>
      <c r="N285" s="10" t="inlineStr">
        <is>
          <t>PRIMARIOS</t>
        </is>
      </c>
      <c r="O285" s="10" t="inlineStr">
        <is>
          <t>DOCUMENTOS HABILITANTES</t>
        </is>
      </c>
      <c r="P285" s="10" t="inlineStr">
        <is>
          <t>RESTRINGIDO(3)</t>
        </is>
      </c>
      <c r="Q285" s="10" t="inlineStr">
        <is>
          <t>ALTA(3)</t>
        </is>
      </c>
      <c r="R285" s="10" t="inlineStr">
        <is>
          <t>MEDIA(2)</t>
        </is>
      </c>
      <c r="S285" s="10">
        <f>+(IF(P285="PUBLICA(1)",1,IF(P285="USO INTERNO(2)",2,IF(P285="RESTRINGIDO(3)",3,3))))+(IF(Q285="BAJA(1)",1,IF(Q285="MEDIA(2)",2,IF(Q285="ALTA(3)",3,3))))+(IF(R285="BAJA(1)",1,IF(R285="MEDIA(2)",2,IF(R285="ALTA(3)",3,3))))</f>
        <v/>
      </c>
      <c r="T285" s="10">
        <f>+IF(S285&lt;6,"BAJA",IF(S285&lt;8,"MEDIA","ALTA"))</f>
        <v/>
      </c>
      <c r="U285" s="10" t="inlineStr">
        <is>
          <t>-</t>
        </is>
      </c>
      <c r="V285" s="24" t="inlineStr">
        <is>
          <t>8/02/225</t>
        </is>
      </c>
      <c r="W285" s="19" t="inlineStr">
        <is>
          <t>N/A</t>
        </is>
      </c>
      <c r="X285" s="10">
        <f>+IFERROR(IF(VLOOKUP(Tabla2[[#This Row],[ID]],'EVALUACION DE RIESGO'!A:A,1,FALSE)=Tabla2[[#This Row],[ID]],"SI","NO"),"NO")</f>
        <v/>
      </c>
      <c r="AD285">
        <f>IF(AND(Y285="",AA285=""),"",IF(OR(LEFT(AA285,2)="L0",LEFT(AA285,2)="L1",Y285="No Iniciado"),"CRÍTICO - Incumplimiento Normativo SEPS",IF(AND(OR(LEFT(AA285,2)="L4",LEFT(AA285,2)="L5"),AND(AC285&lt;&gt;"",AC285&lt;&gt;"N/A")),"CONFORME - Control Efectivo ISO 27001","OBSERVACIÓN - Revisar Controles")))</f>
        <v/>
      </c>
    </row>
    <row r="286" ht="12" customHeight="1" s="106">
      <c r="A286" s="99" t="inlineStr">
        <is>
          <t>45-GCO</t>
        </is>
      </c>
      <c r="B286" s="10" t="inlineStr">
        <is>
          <t>PRODUCTIVO</t>
        </is>
      </c>
      <c r="C286" s="10" t="inlineStr">
        <is>
          <t>Gestión de Colocaciones</t>
        </is>
      </c>
      <c r="D286" s="10" t="inlineStr">
        <is>
          <t>GCO</t>
        </is>
      </c>
      <c r="E286" s="10" t="inlineStr">
        <is>
          <t>Gestión de Compra y Venta de Cartera</t>
        </is>
      </c>
      <c r="F286" s="10" t="inlineStr">
        <is>
          <t>-</t>
        </is>
      </c>
      <c r="G286" s="10" t="inlineStr">
        <is>
          <t xml:space="preserve">Cancelación de operaciones compradas a Empresas Originadoras </t>
        </is>
      </c>
      <c r="H286" s="17" t="inlineStr">
        <is>
          <t>Pagaré</t>
        </is>
      </c>
      <c r="I286" s="17" t="inlineStr">
        <is>
          <t>Pagaré otorgado por el proveedor</t>
        </is>
      </c>
      <c r="J286" s="10" t="inlineStr">
        <is>
          <t>Gerente de Negocios</t>
        </is>
      </c>
      <c r="K286" s="10" t="inlineStr">
        <is>
          <t>Tesorero</t>
        </is>
      </c>
      <c r="L286" s="10" t="inlineStr">
        <is>
          <t>DOCUMENTOS FISICOS-ARCHIVOS DE LA OFICINA</t>
        </is>
      </c>
      <c r="M286" s="10" t="inlineStr">
        <is>
          <t>DOCUMENTO DE ARCHIVO-FÍSICO</t>
        </is>
      </c>
      <c r="N286" s="10" t="inlineStr">
        <is>
          <t>PRIMARIOS</t>
        </is>
      </c>
      <c r="O286" s="10" t="inlineStr">
        <is>
          <t>DOCUMENTOS HABILITANTES</t>
        </is>
      </c>
      <c r="P286" s="10" t="inlineStr">
        <is>
          <t>RESTRINGIDO(3)</t>
        </is>
      </c>
      <c r="Q286" s="10" t="inlineStr">
        <is>
          <t>ALTA(3)</t>
        </is>
      </c>
      <c r="R286" s="10" t="inlineStr">
        <is>
          <t>MEDIA(2)</t>
        </is>
      </c>
      <c r="S286" s="10">
        <f>+(IF(P286="PUBLICA(1)",1,IF(P286="USO INTERNO(2)",2,IF(P286="RESTRINGIDO(3)",3,3))))+(IF(Q286="BAJA(1)",1,IF(Q286="MEDIA(2)",2,IF(Q286="ALTA(3)",3,3))))+(IF(R286="BAJA(1)",1,IF(R286="MEDIA(2)",2,IF(R286="ALTA(3)",3,3))))</f>
        <v/>
      </c>
      <c r="T286" s="10">
        <f>+IF(S286&lt;6,"BAJA",IF(S286&lt;8,"MEDIA","ALTA"))</f>
        <v/>
      </c>
      <c r="U286" s="10" t="inlineStr">
        <is>
          <t>-</t>
        </is>
      </c>
      <c r="V286" s="24" t="inlineStr">
        <is>
          <t>8/02/225</t>
        </is>
      </c>
      <c r="W286" s="19" t="inlineStr">
        <is>
          <t>N/A</t>
        </is>
      </c>
      <c r="X286" s="10">
        <f>+IFERROR(IF(VLOOKUP(Tabla2[[#This Row],[ID]],'EVALUACION DE RIESGO'!A:A,1,FALSE)=Tabla2[[#This Row],[ID]],"SI","NO"),"NO")</f>
        <v/>
      </c>
      <c r="AD286">
        <f>IF(AND(Y286="",AA286=""),"",IF(OR(LEFT(AA286,2)="L0",LEFT(AA286,2)="L1",Y286="No Iniciado"),"CRÍTICO - Incumplimiento Normativo SEPS",IF(AND(OR(LEFT(AA286,2)="L4",LEFT(AA286,2)="L5"),AND(AC286&lt;&gt;"",AC286&lt;&gt;"N/A")),"CONFORME - Control Efectivo ISO 27001","OBSERVACIÓN - Revisar Controles")))</f>
        <v/>
      </c>
    </row>
    <row r="287" ht="20.45" customHeight="1" s="106">
      <c r="A287" s="99" t="inlineStr">
        <is>
          <t>46-GCO</t>
        </is>
      </c>
      <c r="B287" s="10" t="inlineStr">
        <is>
          <t>PRODUCTIVO</t>
        </is>
      </c>
      <c r="C287" s="10" t="inlineStr">
        <is>
          <t>Gestión de Colocaciones</t>
        </is>
      </c>
      <c r="D287" s="10" t="inlineStr">
        <is>
          <t>GCO</t>
        </is>
      </c>
      <c r="E287" s="10" t="inlineStr">
        <is>
          <t>Gestión de Compra y Venta de Cartera</t>
        </is>
      </c>
      <c r="F287" s="10" t="inlineStr">
        <is>
          <t>-</t>
        </is>
      </c>
      <c r="G287" s="10" t="inlineStr">
        <is>
          <t xml:space="preserve">Cancelación de operaciones compradas a Empresas Originadoras </t>
        </is>
      </c>
      <c r="H287" s="17" t="inlineStr">
        <is>
          <t>Póliza de seguro vehicular</t>
        </is>
      </c>
      <c r="I287" s="17" t="inlineStr">
        <is>
          <t>Póliza de seguro vehicular de las operaciones canceladas</t>
        </is>
      </c>
      <c r="J287" s="10" t="inlineStr">
        <is>
          <t>Gerente de Negocios</t>
        </is>
      </c>
      <c r="K287" s="10" t="inlineStr">
        <is>
          <t>Tesorero</t>
        </is>
      </c>
      <c r="L287" s="10" t="inlineStr">
        <is>
          <t>DOCUMENTOS FISICOS-ARCHIVOS DE LA OFICINA</t>
        </is>
      </c>
      <c r="M287" s="10" t="inlineStr">
        <is>
          <t>DOCUMENTO DE ARCHIVO-FÍSICO</t>
        </is>
      </c>
      <c r="N287" s="10" t="inlineStr">
        <is>
          <t>PRIMARIOS</t>
        </is>
      </c>
      <c r="O287" s="10" t="inlineStr">
        <is>
          <t>DOCUMENTOS HABILITANTES</t>
        </is>
      </c>
      <c r="P287" s="10" t="inlineStr">
        <is>
          <t>RESTRINGIDO(3)</t>
        </is>
      </c>
      <c r="Q287" s="10" t="inlineStr">
        <is>
          <t>ALTA(3)</t>
        </is>
      </c>
      <c r="R287" s="10" t="inlineStr">
        <is>
          <t>MEDIA(2)</t>
        </is>
      </c>
      <c r="S287" s="10">
        <f>+(IF(P287="PUBLICA(1)",1,IF(P287="USO INTERNO(2)",2,IF(P287="RESTRINGIDO(3)",3,3))))+(IF(Q287="BAJA(1)",1,IF(Q287="MEDIA(2)",2,IF(Q287="ALTA(3)",3,3))))+(IF(R287="BAJA(1)",1,IF(R287="MEDIA(2)",2,IF(R287="ALTA(3)",3,3))))</f>
        <v/>
      </c>
      <c r="T287" s="10">
        <f>+IF(S287&lt;6,"BAJA",IF(S287&lt;8,"MEDIA","ALTA"))</f>
        <v/>
      </c>
      <c r="U287" s="10" t="inlineStr">
        <is>
          <t>-</t>
        </is>
      </c>
      <c r="V287" s="24" t="inlineStr">
        <is>
          <t>8/02/225</t>
        </is>
      </c>
      <c r="W287" s="19" t="inlineStr">
        <is>
          <t>N/A</t>
        </is>
      </c>
      <c r="X287" s="10">
        <f>+IFERROR(IF(VLOOKUP(Tabla2[[#This Row],[ID]],'EVALUACION DE RIESGO'!A:A,1,FALSE)=Tabla2[[#This Row],[ID]],"SI","NO"),"NO")</f>
        <v/>
      </c>
      <c r="AD287">
        <f>IF(AND(Y287="",AA287=""),"",IF(OR(LEFT(AA287,2)="L0",LEFT(AA287,2)="L1",Y287="No Iniciado"),"CRÍTICO - Incumplimiento Normativo SEPS",IF(AND(OR(LEFT(AA287,2)="L4",LEFT(AA287,2)="L5"),AND(AC287&lt;&gt;"",AC287&lt;&gt;"N/A")),"CONFORME - Control Efectivo ISO 27001","OBSERVACIÓN - Revisar Controles")))</f>
        <v/>
      </c>
    </row>
    <row r="288">
      <c r="A288" s="99" t="inlineStr">
        <is>
          <t>47-GCO</t>
        </is>
      </c>
      <c r="B288" s="10" t="inlineStr">
        <is>
          <t>PRODUCTIVO</t>
        </is>
      </c>
      <c r="C288" s="10" t="inlineStr">
        <is>
          <t>Gestión de Colocaciones</t>
        </is>
      </c>
      <c r="D288" s="10" t="inlineStr">
        <is>
          <t>GCO</t>
        </is>
      </c>
      <c r="E288" s="10" t="inlineStr">
        <is>
          <t>Gestión de Compra y Venta de Cartera</t>
        </is>
      </c>
      <c r="F288" s="10" t="inlineStr">
        <is>
          <t>-</t>
        </is>
      </c>
      <c r="G288" s="10" t="inlineStr">
        <is>
          <t xml:space="preserve">Cancelación de operaciones compradas a Empresas Originadoras </t>
        </is>
      </c>
      <c r="H288" s="10" t="inlineStr">
        <is>
          <t>Cesión de Derechos de los contratos de reserva de dominio</t>
        </is>
      </c>
      <c r="I288" s="10" t="inlineStr">
        <is>
          <t>Reservas de dominios de las operaciones canceladas</t>
        </is>
      </c>
      <c r="J288" s="10" t="inlineStr">
        <is>
          <t>Gerente de Negocios</t>
        </is>
      </c>
      <c r="K288" s="10" t="inlineStr">
        <is>
          <t>Tesorero</t>
        </is>
      </c>
      <c r="L288" s="10" t="inlineStr">
        <is>
          <t>DOCUMENTOS FISICOS-ARCHIVOS DE LA OFICINA</t>
        </is>
      </c>
      <c r="M288" s="10" t="inlineStr">
        <is>
          <t>DOCUMENTO DE ARCHIVO-FÍSICO</t>
        </is>
      </c>
      <c r="N288" s="10" t="inlineStr">
        <is>
          <t>PRIMARIOS</t>
        </is>
      </c>
      <c r="O288" s="10" t="inlineStr">
        <is>
          <t>DOCUMENTOS HABILITANTES</t>
        </is>
      </c>
      <c r="P288" s="10" t="inlineStr">
        <is>
          <t>USO INTERNO(2)</t>
        </is>
      </c>
      <c r="Q288" s="10" t="inlineStr">
        <is>
          <t>MEDIA(2)</t>
        </is>
      </c>
      <c r="R288" s="10" t="inlineStr">
        <is>
          <t>MEDIA(2)</t>
        </is>
      </c>
      <c r="S288" s="10">
        <f>+(IF(P288="PUBLICA(1)",1,IF(P288="USO INTERNO(2)",2,IF(P288="RESTRINGIDO(3)",3,3))))+(IF(Q288="BAJA(1)",1,IF(Q288="MEDIA(2)",2,IF(Q288="ALTA(3)",3,3))))+(IF(R288="BAJA(1)",1,IF(R288="MEDIA(2)",2,IF(R288="ALTA(3)",3,3))))</f>
        <v/>
      </c>
      <c r="T288" s="10">
        <f>+IF(S288&lt;6,"BAJA",IF(S288&lt;8,"MEDIA","ALTA"))</f>
        <v/>
      </c>
      <c r="U288" s="10" t="inlineStr">
        <is>
          <t>-</t>
        </is>
      </c>
      <c r="V288" s="24" t="inlineStr">
        <is>
          <t>8/02/225</t>
        </is>
      </c>
      <c r="W288" s="19" t="inlineStr">
        <is>
          <t>N/A</t>
        </is>
      </c>
      <c r="X288" s="10">
        <f>+IFERROR(IF(VLOOKUP(Tabla2[[#This Row],[ID]],'EVALUACION DE RIESGO'!A:A,1,FALSE)=Tabla2[[#This Row],[ID]],"SI","NO"),"NO")</f>
        <v/>
      </c>
      <c r="AD288">
        <f>IF(AND(Y288="",AA288=""),"",IF(OR(LEFT(AA288,2)="L0",LEFT(AA288,2)="L1",Y288="No Iniciado"),"CRÍTICO - Incumplimiento Normativo SEPS",IF(AND(OR(LEFT(AA288,2)="L4",LEFT(AA288,2)="L5"),AND(AC288&lt;&gt;"",AC288&lt;&gt;"N/A")),"CONFORME - Control Efectivo ISO 27001","OBSERVACIÓN - Revisar Controles")))</f>
        <v/>
      </c>
    </row>
    <row r="289">
      <c r="A289" s="99" t="inlineStr">
        <is>
          <t>48-GCO</t>
        </is>
      </c>
      <c r="B289" s="10" t="inlineStr">
        <is>
          <t>PRODUCTIVO</t>
        </is>
      </c>
      <c r="C289" s="10" t="inlineStr">
        <is>
          <t>Gestión de Colocaciones</t>
        </is>
      </c>
      <c r="D289" s="10" t="inlineStr">
        <is>
          <t>GCO</t>
        </is>
      </c>
      <c r="E289" s="10" t="inlineStr">
        <is>
          <t>Gestión de Compra y Venta de Cartera</t>
        </is>
      </c>
      <c r="F289" s="10" t="inlineStr">
        <is>
          <t>-</t>
        </is>
      </c>
      <c r="G289" s="10" t="inlineStr">
        <is>
          <t xml:space="preserve">Venta de cartera </t>
        </is>
      </c>
      <c r="H289" s="10" t="inlineStr">
        <is>
          <t>Reporte de cartera disponible para la venta</t>
        </is>
      </c>
      <c r="I289" s="10" t="inlineStr">
        <is>
          <t>Reporte de cartera legal y castigada disponible para la venta</t>
        </is>
      </c>
      <c r="J289" s="10" t="inlineStr">
        <is>
          <t>Gerente de Negocios</t>
        </is>
      </c>
      <c r="K289" s="10" t="inlineStr">
        <is>
          <t>Gerente de Negocios</t>
        </is>
      </c>
      <c r="L289" s="10" t="inlineStr">
        <is>
          <t>UBICACIÓN DIGITAL-EQUIPO DEL RESPONSABLE</t>
        </is>
      </c>
      <c r="M289" s="10" t="inlineStr">
        <is>
          <t>DISCOS DUROS, SERVIDORES, DISCOS O MEDIOS PORTÁTILES, CINTAS O MEDIOS DE VIDEO Y AUDIO, ETC.</t>
        </is>
      </c>
      <c r="N289" s="10" t="inlineStr">
        <is>
          <t>PRIMARIOS</t>
        </is>
      </c>
      <c r="O289" s="10" t="inlineStr">
        <is>
          <t>DOCUMENTOS TÉCNICOS</t>
        </is>
      </c>
      <c r="P289" s="10" t="inlineStr">
        <is>
          <t>RESTRINGIDO(3)</t>
        </is>
      </c>
      <c r="Q289" s="10" t="inlineStr">
        <is>
          <t>MEDIA(2)</t>
        </is>
      </c>
      <c r="R289" s="10" t="inlineStr">
        <is>
          <t>MEDIA(2)</t>
        </is>
      </c>
      <c r="S289" s="10">
        <f>+(IF(P289="PUBLICA(1)",1,IF(P289="USO INTERNO(2)",2,IF(P289="RESTRINGIDO(3)",3,3))))+(IF(Q289="BAJA(1)",1,IF(Q289="MEDIA(2)",2,IF(Q289="ALTA(3)",3,3))))+(IF(R289="BAJA(1)",1,IF(R289="MEDIA(2)",2,IF(R289="ALTA(3)",3,3))))</f>
        <v/>
      </c>
      <c r="T289" s="10">
        <f>+IF(S289&lt;6,"BAJA",IF(S289&lt;8,"MEDIA","ALTA"))</f>
        <v/>
      </c>
      <c r="U289" s="10" t="inlineStr">
        <is>
          <t>-</t>
        </is>
      </c>
      <c r="V289" s="24" t="inlineStr">
        <is>
          <t>8/02/225</t>
        </is>
      </c>
      <c r="W289" s="19" t="inlineStr">
        <is>
          <t>N/A</t>
        </is>
      </c>
      <c r="X289" s="10">
        <f>+IFERROR(IF(VLOOKUP(Tabla2[[#This Row],[ID]],'EVALUACION DE RIESGO'!A:A,1,FALSE)=Tabla2[[#This Row],[ID]],"SI","NO"),"NO")</f>
        <v/>
      </c>
      <c r="AD289">
        <f>IF(AND(Y289="",AA289=""),"",IF(OR(LEFT(AA289,2)="L0",LEFT(AA289,2)="L1",Y289="No Iniciado"),"CRÍTICO - Incumplimiento Normativo SEPS",IF(AND(OR(LEFT(AA289,2)="L4",LEFT(AA289,2)="L5"),AND(AC289&lt;&gt;"",AC289&lt;&gt;"N/A")),"CONFORME - Control Efectivo ISO 27001","OBSERVACIÓN - Revisar Controles")))</f>
        <v/>
      </c>
    </row>
    <row r="290">
      <c r="A290" s="99" t="inlineStr">
        <is>
          <t>49-GCO</t>
        </is>
      </c>
      <c r="B290" s="10" t="inlineStr">
        <is>
          <t>PRODUCTIVO</t>
        </is>
      </c>
      <c r="C290" s="10" t="inlineStr">
        <is>
          <t>Gestión de Colocaciones</t>
        </is>
      </c>
      <c r="D290" s="10" t="inlineStr">
        <is>
          <t>GCO</t>
        </is>
      </c>
      <c r="E290" s="10" t="inlineStr">
        <is>
          <t>Gestión de Compra y Venta de Cartera</t>
        </is>
      </c>
      <c r="F290" s="10" t="inlineStr">
        <is>
          <t>-</t>
        </is>
      </c>
      <c r="G290" s="10" t="inlineStr">
        <is>
          <t xml:space="preserve">Venta de cartera </t>
        </is>
      </c>
      <c r="H290" s="10" t="inlineStr">
        <is>
          <t>Informe de riesgos, financiero y de negocios para la venta de cartera</t>
        </is>
      </c>
      <c r="I290" s="10" t="inlineStr">
        <is>
          <t>Informes de costo beneficio y de riesgos del reporte disponible para la venta</t>
        </is>
      </c>
      <c r="J290" s="10" t="inlineStr">
        <is>
          <t>Gerente de Negocios</t>
        </is>
      </c>
      <c r="K290" s="10" t="inlineStr">
        <is>
          <t>Gerente de Negocios</t>
        </is>
      </c>
      <c r="L290" s="10" t="inlineStr">
        <is>
          <t>DOCUMENTOS FISICOS-ARCHIVOS DE LA OFICINA</t>
        </is>
      </c>
      <c r="M290" s="10" t="inlineStr">
        <is>
          <t>DOCUMENTO DE ARCHIVO-FÍSICO</t>
        </is>
      </c>
      <c r="N290" s="10" t="inlineStr">
        <is>
          <t>PRIMARIOS</t>
        </is>
      </c>
      <c r="O290" s="10" t="inlineStr">
        <is>
          <t>DOCUMENTOS TÉCNICOS</t>
        </is>
      </c>
      <c r="P290" s="10" t="inlineStr">
        <is>
          <t>USO INTERNO(2)</t>
        </is>
      </c>
      <c r="Q290" s="10" t="inlineStr">
        <is>
          <t>MEDIA(2)</t>
        </is>
      </c>
      <c r="R290" s="10" t="inlineStr">
        <is>
          <t>MEDIA(2)</t>
        </is>
      </c>
      <c r="S290" s="10">
        <f>+(IF(P290="PUBLICA(1)",1,IF(P290="USO INTERNO(2)",2,IF(P290="RESTRINGIDO(3)",3,3))))+(IF(Q290="BAJA(1)",1,IF(Q290="MEDIA(2)",2,IF(Q290="ALTA(3)",3,3))))+(IF(R290="BAJA(1)",1,IF(R290="MEDIA(2)",2,IF(R290="ALTA(3)",3,3))))</f>
        <v/>
      </c>
      <c r="T290" s="10">
        <f>+IF(S290&lt;6,"BAJA",IF(S290&lt;8,"MEDIA","ALTA"))</f>
        <v/>
      </c>
      <c r="U290" s="10" t="inlineStr">
        <is>
          <t>-</t>
        </is>
      </c>
      <c r="V290" s="24" t="inlineStr">
        <is>
          <t>8/02/225</t>
        </is>
      </c>
      <c r="W290" s="19" t="inlineStr">
        <is>
          <t>N/A</t>
        </is>
      </c>
      <c r="X290" s="10">
        <f>+IFERROR(IF(VLOOKUP(Tabla2[[#This Row],[ID]],'EVALUACION DE RIESGO'!A:A,1,FALSE)=Tabla2[[#This Row],[ID]],"SI","NO"),"NO")</f>
        <v/>
      </c>
      <c r="AD290">
        <f>IF(AND(Y290="",AA290=""),"",IF(OR(LEFT(AA290,2)="L0",LEFT(AA290,2)="L1",Y290="No Iniciado"),"CRÍTICO - Incumplimiento Normativo SEPS",IF(AND(OR(LEFT(AA290,2)="L4",LEFT(AA290,2)="L5"),AND(AC290&lt;&gt;"",AC290&lt;&gt;"N/A")),"CONFORME - Control Efectivo ISO 27001","OBSERVACIÓN - Revisar Controles")))</f>
        <v/>
      </c>
    </row>
    <row r="291">
      <c r="A291" s="99" t="inlineStr">
        <is>
          <t>50-GCO</t>
        </is>
      </c>
      <c r="B291" s="10" t="inlineStr">
        <is>
          <t>PRODUCTIVO</t>
        </is>
      </c>
      <c r="C291" s="10" t="inlineStr">
        <is>
          <t>Gestión de Colocaciones</t>
        </is>
      </c>
      <c r="D291" s="10" t="inlineStr">
        <is>
          <t>GCO</t>
        </is>
      </c>
      <c r="E291" s="10" t="inlineStr">
        <is>
          <t>Gestión de Compra y Venta de Cartera</t>
        </is>
      </c>
      <c r="F291" s="10" t="inlineStr">
        <is>
          <t>-</t>
        </is>
      </c>
      <c r="G291" s="10" t="inlineStr">
        <is>
          <t xml:space="preserve">Venta de cartera </t>
        </is>
      </c>
      <c r="H291" s="10" t="inlineStr">
        <is>
          <t>Certificación del consejo de Administración para la venta de cartera</t>
        </is>
      </c>
      <c r="I291" s="10" t="inlineStr">
        <is>
          <t>Validación del informe final para la venta de cartera para su aprobación</t>
        </is>
      </c>
      <c r="J291" s="10" t="inlineStr">
        <is>
          <t>Gerente de Negocios</t>
        </is>
      </c>
      <c r="K291" s="10" t="inlineStr">
        <is>
          <t>Gerente de Negocios</t>
        </is>
      </c>
      <c r="L291" s="10" t="inlineStr">
        <is>
          <t>UBICACIÓN DIGITAL-EQUIPO DEL RESPONSABLE</t>
        </is>
      </c>
      <c r="M291" s="10" t="inlineStr">
        <is>
          <t>DISCOS DUROS, SERVIDORES, DISCOS O MEDIOS PORTÁTILES, CINTAS O MEDIOS DE VIDEO Y AUDIO, ETC.</t>
        </is>
      </c>
      <c r="N291" s="10" t="inlineStr">
        <is>
          <t>PRIMARIOS</t>
        </is>
      </c>
      <c r="O291" s="10" t="inlineStr">
        <is>
          <t>COMUNICACIÓN INTERNA</t>
        </is>
      </c>
      <c r="P291" s="10" t="inlineStr">
        <is>
          <t>USO INTERNO(2)</t>
        </is>
      </c>
      <c r="Q291" s="10" t="inlineStr">
        <is>
          <t>MEDIA(2)</t>
        </is>
      </c>
      <c r="R291" s="10" t="inlineStr">
        <is>
          <t>MEDIA(2)</t>
        </is>
      </c>
      <c r="S291" s="10">
        <f>+(IF(P291="PUBLICA(1)",1,IF(P291="USO INTERNO(2)",2,IF(P291="RESTRINGIDO(3)",3,3))))+(IF(Q291="BAJA(1)",1,IF(Q291="MEDIA(2)",2,IF(Q291="ALTA(3)",3,3))))+(IF(R291="BAJA(1)",1,IF(R291="MEDIA(2)",2,IF(R291="ALTA(3)",3,3))))</f>
        <v/>
      </c>
      <c r="T291" s="10">
        <f>+IF(S291&lt;6,"BAJA",IF(S291&lt;8,"MEDIA","ALTA"))</f>
        <v/>
      </c>
      <c r="U291" s="10" t="inlineStr">
        <is>
          <t>-</t>
        </is>
      </c>
      <c r="V291" s="24" t="inlineStr">
        <is>
          <t>8/02/225</t>
        </is>
      </c>
      <c r="W291" s="19" t="inlineStr">
        <is>
          <t>N/A</t>
        </is>
      </c>
      <c r="X291" s="10">
        <f>+IFERROR(IF(VLOOKUP(Tabla2[[#This Row],[ID]],'EVALUACION DE RIESGO'!A:A,1,FALSE)=Tabla2[[#This Row],[ID]],"SI","NO"),"NO")</f>
        <v/>
      </c>
      <c r="AD291">
        <f>IF(AND(Y291="",AA291=""),"",IF(OR(LEFT(AA291,2)="L0",LEFT(AA291,2)="L1",Y291="No Iniciado"),"CRÍTICO - Incumplimiento Normativo SEPS",IF(AND(OR(LEFT(AA291,2)="L4",LEFT(AA291,2)="L5"),AND(AC291&lt;&gt;"",AC291&lt;&gt;"N/A")),"CONFORME - Control Efectivo ISO 27001","OBSERVACIÓN - Revisar Controles")))</f>
        <v/>
      </c>
    </row>
    <row r="292">
      <c r="A292" s="99" t="inlineStr">
        <is>
          <t>51-GCO</t>
        </is>
      </c>
      <c r="B292" s="10" t="inlineStr">
        <is>
          <t>PRODUCTIVO</t>
        </is>
      </c>
      <c r="C292" s="10" t="inlineStr">
        <is>
          <t>Gestión de Colocaciones</t>
        </is>
      </c>
      <c r="D292" s="10" t="inlineStr">
        <is>
          <t>GCO</t>
        </is>
      </c>
      <c r="E292" s="10" t="inlineStr">
        <is>
          <t>Gestión de Compra y Venta de Cartera</t>
        </is>
      </c>
      <c r="F292" s="10" t="inlineStr">
        <is>
          <t>-</t>
        </is>
      </c>
      <c r="G292" s="10" t="inlineStr">
        <is>
          <t xml:space="preserve">Venta de cartera </t>
        </is>
      </c>
      <c r="H292" s="10" t="inlineStr">
        <is>
          <t>Solicitud de Elaboración de Contrato</t>
        </is>
      </c>
      <c r="I292" s="10" t="inlineStr">
        <is>
          <t xml:space="preserve">Solicitud realizada a Jurídico para la elaboración del contrato de venta de cartera </t>
        </is>
      </c>
      <c r="J292" s="10" t="inlineStr">
        <is>
          <t>Gerente de Negocios</t>
        </is>
      </c>
      <c r="K292" s="10" t="inlineStr">
        <is>
          <t>Gerente de Negocios</t>
        </is>
      </c>
      <c r="L292" s="10" t="inlineStr">
        <is>
          <t>UBICACIÓN DIGITAL-EQUIPO DEL RESPONSABLE</t>
        </is>
      </c>
      <c r="M292" s="10" t="inlineStr">
        <is>
          <t>DISCOS DUROS, SERVIDORES, DISCOS O MEDIOS PORTÁTILES, CINTAS O MEDIOS DE VIDEO Y AUDIO, ETC.</t>
        </is>
      </c>
      <c r="N292" s="10" t="inlineStr">
        <is>
          <t>PRIMARIOS</t>
        </is>
      </c>
      <c r="O292" s="10" t="inlineStr">
        <is>
          <t>COMUNICACIÓN INTERNA</t>
        </is>
      </c>
      <c r="P292" s="10" t="inlineStr">
        <is>
          <t>USO INTERNO(2)</t>
        </is>
      </c>
      <c r="Q292" s="10" t="inlineStr">
        <is>
          <t>MEDIA(2)</t>
        </is>
      </c>
      <c r="R292" s="10" t="inlineStr">
        <is>
          <t>BAJA(1)</t>
        </is>
      </c>
      <c r="S292" s="10">
        <f>+(IF(P292="PUBLICA(1)",1,IF(P292="USO INTERNO(2)",2,IF(P292="RESTRINGIDO(3)",3,3))))+(IF(Q292="BAJA(1)",1,IF(Q292="MEDIA(2)",2,IF(Q292="ALTA(3)",3,3))))+(IF(R292="BAJA(1)",1,IF(R292="MEDIA(2)",2,IF(R292="ALTA(3)",3,3))))</f>
        <v/>
      </c>
      <c r="T292" s="10">
        <f>+IF(S292&lt;6,"BAJA",IF(S292&lt;8,"MEDIA","ALTA"))</f>
        <v/>
      </c>
      <c r="U292" s="10" t="inlineStr">
        <is>
          <t>-</t>
        </is>
      </c>
      <c r="V292" s="24" t="inlineStr">
        <is>
          <t>8/02/225</t>
        </is>
      </c>
      <c r="W292" s="19" t="inlineStr">
        <is>
          <t>N/A</t>
        </is>
      </c>
      <c r="X292" s="10">
        <f>+IFERROR(IF(VLOOKUP(Tabla2[[#This Row],[ID]],'EVALUACION DE RIESGO'!A:A,1,FALSE)=Tabla2[[#This Row],[ID]],"SI","NO"),"NO")</f>
        <v/>
      </c>
      <c r="AD292">
        <f>IF(AND(Y292="",AA292=""),"",IF(OR(LEFT(AA292,2)="L0",LEFT(AA292,2)="L1",Y292="No Iniciado"),"CRÍTICO - Incumplimiento Normativo SEPS",IF(AND(OR(LEFT(AA292,2)="L4",LEFT(AA292,2)="L5"),AND(AC292&lt;&gt;"",AC292&lt;&gt;"N/A")),"CONFORME - Control Efectivo ISO 27001","OBSERVACIÓN - Revisar Controles")))</f>
        <v/>
      </c>
    </row>
    <row r="293" ht="20.45" customHeight="1" s="106">
      <c r="A293" s="99" t="inlineStr">
        <is>
          <t>52-GCO</t>
        </is>
      </c>
      <c r="B293" s="10" t="inlineStr">
        <is>
          <t>PRODUCTIVO</t>
        </is>
      </c>
      <c r="C293" s="10" t="inlineStr">
        <is>
          <t>Gestión de Colocaciones</t>
        </is>
      </c>
      <c r="D293" s="10" t="inlineStr">
        <is>
          <t>GCO</t>
        </is>
      </c>
      <c r="E293" s="10" t="inlineStr">
        <is>
          <t>Gestión de Compra y Venta de Cartera</t>
        </is>
      </c>
      <c r="F293" s="10" t="inlineStr">
        <is>
          <t>-</t>
        </is>
      </c>
      <c r="G293" s="10" t="inlineStr">
        <is>
          <t xml:space="preserve">Entrega de datos y cobro de la venta </t>
        </is>
      </c>
      <c r="H293" s="17" t="inlineStr">
        <is>
          <t>Operaciones de crédito vendidas</t>
        </is>
      </c>
      <c r="I293" s="17" t="inlineStr">
        <is>
          <t>Reporte de cartera a venderse de acuerdo con los requerimientos del proveedor</t>
        </is>
      </c>
      <c r="J293" s="10" t="inlineStr">
        <is>
          <t>Gerente de Negocios</t>
        </is>
      </c>
      <c r="K293" s="10" t="inlineStr">
        <is>
          <t>Gerente de Negocios</t>
        </is>
      </c>
      <c r="L293" s="10" t="inlineStr">
        <is>
          <t>UBICACIÓN DIGITAL-EQUIPO DEL RESPONSABLE</t>
        </is>
      </c>
      <c r="M293" s="10" t="inlineStr">
        <is>
          <t>DISCOS DUROS, SERVIDORES, DISCOS O MEDIOS PORTÁTILES, CINTAS O MEDIOS DE VIDEO Y AUDIO, ETC.</t>
        </is>
      </c>
      <c r="N293" s="10" t="inlineStr">
        <is>
          <t>PRIMARIOS</t>
        </is>
      </c>
      <c r="O293" s="10" t="inlineStr">
        <is>
          <t>DOCUMENTOS TÉCNICOS</t>
        </is>
      </c>
      <c r="P293" s="10" t="inlineStr">
        <is>
          <t>RESTRINGIDO(3)</t>
        </is>
      </c>
      <c r="Q293" s="10" t="inlineStr">
        <is>
          <t>ALTA(3)</t>
        </is>
      </c>
      <c r="R293" s="10" t="inlineStr">
        <is>
          <t>MEDIA(2)</t>
        </is>
      </c>
      <c r="S293" s="10">
        <f>+(IF(P293="PUBLICA(1)",1,IF(P293="USO INTERNO(2)",2,IF(P293="RESTRINGIDO(3)",3,3))))+(IF(Q293="BAJA(1)",1,IF(Q293="MEDIA(2)",2,IF(Q293="ALTA(3)",3,3))))+(IF(R293="BAJA(1)",1,IF(R293="MEDIA(2)",2,IF(R293="ALTA(3)",3,3))))</f>
        <v/>
      </c>
      <c r="T293" s="10">
        <f>+IF(S293&lt;6,"BAJA",IF(S293&lt;8,"MEDIA","ALTA"))</f>
        <v/>
      </c>
      <c r="U293" s="10" t="inlineStr">
        <is>
          <t>-</t>
        </is>
      </c>
      <c r="V293" s="24" t="inlineStr">
        <is>
          <t>8/02/225</t>
        </is>
      </c>
      <c r="W293" s="19" t="inlineStr">
        <is>
          <t>N/A</t>
        </is>
      </c>
      <c r="X293" s="10">
        <f>+IFERROR(IF(VLOOKUP(Tabla2[[#This Row],[ID]],'EVALUACION DE RIESGO'!A:A,1,FALSE)=Tabla2[[#This Row],[ID]],"SI","NO"),"NO")</f>
        <v/>
      </c>
      <c r="AD293">
        <f>IF(AND(Y293="",AA293=""),"",IF(OR(LEFT(AA293,2)="L0",LEFT(AA293,2)="L1",Y293="No Iniciado"),"CRÍTICO - Incumplimiento Normativo SEPS",IF(AND(OR(LEFT(AA293,2)="L4",LEFT(AA293,2)="L5"),AND(AC293&lt;&gt;"",AC293&lt;&gt;"N/A")),"CONFORME - Control Efectivo ISO 27001","OBSERVACIÓN - Revisar Controles")))</f>
        <v/>
      </c>
    </row>
    <row r="294">
      <c r="A294" s="99" t="inlineStr">
        <is>
          <t>53-GCO</t>
        </is>
      </c>
      <c r="B294" s="10" t="inlineStr">
        <is>
          <t>PRODUCTIVO</t>
        </is>
      </c>
      <c r="C294" s="10" t="inlineStr">
        <is>
          <t>Gestión de Colocaciones</t>
        </is>
      </c>
      <c r="D294" s="10" t="inlineStr">
        <is>
          <t>GCO</t>
        </is>
      </c>
      <c r="E294" s="10" t="inlineStr">
        <is>
          <t>Gestión de Compra y Venta de Cartera</t>
        </is>
      </c>
      <c r="F294" s="10" t="inlineStr">
        <is>
          <t>-</t>
        </is>
      </c>
      <c r="G294" s="10" t="inlineStr">
        <is>
          <t xml:space="preserve">Entrega de datos y cobro de la venta </t>
        </is>
      </c>
      <c r="H294" s="10" t="inlineStr">
        <is>
          <t>Pagarés endosados para la venta</t>
        </is>
      </c>
      <c r="I294" s="10" t="inlineStr">
        <is>
          <t>Endoso de los pagares de la cartera a vender</t>
        </is>
      </c>
      <c r="J294" s="10" t="inlineStr">
        <is>
          <t>Gerente de Negocios</t>
        </is>
      </c>
      <c r="K294" s="10" t="inlineStr">
        <is>
          <t>Gerente de Negocios</t>
        </is>
      </c>
      <c r="L294" s="10" t="inlineStr">
        <is>
          <t>UBICACIÓN DIGITAL-EQUIPO DEL RESPONSABLE</t>
        </is>
      </c>
      <c r="M294" s="10" t="inlineStr">
        <is>
          <t>DISCOS DUROS, SERVIDORES, DISCOS O MEDIOS PORTÁTILES, CINTAS O MEDIOS DE VIDEO Y AUDIO, ETC.</t>
        </is>
      </c>
      <c r="N294" s="10" t="inlineStr">
        <is>
          <t>PRIMARIOS</t>
        </is>
      </c>
      <c r="O294" s="10" t="inlineStr">
        <is>
          <t>DOCUMENTOS HABILITANTES</t>
        </is>
      </c>
      <c r="P294" s="10" t="inlineStr">
        <is>
          <t>RESTRINGIDO(3)</t>
        </is>
      </c>
      <c r="Q294" s="10" t="inlineStr">
        <is>
          <t>MEDIA(2)</t>
        </is>
      </c>
      <c r="R294" s="10" t="inlineStr">
        <is>
          <t>MEDIA(2)</t>
        </is>
      </c>
      <c r="S294" s="10">
        <f>+(IF(P294="PUBLICA(1)",1,IF(P294="USO INTERNO(2)",2,IF(P294="RESTRINGIDO(3)",3,3))))+(IF(Q294="BAJA(1)",1,IF(Q294="MEDIA(2)",2,IF(Q294="ALTA(3)",3,3))))+(IF(R294="BAJA(1)",1,IF(R294="MEDIA(2)",2,IF(R294="ALTA(3)",3,3))))</f>
        <v/>
      </c>
      <c r="T294" s="10">
        <f>+IF(S294&lt;6,"BAJA",IF(S294&lt;8,"MEDIA","ALTA"))</f>
        <v/>
      </c>
      <c r="U294" s="10" t="inlineStr">
        <is>
          <t>-</t>
        </is>
      </c>
      <c r="V294" s="24" t="inlineStr">
        <is>
          <t>8/02/225</t>
        </is>
      </c>
      <c r="W294" s="19" t="inlineStr">
        <is>
          <t>N/A</t>
        </is>
      </c>
      <c r="X294" s="10">
        <f>+IFERROR(IF(VLOOKUP(Tabla2[[#This Row],[ID]],'EVALUACION DE RIESGO'!A:A,1,FALSE)=Tabla2[[#This Row],[ID]],"SI","NO"),"NO")</f>
        <v/>
      </c>
      <c r="AD294">
        <f>IF(AND(Y294="",AA294=""),"",IF(OR(LEFT(AA294,2)="L0",LEFT(AA294,2)="L1",Y294="No Iniciado"),"CRÍTICO - Incumplimiento Normativo SEPS",IF(AND(OR(LEFT(AA294,2)="L4",LEFT(AA294,2)="L5"),AND(AC294&lt;&gt;"",AC294&lt;&gt;"N/A")),"CONFORME - Control Efectivo ISO 27001","OBSERVACIÓN - Revisar Controles")))</f>
        <v/>
      </c>
    </row>
    <row r="295">
      <c r="A295" s="99" t="inlineStr">
        <is>
          <t>54-GCO</t>
        </is>
      </c>
      <c r="B295" s="10" t="inlineStr">
        <is>
          <t>PRODUCTIVO</t>
        </is>
      </c>
      <c r="C295" s="10" t="inlineStr">
        <is>
          <t>Gestión de Colocaciones</t>
        </is>
      </c>
      <c r="D295" s="10" t="inlineStr">
        <is>
          <t>GCO</t>
        </is>
      </c>
      <c r="E295" s="10" t="inlineStr">
        <is>
          <t>Gestión de Compra y Venta de Cartera</t>
        </is>
      </c>
      <c r="F295" s="10" t="inlineStr">
        <is>
          <t>-</t>
        </is>
      </c>
      <c r="G295" s="10" t="inlineStr">
        <is>
          <t xml:space="preserve">Entrega de datos y cobro de la venta </t>
        </is>
      </c>
      <c r="H295" s="10" t="inlineStr">
        <is>
          <t>Reporte de Cartera Vendida</t>
        </is>
      </c>
      <c r="I295" s="10" t="inlineStr">
        <is>
          <t>Reporte procesado por Operaciones para el registro en el Core Financiero</t>
        </is>
      </c>
      <c r="J295" s="10" t="inlineStr">
        <is>
          <t>Gerente de Negocios</t>
        </is>
      </c>
      <c r="K295" s="10" t="inlineStr">
        <is>
          <t>Gerente de Negocios</t>
        </is>
      </c>
      <c r="L295" s="10" t="inlineStr">
        <is>
          <t>UBICACIÓN DIGITAL-EQUIPO DEL RESPONSABLE</t>
        </is>
      </c>
      <c r="M295" s="10" t="inlineStr">
        <is>
          <t>DISCOS DUROS, SERVIDORES, DISCOS O MEDIOS PORTÁTILES, CINTAS O MEDIOS DE VIDEO Y AUDIO, ETC.</t>
        </is>
      </c>
      <c r="N295" s="10" t="inlineStr">
        <is>
          <t>PRIMARIOS</t>
        </is>
      </c>
      <c r="O295" s="10" t="inlineStr">
        <is>
          <t>DOCUMENTOS TÉCNICOS</t>
        </is>
      </c>
      <c r="P295" s="10" t="inlineStr">
        <is>
          <t>RESTRINGIDO(3)</t>
        </is>
      </c>
      <c r="Q295" s="10" t="inlineStr">
        <is>
          <t>MEDIA(2)</t>
        </is>
      </c>
      <c r="R295" s="10" t="inlineStr">
        <is>
          <t>MEDIA(2)</t>
        </is>
      </c>
      <c r="S295" s="10">
        <f>+(IF(P295="PUBLICA(1)",1,IF(P295="USO INTERNO(2)",2,IF(P295="RESTRINGIDO(3)",3,3))))+(IF(Q295="BAJA(1)",1,IF(Q295="MEDIA(2)",2,IF(Q295="ALTA(3)",3,3))))+(IF(R295="BAJA(1)",1,IF(R295="MEDIA(2)",2,IF(R295="ALTA(3)",3,3))))</f>
        <v/>
      </c>
      <c r="T295" s="10">
        <f>+IF(S295&lt;6,"BAJA",IF(S295&lt;8,"MEDIA","ALTA"))</f>
        <v/>
      </c>
      <c r="U295" s="10" t="inlineStr">
        <is>
          <t>-</t>
        </is>
      </c>
      <c r="V295" s="24" t="inlineStr">
        <is>
          <t>8/02/225</t>
        </is>
      </c>
      <c r="W295" s="19" t="inlineStr">
        <is>
          <t>N/A</t>
        </is>
      </c>
      <c r="X295" s="10">
        <f>+IFERROR(IF(VLOOKUP(Tabla2[[#This Row],[ID]],'EVALUACION DE RIESGO'!A:A,1,FALSE)=Tabla2[[#This Row],[ID]],"SI","NO"),"NO")</f>
        <v/>
      </c>
      <c r="AD295">
        <f>IF(AND(Y295="",AA295=""),"",IF(OR(LEFT(AA295,2)="L0",LEFT(AA295,2)="L1",Y295="No Iniciado"),"CRÍTICO - Incumplimiento Normativo SEPS",IF(AND(OR(LEFT(AA295,2)="L4",LEFT(AA295,2)="L5"),AND(AC295&lt;&gt;"",AC295&lt;&gt;"N/A")),"CONFORME - Control Efectivo ISO 27001","OBSERVACIÓN - Revisar Controles")))</f>
        <v/>
      </c>
    </row>
    <row r="296">
      <c r="A296" s="99" t="inlineStr">
        <is>
          <t>55-GCO</t>
        </is>
      </c>
      <c r="B296" s="10" t="inlineStr">
        <is>
          <t>PRODUCTIVO</t>
        </is>
      </c>
      <c r="C296" s="10" t="inlineStr">
        <is>
          <t>Gestión de Colocaciones</t>
        </is>
      </c>
      <c r="D296" s="10" t="inlineStr">
        <is>
          <t>GCO</t>
        </is>
      </c>
      <c r="E296" s="10" t="inlineStr">
        <is>
          <t>N/A</t>
        </is>
      </c>
      <c r="F296" s="10" t="inlineStr">
        <is>
          <t>-</t>
        </is>
      </c>
      <c r="G296" s="10" t="inlineStr">
        <is>
          <t>N/A</t>
        </is>
      </c>
      <c r="H296" s="10" t="inlineStr">
        <is>
          <t xml:space="preserve">Equipos de computación </t>
        </is>
      </c>
      <c r="I296" s="10" t="inlineStr">
        <is>
          <t>Equipos de computación donde se realiza la gestión del área</t>
        </is>
      </c>
      <c r="J296" s="10" t="inlineStr">
        <is>
          <t>Gerente de Negocios</t>
        </is>
      </c>
      <c r="K296" s="10" t="inlineStr">
        <is>
          <t>Gerente de Negocios</t>
        </is>
      </c>
      <c r="L296" s="10" t="inlineStr">
        <is>
          <t>UBICACIÓN FISICA-MATRIZ ATUNTAQUI</t>
        </is>
      </c>
      <c r="M296" s="10" t="inlineStr">
        <is>
          <t>DISCOS DUROS, SERVIDORES, DISCOS O MEDIOS PORTÁTILES, CINTAS O MEDIOS DE VIDEO Y AUDIO, ETC.</t>
        </is>
      </c>
      <c r="N296" s="10" t="inlineStr">
        <is>
          <t>APOYO</t>
        </is>
      </c>
      <c r="O296" s="10" t="inlineStr">
        <is>
          <t>HARDWARE</t>
        </is>
      </c>
      <c r="P296" s="10" t="inlineStr">
        <is>
          <t>RESTRINGIDO(3)</t>
        </is>
      </c>
      <c r="Q296" s="10" t="inlineStr">
        <is>
          <t>MEDIA(2)</t>
        </is>
      </c>
      <c r="R296" s="10" t="inlineStr">
        <is>
          <t>MEDIA(2)</t>
        </is>
      </c>
      <c r="S296" s="10">
        <f>+(IF(P296="PUBLICA(1)",1,IF(P296="USO INTERNO(2)",2,IF(P296="RESTRINGIDO(3)",3,3))))+(IF(Q296="BAJA(1)",1,IF(Q296="MEDIA(2)",2,IF(Q296="ALTA(3)",3,3))))+(IF(R296="BAJA(1)",1,IF(R296="MEDIA(2)",2,IF(R296="ALTA(3)",3,3))))</f>
        <v/>
      </c>
      <c r="T296" s="10">
        <f>+IF(S296&lt;6,"BAJA",IF(S296&lt;8,"MEDIA","ALTA"))</f>
        <v/>
      </c>
      <c r="U296" s="10" t="inlineStr">
        <is>
          <t>-</t>
        </is>
      </c>
      <c r="V296" s="24" t="n">
        <v>45712</v>
      </c>
      <c r="W296" s="19" t="inlineStr">
        <is>
          <t>N/A</t>
        </is>
      </c>
      <c r="X296" s="10">
        <f>+IFERROR(IF(VLOOKUP(Tabla2[[#This Row],[ID]],'EVALUACION DE RIESGO'!A:A,1,FALSE)=Tabla2[[#This Row],[ID]],"SI","NO"),"NO")</f>
        <v/>
      </c>
      <c r="AD296">
        <f>IF(AND(Y296="",AA296=""),"",IF(OR(LEFT(AA296,2)="L0",LEFT(AA296,2)="L1",Y296="No Iniciado"),"CRÍTICO - Incumplimiento Normativo SEPS",IF(AND(OR(LEFT(AA296,2)="L4",LEFT(AA296,2)="L5"),AND(AC296&lt;&gt;"",AC296&lt;&gt;"N/A")),"CONFORME - Control Efectivo ISO 27001","OBSERVACIÓN - Revisar Controles")))</f>
        <v/>
      </c>
    </row>
    <row r="297">
      <c r="A297" s="99" t="inlineStr">
        <is>
          <t>56-GCO</t>
        </is>
      </c>
      <c r="B297" s="10" t="inlineStr">
        <is>
          <t>PRODUCTIVO</t>
        </is>
      </c>
      <c r="C297" s="10" t="inlineStr">
        <is>
          <t>Gestión de Colocaciones</t>
        </is>
      </c>
      <c r="D297" s="10" t="inlineStr">
        <is>
          <t>GCO</t>
        </is>
      </c>
      <c r="E297" s="10" t="inlineStr">
        <is>
          <t>N/A</t>
        </is>
      </c>
      <c r="F297" s="10" t="inlineStr">
        <is>
          <t>-</t>
        </is>
      </c>
      <c r="G297" s="10" t="inlineStr">
        <is>
          <t>N/A</t>
        </is>
      </c>
      <c r="H297" s="10" t="inlineStr">
        <is>
          <t>Gerente de Negocios</t>
        </is>
      </c>
      <c r="I297" s="10" t="inlineStr">
        <is>
          <t>N/A</t>
        </is>
      </c>
      <c r="J297" s="10" t="inlineStr">
        <is>
          <t>Gerente de Negocios</t>
        </is>
      </c>
      <c r="K297" s="10" t="inlineStr">
        <is>
          <t>N/A</t>
        </is>
      </c>
      <c r="L297" s="10" t="inlineStr">
        <is>
          <t>N/A</t>
        </is>
      </c>
      <c r="M297" s="10" t="inlineStr">
        <is>
          <t>N/A</t>
        </is>
      </c>
      <c r="N297" s="10" t="inlineStr">
        <is>
          <t>APOYO</t>
        </is>
      </c>
      <c r="O297" s="10" t="inlineStr">
        <is>
          <t>RECURSO HUMANO</t>
        </is>
      </c>
      <c r="P297" s="10" t="inlineStr">
        <is>
          <t>USO INTERNO(2)</t>
        </is>
      </c>
      <c r="Q297" s="10" t="inlineStr">
        <is>
          <t>MEDIA(2)</t>
        </is>
      </c>
      <c r="R297" s="10" t="inlineStr">
        <is>
          <t>MEDIA(2)</t>
        </is>
      </c>
      <c r="S297" s="10">
        <f>+(IF(P297="PUBLICA(1)",1,IF(P297="USO INTERNO(2)",2,IF(P297="RESTRINGIDO(3)",3,3))))+(IF(Q297="BAJA(1)",1,IF(Q297="MEDIA(2)",2,IF(Q297="ALTA(3)",3,3))))+(IF(R297="BAJA(1)",1,IF(R297="MEDIA(2)",2,IF(R297="ALTA(3)",3,3))))</f>
        <v/>
      </c>
      <c r="T297" s="10">
        <f>+IF(S297&lt;6,"BAJA",IF(S297&lt;8,"MEDIA","ALTA"))</f>
        <v/>
      </c>
      <c r="U297" s="10" t="inlineStr">
        <is>
          <t>-</t>
        </is>
      </c>
      <c r="V297" s="24" t="n">
        <v>45712</v>
      </c>
      <c r="W297" s="19" t="inlineStr">
        <is>
          <t>N/A</t>
        </is>
      </c>
      <c r="X297" s="10">
        <f>+IFERROR(IF(VLOOKUP(Tabla2[[#This Row],[ID]],'EVALUACION DE RIESGO'!A:A,1,FALSE)=Tabla2[[#This Row],[ID]],"SI","NO"),"NO")</f>
        <v/>
      </c>
      <c r="AD297">
        <f>IF(AND(Y297="",AA297=""),"",IF(OR(LEFT(AA297,2)="L0",LEFT(AA297,2)="L1",Y297="No Iniciado"),"CRÍTICO - Incumplimiento Normativo SEPS",IF(AND(OR(LEFT(AA297,2)="L4",LEFT(AA297,2)="L5"),AND(AC297&lt;&gt;"",AC297&lt;&gt;"N/A")),"CONFORME - Control Efectivo ISO 27001","OBSERVACIÓN - Revisar Controles")))</f>
        <v/>
      </c>
    </row>
    <row r="298">
      <c r="A298" s="99" t="inlineStr">
        <is>
          <t>57-GCO</t>
        </is>
      </c>
      <c r="B298" s="10" t="inlineStr">
        <is>
          <t>PRODUCTIVO</t>
        </is>
      </c>
      <c r="C298" s="10" t="inlineStr">
        <is>
          <t>Gestión de Colocaciones</t>
        </is>
      </c>
      <c r="D298" s="10" t="inlineStr">
        <is>
          <t>GCO</t>
        </is>
      </c>
      <c r="E298" s="10" t="inlineStr">
        <is>
          <t>N/A</t>
        </is>
      </c>
      <c r="F298" s="10" t="inlineStr">
        <is>
          <t>-</t>
        </is>
      </c>
      <c r="G298" s="10" t="inlineStr">
        <is>
          <t>N/A</t>
        </is>
      </c>
      <c r="H298" s="10" t="inlineStr">
        <is>
          <t>Jefe de Negocios</t>
        </is>
      </c>
      <c r="I298" s="10" t="inlineStr">
        <is>
          <t>N/A</t>
        </is>
      </c>
      <c r="J298" s="10" t="inlineStr">
        <is>
          <t>Jefe de Negocios</t>
        </is>
      </c>
      <c r="K298" s="10" t="inlineStr">
        <is>
          <t>N/A</t>
        </is>
      </c>
      <c r="L298" s="10" t="inlineStr">
        <is>
          <t>N/A</t>
        </is>
      </c>
      <c r="M298" s="10" t="inlineStr">
        <is>
          <t>N/A</t>
        </is>
      </c>
      <c r="N298" s="10" t="inlineStr">
        <is>
          <t>APOYO</t>
        </is>
      </c>
      <c r="O298" s="10" t="inlineStr">
        <is>
          <t>RECURSO HUMANO</t>
        </is>
      </c>
      <c r="P298" s="10" t="inlineStr">
        <is>
          <t>USO INTERNO(2)</t>
        </is>
      </c>
      <c r="Q298" s="10" t="inlineStr">
        <is>
          <t>MEDIA(2)</t>
        </is>
      </c>
      <c r="R298" s="10" t="inlineStr">
        <is>
          <t>MEDIA(2)</t>
        </is>
      </c>
      <c r="S298" s="10">
        <f>+(IF(P298="PUBLICA(1)",1,IF(P298="USO INTERNO(2)",2,IF(P298="RESTRINGIDO(3)",3,3))))+(IF(Q298="BAJA(1)",1,IF(Q298="MEDIA(2)",2,IF(Q298="ALTA(3)",3,3))))+(IF(R298="BAJA(1)",1,IF(R298="MEDIA(2)",2,IF(R298="ALTA(3)",3,3))))</f>
        <v/>
      </c>
      <c r="T298" s="10">
        <f>+IF(S298&lt;6,"BAJA",IF(S298&lt;8,"MEDIA","ALTA"))</f>
        <v/>
      </c>
      <c r="U298" s="10" t="inlineStr">
        <is>
          <t>-</t>
        </is>
      </c>
      <c r="V298" s="24" t="n">
        <v>45712</v>
      </c>
      <c r="W298" s="19" t="inlineStr">
        <is>
          <t>N/A</t>
        </is>
      </c>
      <c r="X298" s="10">
        <f>+IFERROR(IF(VLOOKUP(Tabla2[[#This Row],[ID]],'EVALUACION DE RIESGO'!A:A,1,FALSE)=Tabla2[[#This Row],[ID]],"SI","NO"),"NO")</f>
        <v/>
      </c>
      <c r="AD298">
        <f>IF(AND(Y298="",AA298=""),"",IF(OR(LEFT(AA298,2)="L0",LEFT(AA298,2)="L1",Y298="No Iniciado"),"CRÍTICO - Incumplimiento Normativo SEPS",IF(AND(OR(LEFT(AA298,2)="L4",LEFT(AA298,2)="L5"),AND(AC298&lt;&gt;"",AC298&lt;&gt;"N/A")),"CONFORME - Control Efectivo ISO 27001","OBSERVACIÓN - Revisar Controles")))</f>
        <v/>
      </c>
    </row>
    <row r="299">
      <c r="A299" s="99" t="inlineStr">
        <is>
          <t>1-GNE</t>
        </is>
      </c>
      <c r="B299" s="10" t="inlineStr">
        <is>
          <t>PRODUCTIVO</t>
        </is>
      </c>
      <c r="C299" s="10" t="inlineStr">
        <is>
          <t>Gestión de Negocios</t>
        </is>
      </c>
      <c r="D299" s="10" t="inlineStr">
        <is>
          <t>GNE</t>
        </is>
      </c>
      <c r="E299" s="10" t="inlineStr">
        <is>
          <t>Gestión de Marketing</t>
        </is>
      </c>
      <c r="F299" s="10" t="inlineStr">
        <is>
          <t>-</t>
        </is>
      </c>
      <c r="G299" s="10" t="inlineStr">
        <is>
          <t>Elaboración del Plan de Medios</t>
        </is>
      </c>
      <c r="H299" s="10" t="inlineStr">
        <is>
          <t>Plan de Medios</t>
        </is>
      </c>
      <c r="I299" s="10" t="inlineStr">
        <is>
          <t>Estrategia detallada que describe los canales y recursos utilizados para la difusión de las campañas de marketing.</t>
        </is>
      </c>
      <c r="J299" s="10" t="inlineStr">
        <is>
          <t xml:space="preserve">Jefe de Marketing </t>
        </is>
      </c>
      <c r="K299" s="10" t="inlineStr">
        <is>
          <t>Jefe de Marketing</t>
        </is>
      </c>
      <c r="L299" s="10" t="inlineStr">
        <is>
          <t>UBICACIÓN DIGITAL-EQUIPO DEL RESPONSABLE</t>
        </is>
      </c>
      <c r="M299" s="10" t="inlineStr">
        <is>
          <t>DISCOS DUROS, SERVIDORES, DISCOS O MEDIOS PORTÁTILES, CINTAS O MEDIOS DE VIDEO Y AUDIO, ETC.</t>
        </is>
      </c>
      <c r="N299" s="10" t="inlineStr">
        <is>
          <t>PRIMARIOS</t>
        </is>
      </c>
      <c r="O299" s="10" t="inlineStr">
        <is>
          <t>DOCUMENTOS TÉCNICOS</t>
        </is>
      </c>
      <c r="P299" s="10" t="inlineStr">
        <is>
          <t>USO INTERNO(2)</t>
        </is>
      </c>
      <c r="Q299" s="10" t="inlineStr">
        <is>
          <t>MEDIA(2)</t>
        </is>
      </c>
      <c r="R299" s="10" t="inlineStr">
        <is>
          <t>BAJA(1)</t>
        </is>
      </c>
      <c r="S299" s="10">
        <f>+(IF(P299="PUBLICA(1)",1,IF(P299="USO INTERNO(2)",2,IF(P299="RESTRINGIDO(3)",3,3))))+(IF(Q299="BAJA(1)",1,IF(Q299="MEDIA(2)",2,IF(Q299="ALTA(3)",3,3))))+(IF(R299="BAJA(1)",1,IF(R299="MEDIA(2)",2,IF(R299="ALTA(3)",3,3))))</f>
        <v/>
      </c>
      <c r="T299" s="10">
        <f>+IF(S299&lt;6,"BAJA",IF(S299&lt;8,"MEDIA","ALTA"))</f>
        <v/>
      </c>
      <c r="U299" s="10" t="inlineStr">
        <is>
          <t>-</t>
        </is>
      </c>
      <c r="V299" s="24" t="n">
        <v>45580</v>
      </c>
      <c r="W299" s="19" t="inlineStr">
        <is>
          <t>N/A</t>
        </is>
      </c>
      <c r="X299" s="10">
        <f>+IFERROR(IF(VLOOKUP(Tabla2[[#This Row],[ID]],'EVALUACION DE RIESGO'!A:A,1,FALSE)=Tabla2[[#This Row],[ID]],"SI","NO"),"NO")</f>
        <v/>
      </c>
      <c r="AD299">
        <f>IF(AND(Y299="",AA299=""),"",IF(OR(LEFT(AA299,2)="L0",LEFT(AA299,2)="L1",Y299="No Iniciado"),"CRÍTICO - Incumplimiento Normativo SEPS",IF(AND(OR(LEFT(AA299,2)="L4",LEFT(AA299,2)="L5"),AND(AC299&lt;&gt;"",AC299&lt;&gt;"N/A")),"CONFORME - Control Efectivo ISO 27001","OBSERVACIÓN - Revisar Controles")))</f>
        <v/>
      </c>
    </row>
    <row r="300">
      <c r="A300" s="99" t="inlineStr">
        <is>
          <t>2-GNE</t>
        </is>
      </c>
      <c r="B300" s="10" t="inlineStr">
        <is>
          <t>PRODUCTIVO</t>
        </is>
      </c>
      <c r="C300" s="10" t="inlineStr">
        <is>
          <t>Gestión de Negocios</t>
        </is>
      </c>
      <c r="D300" s="10" t="inlineStr">
        <is>
          <t>GNE</t>
        </is>
      </c>
      <c r="E300" s="10" t="inlineStr">
        <is>
          <t>Gestión de Marketing</t>
        </is>
      </c>
      <c r="F300" s="10" t="inlineStr">
        <is>
          <t>-</t>
        </is>
      </c>
      <c r="G300" s="10" t="inlineStr">
        <is>
          <t>Elaboración del Plan de Marketing</t>
        </is>
      </c>
      <c r="H300" s="10" t="inlineStr">
        <is>
          <t>Plan de Marketing</t>
        </is>
      </c>
      <c r="I300" s="10" t="inlineStr">
        <is>
          <t>Documento integral que incluye las estrategias, objetivos y tácticas para promocionar los productos o servicios de la cooperativa.</t>
        </is>
      </c>
      <c r="J300" s="10" t="inlineStr">
        <is>
          <t xml:space="preserve">Jefe de Marketing </t>
        </is>
      </c>
      <c r="K300" s="10" t="inlineStr">
        <is>
          <t>Jefe de Marketing</t>
        </is>
      </c>
      <c r="L300" s="10" t="inlineStr">
        <is>
          <t>UBICACIÓN DIGITAL-EQUIPO DEL RESPONSABLE</t>
        </is>
      </c>
      <c r="M300" s="10" t="inlineStr">
        <is>
          <t>DISCOS DUROS, SERVIDORES, DISCOS O MEDIOS PORTÁTILES, CINTAS O MEDIOS DE VIDEO Y AUDIO, ETC.</t>
        </is>
      </c>
      <c r="N300" s="10" t="inlineStr">
        <is>
          <t>PRIMARIOS</t>
        </is>
      </c>
      <c r="O300" s="10" t="inlineStr">
        <is>
          <t>DOCUMENTOS TÉCNICOS</t>
        </is>
      </c>
      <c r="P300" s="10" t="inlineStr">
        <is>
          <t>USO INTERNO(2)</t>
        </is>
      </c>
      <c r="Q300" s="10" t="inlineStr">
        <is>
          <t>BAJA(1)</t>
        </is>
      </c>
      <c r="R300" s="10" t="inlineStr">
        <is>
          <t>MEDIA(2)</t>
        </is>
      </c>
      <c r="S300" s="10">
        <f>+(IF(P300="PUBLICA(1)",1,IF(P300="USO INTERNO(2)",2,IF(P300="RESTRINGIDO(3)",3,3))))+(IF(Q300="BAJA(1)",1,IF(Q300="MEDIA(2)",2,IF(Q300="ALTA(3)",3,3))))+(IF(R300="BAJA(1)",1,IF(R300="MEDIA(2)",2,IF(R300="ALTA(3)",3,3))))</f>
        <v/>
      </c>
      <c r="T300" s="10">
        <f>+IF(S300&lt;6,"BAJA",IF(S300&lt;8,"MEDIA","ALTA"))</f>
        <v/>
      </c>
      <c r="U300" s="10" t="inlineStr">
        <is>
          <t>-</t>
        </is>
      </c>
      <c r="V300" s="24" t="n">
        <v>45580</v>
      </c>
      <c r="W300" s="19" t="inlineStr">
        <is>
          <t>N/A</t>
        </is>
      </c>
      <c r="X300" s="10">
        <f>+IFERROR(IF(VLOOKUP(Tabla2[[#This Row],[ID]],'EVALUACION DE RIESGO'!A:A,1,FALSE)=Tabla2[[#This Row],[ID]],"SI","NO"),"NO")</f>
        <v/>
      </c>
      <c r="AD300">
        <f>IF(AND(Y300="",AA300=""),"",IF(OR(LEFT(AA300,2)="L0",LEFT(AA300,2)="L1",Y300="No Iniciado"),"CRÍTICO - Incumplimiento Normativo SEPS",IF(AND(OR(LEFT(AA300,2)="L4",LEFT(AA300,2)="L5"),AND(AC300&lt;&gt;"",AC300&lt;&gt;"N/A")),"CONFORME - Control Efectivo ISO 27001","OBSERVACIÓN - Revisar Controles")))</f>
        <v/>
      </c>
    </row>
    <row r="301">
      <c r="A301" s="99" t="inlineStr">
        <is>
          <t>3-GNE</t>
        </is>
      </c>
      <c r="B301" s="10" t="inlineStr">
        <is>
          <t>PRODUCTIVO</t>
        </is>
      </c>
      <c r="C301" s="10" t="inlineStr">
        <is>
          <t>Gestión de Negocios</t>
        </is>
      </c>
      <c r="D301" s="10" t="inlineStr">
        <is>
          <t>GNE</t>
        </is>
      </c>
      <c r="E301" s="10" t="inlineStr">
        <is>
          <t>Gestión de Marketing</t>
        </is>
      </c>
      <c r="F301" s="10" t="inlineStr">
        <is>
          <t>-</t>
        </is>
      </c>
      <c r="G301" s="10" t="inlineStr">
        <is>
          <t>Diseño y ejecución de campañas publicitarias</t>
        </is>
      </c>
      <c r="H301" s="10" t="inlineStr">
        <is>
          <t>Brief (Síntesis) de la campaña
publicitaria integral.</t>
        </is>
      </c>
      <c r="I301" s="10" t="inlineStr">
        <is>
          <t>Resumen conciso de la campaña publicitaria, incluyendo los objetivos, el público objetivo, los mensajes clave y los canales de comunicación.</t>
        </is>
      </c>
      <c r="J301" s="10" t="inlineStr">
        <is>
          <t xml:space="preserve">Jefe de Marketing </t>
        </is>
      </c>
      <c r="K301" s="10" t="inlineStr">
        <is>
          <t>Jefe de Marketing</t>
        </is>
      </c>
      <c r="L301" s="10" t="inlineStr">
        <is>
          <t>UBICACIÓN DIGITAL-EQUIPO DEL RESPONSABLE</t>
        </is>
      </c>
      <c r="M301" s="10" t="inlineStr">
        <is>
          <t>DISCOS DUROS, SERVIDORES, DISCOS O MEDIOS PORTÁTILES, CINTAS O MEDIOS DE VIDEO Y AUDIO, ETC.</t>
        </is>
      </c>
      <c r="N301" s="10" t="inlineStr">
        <is>
          <t>PRIMARIOS</t>
        </is>
      </c>
      <c r="O301" s="10" t="inlineStr">
        <is>
          <t>DOCUMENTOS TÉCNICOS</t>
        </is>
      </c>
      <c r="P301" s="10" t="inlineStr">
        <is>
          <t>USO INTERNO(2)</t>
        </is>
      </c>
      <c r="Q301" s="10" t="inlineStr">
        <is>
          <t>BAJA(1)</t>
        </is>
      </c>
      <c r="R301" s="10" t="inlineStr">
        <is>
          <t>BAJA(1)</t>
        </is>
      </c>
      <c r="S301" s="10">
        <f>+(IF(P301="PUBLICA(1)",1,IF(P301="USO INTERNO(2)",2,IF(P301="RESTRINGIDO(3)",3,3))))+(IF(Q301="BAJA(1)",1,IF(Q301="MEDIA(2)",2,IF(Q301="ALTA(3)",3,3))))+(IF(R301="BAJA(1)",1,IF(R301="MEDIA(2)",2,IF(R301="ALTA(3)",3,3))))</f>
        <v/>
      </c>
      <c r="T301" s="10">
        <f>+IF(S301&lt;6,"BAJA",IF(S301&lt;8,"MEDIA","ALTA"))</f>
        <v/>
      </c>
      <c r="U301" s="10" t="inlineStr">
        <is>
          <t>-</t>
        </is>
      </c>
      <c r="V301" s="24" t="n">
        <v>45580</v>
      </c>
      <c r="W301" s="19" t="inlineStr">
        <is>
          <t>N/A</t>
        </is>
      </c>
      <c r="X301" s="10">
        <f>+IFERROR(IF(VLOOKUP(Tabla2[[#This Row],[ID]],'EVALUACION DE RIESGO'!A:A,1,FALSE)=Tabla2[[#This Row],[ID]],"SI","NO"),"NO")</f>
        <v/>
      </c>
      <c r="AD301">
        <f>IF(AND(Y301="",AA301=""),"",IF(OR(LEFT(AA301,2)="L0",LEFT(AA301,2)="L1",Y301="No Iniciado"),"CRÍTICO - Incumplimiento Normativo SEPS",IF(AND(OR(LEFT(AA301,2)="L4",LEFT(AA301,2)="L5"),AND(AC301&lt;&gt;"",AC301&lt;&gt;"N/A")),"CONFORME - Control Efectivo ISO 27001","OBSERVACIÓN - Revisar Controles")))</f>
        <v/>
      </c>
    </row>
    <row r="302">
      <c r="A302" s="99" t="inlineStr">
        <is>
          <t>4-GNE</t>
        </is>
      </c>
      <c r="B302" s="10" t="inlineStr">
        <is>
          <t>PRODUCTIVO</t>
        </is>
      </c>
      <c r="C302" s="10" t="inlineStr">
        <is>
          <t>Gestión de Negocios</t>
        </is>
      </c>
      <c r="D302" s="10" t="inlineStr">
        <is>
          <t>GNE</t>
        </is>
      </c>
      <c r="E302" s="10" t="inlineStr">
        <is>
          <t>Gestión de Marketing</t>
        </is>
      </c>
      <c r="F302" s="10" t="inlineStr">
        <is>
          <t>-</t>
        </is>
      </c>
      <c r="G302" s="10" t="inlineStr">
        <is>
          <t>Diseño y ejecución de campañas publicitarias</t>
        </is>
      </c>
      <c r="H302" s="10" t="inlineStr">
        <is>
          <t>Campaña publicitaria integral o
específica</t>
        </is>
      </c>
      <c r="I302" s="10" t="inlineStr">
        <is>
          <t>Actividad promocional que puede ser general (integral) o centrada en un producto o servicio específico, con estrategias y tácticas detalladas.</t>
        </is>
      </c>
      <c r="J302" s="10" t="inlineStr">
        <is>
          <t xml:space="preserve">Jefe de Marketing </t>
        </is>
      </c>
      <c r="K302" s="10" t="inlineStr">
        <is>
          <t>Jefe de Marketing</t>
        </is>
      </c>
      <c r="L302" s="10" t="inlineStr">
        <is>
          <t>UBICACIÓN DIGITAL-EQUIPO DEL RESPONSABLE</t>
        </is>
      </c>
      <c r="M302" s="10" t="inlineStr">
        <is>
          <t>DISCOS DUROS, SERVIDORES, DISCOS O MEDIOS PORTÁTILES, CINTAS O MEDIOS DE VIDEO Y AUDIO, ETC.</t>
        </is>
      </c>
      <c r="N302" s="10" t="inlineStr">
        <is>
          <t>PRIMARIOS</t>
        </is>
      </c>
      <c r="O302" s="10" t="inlineStr">
        <is>
          <t>DOCUMENTOS TÉCNICOS</t>
        </is>
      </c>
      <c r="P302" s="10" t="inlineStr">
        <is>
          <t>USO INTERNO(2)</t>
        </is>
      </c>
      <c r="Q302" s="10" t="inlineStr">
        <is>
          <t>BAJA(1)</t>
        </is>
      </c>
      <c r="R302" s="10" t="inlineStr">
        <is>
          <t>BAJA(1)</t>
        </is>
      </c>
      <c r="S302" s="10">
        <f>+(IF(P302="PUBLICA(1)",1,IF(P302="USO INTERNO(2)",2,IF(P302="RESTRINGIDO(3)",3,3))))+(IF(Q302="BAJA(1)",1,IF(Q302="MEDIA(2)",2,IF(Q302="ALTA(3)",3,3))))+(IF(R302="BAJA(1)",1,IF(R302="MEDIA(2)",2,IF(R302="ALTA(3)",3,3))))</f>
        <v/>
      </c>
      <c r="T302" s="10">
        <f>+IF(S302&lt;6,"BAJA",IF(S302&lt;8,"MEDIA","ALTA"))</f>
        <v/>
      </c>
      <c r="U302" s="10" t="inlineStr">
        <is>
          <t>-</t>
        </is>
      </c>
      <c r="V302" s="24" t="n">
        <v>45580</v>
      </c>
      <c r="W302" s="19" t="inlineStr">
        <is>
          <t>N/A</t>
        </is>
      </c>
      <c r="X302" s="10">
        <f>+IFERROR(IF(VLOOKUP(Tabla2[[#This Row],[ID]],'EVALUACION DE RIESGO'!A:A,1,FALSE)=Tabla2[[#This Row],[ID]],"SI","NO"),"NO")</f>
        <v/>
      </c>
      <c r="AD302">
        <f>IF(AND(Y302="",AA302=""),"",IF(OR(LEFT(AA302,2)="L0",LEFT(AA302,2)="L1",Y302="No Iniciado"),"CRÍTICO - Incumplimiento Normativo SEPS",IF(AND(OR(LEFT(AA302,2)="L4",LEFT(AA302,2)="L5"),AND(AC302&lt;&gt;"",AC302&lt;&gt;"N/A")),"CONFORME - Control Efectivo ISO 27001","OBSERVACIÓN - Revisar Controles")))</f>
        <v/>
      </c>
    </row>
    <row r="303">
      <c r="A303" s="99" t="inlineStr">
        <is>
          <t>5-GNE</t>
        </is>
      </c>
      <c r="B303" s="10" t="inlineStr">
        <is>
          <t>PRODUCTIVO</t>
        </is>
      </c>
      <c r="C303" s="10" t="inlineStr">
        <is>
          <t>Gestión de Negocios</t>
        </is>
      </c>
      <c r="D303" s="10" t="inlineStr">
        <is>
          <t>GNE</t>
        </is>
      </c>
      <c r="E303" s="10" t="inlineStr">
        <is>
          <t>Gestión de Marketing</t>
        </is>
      </c>
      <c r="F303" s="10" t="inlineStr">
        <is>
          <t>-</t>
        </is>
      </c>
      <c r="G303" s="10" t="inlineStr">
        <is>
          <t>Diseño y ejecución de campañas publicitarias</t>
        </is>
      </c>
      <c r="H303" s="10" t="inlineStr">
        <is>
          <t>Certificaciones de Pautaje.</t>
        </is>
      </c>
      <c r="I303" s="10" t="inlineStr">
        <is>
          <t>Documentos que certifican el tiempo, el espacio o los medios utilizados para la difusión de una campaña publicitaria.</t>
        </is>
      </c>
      <c r="J303" s="10" t="inlineStr">
        <is>
          <t xml:space="preserve">Jefe de Marketing </t>
        </is>
      </c>
      <c r="K303" s="10" t="inlineStr">
        <is>
          <t>Jefe de Marketing</t>
        </is>
      </c>
      <c r="L303" s="10" t="inlineStr">
        <is>
          <t>UBICACIÓN DIGITAL-EQUIPO DEL RESPONSABLE</t>
        </is>
      </c>
      <c r="M303" s="10" t="inlineStr">
        <is>
          <t>DISCOS DUROS, SERVIDORES, DISCOS O MEDIOS PORTÁTILES, CINTAS O MEDIOS DE VIDEO Y AUDIO, ETC.</t>
        </is>
      </c>
      <c r="N303" s="10" t="inlineStr">
        <is>
          <t>PRIMARIOS</t>
        </is>
      </c>
      <c r="O303" s="10" t="inlineStr">
        <is>
          <t>DOCUMENTOS TÉCNICOS</t>
        </is>
      </c>
      <c r="P303" s="10" t="inlineStr">
        <is>
          <t>USO INTERNO(2)</t>
        </is>
      </c>
      <c r="Q303" s="10" t="inlineStr">
        <is>
          <t>MEDIA(2)</t>
        </is>
      </c>
      <c r="R303" s="10" t="inlineStr">
        <is>
          <t>BAJA(1)</t>
        </is>
      </c>
      <c r="S303" s="10">
        <f>+(IF(P303="PUBLICA(1)",1,IF(P303="USO INTERNO(2)",2,IF(P303="RESTRINGIDO(3)",3,3))))+(IF(Q303="BAJA(1)",1,IF(Q303="MEDIA(2)",2,IF(Q303="ALTA(3)",3,3))))+(IF(R303="BAJA(1)",1,IF(R303="MEDIA(2)",2,IF(R303="ALTA(3)",3,3))))</f>
        <v/>
      </c>
      <c r="T303" s="10">
        <f>+IF(S303&lt;6,"BAJA",IF(S303&lt;8,"MEDIA","ALTA"))</f>
        <v/>
      </c>
      <c r="U303" s="10" t="inlineStr">
        <is>
          <t>-</t>
        </is>
      </c>
      <c r="V303" s="24" t="n">
        <v>45580</v>
      </c>
      <c r="W303" s="19" t="inlineStr">
        <is>
          <t>N/A</t>
        </is>
      </c>
      <c r="X303" s="10">
        <f>+IFERROR(IF(VLOOKUP(Tabla2[[#This Row],[ID]],'EVALUACION DE RIESGO'!A:A,1,FALSE)=Tabla2[[#This Row],[ID]],"SI","NO"),"NO")</f>
        <v/>
      </c>
      <c r="AD303">
        <f>IF(AND(Y303="",AA303=""),"",IF(OR(LEFT(AA303,2)="L0",LEFT(AA303,2)="L1",Y303="No Iniciado"),"CRÍTICO - Incumplimiento Normativo SEPS",IF(AND(OR(LEFT(AA303,2)="L4",LEFT(AA303,2)="L5"),AND(AC303&lt;&gt;"",AC303&lt;&gt;"N/A")),"CONFORME - Control Efectivo ISO 27001","OBSERVACIÓN - Revisar Controles")))</f>
        <v/>
      </c>
    </row>
    <row r="304">
      <c r="A304" s="99" t="inlineStr">
        <is>
          <t>6-GNE</t>
        </is>
      </c>
      <c r="B304" s="10" t="inlineStr">
        <is>
          <t>PRODUCTIVO</t>
        </is>
      </c>
      <c r="C304" s="10" t="inlineStr">
        <is>
          <t>Gestión de Negocios</t>
        </is>
      </c>
      <c r="D304" s="10" t="inlineStr">
        <is>
          <t>GNE</t>
        </is>
      </c>
      <c r="E304" s="10" t="inlineStr">
        <is>
          <t>Gestión de Marketing</t>
        </is>
      </c>
      <c r="F304" s="10" t="inlineStr">
        <is>
          <t>-</t>
        </is>
      </c>
      <c r="G304" s="10" t="inlineStr">
        <is>
          <t>Diseño y ejecución de campañas publicitarias</t>
        </is>
      </c>
      <c r="H304" s="10" t="inlineStr">
        <is>
          <t>Análisis de resultados de
campañas publicitarias.</t>
        </is>
      </c>
      <c r="I304" s="10" t="inlineStr">
        <is>
          <t>Evaluación del impacto y el rendimiento de las campañas de marketing y publicidad, con indicadores clave de rendimiento (KPI).</t>
        </is>
      </c>
      <c r="J304" s="10" t="inlineStr">
        <is>
          <t xml:space="preserve">Jefe de Marketing </t>
        </is>
      </c>
      <c r="K304" s="10" t="inlineStr">
        <is>
          <t>Jefe de Marketing</t>
        </is>
      </c>
      <c r="L304" s="10" t="inlineStr">
        <is>
          <t>UBICACIÓN DIGITAL-EQUIPO DEL RESPONSABLE</t>
        </is>
      </c>
      <c r="M304" s="10" t="inlineStr">
        <is>
          <t>DISCOS DUROS, SERVIDORES, DISCOS O MEDIOS PORTÁTILES, CINTAS O MEDIOS DE VIDEO Y AUDIO, ETC.</t>
        </is>
      </c>
      <c r="N304" s="10" t="inlineStr">
        <is>
          <t>PRIMARIOS</t>
        </is>
      </c>
      <c r="O304" s="10" t="inlineStr">
        <is>
          <t>DOCUMENTOS TÉCNICOS</t>
        </is>
      </c>
      <c r="P304" s="10" t="inlineStr">
        <is>
          <t>USO INTERNO(2)</t>
        </is>
      </c>
      <c r="Q304" s="10" t="inlineStr">
        <is>
          <t>MEDIA(2)</t>
        </is>
      </c>
      <c r="R304" s="10" t="inlineStr">
        <is>
          <t>MEDIA(2)</t>
        </is>
      </c>
      <c r="S304" s="10">
        <f>+(IF(P304="PUBLICA(1)",1,IF(P304="USO INTERNO(2)",2,IF(P304="RESTRINGIDO(3)",3,3))))+(IF(Q304="BAJA(1)",1,IF(Q304="MEDIA(2)",2,IF(Q304="ALTA(3)",3,3))))+(IF(R304="BAJA(1)",1,IF(R304="MEDIA(2)",2,IF(R304="ALTA(3)",3,3))))</f>
        <v/>
      </c>
      <c r="T304" s="10">
        <f>+IF(S304&lt;6,"BAJA",IF(S304&lt;8,"MEDIA","ALTA"))</f>
        <v/>
      </c>
      <c r="U304" s="10" t="inlineStr">
        <is>
          <t>-</t>
        </is>
      </c>
      <c r="V304" s="24" t="n">
        <v>45580</v>
      </c>
      <c r="W304" s="19" t="inlineStr">
        <is>
          <t>N/A</t>
        </is>
      </c>
      <c r="X304" s="10">
        <f>+IFERROR(IF(VLOOKUP(Tabla2[[#This Row],[ID]],'EVALUACION DE RIESGO'!A:A,1,FALSE)=Tabla2[[#This Row],[ID]],"SI","NO"),"NO")</f>
        <v/>
      </c>
      <c r="AD304">
        <f>IF(AND(Y304="",AA304=""),"",IF(OR(LEFT(AA304,2)="L0",LEFT(AA304,2)="L1",Y304="No Iniciado"),"CRÍTICO - Incumplimiento Normativo SEPS",IF(AND(OR(LEFT(AA304,2)="L4",LEFT(AA304,2)="L5"),AND(AC304&lt;&gt;"",AC304&lt;&gt;"N/A")),"CONFORME - Control Efectivo ISO 27001","OBSERVACIÓN - Revisar Controles")))</f>
        <v/>
      </c>
    </row>
    <row r="305">
      <c r="A305" s="99" t="inlineStr">
        <is>
          <t>7-GNE</t>
        </is>
      </c>
      <c r="B305" s="10" t="inlineStr">
        <is>
          <t>PRODUCTIVO</t>
        </is>
      </c>
      <c r="C305" s="10" t="inlineStr">
        <is>
          <t>Gestión de Negocios</t>
        </is>
      </c>
      <c r="D305" s="10" t="inlineStr">
        <is>
          <t>GNE</t>
        </is>
      </c>
      <c r="E305" s="10" t="inlineStr">
        <is>
          <t>Gestión de Marketing</t>
        </is>
      </c>
      <c r="F305" s="10" t="inlineStr">
        <is>
          <t>-</t>
        </is>
      </c>
      <c r="G305" s="10" t="inlineStr">
        <is>
          <t>Diseño y ejecución de campañas publicitarias</t>
        </is>
      </c>
      <c r="H305" s="10" t="inlineStr">
        <is>
          <t>Matriz de revisión de la
publicidad.</t>
        </is>
      </c>
      <c r="I305" s="10" t="inlineStr">
        <is>
          <t>Herramienta que permite hacer un seguimiento y revisión de los distintos elementos de la campaña publicitaria, para asegurar la alineación con los objetivos.</t>
        </is>
      </c>
      <c r="J305" s="10" t="inlineStr">
        <is>
          <t xml:space="preserve">Jefe de Marketing </t>
        </is>
      </c>
      <c r="K305" s="10" t="inlineStr">
        <is>
          <t>Jefe de Marketing</t>
        </is>
      </c>
      <c r="L305" s="10" t="inlineStr">
        <is>
          <t>UBICACIÓN DIGITAL-EQUIPO DEL RESPONSABLE</t>
        </is>
      </c>
      <c r="M305" s="10" t="inlineStr">
        <is>
          <t>DISCOS DUROS, SERVIDORES, DISCOS O MEDIOS PORTÁTILES, CINTAS O MEDIOS DE VIDEO Y AUDIO, ETC.</t>
        </is>
      </c>
      <c r="N305" s="10" t="inlineStr">
        <is>
          <t>PRIMARIOS</t>
        </is>
      </c>
      <c r="O305" s="10" t="inlineStr">
        <is>
          <t>DOCUMENTOS TÉCNICOS</t>
        </is>
      </c>
      <c r="P305" s="10" t="inlineStr">
        <is>
          <t>USO INTERNO(2)</t>
        </is>
      </c>
      <c r="Q305" s="10" t="inlineStr">
        <is>
          <t>BAJA(1)</t>
        </is>
      </c>
      <c r="R305" s="10" t="inlineStr">
        <is>
          <t>BAJA(1)</t>
        </is>
      </c>
      <c r="S305" s="10">
        <f>+(IF(P305="PUBLICA(1)",1,IF(P305="USO INTERNO(2)",2,IF(P305="RESTRINGIDO(3)",3,3))))+(IF(Q305="BAJA(1)",1,IF(Q305="MEDIA(2)",2,IF(Q305="ALTA(3)",3,3))))+(IF(R305="BAJA(1)",1,IF(R305="MEDIA(2)",2,IF(R305="ALTA(3)",3,3))))</f>
        <v/>
      </c>
      <c r="T305" s="10">
        <f>+IF(S305&lt;6,"BAJA",IF(S305&lt;8,"MEDIA","ALTA"))</f>
        <v/>
      </c>
      <c r="U305" s="10" t="inlineStr">
        <is>
          <t>-</t>
        </is>
      </c>
      <c r="V305" s="24" t="n">
        <v>45580</v>
      </c>
      <c r="W305" s="19" t="inlineStr">
        <is>
          <t>N/A</t>
        </is>
      </c>
      <c r="X305" s="10">
        <f>+IFERROR(IF(VLOOKUP(Tabla2[[#This Row],[ID]],'EVALUACION DE RIESGO'!A:A,1,FALSE)=Tabla2[[#This Row],[ID]],"SI","NO"),"NO")</f>
        <v/>
      </c>
      <c r="AD305">
        <f>IF(AND(Y305="",AA305=""),"",IF(OR(LEFT(AA305,2)="L0",LEFT(AA305,2)="L1",Y305="No Iniciado"),"CRÍTICO - Incumplimiento Normativo SEPS",IF(AND(OR(LEFT(AA305,2)="L4",LEFT(AA305,2)="L5"),AND(AC305&lt;&gt;"",AC305&lt;&gt;"N/A")),"CONFORME - Control Efectivo ISO 27001","OBSERVACIÓN - Revisar Controles")))</f>
        <v/>
      </c>
    </row>
    <row r="306">
      <c r="A306" s="99" t="inlineStr">
        <is>
          <t>8-GNE</t>
        </is>
      </c>
      <c r="B306" s="10" t="inlineStr">
        <is>
          <t>PRODUCTIVO</t>
        </is>
      </c>
      <c r="C306" s="10" t="inlineStr">
        <is>
          <t>Gestión de Negocios</t>
        </is>
      </c>
      <c r="D306" s="10" t="inlineStr">
        <is>
          <t>GNE</t>
        </is>
      </c>
      <c r="E306" s="10" t="inlineStr">
        <is>
          <t>Gestión de Marketing</t>
        </is>
      </c>
      <c r="F306" s="10" t="inlineStr">
        <is>
          <t>-</t>
        </is>
      </c>
      <c r="G306" s="10" t="inlineStr">
        <is>
          <t>Diseño y elaboración de promocionales y merchandising</t>
        </is>
      </c>
      <c r="H306" s="10" t="inlineStr">
        <is>
          <t>Acta entrega de material
promocional a oficinas.</t>
        </is>
      </c>
      <c r="I306" s="10" t="inlineStr">
        <is>
          <t>documento que certifica la entrega formal del material de marketing a las oficinas para su distribución.</t>
        </is>
      </c>
      <c r="J306" s="10" t="inlineStr">
        <is>
          <t xml:space="preserve">Jefe de Marketing </t>
        </is>
      </c>
      <c r="K306" s="10" t="inlineStr">
        <is>
          <t>Jefe de Marketing</t>
        </is>
      </c>
      <c r="L306" s="10" t="inlineStr">
        <is>
          <t>UBICACIÓN DIGITAL-EQUIPO DEL RESPONSABLE</t>
        </is>
      </c>
      <c r="M306" s="10" t="inlineStr">
        <is>
          <t>DISCOS DUROS, SERVIDORES, DISCOS O MEDIOS PORTÁTILES, CINTAS O MEDIOS DE VIDEO Y AUDIO, ETC.</t>
        </is>
      </c>
      <c r="N306" s="10" t="inlineStr">
        <is>
          <t>PRIMARIOS</t>
        </is>
      </c>
      <c r="O306" s="10" t="inlineStr">
        <is>
          <t>DOCUMENTOS TÉCNICOS</t>
        </is>
      </c>
      <c r="P306" s="10" t="inlineStr">
        <is>
          <t>USO INTERNO(2)</t>
        </is>
      </c>
      <c r="Q306" s="10" t="inlineStr">
        <is>
          <t>MEDIA(2)</t>
        </is>
      </c>
      <c r="R306" s="10" t="inlineStr">
        <is>
          <t>MEDIA(2)</t>
        </is>
      </c>
      <c r="S306" s="10">
        <f>+(IF(P306="PUBLICA(1)",1,IF(P306="USO INTERNO(2)",2,IF(P306="RESTRINGIDO(3)",3,3))))+(IF(Q306="BAJA(1)",1,IF(Q306="MEDIA(2)",2,IF(Q306="ALTA(3)",3,3))))+(IF(R306="BAJA(1)",1,IF(R306="MEDIA(2)",2,IF(R306="ALTA(3)",3,3))))</f>
        <v/>
      </c>
      <c r="T306" s="10">
        <f>+IF(S306&lt;6,"BAJA",IF(S306&lt;8,"MEDIA","ALTA"))</f>
        <v/>
      </c>
      <c r="U306" s="10" t="inlineStr">
        <is>
          <t>-</t>
        </is>
      </c>
      <c r="V306" s="24" t="n">
        <v>45580</v>
      </c>
      <c r="W306" s="19" t="inlineStr">
        <is>
          <t>N/A</t>
        </is>
      </c>
      <c r="X306" s="10">
        <f>+IFERROR(IF(VLOOKUP(Tabla2[[#This Row],[ID]],'EVALUACION DE RIESGO'!A:A,1,FALSE)=Tabla2[[#This Row],[ID]],"SI","NO"),"NO")</f>
        <v/>
      </c>
      <c r="AD306">
        <f>IF(AND(Y306="",AA306=""),"",IF(OR(LEFT(AA306,2)="L0",LEFT(AA306,2)="L1",Y306="No Iniciado"),"CRÍTICO - Incumplimiento Normativo SEPS",IF(AND(OR(LEFT(AA306,2)="L4",LEFT(AA306,2)="L5"),AND(AC306&lt;&gt;"",AC306&lt;&gt;"N/A")),"CONFORME - Control Efectivo ISO 27001","OBSERVACIÓN - Revisar Controles")))</f>
        <v/>
      </c>
    </row>
    <row r="307">
      <c r="A307" s="99" t="inlineStr">
        <is>
          <t>9-GNE</t>
        </is>
      </c>
      <c r="B307" s="10" t="inlineStr">
        <is>
          <t>PRODUCTIVO</t>
        </is>
      </c>
      <c r="C307" s="10" t="inlineStr">
        <is>
          <t>Gestión de Negocios</t>
        </is>
      </c>
      <c r="D307" s="10" t="inlineStr">
        <is>
          <t>GNE</t>
        </is>
      </c>
      <c r="E307" s="10" t="inlineStr">
        <is>
          <t>Gestión de Marketing</t>
        </is>
      </c>
      <c r="F307" s="10" t="inlineStr">
        <is>
          <t>-</t>
        </is>
      </c>
      <c r="G307" s="10" t="inlineStr">
        <is>
          <t>Diseño y elaboración de promocionales y merchandising</t>
        </is>
      </c>
      <c r="H307" s="10" t="inlineStr">
        <is>
          <t>Registro
de entrega de promocionales.</t>
        </is>
      </c>
      <c r="I307" s="10" t="inlineStr">
        <is>
          <t>Base de datos o listado que lleva el control de la entrega de materiales promocionales, como folletos, flyers y otros productos.</t>
        </is>
      </c>
      <c r="J307" s="10" t="inlineStr">
        <is>
          <t xml:space="preserve">Jefe de Marketing </t>
        </is>
      </c>
      <c r="K307" s="10" t="inlineStr">
        <is>
          <t>Jefe de Marketing</t>
        </is>
      </c>
      <c r="L307" s="10" t="inlineStr">
        <is>
          <t>UBICACIÓN DIGITAL-EQUIPO DEL RESPONSABLE</t>
        </is>
      </c>
      <c r="M307" s="10" t="inlineStr">
        <is>
          <t>DISCOS DUROS, SERVIDORES, DISCOS O MEDIOS PORTÁTILES, CINTAS O MEDIOS DE VIDEO Y AUDIO, ETC.</t>
        </is>
      </c>
      <c r="N307" s="10" t="inlineStr">
        <is>
          <t>PRIMARIOS</t>
        </is>
      </c>
      <c r="O307" s="10" t="inlineStr">
        <is>
          <t>DOCUMENTOS TÉCNICOS</t>
        </is>
      </c>
      <c r="P307" s="10" t="inlineStr">
        <is>
          <t>USO INTERNO(2)</t>
        </is>
      </c>
      <c r="Q307" s="10" t="inlineStr">
        <is>
          <t>MEDIA(2)</t>
        </is>
      </c>
      <c r="R307" s="10" t="inlineStr">
        <is>
          <t>MEDIA(2)</t>
        </is>
      </c>
      <c r="S307" s="10">
        <f>+(IF(P307="PUBLICA(1)",1,IF(P307="USO INTERNO(2)",2,IF(P307="RESTRINGIDO(3)",3,3))))+(IF(Q307="BAJA(1)",1,IF(Q307="MEDIA(2)",2,IF(Q307="ALTA(3)",3,3))))+(IF(R307="BAJA(1)",1,IF(R307="MEDIA(2)",2,IF(R307="ALTA(3)",3,3))))</f>
        <v/>
      </c>
      <c r="T307" s="10">
        <f>+IF(S307&lt;6,"BAJA",IF(S307&lt;8,"MEDIA","ALTA"))</f>
        <v/>
      </c>
      <c r="U307" s="10" t="inlineStr">
        <is>
          <t>-</t>
        </is>
      </c>
      <c r="V307" s="24" t="n">
        <v>45580</v>
      </c>
      <c r="W307" s="19" t="inlineStr">
        <is>
          <t>N/A</t>
        </is>
      </c>
      <c r="X307" s="10">
        <f>+IFERROR(IF(VLOOKUP(Tabla2[[#This Row],[ID]],'EVALUACION DE RIESGO'!A:A,1,FALSE)=Tabla2[[#This Row],[ID]],"SI","NO"),"NO")</f>
        <v/>
      </c>
      <c r="AD307">
        <f>IF(AND(Y307="",AA307=""),"",IF(OR(LEFT(AA307,2)="L0",LEFT(AA307,2)="L1",Y307="No Iniciado"),"CRÍTICO - Incumplimiento Normativo SEPS",IF(AND(OR(LEFT(AA307,2)="L4",LEFT(AA307,2)="L5"),AND(AC307&lt;&gt;"",AC307&lt;&gt;"N/A")),"CONFORME - Control Efectivo ISO 27001","OBSERVACIÓN - Revisar Controles")))</f>
        <v/>
      </c>
    </row>
    <row r="308">
      <c r="A308" s="99" t="inlineStr">
        <is>
          <t>10-GNE</t>
        </is>
      </c>
      <c r="B308" s="10" t="inlineStr">
        <is>
          <t>PRODUCTIVO</t>
        </is>
      </c>
      <c r="C308" s="10" t="inlineStr">
        <is>
          <t>Gestión de Negocios</t>
        </is>
      </c>
      <c r="D308" s="10" t="inlineStr">
        <is>
          <t>GNE</t>
        </is>
      </c>
      <c r="E308" s="10" t="inlineStr">
        <is>
          <t>Gestión de Marketing</t>
        </is>
      </c>
      <c r="F308" s="10" t="inlineStr">
        <is>
          <t>-</t>
        </is>
      </c>
      <c r="G308" s="10" t="inlineStr">
        <is>
          <t>Diseño y elaboración de promocionales y merchandising</t>
        </is>
      </c>
      <c r="H308" s="10" t="inlineStr">
        <is>
          <t>Kardex del material</t>
        </is>
      </c>
      <c r="I308" s="10" t="inlineStr">
        <is>
          <t>Sistema de control y registro de existencias y movimientos del material promocional, para asegurar su disponibilidad y uso adecuado.</t>
        </is>
      </c>
      <c r="J308" s="10" t="inlineStr">
        <is>
          <t xml:space="preserve">Jefe de Marketing </t>
        </is>
      </c>
      <c r="K308" s="10" t="inlineStr">
        <is>
          <t>Jefe de Marketing</t>
        </is>
      </c>
      <c r="L308" s="10" t="inlineStr">
        <is>
          <t>UBICACIÓN DIGITAL-EQUIPO DEL RESPONSABLE</t>
        </is>
      </c>
      <c r="M308" s="10" t="inlineStr">
        <is>
          <t>DISCOS DUROS, SERVIDORES, DISCOS O MEDIOS PORTÁTILES, CINTAS O MEDIOS DE VIDEO Y AUDIO, ETC.</t>
        </is>
      </c>
      <c r="N308" s="10" t="inlineStr">
        <is>
          <t>PRIMARIOS</t>
        </is>
      </c>
      <c r="O308" s="10" t="inlineStr">
        <is>
          <t>DOCUMENTOS TÉCNICOS</t>
        </is>
      </c>
      <c r="P308" s="10" t="inlineStr">
        <is>
          <t>USO INTERNO(2)</t>
        </is>
      </c>
      <c r="Q308" s="10" t="inlineStr">
        <is>
          <t>BAJA(1)</t>
        </is>
      </c>
      <c r="R308" s="10" t="inlineStr">
        <is>
          <t>MEDIA(2)</t>
        </is>
      </c>
      <c r="S308" s="10">
        <f>+(IF(P308="PUBLICA(1)",1,IF(P308="USO INTERNO(2)",2,IF(P308="RESTRINGIDO(3)",3,3))))+(IF(Q308="BAJA(1)",1,IF(Q308="MEDIA(2)",2,IF(Q308="ALTA(3)",3,3))))+(IF(R308="BAJA(1)",1,IF(R308="MEDIA(2)",2,IF(R308="ALTA(3)",3,3))))</f>
        <v/>
      </c>
      <c r="T308" s="10">
        <f>+IF(S308&lt;6,"BAJA",IF(S308&lt;8,"MEDIA","ALTA"))</f>
        <v/>
      </c>
      <c r="U308" s="10" t="inlineStr">
        <is>
          <t>-</t>
        </is>
      </c>
      <c r="V308" s="24" t="n">
        <v>45580</v>
      </c>
      <c r="W308" s="19" t="inlineStr">
        <is>
          <t>N/A</t>
        </is>
      </c>
      <c r="X308" s="10">
        <f>+IFERROR(IF(VLOOKUP(Tabla2[[#This Row],[ID]],'EVALUACION DE RIESGO'!A:A,1,FALSE)=Tabla2[[#This Row],[ID]],"SI","NO"),"NO")</f>
        <v/>
      </c>
      <c r="AD308">
        <f>IF(AND(Y308="",AA308=""),"",IF(OR(LEFT(AA308,2)="L0",LEFT(AA308,2)="L1",Y308="No Iniciado"),"CRÍTICO - Incumplimiento Normativo SEPS",IF(AND(OR(LEFT(AA308,2)="L4",LEFT(AA308,2)="L5"),AND(AC308&lt;&gt;"",AC308&lt;&gt;"N/A")),"CONFORME - Control Efectivo ISO 27001","OBSERVACIÓN - Revisar Controles")))</f>
        <v/>
      </c>
    </row>
    <row r="309">
      <c r="A309" s="99" t="inlineStr">
        <is>
          <t>11-GNE</t>
        </is>
      </c>
      <c r="B309" s="10" t="inlineStr">
        <is>
          <t>PRODUCTIVO</t>
        </is>
      </c>
      <c r="C309" s="10" t="inlineStr">
        <is>
          <t>Gestión de Negocios</t>
        </is>
      </c>
      <c r="D309" s="10" t="inlineStr">
        <is>
          <t>GNE</t>
        </is>
      </c>
      <c r="E309" s="10" t="inlineStr">
        <is>
          <t>Gestión de Marketing</t>
        </is>
      </c>
      <c r="F309" s="10" t="inlineStr">
        <is>
          <t>-</t>
        </is>
      </c>
      <c r="G309" s="10" t="inlineStr">
        <is>
          <t>Calificación y ejecución de auspicios publicitarios</t>
        </is>
      </c>
      <c r="H309" s="10" t="inlineStr">
        <is>
          <t>Formulario de solicitud de
auspicios.</t>
        </is>
      </c>
      <c r="I309" s="10" t="inlineStr">
        <is>
          <t>Documento que se utiliza para solicitar el apoyo de patrocinadores o empresas para eventos o actividades de marketing.</t>
        </is>
      </c>
      <c r="J309" s="10" t="inlineStr">
        <is>
          <t xml:space="preserve">Jefe de Marketing </t>
        </is>
      </c>
      <c r="K309" s="10" t="inlineStr">
        <is>
          <t>Jefe de Marketing</t>
        </is>
      </c>
      <c r="L309" s="10" t="inlineStr">
        <is>
          <t>UBICACIÓN DIGITAL-EQUIPO DEL RESPONSABLE</t>
        </is>
      </c>
      <c r="M309" s="10" t="inlineStr">
        <is>
          <t>DISCOS DUROS, SERVIDORES, DISCOS O MEDIOS PORTÁTILES, CINTAS O MEDIOS DE VIDEO Y AUDIO, ETC.</t>
        </is>
      </c>
      <c r="N309" s="10" t="inlineStr">
        <is>
          <t>PRIMARIOS</t>
        </is>
      </c>
      <c r="O309" s="10" t="inlineStr">
        <is>
          <t>DOCUMENTOS TÉCNICOS</t>
        </is>
      </c>
      <c r="P309" s="10" t="inlineStr">
        <is>
          <t>USO INTERNO(2)</t>
        </is>
      </c>
      <c r="Q309" s="10" t="inlineStr">
        <is>
          <t>BAJA(1)</t>
        </is>
      </c>
      <c r="R309" s="10" t="inlineStr">
        <is>
          <t>MEDIA(2)</t>
        </is>
      </c>
      <c r="S309" s="10">
        <f>+(IF(P309="PUBLICA(1)",1,IF(P309="USO INTERNO(2)",2,IF(P309="RESTRINGIDO(3)",3,3))))+(IF(Q309="BAJA(1)",1,IF(Q309="MEDIA(2)",2,IF(Q309="ALTA(3)",3,3))))+(IF(R309="BAJA(1)",1,IF(R309="MEDIA(2)",2,IF(R309="ALTA(3)",3,3))))</f>
        <v/>
      </c>
      <c r="T309" s="10">
        <f>+IF(S309&lt;6,"BAJA",IF(S309&lt;8,"MEDIA","ALTA"))</f>
        <v/>
      </c>
      <c r="U309" s="10" t="inlineStr">
        <is>
          <t>-</t>
        </is>
      </c>
      <c r="V309" s="24" t="n">
        <v>45580</v>
      </c>
      <c r="W309" s="19" t="inlineStr">
        <is>
          <t>N/A</t>
        </is>
      </c>
      <c r="X309" s="10">
        <f>+IFERROR(IF(VLOOKUP(Tabla2[[#This Row],[ID]],'EVALUACION DE RIESGO'!A:A,1,FALSE)=Tabla2[[#This Row],[ID]],"SI","NO"),"NO")</f>
        <v/>
      </c>
      <c r="AD309">
        <f>IF(AND(Y309="",AA309=""),"",IF(OR(LEFT(AA309,2)="L0",LEFT(AA309,2)="L1",Y309="No Iniciado"),"CRÍTICO - Incumplimiento Normativo SEPS",IF(AND(OR(LEFT(AA309,2)="L4",LEFT(AA309,2)="L5"),AND(AC309&lt;&gt;"",AC309&lt;&gt;"N/A")),"CONFORME - Control Efectivo ISO 27001","OBSERVACIÓN - Revisar Controles")))</f>
        <v/>
      </c>
    </row>
    <row r="310">
      <c r="A310" s="99" t="inlineStr">
        <is>
          <t>12-GNE</t>
        </is>
      </c>
      <c r="B310" s="10" t="inlineStr">
        <is>
          <t>PRODUCTIVO</t>
        </is>
      </c>
      <c r="C310" s="10" t="inlineStr">
        <is>
          <t>Gestión de Negocios</t>
        </is>
      </c>
      <c r="D310" s="10" t="inlineStr">
        <is>
          <t>GNE</t>
        </is>
      </c>
      <c r="E310" s="10" t="inlineStr">
        <is>
          <t>Gestión de Marketing</t>
        </is>
      </c>
      <c r="F310" s="10" t="inlineStr">
        <is>
          <t>-</t>
        </is>
      </c>
      <c r="G310" s="10" t="inlineStr">
        <is>
          <t>Calificación y ejecución de auspicios publicitarios</t>
        </is>
      </c>
      <c r="H310" s="10" t="inlineStr">
        <is>
          <t>Formato de Solicitud de
auspicios</t>
        </is>
      </c>
      <c r="I310" s="10" t="inlineStr">
        <is>
          <t>Formato estándar para realizar la solicitud formal de auspicio a posibles patrocinadores o colaboradores.</t>
        </is>
      </c>
      <c r="J310" s="10" t="inlineStr">
        <is>
          <t xml:space="preserve">Jefe de Marketing </t>
        </is>
      </c>
      <c r="K310" s="10" t="inlineStr">
        <is>
          <t>Jefe de Marketing</t>
        </is>
      </c>
      <c r="L310" s="10" t="inlineStr">
        <is>
          <t>UBICACIÓN DIGITAL-EQUIPO DEL RESPONSABLE</t>
        </is>
      </c>
      <c r="M310" s="10" t="inlineStr">
        <is>
          <t>DISCOS DUROS, SERVIDORES, DISCOS O MEDIOS PORTÁTILES, CINTAS O MEDIOS DE VIDEO Y AUDIO, ETC.</t>
        </is>
      </c>
      <c r="N310" s="10" t="inlineStr">
        <is>
          <t>PRIMARIOS</t>
        </is>
      </c>
      <c r="O310" s="10" t="inlineStr">
        <is>
          <t>DOCUMENTOS TÉCNICOS</t>
        </is>
      </c>
      <c r="P310" s="10" t="inlineStr">
        <is>
          <t>USO INTERNO(2)</t>
        </is>
      </c>
      <c r="Q310" s="10" t="inlineStr">
        <is>
          <t>BAJA(1)</t>
        </is>
      </c>
      <c r="R310" s="10" t="inlineStr">
        <is>
          <t>MEDIA(2)</t>
        </is>
      </c>
      <c r="S310" s="10">
        <f>+(IF(P310="PUBLICA(1)",1,IF(P310="USO INTERNO(2)",2,IF(P310="RESTRINGIDO(3)",3,3))))+(IF(Q310="BAJA(1)",1,IF(Q310="MEDIA(2)",2,IF(Q310="ALTA(3)",3,3))))+(IF(R310="BAJA(1)",1,IF(R310="MEDIA(2)",2,IF(R310="ALTA(3)",3,3))))</f>
        <v/>
      </c>
      <c r="T310" s="10">
        <f>+IF(S310&lt;6,"BAJA",IF(S310&lt;8,"MEDIA","ALTA"))</f>
        <v/>
      </c>
      <c r="U310" s="10" t="inlineStr">
        <is>
          <t>-</t>
        </is>
      </c>
      <c r="V310" s="24" t="n">
        <v>45580</v>
      </c>
      <c r="W310" s="19" t="inlineStr">
        <is>
          <t>N/A</t>
        </is>
      </c>
      <c r="X310" s="10">
        <f>+IFERROR(IF(VLOOKUP(Tabla2[[#This Row],[ID]],'EVALUACION DE RIESGO'!A:A,1,FALSE)=Tabla2[[#This Row],[ID]],"SI","NO"),"NO")</f>
        <v/>
      </c>
      <c r="AD310">
        <f>IF(AND(Y310="",AA310=""),"",IF(OR(LEFT(AA310,2)="L0",LEFT(AA310,2)="L1",Y310="No Iniciado"),"CRÍTICO - Incumplimiento Normativo SEPS",IF(AND(OR(LEFT(AA310,2)="L4",LEFT(AA310,2)="L5"),AND(AC310&lt;&gt;"",AC310&lt;&gt;"N/A")),"CONFORME - Control Efectivo ISO 27001","OBSERVACIÓN - Revisar Controles")))</f>
        <v/>
      </c>
    </row>
    <row r="311">
      <c r="A311" s="99" t="inlineStr">
        <is>
          <t>13-GNE</t>
        </is>
      </c>
      <c r="B311" s="10" t="inlineStr">
        <is>
          <t>PRODUCTIVO</t>
        </is>
      </c>
      <c r="C311" s="10" t="inlineStr">
        <is>
          <t>Gestión de Negocios</t>
        </is>
      </c>
      <c r="D311" s="10" t="inlineStr">
        <is>
          <t>GNE</t>
        </is>
      </c>
      <c r="E311" s="10" t="inlineStr">
        <is>
          <t>Gestión de Marketing</t>
        </is>
      </c>
      <c r="F311" s="10" t="inlineStr">
        <is>
          <t>-</t>
        </is>
      </c>
      <c r="G311" s="10" t="inlineStr">
        <is>
          <t>Calificación y ejecución de auspicios publicitarios</t>
        </is>
      </c>
      <c r="H311" s="10" t="inlineStr">
        <is>
          <t>Formato de Análisis de 
Solicitud de Auspicio.</t>
        </is>
      </c>
      <c r="I311" s="10" t="inlineStr">
        <is>
          <t>Herramienta utilizada para evaluar las solicitudes de auspicio recibidas, analizando su viabilidad y los beneficios asociados.</t>
        </is>
      </c>
      <c r="J311" s="10" t="inlineStr">
        <is>
          <t xml:space="preserve">Jefe de Marketing </t>
        </is>
      </c>
      <c r="K311" s="10" t="inlineStr">
        <is>
          <t>Jefe de Marketing</t>
        </is>
      </c>
      <c r="L311" s="10" t="inlineStr">
        <is>
          <t>UBICACIÓN DIGITAL-EQUIPO DEL RESPONSABLE</t>
        </is>
      </c>
      <c r="M311" s="10" t="inlineStr">
        <is>
          <t>DISCOS DUROS, SERVIDORES, DISCOS O MEDIOS PORTÁTILES, CINTAS O MEDIOS DE VIDEO Y AUDIO, ETC.</t>
        </is>
      </c>
      <c r="N311" s="10" t="inlineStr">
        <is>
          <t>PRIMARIOS</t>
        </is>
      </c>
      <c r="O311" s="10" t="inlineStr">
        <is>
          <t>DOCUMENTOS TÉCNICOS</t>
        </is>
      </c>
      <c r="P311" s="10" t="inlineStr">
        <is>
          <t>USO INTERNO(2)</t>
        </is>
      </c>
      <c r="Q311" s="10" t="inlineStr">
        <is>
          <t>BAJA(1)</t>
        </is>
      </c>
      <c r="R311" s="10" t="inlineStr">
        <is>
          <t>MEDIA(2)</t>
        </is>
      </c>
      <c r="S311" s="10">
        <f>+(IF(P311="PUBLICA(1)",1,IF(P311="USO INTERNO(2)",2,IF(P311="RESTRINGIDO(3)",3,3))))+(IF(Q311="BAJA(1)",1,IF(Q311="MEDIA(2)",2,IF(Q311="ALTA(3)",3,3))))+(IF(R311="BAJA(1)",1,IF(R311="MEDIA(2)",2,IF(R311="ALTA(3)",3,3))))</f>
        <v/>
      </c>
      <c r="T311" s="10">
        <f>+IF(S311&lt;6,"BAJA",IF(S311&lt;8,"MEDIA","ALTA"))</f>
        <v/>
      </c>
      <c r="U311" s="10" t="inlineStr">
        <is>
          <t>-</t>
        </is>
      </c>
      <c r="V311" s="24" t="n">
        <v>45580</v>
      </c>
      <c r="W311" s="19" t="inlineStr">
        <is>
          <t>N/A</t>
        </is>
      </c>
      <c r="X311" s="10">
        <f>+IFERROR(IF(VLOOKUP(Tabla2[[#This Row],[ID]],'EVALUACION DE RIESGO'!A:A,1,FALSE)=Tabla2[[#This Row],[ID]],"SI","NO"),"NO")</f>
        <v/>
      </c>
      <c r="AD311">
        <f>IF(AND(Y311="",AA311=""),"",IF(OR(LEFT(AA311,2)="L0",LEFT(AA311,2)="L1",Y311="No Iniciado"),"CRÍTICO - Incumplimiento Normativo SEPS",IF(AND(OR(LEFT(AA311,2)="L4",LEFT(AA311,2)="L5"),AND(AC311&lt;&gt;"",AC311&lt;&gt;"N/A")),"CONFORME - Control Efectivo ISO 27001","OBSERVACIÓN - Revisar Controles")))</f>
        <v/>
      </c>
    </row>
    <row r="312">
      <c r="A312" s="99" t="inlineStr">
        <is>
          <t>14-GNE</t>
        </is>
      </c>
      <c r="B312" s="10" t="inlineStr">
        <is>
          <t>PRODUCTIVO</t>
        </is>
      </c>
      <c r="C312" s="10" t="inlineStr">
        <is>
          <t>Gestión de Negocios</t>
        </is>
      </c>
      <c r="D312" s="10" t="inlineStr">
        <is>
          <t>GNE</t>
        </is>
      </c>
      <c r="E312" s="10" t="inlineStr">
        <is>
          <t>Gestión de Marketing</t>
        </is>
      </c>
      <c r="F312" s="10" t="inlineStr">
        <is>
          <t>-</t>
        </is>
      </c>
      <c r="G312" s="10" t="inlineStr">
        <is>
          <t>Calificación y ejecución de auspicios publicitarios</t>
        </is>
      </c>
      <c r="H312" s="10" t="inlineStr">
        <is>
          <t>Acta entrega recepción del auspicio</t>
        </is>
      </c>
      <c r="I312" s="10" t="inlineStr">
        <is>
          <t>Documento que valida la entrega del auspicio, confirmando que los materiales o recursos solicitados han sido recibidos correctamente.</t>
        </is>
      </c>
      <c r="J312" s="10" t="inlineStr">
        <is>
          <t xml:space="preserve">Jefe de Marketing </t>
        </is>
      </c>
      <c r="K312" s="10" t="inlineStr">
        <is>
          <t>Jefe de Marketing</t>
        </is>
      </c>
      <c r="L312" s="10" t="inlineStr">
        <is>
          <t>UBICACIÓN DIGITAL-EQUIPO DEL RESPONSABLE</t>
        </is>
      </c>
      <c r="M312" s="10" t="inlineStr">
        <is>
          <t>DISCOS DUROS, SERVIDORES, DISCOS O MEDIOS PORTÁTILES, CINTAS O MEDIOS DE VIDEO Y AUDIO, ETC.</t>
        </is>
      </c>
      <c r="N312" s="10" t="inlineStr">
        <is>
          <t>PRIMARIOS</t>
        </is>
      </c>
      <c r="O312" s="10" t="inlineStr">
        <is>
          <t>DOCUMENTOS TÉCNICOS</t>
        </is>
      </c>
      <c r="P312" s="10" t="inlineStr">
        <is>
          <t>USO INTERNO(2)</t>
        </is>
      </c>
      <c r="Q312" s="10" t="inlineStr">
        <is>
          <t>MEDIA(2)</t>
        </is>
      </c>
      <c r="R312" s="10" t="inlineStr">
        <is>
          <t>MEDIA(2)</t>
        </is>
      </c>
      <c r="S312" s="10">
        <f>+(IF(P312="PUBLICA(1)",1,IF(P312="USO INTERNO(2)",2,IF(P312="RESTRINGIDO(3)",3,3))))+(IF(Q312="BAJA(1)",1,IF(Q312="MEDIA(2)",2,IF(Q312="ALTA(3)",3,3))))+(IF(R312="BAJA(1)",1,IF(R312="MEDIA(2)",2,IF(R312="ALTA(3)",3,3))))</f>
        <v/>
      </c>
      <c r="T312" s="10">
        <f>+IF(S312&lt;6,"BAJA",IF(S312&lt;8,"MEDIA","ALTA"))</f>
        <v/>
      </c>
      <c r="U312" s="10" t="inlineStr">
        <is>
          <t>-</t>
        </is>
      </c>
      <c r="V312" s="24" t="n">
        <v>45580</v>
      </c>
      <c r="W312" s="19" t="inlineStr">
        <is>
          <t>N/A</t>
        </is>
      </c>
      <c r="X312" s="10">
        <f>+IFERROR(IF(VLOOKUP(Tabla2[[#This Row],[ID]],'EVALUACION DE RIESGO'!A:A,1,FALSE)=Tabla2[[#This Row],[ID]],"SI","NO"),"NO")</f>
        <v/>
      </c>
      <c r="AD312">
        <f>IF(AND(Y312="",AA312=""),"",IF(OR(LEFT(AA312,2)="L0",LEFT(AA312,2)="L1",Y312="No Iniciado"),"CRÍTICO - Incumplimiento Normativo SEPS",IF(AND(OR(LEFT(AA312,2)="L4",LEFT(AA312,2)="L5"),AND(AC312&lt;&gt;"",AC312&lt;&gt;"N/A")),"CONFORME - Control Efectivo ISO 27001","OBSERVACIÓN - Revisar Controles")))</f>
        <v/>
      </c>
    </row>
    <row r="313">
      <c r="A313" s="99" t="inlineStr">
        <is>
          <t>15-GNE</t>
        </is>
      </c>
      <c r="B313" s="10" t="inlineStr">
        <is>
          <t>PRODUCTIVO</t>
        </is>
      </c>
      <c r="C313" s="10" t="inlineStr">
        <is>
          <t>Gestión de Negocios</t>
        </is>
      </c>
      <c r="D313" s="10" t="inlineStr">
        <is>
          <t>GNE</t>
        </is>
      </c>
      <c r="E313" s="10" t="inlineStr">
        <is>
          <t>Gestión de Marketing</t>
        </is>
      </c>
      <c r="F313" s="10" t="inlineStr">
        <is>
          <t>-</t>
        </is>
      </c>
      <c r="G313" s="10" t="inlineStr">
        <is>
          <t xml:space="preserve">Ejecución de sorteos                              </t>
        </is>
      </c>
      <c r="H313" s="10" t="inlineStr">
        <is>
          <t>Registro
de números
participantes entregados.</t>
        </is>
      </c>
      <c r="I313" s="10" t="inlineStr">
        <is>
          <t>Control de los números asignados a los participantes en promociones, sorteos o eventos de marketing.</t>
        </is>
      </c>
      <c r="J313" s="10" t="inlineStr">
        <is>
          <t xml:space="preserve">Jefe de Marketing </t>
        </is>
      </c>
      <c r="K313" s="10" t="inlineStr">
        <is>
          <t>Jefe de Marketing</t>
        </is>
      </c>
      <c r="L313" s="10" t="inlineStr">
        <is>
          <t>UBICACIÓN DIGITAL-EQUIPO DEL RESPONSABLE</t>
        </is>
      </c>
      <c r="M313" s="10" t="inlineStr">
        <is>
          <t>DISCOS DUROS, SERVIDORES, DISCOS O MEDIOS PORTÁTILES, CINTAS O MEDIOS DE VIDEO Y AUDIO, ETC.</t>
        </is>
      </c>
      <c r="N313" s="10" t="inlineStr">
        <is>
          <t>PRIMARIOS</t>
        </is>
      </c>
      <c r="O313" s="10" t="inlineStr">
        <is>
          <t>DOCUMENTOS TÉCNICOS</t>
        </is>
      </c>
      <c r="P313" s="10" t="inlineStr">
        <is>
          <t>USO INTERNO(2)</t>
        </is>
      </c>
      <c r="Q313" s="10" t="inlineStr">
        <is>
          <t>MEDIA(2)</t>
        </is>
      </c>
      <c r="R313" s="10" t="inlineStr">
        <is>
          <t>BAJA(1)</t>
        </is>
      </c>
      <c r="S313" s="10">
        <f>+(IF(P313="PUBLICA(1)",1,IF(P313="USO INTERNO(2)",2,IF(P313="RESTRINGIDO(3)",3,3))))+(IF(Q313="BAJA(1)",1,IF(Q313="MEDIA(2)",2,IF(Q313="ALTA(3)",3,3))))+(IF(R313="BAJA(1)",1,IF(R313="MEDIA(2)",2,IF(R313="ALTA(3)",3,3))))</f>
        <v/>
      </c>
      <c r="T313" s="10">
        <f>+IF(S313&lt;6,"BAJA",IF(S313&lt;8,"MEDIA","ALTA"))</f>
        <v/>
      </c>
      <c r="U313" s="10" t="inlineStr">
        <is>
          <t>-</t>
        </is>
      </c>
      <c r="V313" s="24" t="n">
        <v>45580</v>
      </c>
      <c r="W313" s="19" t="inlineStr">
        <is>
          <t>N/A</t>
        </is>
      </c>
      <c r="X313" s="10">
        <f>+IFERROR(IF(VLOOKUP(Tabla2[[#This Row],[ID]],'EVALUACION DE RIESGO'!A:A,1,FALSE)=Tabla2[[#This Row],[ID]],"SI","NO"),"NO")</f>
        <v/>
      </c>
      <c r="AD313">
        <f>IF(AND(Y313="",AA313=""),"",IF(OR(LEFT(AA313,2)="L0",LEFT(AA313,2)="L1",Y313="No Iniciado"),"CRÍTICO - Incumplimiento Normativo SEPS",IF(AND(OR(LEFT(AA313,2)="L4",LEFT(AA313,2)="L5"),AND(AC313&lt;&gt;"",AC313&lt;&gt;"N/A")),"CONFORME - Control Efectivo ISO 27001","OBSERVACIÓN - Revisar Controles")))</f>
        <v/>
      </c>
    </row>
    <row r="314">
      <c r="A314" s="99" t="inlineStr">
        <is>
          <t>16-GNE</t>
        </is>
      </c>
      <c r="B314" s="10" t="inlineStr">
        <is>
          <t>PRODUCTIVO</t>
        </is>
      </c>
      <c r="C314" s="10" t="inlineStr">
        <is>
          <t>Gestión de Negocios</t>
        </is>
      </c>
      <c r="D314" s="10" t="inlineStr">
        <is>
          <t>GNE</t>
        </is>
      </c>
      <c r="E314" s="10" t="inlineStr">
        <is>
          <t>Gestión de Marketing</t>
        </is>
      </c>
      <c r="F314" s="10" t="inlineStr">
        <is>
          <t>-</t>
        </is>
      </c>
      <c r="G314" s="10" t="inlineStr">
        <is>
          <t xml:space="preserve">Ejecución de sorteos                              </t>
        </is>
      </c>
      <c r="H314" s="10" t="inlineStr">
        <is>
          <t>Acta entrega recepción de
los premios.</t>
        </is>
      </c>
      <c r="I314" s="10" t="inlineStr">
        <is>
          <t xml:space="preserve">Acta que certifica la entrega de premios a los ganadores de concursos, sorteos o promociones organizadas.
</t>
        </is>
      </c>
      <c r="J314" s="10" t="inlineStr">
        <is>
          <t xml:space="preserve">Jefe de Marketing </t>
        </is>
      </c>
      <c r="K314" s="10" t="inlineStr">
        <is>
          <t>Jefe de Marketing</t>
        </is>
      </c>
      <c r="L314" s="10" t="inlineStr">
        <is>
          <t>UBICACIÓN DIGITAL-EQUIPO DEL RESPONSABLE</t>
        </is>
      </c>
      <c r="M314" s="10" t="inlineStr">
        <is>
          <t>DISCOS DUROS, SERVIDORES, DISCOS O MEDIOS PORTÁTILES, CINTAS O MEDIOS DE VIDEO Y AUDIO, ETC.</t>
        </is>
      </c>
      <c r="N314" s="10" t="inlineStr">
        <is>
          <t>PRIMARIOS</t>
        </is>
      </c>
      <c r="O314" s="10" t="inlineStr">
        <is>
          <t>DOCUMENTOS TÉCNICOS</t>
        </is>
      </c>
      <c r="P314" s="10" t="inlineStr">
        <is>
          <t>USO INTERNO(2)</t>
        </is>
      </c>
      <c r="Q314" s="10" t="inlineStr">
        <is>
          <t>MEDIA(2)</t>
        </is>
      </c>
      <c r="R314" s="10" t="inlineStr">
        <is>
          <t>MEDIA(2)</t>
        </is>
      </c>
      <c r="S314" s="10">
        <f>+(IF(P314="PUBLICA(1)",1,IF(P314="USO INTERNO(2)",2,IF(P314="RESTRINGIDO(3)",3,3))))+(IF(Q314="BAJA(1)",1,IF(Q314="MEDIA(2)",2,IF(Q314="ALTA(3)",3,3))))+(IF(R314="BAJA(1)",1,IF(R314="MEDIA(2)",2,IF(R314="ALTA(3)",3,3))))</f>
        <v/>
      </c>
      <c r="T314" s="10">
        <f>+IF(S314&lt;6,"BAJA",IF(S314&lt;8,"MEDIA","ALTA"))</f>
        <v/>
      </c>
      <c r="U314" s="10" t="inlineStr">
        <is>
          <t>-</t>
        </is>
      </c>
      <c r="V314" s="24" t="n">
        <v>45580</v>
      </c>
      <c r="W314" s="19" t="inlineStr">
        <is>
          <t>N/A</t>
        </is>
      </c>
      <c r="X314" s="10">
        <f>+IFERROR(IF(VLOOKUP(Tabla2[[#This Row],[ID]],'EVALUACION DE RIESGO'!A:A,1,FALSE)=Tabla2[[#This Row],[ID]],"SI","NO"),"NO")</f>
        <v/>
      </c>
      <c r="AD314">
        <f>IF(AND(Y314="",AA314=""),"",IF(OR(LEFT(AA314,2)="L0",LEFT(AA314,2)="L1",Y314="No Iniciado"),"CRÍTICO - Incumplimiento Normativo SEPS",IF(AND(OR(LEFT(AA314,2)="L4",LEFT(AA314,2)="L5"),AND(AC314&lt;&gt;"",AC314&lt;&gt;"N/A")),"CONFORME - Control Efectivo ISO 27001","OBSERVACIÓN - Revisar Controles")))</f>
        <v/>
      </c>
    </row>
    <row r="315">
      <c r="A315" s="99" t="inlineStr">
        <is>
          <t>17-GNE</t>
        </is>
      </c>
      <c r="B315" s="10" t="inlineStr">
        <is>
          <t>PRODUCTIVO</t>
        </is>
      </c>
      <c r="C315" s="10" t="inlineStr">
        <is>
          <t>Gestión de Negocios</t>
        </is>
      </c>
      <c r="D315" s="10" t="inlineStr">
        <is>
          <t>GNE</t>
        </is>
      </c>
      <c r="E315" s="10" t="inlineStr">
        <is>
          <t>Gestión de Marketing</t>
        </is>
      </c>
      <c r="F315" s="10" t="inlineStr">
        <is>
          <t>-</t>
        </is>
      </c>
      <c r="G315" s="10" t="inlineStr">
        <is>
          <t xml:space="preserve">Ejecución de sorteos                              </t>
        </is>
      </c>
      <c r="H315" s="10" t="inlineStr">
        <is>
          <t>Análisis de resultados de
sorteos.</t>
        </is>
      </c>
      <c r="I315" s="10" t="inlineStr">
        <is>
          <t>Evaluación de los sorteos realizados, analizando la participación, el impacto y la efectividad de las promociones.</t>
        </is>
      </c>
      <c r="J315" s="10" t="inlineStr">
        <is>
          <t xml:space="preserve">Jefe de Marketing </t>
        </is>
      </c>
      <c r="K315" s="10" t="inlineStr">
        <is>
          <t>Jefe de Marketing</t>
        </is>
      </c>
      <c r="L315" s="10" t="inlineStr">
        <is>
          <t>UBICACIÓN DIGITAL-EQUIPO DEL RESPONSABLE</t>
        </is>
      </c>
      <c r="M315" s="10" t="inlineStr">
        <is>
          <t>DISCOS DUROS, SERVIDORES, DISCOS O MEDIOS PORTÁTILES, CINTAS O MEDIOS DE VIDEO Y AUDIO, ETC.</t>
        </is>
      </c>
      <c r="N315" s="10" t="inlineStr">
        <is>
          <t>PRIMARIOS</t>
        </is>
      </c>
      <c r="O315" s="10" t="inlineStr">
        <is>
          <t>DOCUMENTOS TÉCNICOS</t>
        </is>
      </c>
      <c r="P315" s="10" t="inlineStr">
        <is>
          <t>USO INTERNO(2)</t>
        </is>
      </c>
      <c r="Q315" s="10" t="inlineStr">
        <is>
          <t>BAJA(1)</t>
        </is>
      </c>
      <c r="R315" s="10" t="inlineStr">
        <is>
          <t>BAJA(1)</t>
        </is>
      </c>
      <c r="S315" s="10">
        <f>+(IF(P315="PUBLICA(1)",1,IF(P315="USO INTERNO(2)",2,IF(P315="RESTRINGIDO(3)",3,3))))+(IF(Q315="BAJA(1)",1,IF(Q315="MEDIA(2)",2,IF(Q315="ALTA(3)",3,3))))+(IF(R315="BAJA(1)",1,IF(R315="MEDIA(2)",2,IF(R315="ALTA(3)",3,3))))</f>
        <v/>
      </c>
      <c r="T315" s="10">
        <f>+IF(S315&lt;6,"BAJA",IF(S315&lt;8,"MEDIA","ALTA"))</f>
        <v/>
      </c>
      <c r="U315" s="10" t="inlineStr">
        <is>
          <t>-</t>
        </is>
      </c>
      <c r="V315" s="24" t="n">
        <v>45580</v>
      </c>
      <c r="W315" s="19" t="inlineStr">
        <is>
          <t>N/A</t>
        </is>
      </c>
      <c r="X315" s="10">
        <f>+IFERROR(IF(VLOOKUP(Tabla2[[#This Row],[ID]],'EVALUACION DE RIESGO'!A:A,1,FALSE)=Tabla2[[#This Row],[ID]],"SI","NO"),"NO")</f>
        <v/>
      </c>
      <c r="AD315">
        <f>IF(AND(Y315="",AA315=""),"",IF(OR(LEFT(AA315,2)="L0",LEFT(AA315,2)="L1",Y315="No Iniciado"),"CRÍTICO - Incumplimiento Normativo SEPS",IF(AND(OR(LEFT(AA315,2)="L4",LEFT(AA315,2)="L5"),AND(AC315&lt;&gt;"",AC315&lt;&gt;"N/A")),"CONFORME - Control Efectivo ISO 27001","OBSERVACIÓN - Revisar Controles")))</f>
        <v/>
      </c>
    </row>
    <row r="316">
      <c r="A316" s="99" t="inlineStr">
        <is>
          <t>18-GNE</t>
        </is>
      </c>
      <c r="B316" s="10" t="inlineStr">
        <is>
          <t>PRODUCTIVO</t>
        </is>
      </c>
      <c r="C316" s="10" t="inlineStr">
        <is>
          <t>Gestión de Negocios</t>
        </is>
      </c>
      <c r="D316" s="10" t="inlineStr">
        <is>
          <t>GNE</t>
        </is>
      </c>
      <c r="E316" s="10" t="inlineStr">
        <is>
          <t>Gestión de Marketing</t>
        </is>
      </c>
      <c r="F316" s="10" t="inlineStr">
        <is>
          <t>-</t>
        </is>
      </c>
      <c r="G316" s="10" t="inlineStr">
        <is>
          <t>Manejo de Redes Sociales</t>
        </is>
      </c>
      <c r="H316" s="10" t="inlineStr">
        <is>
          <t>Cronograma de eventos y
fechas cívicas.</t>
        </is>
      </c>
      <c r="I316" s="10" t="inlineStr">
        <is>
          <t>Planificación detallada de los eventos de marketing y las fechas cívicas relevantes para la cooperativa.</t>
        </is>
      </c>
      <c r="J316" s="10" t="inlineStr">
        <is>
          <t xml:space="preserve">Jefe de Marketing </t>
        </is>
      </c>
      <c r="K316" s="10" t="inlineStr">
        <is>
          <t>Jefe de Marketing</t>
        </is>
      </c>
      <c r="L316" s="10" t="inlineStr">
        <is>
          <t>UBICACIÓN DIGITAL-EQUIPO DEL RESPONSABLE</t>
        </is>
      </c>
      <c r="M316" s="10" t="inlineStr">
        <is>
          <t>DISCOS DUROS, SERVIDORES, DISCOS O MEDIOS PORTÁTILES, CINTAS O MEDIOS DE VIDEO Y AUDIO, ETC.</t>
        </is>
      </c>
      <c r="N316" s="10" t="inlineStr">
        <is>
          <t>PRIMARIOS</t>
        </is>
      </c>
      <c r="O316" s="10" t="inlineStr">
        <is>
          <t>DOCUMENTOS TÉCNICOS</t>
        </is>
      </c>
      <c r="P316" s="10" t="inlineStr">
        <is>
          <t>USO INTERNO(2)</t>
        </is>
      </c>
      <c r="Q316" s="10" t="inlineStr">
        <is>
          <t>BAJA(1)</t>
        </is>
      </c>
      <c r="R316" s="10" t="inlineStr">
        <is>
          <t>BAJA(1)</t>
        </is>
      </c>
      <c r="S316" s="10">
        <f>+(IF(P316="PUBLICA(1)",1,IF(P316="USO INTERNO(2)",2,IF(P316="RESTRINGIDO(3)",3,3))))+(IF(Q316="BAJA(1)",1,IF(Q316="MEDIA(2)",2,IF(Q316="ALTA(3)",3,3))))+(IF(R316="BAJA(1)",1,IF(R316="MEDIA(2)",2,IF(R316="ALTA(3)",3,3))))</f>
        <v/>
      </c>
      <c r="T316" s="10">
        <f>+IF(S316&lt;6,"BAJA",IF(S316&lt;8,"MEDIA","ALTA"))</f>
        <v/>
      </c>
      <c r="U316" s="10" t="inlineStr">
        <is>
          <t>-</t>
        </is>
      </c>
      <c r="V316" s="24" t="n">
        <v>45580</v>
      </c>
      <c r="W316" s="19" t="inlineStr">
        <is>
          <t>N/A</t>
        </is>
      </c>
      <c r="X316" s="10">
        <f>+IFERROR(IF(VLOOKUP(Tabla2[[#This Row],[ID]],'EVALUACION DE RIESGO'!A:A,1,FALSE)=Tabla2[[#This Row],[ID]],"SI","NO"),"NO")</f>
        <v/>
      </c>
      <c r="AD316">
        <f>IF(AND(Y316="",AA316=""),"",IF(OR(LEFT(AA316,2)="L0",LEFT(AA316,2)="L1",Y316="No Iniciado"),"CRÍTICO - Incumplimiento Normativo SEPS",IF(AND(OR(LEFT(AA316,2)="L4",LEFT(AA316,2)="L5"),AND(AC316&lt;&gt;"",AC316&lt;&gt;"N/A")),"CONFORME - Control Efectivo ISO 27001","OBSERVACIÓN - Revisar Controles")))</f>
        <v/>
      </c>
    </row>
    <row r="317">
      <c r="A317" s="99" t="inlineStr">
        <is>
          <t>19-GNE</t>
        </is>
      </c>
      <c r="B317" s="10" t="inlineStr">
        <is>
          <t>PRODUCTIVO</t>
        </is>
      </c>
      <c r="C317" s="10" t="inlineStr">
        <is>
          <t>Gestión de Negocios</t>
        </is>
      </c>
      <c r="D317" s="10" t="inlineStr">
        <is>
          <t>GNE</t>
        </is>
      </c>
      <c r="E317" s="10" t="inlineStr">
        <is>
          <t>Gestión de Marketing</t>
        </is>
      </c>
      <c r="F317" s="10" t="inlineStr">
        <is>
          <t>-</t>
        </is>
      </c>
      <c r="G317" s="10" t="inlineStr">
        <is>
          <t>Manejo de Redes Sociales</t>
        </is>
      </c>
      <c r="H317" s="10" t="inlineStr">
        <is>
          <t>Cronopost</t>
        </is>
      </c>
      <c r="I317" s="10" t="inlineStr">
        <is>
          <t xml:space="preserve">Herramienta o informe utilizado para programar y gestionar el envío de comunicaciones, materiales promocionales u otros mensajes.
</t>
        </is>
      </c>
      <c r="J317" s="10" t="inlineStr">
        <is>
          <t xml:space="preserve">Jefe de Marketing </t>
        </is>
      </c>
      <c r="K317" s="10" t="inlineStr">
        <is>
          <t>Jefe de Marketing</t>
        </is>
      </c>
      <c r="L317" s="10" t="inlineStr">
        <is>
          <t>UBICACIÓN DIGITAL-EQUIPO DEL RESPONSABLE</t>
        </is>
      </c>
      <c r="M317" s="10" t="inlineStr">
        <is>
          <t>DISCOS DUROS, SERVIDORES, DISCOS O MEDIOS PORTÁTILES, CINTAS O MEDIOS DE VIDEO Y AUDIO, ETC.</t>
        </is>
      </c>
      <c r="N317" s="10" t="inlineStr">
        <is>
          <t>PRIMARIOS</t>
        </is>
      </c>
      <c r="O317" s="10" t="inlineStr">
        <is>
          <t>DOCUMENTOS TÉCNICOS</t>
        </is>
      </c>
      <c r="P317" s="10" t="inlineStr">
        <is>
          <t>USO INTERNO(2)</t>
        </is>
      </c>
      <c r="Q317" s="10" t="inlineStr">
        <is>
          <t>BAJA(1)</t>
        </is>
      </c>
      <c r="R317" s="10" t="inlineStr">
        <is>
          <t>BAJA(1)</t>
        </is>
      </c>
      <c r="S317" s="10">
        <f>+(IF(P317="PUBLICA(1)",1,IF(P317="USO INTERNO(2)",2,IF(P317="RESTRINGIDO(3)",3,3))))+(IF(Q317="BAJA(1)",1,IF(Q317="MEDIA(2)",2,IF(Q317="ALTA(3)",3,3))))+(IF(R317="BAJA(1)",1,IF(R317="MEDIA(2)",2,IF(R317="ALTA(3)",3,3))))</f>
        <v/>
      </c>
      <c r="T317" s="10">
        <f>+IF(S317&lt;6,"BAJA",IF(S317&lt;8,"MEDIA","ALTA"))</f>
        <v/>
      </c>
      <c r="U317" s="10" t="inlineStr">
        <is>
          <t>-</t>
        </is>
      </c>
      <c r="V317" s="24" t="n">
        <v>45580</v>
      </c>
      <c r="W317" s="19" t="inlineStr">
        <is>
          <t>N/A</t>
        </is>
      </c>
      <c r="X317" s="10">
        <f>+IFERROR(IF(VLOOKUP(Tabla2[[#This Row],[ID]],'EVALUACION DE RIESGO'!A:A,1,FALSE)=Tabla2[[#This Row],[ID]],"SI","NO"),"NO")</f>
        <v/>
      </c>
      <c r="AD317">
        <f>IF(AND(Y317="",AA317=""),"",IF(OR(LEFT(AA317,2)="L0",LEFT(AA317,2)="L1",Y317="No Iniciado"),"CRÍTICO - Incumplimiento Normativo SEPS",IF(AND(OR(LEFT(AA317,2)="L4",LEFT(AA317,2)="L5"),AND(AC317&lt;&gt;"",AC317&lt;&gt;"N/A")),"CONFORME - Control Efectivo ISO 27001","OBSERVACIÓN - Revisar Controles")))</f>
        <v/>
      </c>
    </row>
    <row r="318">
      <c r="A318" s="99" t="inlineStr">
        <is>
          <t>20-GNE</t>
        </is>
      </c>
      <c r="B318" s="10" t="inlineStr">
        <is>
          <t>PRODUCTIVO</t>
        </is>
      </c>
      <c r="C318" s="10" t="inlineStr">
        <is>
          <t>Gestión de Negocios</t>
        </is>
      </c>
      <c r="D318" s="10" t="inlineStr">
        <is>
          <t>GNE</t>
        </is>
      </c>
      <c r="E318" s="10" t="inlineStr">
        <is>
          <t>Gestión de Marketing</t>
        </is>
      </c>
      <c r="F318" s="10" t="inlineStr">
        <is>
          <t>-</t>
        </is>
      </c>
      <c r="G318" s="10" t="inlineStr">
        <is>
          <t>Informe de resultados</t>
        </is>
      </c>
      <c r="H318" s="10" t="inlineStr">
        <is>
          <t>Informe
de gestión
de Marketing.</t>
        </is>
      </c>
      <c r="I318" s="10" t="inlineStr">
        <is>
          <t>Documento que recoge el resumen de las actividades y los resultados de las acciones de marketing ejecutadas en un periodo determinado.</t>
        </is>
      </c>
      <c r="J318" s="10" t="inlineStr">
        <is>
          <t xml:space="preserve">Jefe de Marketing </t>
        </is>
      </c>
      <c r="K318" s="10" t="inlineStr">
        <is>
          <t>Jefe de Marketing</t>
        </is>
      </c>
      <c r="L318" s="10" t="inlineStr">
        <is>
          <t>UBICACIÓN DIGITAL-EQUIPO DEL RESPONSABLE</t>
        </is>
      </c>
      <c r="M318" s="10" t="inlineStr">
        <is>
          <t>DISCOS DUROS, SERVIDORES, DISCOS O MEDIOS PORTÁTILES, CINTAS O MEDIOS DE VIDEO Y AUDIO, ETC.</t>
        </is>
      </c>
      <c r="N318" s="10" t="inlineStr">
        <is>
          <t>PRIMARIOS</t>
        </is>
      </c>
      <c r="O318" s="10" t="inlineStr">
        <is>
          <t>DOCUMENTOS TÉCNICOS</t>
        </is>
      </c>
      <c r="P318" s="10" t="inlineStr">
        <is>
          <t>USO INTERNO(2)</t>
        </is>
      </c>
      <c r="Q318" s="10" t="inlineStr">
        <is>
          <t>MEDIA(2)</t>
        </is>
      </c>
      <c r="R318" s="10" t="inlineStr">
        <is>
          <t>BAJA(1)</t>
        </is>
      </c>
      <c r="S318" s="10">
        <f>+(IF(P318="PUBLICA(1)",1,IF(P318="USO INTERNO(2)",2,IF(P318="RESTRINGIDO(3)",3,3))))+(IF(Q318="BAJA(1)",1,IF(Q318="MEDIA(2)",2,IF(Q318="ALTA(3)",3,3))))+(IF(R318="BAJA(1)",1,IF(R318="MEDIA(2)",2,IF(R318="ALTA(3)",3,3))))</f>
        <v/>
      </c>
      <c r="T318" s="10">
        <f>+IF(S318&lt;6,"BAJA",IF(S318&lt;8,"MEDIA","ALTA"))</f>
        <v/>
      </c>
      <c r="U318" s="10" t="inlineStr">
        <is>
          <t>-</t>
        </is>
      </c>
      <c r="V318" s="24" t="n">
        <v>45580</v>
      </c>
      <c r="W318" s="19" t="inlineStr">
        <is>
          <t>N/A</t>
        </is>
      </c>
      <c r="X318" s="10">
        <f>+IFERROR(IF(VLOOKUP(Tabla2[[#This Row],[ID]],'EVALUACION DE RIESGO'!A:A,1,FALSE)=Tabla2[[#This Row],[ID]],"SI","NO"),"NO")</f>
        <v/>
      </c>
      <c r="AD318">
        <f>IF(AND(Y318="",AA318=""),"",IF(OR(LEFT(AA318,2)="L0",LEFT(AA318,2)="L1",Y318="No Iniciado"),"CRÍTICO - Incumplimiento Normativo SEPS",IF(AND(OR(LEFT(AA318,2)="L4",LEFT(AA318,2)="L5"),AND(AC318&lt;&gt;"",AC318&lt;&gt;"N/A")),"CONFORME - Control Efectivo ISO 27001","OBSERVACIÓN - Revisar Controles")))</f>
        <v/>
      </c>
    </row>
    <row r="319">
      <c r="A319" s="99" t="inlineStr">
        <is>
          <t>21-GNE</t>
        </is>
      </c>
      <c r="B319" s="10" t="inlineStr">
        <is>
          <t>PRODUCTIVO</t>
        </is>
      </c>
      <c r="C319" s="10" t="inlineStr">
        <is>
          <t>Gestión de Negocios</t>
        </is>
      </c>
      <c r="D319" s="10" t="inlineStr">
        <is>
          <t>GNE</t>
        </is>
      </c>
      <c r="E319" s="10" t="inlineStr">
        <is>
          <t>Gestión de Marketing</t>
        </is>
      </c>
      <c r="F319" s="10" t="inlineStr">
        <is>
          <t>-</t>
        </is>
      </c>
      <c r="G319" s="10" t="inlineStr">
        <is>
          <t>Informe de resultados</t>
        </is>
      </c>
      <c r="H319" s="10" t="inlineStr">
        <is>
          <t>Equipos de computación del Jefe de Marketing</t>
        </is>
      </c>
      <c r="I319" s="10" t="inlineStr">
        <is>
          <t>Herramientas tecnológicas y equipos informáticos utilizados por el Jefe de Marketing para gestionar las campañas y actividades de marketing.</t>
        </is>
      </c>
      <c r="J319" s="10" t="inlineStr">
        <is>
          <t xml:space="preserve">Jefe de Marketing </t>
        </is>
      </c>
      <c r="K319" s="10" t="inlineStr">
        <is>
          <t>Jefe de Marketing</t>
        </is>
      </c>
      <c r="L319" s="10" t="inlineStr">
        <is>
          <t>N/A</t>
        </is>
      </c>
      <c r="M319" s="10" t="inlineStr">
        <is>
          <t>N/A</t>
        </is>
      </c>
      <c r="N319" s="10" t="inlineStr">
        <is>
          <t>APOYO</t>
        </is>
      </c>
      <c r="O319" s="10" t="inlineStr">
        <is>
          <t>HARDWARE</t>
        </is>
      </c>
      <c r="P319" s="10" t="inlineStr">
        <is>
          <t>USO INTERNO(2)</t>
        </is>
      </c>
      <c r="Q319" s="10" t="inlineStr">
        <is>
          <t>MEDIA(2)</t>
        </is>
      </c>
      <c r="R319" s="10" t="inlineStr">
        <is>
          <t>MEDIA(2)</t>
        </is>
      </c>
      <c r="S319" s="10">
        <f>+(IF(P319="PUBLICA(1)",1,IF(P319="USO INTERNO(2)",2,IF(P319="RESTRINGIDO(3)",3,3))))+(IF(Q319="BAJA(1)",1,IF(Q319="MEDIA(2)",2,IF(Q319="ALTA(3)",3,3))))+(IF(R319="BAJA(1)",1,IF(R319="MEDIA(2)",2,IF(R319="ALTA(3)",3,3))))</f>
        <v/>
      </c>
      <c r="T319" s="10">
        <f>+IF(S319&lt;6,"BAJA",IF(S319&lt;8,"MEDIA","ALTA"))</f>
        <v/>
      </c>
      <c r="U319" s="10" t="inlineStr">
        <is>
          <t>-</t>
        </is>
      </c>
      <c r="V319" s="24" t="n">
        <v>45580</v>
      </c>
      <c r="W319" s="19" t="inlineStr">
        <is>
          <t>N/A</t>
        </is>
      </c>
      <c r="X319" s="10">
        <f>+IFERROR(IF(VLOOKUP(Tabla2[[#This Row],[ID]],'EVALUACION DE RIESGO'!A:A,1,FALSE)=Tabla2[[#This Row],[ID]],"SI","NO"),"NO")</f>
        <v/>
      </c>
      <c r="AD319">
        <f>IF(AND(Y319="",AA319=""),"",IF(OR(LEFT(AA319,2)="L0",LEFT(AA319,2)="L1",Y319="No Iniciado"),"CRÍTICO - Incumplimiento Normativo SEPS",IF(AND(OR(LEFT(AA319,2)="L4",LEFT(AA319,2)="L5"),AND(AC319&lt;&gt;"",AC319&lt;&gt;"N/A")),"CONFORME - Control Efectivo ISO 27001","OBSERVACIÓN - Revisar Controles")))</f>
        <v/>
      </c>
    </row>
    <row r="320">
      <c r="A320" s="99" t="inlineStr">
        <is>
          <t>22-GNE</t>
        </is>
      </c>
      <c r="B320" s="10" t="inlineStr">
        <is>
          <t>PRODUCTIVO</t>
        </is>
      </c>
      <c r="C320" s="10" t="inlineStr">
        <is>
          <t>Gestión de Negocios</t>
        </is>
      </c>
      <c r="D320" s="10" t="inlineStr">
        <is>
          <t>GNE</t>
        </is>
      </c>
      <c r="E320" s="10" t="inlineStr">
        <is>
          <t>Gestión de Marketing</t>
        </is>
      </c>
      <c r="F320" s="10" t="inlineStr">
        <is>
          <t>-</t>
        </is>
      </c>
      <c r="G320" s="10" t="inlineStr">
        <is>
          <t>Informe de resultados</t>
        </is>
      </c>
      <c r="H320" s="10" t="inlineStr">
        <is>
          <t>Equipos de computación de Analista de Marketing</t>
        </is>
      </c>
      <c r="I320" s="10" t="inlineStr">
        <is>
          <t>Equipos de trabajo y recursos informáticos utilizados por el Analista de Marketing para procesar datos, generar informes y analizar resultados.</t>
        </is>
      </c>
      <c r="J320" s="10" t="inlineStr">
        <is>
          <t xml:space="preserve">Jefe de Marketing </t>
        </is>
      </c>
      <c r="K320" s="10" t="inlineStr">
        <is>
          <t>Jefe de Marketing</t>
        </is>
      </c>
      <c r="L320" s="10" t="inlineStr">
        <is>
          <t>N/A</t>
        </is>
      </c>
      <c r="M320" s="10" t="inlineStr">
        <is>
          <t>N/A</t>
        </is>
      </c>
      <c r="N320" s="10" t="inlineStr">
        <is>
          <t>APOYO</t>
        </is>
      </c>
      <c r="O320" s="10" t="inlineStr">
        <is>
          <t>HARDWARE</t>
        </is>
      </c>
      <c r="P320" s="10" t="inlineStr">
        <is>
          <t>USO INTERNO(2)</t>
        </is>
      </c>
      <c r="Q320" s="10" t="inlineStr">
        <is>
          <t>MEDIA(2)</t>
        </is>
      </c>
      <c r="R320" s="10" t="inlineStr">
        <is>
          <t>MEDIA(2)</t>
        </is>
      </c>
      <c r="S320" s="10">
        <f>+(IF(P320="PUBLICA(1)",1,IF(P320="USO INTERNO(2)",2,IF(P320="RESTRINGIDO(3)",3,3))))+(IF(Q320="BAJA(1)",1,IF(Q320="MEDIA(2)",2,IF(Q320="ALTA(3)",3,3))))+(IF(R320="BAJA(1)",1,IF(R320="MEDIA(2)",2,IF(R320="ALTA(3)",3,3))))</f>
        <v/>
      </c>
      <c r="T320" s="10">
        <f>+IF(S320&lt;6,"BAJA",IF(S320&lt;8,"MEDIA","ALTA"))</f>
        <v/>
      </c>
      <c r="U320" s="10" t="inlineStr">
        <is>
          <t>-</t>
        </is>
      </c>
      <c r="V320" s="24" t="n">
        <v>45580</v>
      </c>
      <c r="W320" s="19" t="inlineStr">
        <is>
          <t>N/A</t>
        </is>
      </c>
      <c r="X320" s="10">
        <f>+IFERROR(IF(VLOOKUP(Tabla2[[#This Row],[ID]],'EVALUACION DE RIESGO'!A:A,1,FALSE)=Tabla2[[#This Row],[ID]],"SI","NO"),"NO")</f>
        <v/>
      </c>
      <c r="AD320">
        <f>IF(AND(Y320="",AA320=""),"",IF(OR(LEFT(AA320,2)="L0",LEFT(AA320,2)="L1",Y320="No Iniciado"),"CRÍTICO - Incumplimiento Normativo SEPS",IF(AND(OR(LEFT(AA320,2)="L4",LEFT(AA320,2)="L5"),AND(AC320&lt;&gt;"",AC320&lt;&gt;"N/A")),"CONFORME - Control Efectivo ISO 27001","OBSERVACIÓN - Revisar Controles")))</f>
        <v/>
      </c>
    </row>
    <row r="321">
      <c r="A321" s="99" t="inlineStr">
        <is>
          <t>23-GNE</t>
        </is>
      </c>
      <c r="B321" s="10" t="inlineStr">
        <is>
          <t>PRODUCTIVO</t>
        </is>
      </c>
      <c r="C321" s="10" t="inlineStr">
        <is>
          <t>Gestión de Negocios</t>
        </is>
      </c>
      <c r="D321" s="10" t="inlineStr">
        <is>
          <t>GNE</t>
        </is>
      </c>
      <c r="E321" s="10" t="inlineStr">
        <is>
          <t>Gestión de Marketing</t>
        </is>
      </c>
      <c r="F321" s="10" t="inlineStr">
        <is>
          <t>-</t>
        </is>
      </c>
      <c r="G321" s="10" t="inlineStr">
        <is>
          <t>Informe de resultados</t>
        </is>
      </c>
      <c r="H321" s="10" t="inlineStr">
        <is>
          <t>Jefe de Marketing</t>
        </is>
      </c>
      <c r="I321" s="10" t="inlineStr">
        <is>
          <t>Responsable de dirigir las estrategias de marketing, supervisar los equipos y gestionar las campañas de comunicación y publicidad de la cooperativa.</t>
        </is>
      </c>
      <c r="J321" s="10" t="inlineStr">
        <is>
          <t xml:space="preserve">Jefe de Marketing </t>
        </is>
      </c>
      <c r="K321" s="10" t="inlineStr">
        <is>
          <t>Jefe de Marketing</t>
        </is>
      </c>
      <c r="L321" s="10" t="inlineStr">
        <is>
          <t>N/A</t>
        </is>
      </c>
      <c r="M321" s="10" t="inlineStr">
        <is>
          <t>N/A</t>
        </is>
      </c>
      <c r="N321" s="10" t="inlineStr">
        <is>
          <t>APOYO</t>
        </is>
      </c>
      <c r="O321" s="10" t="inlineStr">
        <is>
          <t>RECURSO HUMANO</t>
        </is>
      </c>
      <c r="P321" s="10" t="inlineStr">
        <is>
          <t>USO INTERNO(2)</t>
        </is>
      </c>
      <c r="Q321" s="10" t="inlineStr">
        <is>
          <t>MEDIA(2)</t>
        </is>
      </c>
      <c r="R321" s="10" t="inlineStr">
        <is>
          <t>MEDIA(2)</t>
        </is>
      </c>
      <c r="S321" s="10">
        <f>+(IF(P321="PUBLICA(1)",1,IF(P321="USO INTERNO(2)",2,IF(P321="RESTRINGIDO(3)",3,3))))+(IF(Q321="BAJA(1)",1,IF(Q321="MEDIA(2)",2,IF(Q321="ALTA(3)",3,3))))+(IF(R321="BAJA(1)",1,IF(R321="MEDIA(2)",2,IF(R321="ALTA(3)",3,3))))</f>
        <v/>
      </c>
      <c r="T321" s="10">
        <f>+IF(S321&lt;6,"BAJA",IF(S321&lt;8,"MEDIA","ALTA"))</f>
        <v/>
      </c>
      <c r="U321" s="10" t="inlineStr">
        <is>
          <t>-</t>
        </is>
      </c>
      <c r="V321" s="24" t="n">
        <v>45580</v>
      </c>
      <c r="W321" s="19" t="inlineStr">
        <is>
          <t>N/A</t>
        </is>
      </c>
      <c r="X321" s="10">
        <f>+IFERROR(IF(VLOOKUP(Tabla2[[#This Row],[ID]],'EVALUACION DE RIESGO'!A:A,1,FALSE)=Tabla2[[#This Row],[ID]],"SI","NO"),"NO")</f>
        <v/>
      </c>
      <c r="AD321">
        <f>IF(AND(Y321="",AA321=""),"",IF(OR(LEFT(AA321,2)="L0",LEFT(AA321,2)="L1",Y321="No Iniciado"),"CRÍTICO - Incumplimiento Normativo SEPS",IF(AND(OR(LEFT(AA321,2)="L4",LEFT(AA321,2)="L5"),AND(AC321&lt;&gt;"",AC321&lt;&gt;"N/A")),"CONFORME - Control Efectivo ISO 27001","OBSERVACIÓN - Revisar Controles")))</f>
        <v/>
      </c>
    </row>
    <row r="322">
      <c r="A322" s="99" t="inlineStr">
        <is>
          <t>24-GNE</t>
        </is>
      </c>
      <c r="B322" s="10" t="inlineStr">
        <is>
          <t>PRODUCTIVO</t>
        </is>
      </c>
      <c r="C322" s="10" t="inlineStr">
        <is>
          <t>Gestión de Negocios</t>
        </is>
      </c>
      <c r="D322" s="10" t="inlineStr">
        <is>
          <t>GNE</t>
        </is>
      </c>
      <c r="E322" s="10" t="inlineStr">
        <is>
          <t>Gestión de Contact Center</t>
        </is>
      </c>
      <c r="F322" s="10" t="inlineStr">
        <is>
          <t>-</t>
        </is>
      </c>
      <c r="G322" s="10" t="inlineStr">
        <is>
          <t xml:space="preserve">Preparación de campañas telefónicas         </t>
        </is>
      </c>
      <c r="H322" s="10" t="inlineStr">
        <is>
          <t>Manual de Usuario del 
Sistema Isabel E</t>
        </is>
      </c>
      <c r="I322" s="10" t="inlineStr">
        <is>
          <t>Contiene el manual del sistema Isabel donde se reporta y se control todas las actividades de los gestores telefónicas</t>
        </is>
      </c>
      <c r="J322" s="10" t="inlineStr">
        <is>
          <t xml:space="preserve">Jefe de Canales Electrónicos </t>
        </is>
      </c>
      <c r="K322" s="10" t="inlineStr">
        <is>
          <t xml:space="preserve">Jefe de Canales Electrónicos </t>
        </is>
      </c>
      <c r="L322" s="10" t="inlineStr">
        <is>
          <t>UBICACIÓN DIGITAL-WEBCOOP</t>
        </is>
      </c>
      <c r="M322" s="10" t="inlineStr">
        <is>
          <t>PORTALES, INTRANET Y EXTRANET</t>
        </is>
      </c>
      <c r="N322" s="10" t="inlineStr">
        <is>
          <t>PRIMARIOS</t>
        </is>
      </c>
      <c r="O322" s="10" t="inlineStr">
        <is>
          <t>DOCUMENTOS TÉCNICOS</t>
        </is>
      </c>
      <c r="P322" s="10" t="inlineStr">
        <is>
          <t>USO INTERNO(2)</t>
        </is>
      </c>
      <c r="Q322" s="10" t="inlineStr">
        <is>
          <t>MEDIA(2)</t>
        </is>
      </c>
      <c r="R322" s="10" t="inlineStr">
        <is>
          <t>MEDIA(2)</t>
        </is>
      </c>
      <c r="S322" s="10">
        <f>+(IF(P322="PUBLICA(1)",1,IF(P322="USO INTERNO(2)",2,IF(P322="RESTRINGIDO(3)",3,3))))+(IF(Q322="BAJA(1)",1,IF(Q322="MEDIA(2)",2,IF(Q322="ALTA(3)",3,3))))+(IF(R322="BAJA(1)",1,IF(R322="MEDIA(2)",2,IF(R322="ALTA(3)",3,3))))</f>
        <v/>
      </c>
      <c r="T322" s="10">
        <f>+IF(S322&lt;6,"BAJA",IF(S322&lt;8,"MEDIA","ALTA"))</f>
        <v/>
      </c>
      <c r="U322" s="10" t="inlineStr">
        <is>
          <t>-</t>
        </is>
      </c>
      <c r="V322" s="24" t="n">
        <v>45588</v>
      </c>
      <c r="W322" s="19" t="inlineStr">
        <is>
          <t>N/A</t>
        </is>
      </c>
      <c r="X322" s="10">
        <f>+IFERROR(IF(VLOOKUP(Tabla2[[#This Row],[ID]],'EVALUACION DE RIESGO'!A:A,1,FALSE)=Tabla2[[#This Row],[ID]],"SI","NO"),"NO")</f>
        <v/>
      </c>
      <c r="AD322">
        <f>IF(AND(Y322="",AA322=""),"",IF(OR(LEFT(AA322,2)="L0",LEFT(AA322,2)="L1",Y322="No Iniciado"),"CRÍTICO - Incumplimiento Normativo SEPS",IF(AND(OR(LEFT(AA322,2)="L4",LEFT(AA322,2)="L5"),AND(AC322&lt;&gt;"",AC322&lt;&gt;"N/A")),"CONFORME - Control Efectivo ISO 27001","OBSERVACIÓN - Revisar Controles")))</f>
        <v/>
      </c>
    </row>
    <row r="323">
      <c r="A323" s="99" t="inlineStr">
        <is>
          <t>25-GNE</t>
        </is>
      </c>
      <c r="B323" s="10" t="inlineStr">
        <is>
          <t>PRODUCTIVO</t>
        </is>
      </c>
      <c r="C323" s="10" t="inlineStr">
        <is>
          <t>Gestión de Negocios</t>
        </is>
      </c>
      <c r="D323" s="10" t="inlineStr">
        <is>
          <t>GNE</t>
        </is>
      </c>
      <c r="E323" s="10" t="inlineStr">
        <is>
          <t>Gestión de Contact Center</t>
        </is>
      </c>
      <c r="F323" s="10" t="inlineStr">
        <is>
          <t>-</t>
        </is>
      </c>
      <c r="G323" s="10" t="inlineStr">
        <is>
          <t xml:space="preserve">Preparación de campañas telefónicas         </t>
        </is>
      </c>
      <c r="H323" s="10" t="inlineStr">
        <is>
          <t>Formulario de Solicitud de
campaña E</t>
        </is>
      </c>
      <c r="I323" s="10" t="inlineStr">
        <is>
          <t>Información general de la campaña</t>
        </is>
      </c>
      <c r="J323" s="10" t="inlineStr">
        <is>
          <t xml:space="preserve">Jefe de Canales Electrónicos </t>
        </is>
      </c>
      <c r="K323" s="10" t="inlineStr">
        <is>
          <t>Analista de Contact Center</t>
        </is>
      </c>
      <c r="L323" s="10" t="inlineStr">
        <is>
          <t>UBICACIÓN DIGITAL-EQUIPO DEL CUSTODIO</t>
        </is>
      </c>
      <c r="M323" s="10" t="inlineStr">
        <is>
          <t>DISCOS DUROS, SERVIDORES, DISCOS O MEDIOS PORTÁTILES, CINTAS O MEDIOS DE VIDEO Y AUDIO, ETC.</t>
        </is>
      </c>
      <c r="N323" s="10" t="inlineStr">
        <is>
          <t>PRIMARIOS</t>
        </is>
      </c>
      <c r="O323" s="10" t="inlineStr">
        <is>
          <t>INFORMACIÓN DE SOCIOS Y CLIENTES</t>
        </is>
      </c>
      <c r="P323" s="10" t="inlineStr">
        <is>
          <t>USO INTERNO(2)</t>
        </is>
      </c>
      <c r="Q323" s="10" t="inlineStr">
        <is>
          <t>MEDIA(2)</t>
        </is>
      </c>
      <c r="R323" s="10" t="inlineStr">
        <is>
          <t>MEDIA(2)</t>
        </is>
      </c>
      <c r="S323" s="10">
        <f>+(IF(P323="PUBLICA(1)",1,IF(P323="USO INTERNO(2)",2,IF(P323="RESTRINGIDO(3)",3,3))))+(IF(Q323="BAJA(1)",1,IF(Q323="MEDIA(2)",2,IF(Q323="ALTA(3)",3,3))))+(IF(R323="BAJA(1)",1,IF(R323="MEDIA(2)",2,IF(R323="ALTA(3)",3,3))))</f>
        <v/>
      </c>
      <c r="T323" s="10">
        <f>+IF(S323&lt;6,"BAJA",IF(S323&lt;8,"MEDIA","ALTA"))</f>
        <v/>
      </c>
      <c r="U323" s="10" t="inlineStr">
        <is>
          <t>-</t>
        </is>
      </c>
      <c r="V323" s="24" t="n">
        <v>45588</v>
      </c>
      <c r="W323" s="19" t="inlineStr">
        <is>
          <t>N/A</t>
        </is>
      </c>
      <c r="X323" s="10">
        <f>+IFERROR(IF(VLOOKUP(Tabla2[[#This Row],[ID]],'EVALUACION DE RIESGO'!A:A,1,FALSE)=Tabla2[[#This Row],[ID]],"SI","NO"),"NO")</f>
        <v/>
      </c>
      <c r="AD323">
        <f>IF(AND(Y323="",AA323=""),"",IF(OR(LEFT(AA323,2)="L0",LEFT(AA323,2)="L1",Y323="No Iniciado"),"CRÍTICO - Incumplimiento Normativo SEPS",IF(AND(OR(LEFT(AA323,2)="L4",LEFT(AA323,2)="L5"),AND(AC323&lt;&gt;"",AC323&lt;&gt;"N/A")),"CONFORME - Control Efectivo ISO 27001","OBSERVACIÓN - Revisar Controles")))</f>
        <v/>
      </c>
    </row>
    <row r="324">
      <c r="A324" s="99" t="inlineStr">
        <is>
          <t>26-GNE</t>
        </is>
      </c>
      <c r="B324" s="10" t="inlineStr">
        <is>
          <t>PRODUCTIVO</t>
        </is>
      </c>
      <c r="C324" s="10" t="inlineStr">
        <is>
          <t>Gestión de Negocios</t>
        </is>
      </c>
      <c r="D324" s="10" t="inlineStr">
        <is>
          <t>GNE</t>
        </is>
      </c>
      <c r="E324" s="10" t="inlineStr">
        <is>
          <t>Gestión de Contact Center</t>
        </is>
      </c>
      <c r="F324" s="10" t="inlineStr">
        <is>
          <t>-</t>
        </is>
      </c>
      <c r="G324" s="10" t="inlineStr">
        <is>
          <t xml:space="preserve">Preparación de campañas telefónicas         </t>
        </is>
      </c>
      <c r="H324" s="10" t="inlineStr">
        <is>
          <t>Solicitud
de campañas
telefónicas</t>
        </is>
      </c>
      <c r="I324" s="10" t="inlineStr">
        <is>
          <t>Solicitud mediante un correo electrónico desde los departamentos requirentes</t>
        </is>
      </c>
      <c r="J324" s="10" t="inlineStr">
        <is>
          <t xml:space="preserve">Jefe de Canales Electrónicos </t>
        </is>
      </c>
      <c r="K324" s="10" t="inlineStr">
        <is>
          <t xml:space="preserve">Jefe de Canales Electrónicos </t>
        </is>
      </c>
      <c r="L324" s="10" t="inlineStr">
        <is>
          <t>UBICACIÓN DIGITAL-EQUIPO DEL RESPONSABLE</t>
        </is>
      </c>
      <c r="M324" s="10" t="inlineStr">
        <is>
          <t>SISTEMA DE MENSAJERÍA ELECTRÓNICA</t>
        </is>
      </c>
      <c r="N324" s="10" t="inlineStr">
        <is>
          <t>PRIMARIOS</t>
        </is>
      </c>
      <c r="O324" s="10" t="inlineStr">
        <is>
          <t>NORMATIVA INTERNA</t>
        </is>
      </c>
      <c r="P324" s="10" t="inlineStr">
        <is>
          <t>USO INTERNO(2)</t>
        </is>
      </c>
      <c r="Q324" s="10" t="inlineStr">
        <is>
          <t>MEDIA(2)</t>
        </is>
      </c>
      <c r="R324" s="10" t="inlineStr">
        <is>
          <t>BAJA(1)</t>
        </is>
      </c>
      <c r="S324" s="10">
        <f>+(IF(P324="PUBLICA(1)",1,IF(P324="USO INTERNO(2)",2,IF(P324="RESTRINGIDO(3)",3,3))))+(IF(Q324="BAJA(1)",1,IF(Q324="MEDIA(2)",2,IF(Q324="ALTA(3)",3,3))))+(IF(R324="BAJA(1)",1,IF(R324="MEDIA(2)",2,IF(R324="ALTA(3)",3,3))))</f>
        <v/>
      </c>
      <c r="T324" s="10">
        <f>+IF(S324&lt;6,"BAJA",IF(S324&lt;8,"MEDIA","ALTA"))</f>
        <v/>
      </c>
      <c r="U324" s="10" t="inlineStr">
        <is>
          <t>-</t>
        </is>
      </c>
      <c r="V324" s="24" t="n">
        <v>45588</v>
      </c>
      <c r="W324" s="19" t="inlineStr">
        <is>
          <t>N/A</t>
        </is>
      </c>
      <c r="X324" s="10">
        <f>+IFERROR(IF(VLOOKUP(Tabla2[[#This Row],[ID]],'EVALUACION DE RIESGO'!A:A,1,FALSE)=Tabla2[[#This Row],[ID]],"SI","NO"),"NO")</f>
        <v/>
      </c>
      <c r="AD324">
        <f>IF(AND(Y324="",AA324=""),"",IF(OR(LEFT(AA324,2)="L0",LEFT(AA324,2)="L1",Y324="No Iniciado"),"CRÍTICO - Incumplimiento Normativo SEPS",IF(AND(OR(LEFT(AA324,2)="L4",LEFT(AA324,2)="L5"),AND(AC324&lt;&gt;"",AC324&lt;&gt;"N/A")),"CONFORME - Control Efectivo ISO 27001","OBSERVACIÓN - Revisar Controles")))</f>
        <v/>
      </c>
    </row>
    <row r="325">
      <c r="A325" s="99" t="inlineStr">
        <is>
          <t>27-GNE</t>
        </is>
      </c>
      <c r="B325" s="10" t="inlineStr">
        <is>
          <t>PRODUCTIVO</t>
        </is>
      </c>
      <c r="C325" s="10" t="inlineStr">
        <is>
          <t>Gestión de Negocios</t>
        </is>
      </c>
      <c r="D325" s="10" t="inlineStr">
        <is>
          <t>GNE</t>
        </is>
      </c>
      <c r="E325" s="10" t="inlineStr">
        <is>
          <t>Gestión de Contact Center</t>
        </is>
      </c>
      <c r="F325" s="10" t="inlineStr">
        <is>
          <t>-</t>
        </is>
      </c>
      <c r="G325" s="10" t="inlineStr">
        <is>
          <t xml:space="preserve">Campañas de cobranza preventiva </t>
        </is>
      </c>
      <c r="H325" s="10" t="inlineStr">
        <is>
          <t>Reportes de mensajes del 
Sistema Anyway</t>
        </is>
      </c>
      <c r="I325" s="10" t="inlineStr">
        <is>
          <t>Reporte de la empresa externa Anyway donde se detalla la información de la gestión realizada con el cliente</t>
        </is>
      </c>
      <c r="J325" s="10" t="inlineStr">
        <is>
          <t xml:space="preserve">Jefe de Canales Electrónicos </t>
        </is>
      </c>
      <c r="K325" s="10" t="inlineStr">
        <is>
          <t>Analista de Contact Center</t>
        </is>
      </c>
      <c r="L325" s="10" t="inlineStr">
        <is>
          <t>UBICACIÓN DIGITAL-EQUIPO DEL CUSTODIO</t>
        </is>
      </c>
      <c r="M325" s="10" t="inlineStr">
        <is>
          <t>PORTALES, INTRANET Y EXTRANET</t>
        </is>
      </c>
      <c r="N325" s="10" t="inlineStr">
        <is>
          <t>PRIMARIOS</t>
        </is>
      </c>
      <c r="O325" s="10" t="inlineStr">
        <is>
          <t>INFORMACIÓN DE SOCIOS Y CLIENTES</t>
        </is>
      </c>
      <c r="P325" s="10" t="inlineStr">
        <is>
          <t>USO INTERNO(2)</t>
        </is>
      </c>
      <c r="Q325" s="10" t="inlineStr">
        <is>
          <t>MEDIA(2)</t>
        </is>
      </c>
      <c r="R325" s="10" t="inlineStr">
        <is>
          <t>MEDIA(2)</t>
        </is>
      </c>
      <c r="S325" s="10">
        <f>+(IF(P325="PUBLICA(1)",1,IF(P325="USO INTERNO(2)",2,IF(P325="RESTRINGIDO(3)",3,3))))+(IF(Q325="BAJA(1)",1,IF(Q325="MEDIA(2)",2,IF(Q325="ALTA(3)",3,3))))+(IF(R325="BAJA(1)",1,IF(R325="MEDIA(2)",2,IF(R325="ALTA(3)",3,3))))</f>
        <v/>
      </c>
      <c r="T325" s="10">
        <f>+IF(S325&lt;6,"BAJA",IF(S325&lt;8,"MEDIA","ALTA"))</f>
        <v/>
      </c>
      <c r="U325" s="10" t="inlineStr">
        <is>
          <t>-</t>
        </is>
      </c>
      <c r="V325" s="24" t="n">
        <v>45588</v>
      </c>
      <c r="W325" s="19" t="inlineStr">
        <is>
          <t>N/A</t>
        </is>
      </c>
      <c r="X325" s="10">
        <f>+IFERROR(IF(VLOOKUP(Tabla2[[#This Row],[ID]],'EVALUACION DE RIESGO'!A:A,1,FALSE)=Tabla2[[#This Row],[ID]],"SI","NO"),"NO")</f>
        <v/>
      </c>
      <c r="AD325">
        <f>IF(AND(Y325="",AA325=""),"",IF(OR(LEFT(AA325,2)="L0",LEFT(AA325,2)="L1",Y325="No Iniciado"),"CRÍTICO - Incumplimiento Normativo SEPS",IF(AND(OR(LEFT(AA325,2)="L4",LEFT(AA325,2)="L5"),AND(AC325&lt;&gt;"",AC325&lt;&gt;"N/A")),"CONFORME - Control Efectivo ISO 27001","OBSERVACIÓN - Revisar Controles")))</f>
        <v/>
      </c>
    </row>
    <row r="326">
      <c r="A326" s="99" t="inlineStr">
        <is>
          <t>28-GNE</t>
        </is>
      </c>
      <c r="B326" s="10" t="inlineStr">
        <is>
          <t>PRODUCTIVO</t>
        </is>
      </c>
      <c r="C326" s="10" t="inlineStr">
        <is>
          <t>Gestión de Negocios</t>
        </is>
      </c>
      <c r="D326" s="10" t="inlineStr">
        <is>
          <t>GNE</t>
        </is>
      </c>
      <c r="E326" s="10" t="inlineStr">
        <is>
          <t>Gestión de Contact Center</t>
        </is>
      </c>
      <c r="F326" s="10" t="inlineStr">
        <is>
          <t>-</t>
        </is>
      </c>
      <c r="G326" s="10" t="inlineStr">
        <is>
          <t xml:space="preserve">Campañas de cobranza preventiva </t>
        </is>
      </c>
      <c r="H326" s="10" t="inlineStr">
        <is>
          <t>Reporte de cobranza 
preventiva</t>
        </is>
      </c>
      <c r="I326" s="10" t="inlineStr">
        <is>
          <t>Archivo digital que se descarga del sistema FIT trx 13-5026</t>
        </is>
      </c>
      <c r="J326" s="10" t="inlineStr">
        <is>
          <t xml:space="preserve">Jefe de Canales Electrónicos </t>
        </is>
      </c>
      <c r="K326" s="10" t="inlineStr">
        <is>
          <t>Analista de Contact Center</t>
        </is>
      </c>
      <c r="L326" s="10" t="inlineStr">
        <is>
          <t>UBICACIÓN DIGITAL-EQUIPO DEL CUSTODIO</t>
        </is>
      </c>
      <c r="M326" s="10" t="inlineStr">
        <is>
          <t>DISCOS DUROS, SERVIDORES, DISCOS O MEDIOS PORTÁTILES, CINTAS O MEDIOS DE VIDEO Y AUDIO, ETC.</t>
        </is>
      </c>
      <c r="N326" s="10" t="inlineStr">
        <is>
          <t>PRIMARIOS</t>
        </is>
      </c>
      <c r="O326" s="10" t="inlineStr">
        <is>
          <t>INFORMACIÓN DE SOCIOS Y CLIENTES</t>
        </is>
      </c>
      <c r="P326" s="10" t="inlineStr">
        <is>
          <t>USO INTERNO(2)</t>
        </is>
      </c>
      <c r="Q326" s="10" t="inlineStr">
        <is>
          <t>MEDIA(2)</t>
        </is>
      </c>
      <c r="R326" s="10" t="inlineStr">
        <is>
          <t>MEDIA(2)</t>
        </is>
      </c>
      <c r="S326" s="10">
        <f>+(IF(P326="PUBLICA(1)",1,IF(P326="USO INTERNO(2)",2,IF(P326="RESTRINGIDO(3)",3,3))))+(IF(Q326="BAJA(1)",1,IF(Q326="MEDIA(2)",2,IF(Q326="ALTA(3)",3,3))))+(IF(R326="BAJA(1)",1,IF(R326="MEDIA(2)",2,IF(R326="ALTA(3)",3,3))))</f>
        <v/>
      </c>
      <c r="T326" s="10">
        <f>+IF(S326&lt;6,"BAJA",IF(S326&lt;8,"MEDIA","ALTA"))</f>
        <v/>
      </c>
      <c r="U326" s="10" t="inlineStr">
        <is>
          <t>-</t>
        </is>
      </c>
      <c r="V326" s="24" t="n">
        <v>45588</v>
      </c>
      <c r="W326" s="19" t="inlineStr">
        <is>
          <t>N/A</t>
        </is>
      </c>
      <c r="X326" s="10">
        <f>+IFERROR(IF(VLOOKUP(Tabla2[[#This Row],[ID]],'EVALUACION DE RIESGO'!A:A,1,FALSE)=Tabla2[[#This Row],[ID]],"SI","NO"),"NO")</f>
        <v/>
      </c>
      <c r="AD326">
        <f>IF(AND(Y326="",AA326=""),"",IF(OR(LEFT(AA326,2)="L0",LEFT(AA326,2)="L1",Y326="No Iniciado"),"CRÍTICO - Incumplimiento Normativo SEPS",IF(AND(OR(LEFT(AA326,2)="L4",LEFT(AA326,2)="L5"),AND(AC326&lt;&gt;"",AC326&lt;&gt;"N/A")),"CONFORME - Control Efectivo ISO 27001","OBSERVACIÓN - Revisar Controles")))</f>
        <v/>
      </c>
    </row>
    <row r="327">
      <c r="A327" s="99" t="inlineStr">
        <is>
          <t>29-GNE</t>
        </is>
      </c>
      <c r="B327" s="10" t="inlineStr">
        <is>
          <t>PRODUCTIVO</t>
        </is>
      </c>
      <c r="C327" s="10" t="inlineStr">
        <is>
          <t>Gestión de Negocios</t>
        </is>
      </c>
      <c r="D327" s="10" t="inlineStr">
        <is>
          <t>GNE</t>
        </is>
      </c>
      <c r="E327" s="10" t="inlineStr">
        <is>
          <t>Gestión de Contact Center</t>
        </is>
      </c>
      <c r="F327" s="10" t="inlineStr">
        <is>
          <t>-</t>
        </is>
      </c>
      <c r="G327" s="10" t="inlineStr">
        <is>
          <t xml:space="preserve">Campañas de cobranza correctiva </t>
        </is>
      </c>
      <c r="H327" s="10" t="inlineStr">
        <is>
          <t>Reportes de llamadas del 
Sistema Issabel</t>
        </is>
      </c>
      <c r="I327" s="10" t="inlineStr">
        <is>
          <t>Archivo que se descarga del sistema Isabel que contiene el detalle de la campaña</t>
        </is>
      </c>
      <c r="J327" s="10" t="inlineStr">
        <is>
          <t xml:space="preserve">Jefe de Canales Electrónicos </t>
        </is>
      </c>
      <c r="K327" s="10" t="inlineStr">
        <is>
          <t>Analista de Contact Center</t>
        </is>
      </c>
      <c r="L327" s="10" t="inlineStr">
        <is>
          <t>UBICACIÓN DIGITAL - SISTEMA ISSABEL</t>
        </is>
      </c>
      <c r="M327" s="10" t="inlineStr">
        <is>
          <t>PORTALES, INTRANET Y EXTRANET</t>
        </is>
      </c>
      <c r="N327" s="10" t="inlineStr">
        <is>
          <t>PRIMARIOS</t>
        </is>
      </c>
      <c r="O327" s="10" t="inlineStr">
        <is>
          <t>INFORMACIÓN DE SOCIOS Y CLIENTES</t>
        </is>
      </c>
      <c r="P327" s="10" t="inlineStr">
        <is>
          <t>USO INTERNO(2)</t>
        </is>
      </c>
      <c r="Q327" s="10" t="inlineStr">
        <is>
          <t>MEDIA(2)</t>
        </is>
      </c>
      <c r="R327" s="10" t="inlineStr">
        <is>
          <t>MEDIA(2)</t>
        </is>
      </c>
      <c r="S327" s="10">
        <f>+(IF(P327="PUBLICA(1)",1,IF(P327="USO INTERNO(2)",2,IF(P327="RESTRINGIDO(3)",3,3))))+(IF(Q327="BAJA(1)",1,IF(Q327="MEDIA(2)",2,IF(Q327="ALTA(3)",3,3))))+(IF(R327="BAJA(1)",1,IF(R327="MEDIA(2)",2,IF(R327="ALTA(3)",3,3))))</f>
        <v/>
      </c>
      <c r="T327" s="10">
        <f>+IF(S327&lt;6,"BAJA",IF(S327&lt;8,"MEDIA","ALTA"))</f>
        <v/>
      </c>
      <c r="U327" s="10" t="inlineStr">
        <is>
          <t>-</t>
        </is>
      </c>
      <c r="V327" s="24" t="n">
        <v>45588</v>
      </c>
      <c r="W327" s="19" t="inlineStr">
        <is>
          <t>N/A</t>
        </is>
      </c>
      <c r="X327" s="10">
        <f>+IFERROR(IF(VLOOKUP(Tabla2[[#This Row],[ID]],'EVALUACION DE RIESGO'!A:A,1,FALSE)=Tabla2[[#This Row],[ID]],"SI","NO"),"NO")</f>
        <v/>
      </c>
      <c r="AD327">
        <f>IF(AND(Y327="",AA327=""),"",IF(OR(LEFT(AA327,2)="L0",LEFT(AA327,2)="L1",Y327="No Iniciado"),"CRÍTICO - Incumplimiento Normativo SEPS",IF(AND(OR(LEFT(AA327,2)="L4",LEFT(AA327,2)="L5"),AND(AC327&lt;&gt;"",AC327&lt;&gt;"N/A")),"CONFORME - Control Efectivo ISO 27001","OBSERVACIÓN - Revisar Controles")))</f>
        <v/>
      </c>
    </row>
    <row r="328" ht="20.45" customHeight="1" s="106">
      <c r="A328" s="99" t="inlineStr">
        <is>
          <t>30-GNE</t>
        </is>
      </c>
      <c r="B328" s="10" t="inlineStr">
        <is>
          <t>PRODUCTIVO</t>
        </is>
      </c>
      <c r="C328" s="10" t="inlineStr">
        <is>
          <t>Gestión de Negocios</t>
        </is>
      </c>
      <c r="D328" s="10" t="inlineStr">
        <is>
          <t>GNE</t>
        </is>
      </c>
      <c r="E328" s="10" t="inlineStr">
        <is>
          <t>Gestión de Contact Center</t>
        </is>
      </c>
      <c r="F328" s="10" t="inlineStr">
        <is>
          <t>-</t>
        </is>
      </c>
      <c r="G328" s="10" t="inlineStr">
        <is>
          <t xml:space="preserve">Campañas de cobranza correctiva </t>
        </is>
      </c>
      <c r="H328" s="17" t="inlineStr">
        <is>
          <t>Grabaciones Sistema Issabel</t>
        </is>
      </c>
      <c r="I328" s="17" t="inlineStr">
        <is>
          <t>Archivos de sonido donde se evidencia la gestión de la campaña</t>
        </is>
      </c>
      <c r="J328" s="10" t="inlineStr">
        <is>
          <t xml:space="preserve">Jefe de Canales Electrónicos </t>
        </is>
      </c>
      <c r="K328" s="10" t="inlineStr">
        <is>
          <t>Analista de Contact Center</t>
        </is>
      </c>
      <c r="L328" s="10" t="inlineStr">
        <is>
          <t>UBICACIÓN DIGITAL - SISTEMA ISSABEL</t>
        </is>
      </c>
      <c r="M328" s="10" t="inlineStr">
        <is>
          <t>PORTALES, INTRANET Y EXTRANET</t>
        </is>
      </c>
      <c r="N328" s="10" t="inlineStr">
        <is>
          <t>PRIMARIOS</t>
        </is>
      </c>
      <c r="O328" s="10" t="inlineStr">
        <is>
          <t>INFORMACIÓN DE SOCIOS Y CLIENTES</t>
        </is>
      </c>
      <c r="P328" s="10" t="inlineStr">
        <is>
          <t>RESTRINGIDO(3)</t>
        </is>
      </c>
      <c r="Q328" s="10" t="inlineStr">
        <is>
          <t>ALTA(3)</t>
        </is>
      </c>
      <c r="R328" s="10" t="inlineStr">
        <is>
          <t>MEDIA(2)</t>
        </is>
      </c>
      <c r="S328" s="10">
        <f>+(IF(P328="PUBLICA(1)",1,IF(P328="USO INTERNO(2)",2,IF(P328="RESTRINGIDO(3)",3,3))))+(IF(Q328="BAJA(1)",1,IF(Q328="MEDIA(2)",2,IF(Q328="ALTA(3)",3,3))))+(IF(R328="BAJA(1)",1,IF(R328="MEDIA(2)",2,IF(R328="ALTA(3)",3,3))))</f>
        <v/>
      </c>
      <c r="T328" s="10">
        <f>+IF(S328&lt;6,"BAJA",IF(S328&lt;8,"MEDIA","ALTA"))</f>
        <v/>
      </c>
      <c r="U328" s="10" t="inlineStr">
        <is>
          <t>-</t>
        </is>
      </c>
      <c r="V328" s="24" t="n">
        <v>45588</v>
      </c>
      <c r="W328" s="19" t="inlineStr">
        <is>
          <t>N/A</t>
        </is>
      </c>
      <c r="X328" s="10">
        <f>+IFERROR(IF(VLOOKUP(Tabla2[[#This Row],[ID]],'EVALUACION DE RIESGO'!A:A,1,FALSE)=Tabla2[[#This Row],[ID]],"SI","NO"),"NO")</f>
        <v/>
      </c>
      <c r="AD328">
        <f>IF(AND(Y328="",AA328=""),"",IF(OR(LEFT(AA328,2)="L0",LEFT(AA328,2)="L1",Y328="No Iniciado"),"CRÍTICO - Incumplimiento Normativo SEPS",IF(AND(OR(LEFT(AA328,2)="L4",LEFT(AA328,2)="L5"),AND(AC328&lt;&gt;"",AC328&lt;&gt;"N/A")),"CONFORME - Control Efectivo ISO 27001","OBSERVACIÓN - Revisar Controles")))</f>
        <v/>
      </c>
    </row>
    <row r="329">
      <c r="A329" s="99" t="inlineStr">
        <is>
          <t>31-GNE</t>
        </is>
      </c>
      <c r="B329" s="10" t="inlineStr">
        <is>
          <t>PRODUCTIVO</t>
        </is>
      </c>
      <c r="C329" s="10" t="inlineStr">
        <is>
          <t>Gestión de Negocios</t>
        </is>
      </c>
      <c r="D329" s="10" t="inlineStr">
        <is>
          <t>GNE</t>
        </is>
      </c>
      <c r="E329" s="10" t="inlineStr">
        <is>
          <t>Gestión de Contact Center</t>
        </is>
      </c>
      <c r="F329" s="10" t="inlineStr">
        <is>
          <t>-</t>
        </is>
      </c>
      <c r="G329" s="10" t="inlineStr">
        <is>
          <t>Campañas de marketing</t>
        </is>
      </c>
      <c r="H329" s="10" t="inlineStr">
        <is>
          <t>Reportes de llamadas del 
Sistema Issabel</t>
        </is>
      </c>
      <c r="I329" s="10" t="inlineStr">
        <is>
          <t>Reporte detallado de llamadas realizadas en la campaña</t>
        </is>
      </c>
      <c r="J329" s="10" t="inlineStr">
        <is>
          <t xml:space="preserve">Jefe de Canales Electrónicos </t>
        </is>
      </c>
      <c r="K329" s="10" t="inlineStr">
        <is>
          <t>Analista de Contact Center</t>
        </is>
      </c>
      <c r="L329" s="10" t="inlineStr">
        <is>
          <t>UBICACIÓN DIGITAL - SISTEMA ISSABEL</t>
        </is>
      </c>
      <c r="M329" s="10" t="inlineStr">
        <is>
          <t>PORTALES, INTRANET Y EXTRANET</t>
        </is>
      </c>
      <c r="N329" s="10" t="inlineStr">
        <is>
          <t>PRIMARIOS</t>
        </is>
      </c>
      <c r="O329" s="10" t="inlineStr">
        <is>
          <t>COMUNICACIÓN INTERNA</t>
        </is>
      </c>
      <c r="P329" s="10" t="inlineStr">
        <is>
          <t>RESTRINGIDO(3)</t>
        </is>
      </c>
      <c r="Q329" s="10" t="inlineStr">
        <is>
          <t>MEDIA(2)</t>
        </is>
      </c>
      <c r="R329" s="10" t="inlineStr">
        <is>
          <t>MEDIA(2)</t>
        </is>
      </c>
      <c r="S329" s="10">
        <f>+(IF(P329="PUBLICA(1)",1,IF(P329="USO INTERNO(2)",2,IF(P329="RESTRINGIDO(3)",3,3))))+(IF(Q329="BAJA(1)",1,IF(Q329="MEDIA(2)",2,IF(Q329="ALTA(3)",3,3))))+(IF(R329="BAJA(1)",1,IF(R329="MEDIA(2)",2,IF(R329="ALTA(3)",3,3))))</f>
        <v/>
      </c>
      <c r="T329" s="10">
        <f>+IF(S329&lt;6,"BAJA",IF(S329&lt;8,"MEDIA","ALTA"))</f>
        <v/>
      </c>
      <c r="U329" s="10" t="inlineStr">
        <is>
          <t>-</t>
        </is>
      </c>
      <c r="V329" s="24" t="n">
        <v>45588</v>
      </c>
      <c r="W329" s="19" t="inlineStr">
        <is>
          <t>N/A</t>
        </is>
      </c>
      <c r="X329" s="10">
        <f>+IFERROR(IF(VLOOKUP(Tabla2[[#This Row],[ID]],'EVALUACION DE RIESGO'!A:A,1,FALSE)=Tabla2[[#This Row],[ID]],"SI","NO"),"NO")</f>
        <v/>
      </c>
      <c r="AD329">
        <f>IF(AND(Y329="",AA329=""),"",IF(OR(LEFT(AA329,2)="L0",LEFT(AA329,2)="L1",Y329="No Iniciado"),"CRÍTICO - Incumplimiento Normativo SEPS",IF(AND(OR(LEFT(AA329,2)="L4",LEFT(AA329,2)="L5"),AND(AC329&lt;&gt;"",AC329&lt;&gt;"N/A")),"CONFORME - Control Efectivo ISO 27001","OBSERVACIÓN - Revisar Controles")))</f>
        <v/>
      </c>
    </row>
    <row r="330" ht="20.45" customHeight="1" s="106">
      <c r="A330" s="99" t="inlineStr">
        <is>
          <t>32-GNE</t>
        </is>
      </c>
      <c r="B330" s="10" t="inlineStr">
        <is>
          <t>PRODUCTIVO</t>
        </is>
      </c>
      <c r="C330" s="10" t="inlineStr">
        <is>
          <t>Gestión de Negocios</t>
        </is>
      </c>
      <c r="D330" s="10" t="inlineStr">
        <is>
          <t>GNE</t>
        </is>
      </c>
      <c r="E330" s="10" t="inlineStr">
        <is>
          <t>Gestión de Contact Center</t>
        </is>
      </c>
      <c r="F330" s="10" t="inlineStr">
        <is>
          <t>-</t>
        </is>
      </c>
      <c r="G330" s="10" t="inlineStr">
        <is>
          <t>Campañas de marketing</t>
        </is>
      </c>
      <c r="H330" s="17" t="inlineStr">
        <is>
          <t>Grabaciones Sistema Issabel</t>
        </is>
      </c>
      <c r="I330" s="17" t="inlineStr">
        <is>
          <t>Archivos de sonido donde se evidencia la gestión de la campaña</t>
        </is>
      </c>
      <c r="J330" s="10" t="inlineStr">
        <is>
          <t xml:space="preserve">Jefe de Canales Electrónicos </t>
        </is>
      </c>
      <c r="K330" s="10" t="inlineStr">
        <is>
          <t>Analista de Contact Center</t>
        </is>
      </c>
      <c r="L330" s="10" t="inlineStr">
        <is>
          <t>UBICACIÓN DIGITAL - SISTEMA ISSABEL</t>
        </is>
      </c>
      <c r="M330" s="10" t="inlineStr">
        <is>
          <t>PORTALES, INTRANET Y EXTRANET</t>
        </is>
      </c>
      <c r="N330" s="10" t="inlineStr">
        <is>
          <t>PRIMARIOS</t>
        </is>
      </c>
      <c r="O330" s="10" t="inlineStr">
        <is>
          <t>INFORMACIÓN DE SOCIOS Y CLIENTES</t>
        </is>
      </c>
      <c r="P330" s="10" t="inlineStr">
        <is>
          <t>RESTRINGIDO(3)</t>
        </is>
      </c>
      <c r="Q330" s="10" t="inlineStr">
        <is>
          <t>ALTA(3)</t>
        </is>
      </c>
      <c r="R330" s="10" t="inlineStr">
        <is>
          <t>MEDIA(2)</t>
        </is>
      </c>
      <c r="S330" s="10">
        <f>+(IF(P330="PUBLICA(1)",1,IF(P330="USO INTERNO(2)",2,IF(P330="RESTRINGIDO(3)",3,3))))+(IF(Q330="BAJA(1)",1,IF(Q330="MEDIA(2)",2,IF(Q330="ALTA(3)",3,3))))+(IF(R330="BAJA(1)",1,IF(R330="MEDIA(2)",2,IF(R330="ALTA(3)",3,3))))</f>
        <v/>
      </c>
      <c r="T330" s="10">
        <f>+IF(S330&lt;6,"BAJA",IF(S330&lt;8,"MEDIA","ALTA"))</f>
        <v/>
      </c>
      <c r="U330" s="10" t="inlineStr">
        <is>
          <t>-</t>
        </is>
      </c>
      <c r="V330" s="24" t="n">
        <v>45588</v>
      </c>
      <c r="W330" s="19" t="inlineStr">
        <is>
          <t>N/A</t>
        </is>
      </c>
      <c r="X330" s="10">
        <f>+IFERROR(IF(VLOOKUP(Tabla2[[#This Row],[ID]],'EVALUACION DE RIESGO'!A:A,1,FALSE)=Tabla2[[#This Row],[ID]],"SI","NO"),"NO")</f>
        <v/>
      </c>
      <c r="AD330">
        <f>IF(AND(Y330="",AA330=""),"",IF(OR(LEFT(AA330,2)="L0",LEFT(AA330,2)="L1",Y330="No Iniciado"),"CRÍTICO - Incumplimiento Normativo SEPS",IF(AND(OR(LEFT(AA330,2)="L4",LEFT(AA330,2)="L5"),AND(AC330&lt;&gt;"",AC330&lt;&gt;"N/A")),"CONFORME - Control Efectivo ISO 27001","OBSERVACIÓN - Revisar Controles")))</f>
        <v/>
      </c>
    </row>
    <row r="331">
      <c r="A331" s="99" t="inlineStr">
        <is>
          <t>33-GNE</t>
        </is>
      </c>
      <c r="B331" s="10" t="inlineStr">
        <is>
          <t>PRODUCTIVO</t>
        </is>
      </c>
      <c r="C331" s="10" t="inlineStr">
        <is>
          <t>Gestión de Negocios</t>
        </is>
      </c>
      <c r="D331" s="10" t="inlineStr">
        <is>
          <t>GNE</t>
        </is>
      </c>
      <c r="E331" s="10" t="inlineStr">
        <is>
          <t>Gestión de Contact Center</t>
        </is>
      </c>
      <c r="F331" s="10" t="inlineStr">
        <is>
          <t>-</t>
        </is>
      </c>
      <c r="G331" s="10" t="inlineStr">
        <is>
          <t>Campañas informativas eventuales</t>
        </is>
      </c>
      <c r="H331" s="10" t="inlineStr">
        <is>
          <t>Reportes de resultados
campaña</t>
        </is>
      </c>
      <c r="I331" s="10" t="inlineStr">
        <is>
          <t>Archivo consolidado de la campaña realizada donde se detalla de forma grafica los resultados obtenidos</t>
        </is>
      </c>
      <c r="J331" s="10" t="inlineStr">
        <is>
          <t xml:space="preserve">Jefe de Canales Electrónicos </t>
        </is>
      </c>
      <c r="K331" s="10" t="inlineStr">
        <is>
          <t>Analista de Contact Center</t>
        </is>
      </c>
      <c r="L331" s="10" t="inlineStr">
        <is>
          <t>UBICACIÓN DIGITAL-EQUIPO DEL CUSTODIO</t>
        </is>
      </c>
      <c r="M331" s="10" t="inlineStr">
        <is>
          <t>DISCOS DUROS, SERVIDORES, DISCOS O MEDIOS PORTÁTILES, CINTAS O MEDIOS DE VIDEO Y AUDIO, ETC.</t>
        </is>
      </c>
      <c r="N331" s="10" t="inlineStr">
        <is>
          <t>PRIMARIOS</t>
        </is>
      </c>
      <c r="O331" s="10" t="inlineStr">
        <is>
          <t>DOCUMENTOS TÉCNICOS</t>
        </is>
      </c>
      <c r="P331" s="10" t="inlineStr">
        <is>
          <t>USO INTERNO(2)</t>
        </is>
      </c>
      <c r="Q331" s="10" t="inlineStr">
        <is>
          <t>MEDIA(2)</t>
        </is>
      </c>
      <c r="R331" s="10" t="inlineStr">
        <is>
          <t>MEDIA(2)</t>
        </is>
      </c>
      <c r="S331" s="10">
        <f>+(IF(P331="PUBLICA(1)",1,IF(P331="USO INTERNO(2)",2,IF(P331="RESTRINGIDO(3)",3,3))))+(IF(Q331="BAJA(1)",1,IF(Q331="MEDIA(2)",2,IF(Q331="ALTA(3)",3,3))))+(IF(R331="BAJA(1)",1,IF(R331="MEDIA(2)",2,IF(R331="ALTA(3)",3,3))))</f>
        <v/>
      </c>
      <c r="T331" s="10">
        <f>+IF(S331&lt;6,"BAJA",IF(S331&lt;8,"MEDIA","ALTA"))</f>
        <v/>
      </c>
      <c r="U331" s="10" t="inlineStr">
        <is>
          <t>-</t>
        </is>
      </c>
      <c r="V331" s="24" t="n">
        <v>45588</v>
      </c>
      <c r="W331" s="19" t="inlineStr">
        <is>
          <t>N/A</t>
        </is>
      </c>
      <c r="X331" s="10">
        <f>+IFERROR(IF(VLOOKUP(Tabla2[[#This Row],[ID]],'EVALUACION DE RIESGO'!A:A,1,FALSE)=Tabla2[[#This Row],[ID]],"SI","NO"),"NO")</f>
        <v/>
      </c>
      <c r="AD331">
        <f>IF(AND(Y331="",AA331=""),"",IF(OR(LEFT(AA331,2)="L0",LEFT(AA331,2)="L1",Y331="No Iniciado"),"CRÍTICO - Incumplimiento Normativo SEPS",IF(AND(OR(LEFT(AA331,2)="L4",LEFT(AA331,2)="L5"),AND(AC331&lt;&gt;"",AC331&lt;&gt;"N/A")),"CONFORME - Control Efectivo ISO 27001","OBSERVACIÓN - Revisar Controles")))</f>
        <v/>
      </c>
    </row>
    <row r="332">
      <c r="A332" s="99" t="inlineStr">
        <is>
          <t>34-GNE</t>
        </is>
      </c>
      <c r="B332" s="10" t="inlineStr">
        <is>
          <t>PRODUCTIVO</t>
        </is>
      </c>
      <c r="C332" s="10" t="inlineStr">
        <is>
          <t>Gestión de Negocios</t>
        </is>
      </c>
      <c r="D332" s="10" t="inlineStr">
        <is>
          <t>GNE</t>
        </is>
      </c>
      <c r="E332" s="10" t="inlineStr">
        <is>
          <t>Gestión de Contact Center</t>
        </is>
      </c>
      <c r="F332" s="10" t="inlineStr">
        <is>
          <t>-</t>
        </is>
      </c>
      <c r="G332" s="10" t="inlineStr">
        <is>
          <t>Campañas informativas eventuales</t>
        </is>
      </c>
      <c r="H332" s="10" t="inlineStr">
        <is>
          <t>Solicitud de campaña</t>
        </is>
      </c>
      <c r="I332" s="10" t="inlineStr">
        <is>
          <t>Archivo digital</t>
        </is>
      </c>
      <c r="J332" s="10" t="inlineStr">
        <is>
          <t xml:space="preserve">Jefe de Canales Electrónicos </t>
        </is>
      </c>
      <c r="K332" s="10" t="inlineStr">
        <is>
          <t xml:space="preserve">Jefe de Canales Electrónicos </t>
        </is>
      </c>
      <c r="L332" s="10" t="inlineStr">
        <is>
          <t>UBICACIÓN DIGITAL-EQUIPO DEL RESPONSABLE</t>
        </is>
      </c>
      <c r="M332" s="10" t="inlineStr">
        <is>
          <t>DISCOS DUROS, SERVIDORES, DISCOS O MEDIOS PORTÁTILES, CINTAS O MEDIOS DE VIDEO Y AUDIO, ETC.</t>
        </is>
      </c>
      <c r="N332" s="10" t="inlineStr">
        <is>
          <t>PRIMARIOS</t>
        </is>
      </c>
      <c r="O332" s="10" t="inlineStr">
        <is>
          <t>COMUNICACIÓN INTERNA</t>
        </is>
      </c>
      <c r="P332" s="10" t="inlineStr">
        <is>
          <t>USO INTERNO(2)</t>
        </is>
      </c>
      <c r="Q332" s="10" t="inlineStr">
        <is>
          <t>MEDIA(2)</t>
        </is>
      </c>
      <c r="R332" s="10" t="inlineStr">
        <is>
          <t>BAJA(1)</t>
        </is>
      </c>
      <c r="S332" s="10">
        <f>+(IF(P332="PUBLICA(1)",1,IF(P332="USO INTERNO(2)",2,IF(P332="RESTRINGIDO(3)",3,3))))+(IF(Q332="BAJA(1)",1,IF(Q332="MEDIA(2)",2,IF(Q332="ALTA(3)",3,3))))+(IF(R332="BAJA(1)",1,IF(R332="MEDIA(2)",2,IF(R332="ALTA(3)",3,3))))</f>
        <v/>
      </c>
      <c r="T332" s="10">
        <f>+IF(S332&lt;6,"BAJA",IF(S332&lt;8,"MEDIA","ALTA"))</f>
        <v/>
      </c>
      <c r="U332" s="10" t="inlineStr">
        <is>
          <t>-</t>
        </is>
      </c>
      <c r="V332" s="24" t="n">
        <v>45588</v>
      </c>
      <c r="W332" s="19" t="inlineStr">
        <is>
          <t>N/A</t>
        </is>
      </c>
      <c r="X332" s="10">
        <f>+IFERROR(IF(VLOOKUP(Tabla2[[#This Row],[ID]],'EVALUACION DE RIESGO'!A:A,1,FALSE)=Tabla2[[#This Row],[ID]],"SI","NO"),"NO")</f>
        <v/>
      </c>
      <c r="AD332">
        <f>IF(AND(Y332="",AA332=""),"",IF(OR(LEFT(AA332,2)="L0",LEFT(AA332,2)="L1",Y332="No Iniciado"),"CRÍTICO - Incumplimiento Normativo SEPS",IF(AND(OR(LEFT(AA332,2)="L4",LEFT(AA332,2)="L5"),AND(AC332&lt;&gt;"",AC332&lt;&gt;"N/A")),"CONFORME - Control Efectivo ISO 27001","OBSERVACIÓN - Revisar Controles")))</f>
        <v/>
      </c>
    </row>
    <row r="333">
      <c r="A333" s="99" t="inlineStr">
        <is>
          <t>35-GNE</t>
        </is>
      </c>
      <c r="B333" s="10" t="inlineStr">
        <is>
          <t>PRODUCTIVO</t>
        </is>
      </c>
      <c r="C333" s="10" t="inlineStr">
        <is>
          <t>Gestión de Negocios</t>
        </is>
      </c>
      <c r="D333" s="10" t="inlineStr">
        <is>
          <t>GNE</t>
        </is>
      </c>
      <c r="E333" s="10" t="inlineStr">
        <is>
          <t>Gestión de Contact Center</t>
        </is>
      </c>
      <c r="F333" s="10" t="inlineStr">
        <is>
          <t>-</t>
        </is>
      </c>
      <c r="G333" s="10" t="inlineStr">
        <is>
          <t>Atención al cliente a través de redes sociales</t>
        </is>
      </c>
      <c r="H333" s="10" t="inlineStr">
        <is>
          <t>Matriz de requerimientos 
atendidos</t>
        </is>
      </c>
      <c r="I333" s="10" t="inlineStr">
        <is>
          <t>Información de requerimientos en redes sociales que está en el sistema CRM respond.io</t>
        </is>
      </c>
      <c r="J333" s="10" t="inlineStr">
        <is>
          <t xml:space="preserve">Jefe de Canales Electrónicos </t>
        </is>
      </c>
      <c r="K333" s="10" t="inlineStr">
        <is>
          <t>Analista de Contact Center</t>
        </is>
      </c>
      <c r="L333" s="10" t="inlineStr">
        <is>
          <t>UBICACIÓN DIGITAL - SISTEMA RESPOND.IO</t>
        </is>
      </c>
      <c r="M333" s="10" t="inlineStr">
        <is>
          <t>PORTALES, INTRANET Y EXTRANET</t>
        </is>
      </c>
      <c r="N333" s="10" t="inlineStr">
        <is>
          <t>PRIMARIOS</t>
        </is>
      </c>
      <c r="O333" s="10" t="inlineStr">
        <is>
          <t>INFORMACIÓN DE TERCEROS</t>
        </is>
      </c>
      <c r="P333" s="10" t="inlineStr">
        <is>
          <t>USO INTERNO(2)</t>
        </is>
      </c>
      <c r="Q333" s="10" t="inlineStr">
        <is>
          <t>MEDIA(2)</t>
        </is>
      </c>
      <c r="R333" s="10" t="inlineStr">
        <is>
          <t>BAJA(1)</t>
        </is>
      </c>
      <c r="S333" s="10">
        <f>+(IF(P333="PUBLICA(1)",1,IF(P333="USO INTERNO(2)",2,IF(P333="RESTRINGIDO(3)",3,3))))+(IF(Q333="BAJA(1)",1,IF(Q333="MEDIA(2)",2,IF(Q333="ALTA(3)",3,3))))+(IF(R333="BAJA(1)",1,IF(R333="MEDIA(2)",2,IF(R333="ALTA(3)",3,3))))</f>
        <v/>
      </c>
      <c r="T333" s="10">
        <f>+IF(S333&lt;6,"BAJA",IF(S333&lt;8,"MEDIA","ALTA"))</f>
        <v/>
      </c>
      <c r="U333" s="10" t="inlineStr">
        <is>
          <t>-</t>
        </is>
      </c>
      <c r="V333" s="24" t="n">
        <v>45588</v>
      </c>
      <c r="W333" s="19" t="inlineStr">
        <is>
          <t>N/A</t>
        </is>
      </c>
      <c r="X333" s="10">
        <f>+IFERROR(IF(VLOOKUP(Tabla2[[#This Row],[ID]],'EVALUACION DE RIESGO'!A:A,1,FALSE)=Tabla2[[#This Row],[ID]],"SI","NO"),"NO")</f>
        <v/>
      </c>
      <c r="AD333">
        <f>IF(AND(Y333="",AA333=""),"",IF(OR(LEFT(AA333,2)="L0",LEFT(AA333,2)="L1",Y333="No Iniciado"),"CRÍTICO - Incumplimiento Normativo SEPS",IF(AND(OR(LEFT(AA333,2)="L4",LEFT(AA333,2)="L5"),AND(AC333&lt;&gt;"",AC333&lt;&gt;"N/A")),"CONFORME - Control Efectivo ISO 27001","OBSERVACIÓN - Revisar Controles")))</f>
        <v/>
      </c>
    </row>
    <row r="334">
      <c r="A334" s="99" t="inlineStr">
        <is>
          <t>36-GNE</t>
        </is>
      </c>
      <c r="B334" s="10" t="inlineStr">
        <is>
          <t>PRODUCTIVO</t>
        </is>
      </c>
      <c r="C334" s="10" t="inlineStr">
        <is>
          <t>Gestión de Negocios</t>
        </is>
      </c>
      <c r="D334" s="10" t="inlineStr">
        <is>
          <t>GNE</t>
        </is>
      </c>
      <c r="E334" s="10" t="inlineStr">
        <is>
          <t>Gestión de Contact Center</t>
        </is>
      </c>
      <c r="F334" s="10" t="inlineStr">
        <is>
          <t>-</t>
        </is>
      </c>
      <c r="G334" s="10" t="inlineStr">
        <is>
          <t>Verificación de datos de socios</t>
        </is>
      </c>
      <c r="H334" s="10" t="inlineStr">
        <is>
          <t xml:space="preserve">Reportes de llamadas </t>
        </is>
      </c>
      <c r="I334" s="10" t="inlineStr">
        <is>
          <t xml:space="preserve">Reporte de webcoop - generador de reportes </t>
        </is>
      </c>
      <c r="J334" s="10" t="inlineStr">
        <is>
          <t xml:space="preserve">Jefe de Canales Electrónicos </t>
        </is>
      </c>
      <c r="K334" s="10" t="inlineStr">
        <is>
          <t>Analista de Contact Center</t>
        </is>
      </c>
      <c r="L334" s="10" t="inlineStr">
        <is>
          <t>UBICACIÓN DIGITAL-WEBCOOP</t>
        </is>
      </c>
      <c r="M334" s="10" t="inlineStr">
        <is>
          <t>PORTALES, INTRANET Y EXTRANET</t>
        </is>
      </c>
      <c r="N334" s="10" t="inlineStr">
        <is>
          <t>PRIMARIOS</t>
        </is>
      </c>
      <c r="O334" s="10" t="inlineStr">
        <is>
          <t>INFORMACIÓN DE SOCIOS Y CLIENTES</t>
        </is>
      </c>
      <c r="P334" s="10" t="inlineStr">
        <is>
          <t>RESTRINGIDO(3)</t>
        </is>
      </c>
      <c r="Q334" s="10" t="inlineStr">
        <is>
          <t>MEDIA(2)</t>
        </is>
      </c>
      <c r="R334" s="10" t="inlineStr">
        <is>
          <t>MEDIA(2)</t>
        </is>
      </c>
      <c r="S334" s="10">
        <f>+(IF(P334="PUBLICA(1)",1,IF(P334="USO INTERNO(2)",2,IF(P334="RESTRINGIDO(3)",3,3))))+(IF(Q334="BAJA(1)",1,IF(Q334="MEDIA(2)",2,IF(Q334="ALTA(3)",3,3))))+(IF(R334="BAJA(1)",1,IF(R334="MEDIA(2)",2,IF(R334="ALTA(3)",3,3))))</f>
        <v/>
      </c>
      <c r="T334" s="10">
        <f>+IF(S334&lt;6,"BAJA",IF(S334&lt;8,"MEDIA","ALTA"))</f>
        <v/>
      </c>
      <c r="U334" s="10" t="inlineStr">
        <is>
          <t>-</t>
        </is>
      </c>
      <c r="V334" s="24" t="n">
        <v>45588</v>
      </c>
      <c r="W334" s="19" t="inlineStr">
        <is>
          <t>N/A</t>
        </is>
      </c>
      <c r="X334" s="10">
        <f>+IFERROR(IF(VLOOKUP(Tabla2[[#This Row],[ID]],'EVALUACION DE RIESGO'!A:A,1,FALSE)=Tabla2[[#This Row],[ID]],"SI","NO"),"NO")</f>
        <v/>
      </c>
      <c r="AD334">
        <f>IF(AND(Y334="",AA334=""),"",IF(OR(LEFT(AA334,2)="L0",LEFT(AA334,2)="L1",Y334="No Iniciado"),"CRÍTICO - Incumplimiento Normativo SEPS",IF(AND(OR(LEFT(AA334,2)="L4",LEFT(AA334,2)="L5"),AND(AC334&lt;&gt;"",AC334&lt;&gt;"N/A")),"CONFORME - Control Efectivo ISO 27001","OBSERVACIÓN - Revisar Controles")))</f>
        <v/>
      </c>
    </row>
    <row r="335" ht="20.45" customHeight="1" s="106">
      <c r="A335" s="99" t="inlineStr">
        <is>
          <t>37-GNE</t>
        </is>
      </c>
      <c r="B335" s="10" t="inlineStr">
        <is>
          <t>PRODUCTIVO</t>
        </is>
      </c>
      <c r="C335" s="10" t="inlineStr">
        <is>
          <t>Gestión de Negocios</t>
        </is>
      </c>
      <c r="D335" s="10" t="inlineStr">
        <is>
          <t>GNE</t>
        </is>
      </c>
      <c r="E335" s="10" t="inlineStr">
        <is>
          <t>Gestión de Contact Center</t>
        </is>
      </c>
      <c r="F335" s="10" t="inlineStr">
        <is>
          <t>-</t>
        </is>
      </c>
      <c r="G335" s="10" t="inlineStr">
        <is>
          <t>Verificación de datos de socios</t>
        </is>
      </c>
      <c r="H335" s="17" t="inlineStr">
        <is>
          <t>Grabaciones sistema Issabel</t>
        </is>
      </c>
      <c r="I335" s="17" t="inlineStr">
        <is>
          <t>Audio de la llamada realizada por el gestor telefónica</t>
        </is>
      </c>
      <c r="J335" s="10" t="inlineStr">
        <is>
          <t xml:space="preserve">Jefe de Canales Electrónicos </t>
        </is>
      </c>
      <c r="K335" s="10" t="inlineStr">
        <is>
          <t>Analista de Contact Center</t>
        </is>
      </c>
      <c r="L335" s="10" t="inlineStr">
        <is>
          <t>UBICACIÓN DIGITAL - SISTEMA ISSABEL</t>
        </is>
      </c>
      <c r="M335" s="10" t="inlineStr">
        <is>
          <t>PORTALES, INTRANET Y EXTRANET</t>
        </is>
      </c>
      <c r="N335" s="10" t="inlineStr">
        <is>
          <t>PRIMARIOS</t>
        </is>
      </c>
      <c r="O335" s="10" t="inlineStr">
        <is>
          <t>INFORMACIÓN DE SOCIOS Y CLIENTES</t>
        </is>
      </c>
      <c r="P335" s="10" t="inlineStr">
        <is>
          <t>RESTRINGIDO(3)</t>
        </is>
      </c>
      <c r="Q335" s="10" t="inlineStr">
        <is>
          <t>ALTA(3)</t>
        </is>
      </c>
      <c r="R335" s="10" t="inlineStr">
        <is>
          <t>MEDIA(2)</t>
        </is>
      </c>
      <c r="S335" s="10">
        <f>+(IF(P335="PUBLICA(1)",1,IF(P335="USO INTERNO(2)",2,IF(P335="RESTRINGIDO(3)",3,3))))+(IF(Q335="BAJA(1)",1,IF(Q335="MEDIA(2)",2,IF(Q335="ALTA(3)",3,3))))+(IF(R335="BAJA(1)",1,IF(R335="MEDIA(2)",2,IF(R335="ALTA(3)",3,3))))</f>
        <v/>
      </c>
      <c r="T335" s="10">
        <f>+IF(S335&lt;6,"BAJA",IF(S335&lt;8,"MEDIA","ALTA"))</f>
        <v/>
      </c>
      <c r="U335" s="10" t="inlineStr">
        <is>
          <t>-</t>
        </is>
      </c>
      <c r="V335" s="24" t="n">
        <v>45588</v>
      </c>
      <c r="W335" s="19" t="inlineStr">
        <is>
          <t>N/A</t>
        </is>
      </c>
      <c r="X335" s="10">
        <f>+IFERROR(IF(VLOOKUP(Tabla2[[#This Row],[ID]],'EVALUACION DE RIESGO'!A:A,1,FALSE)=Tabla2[[#This Row],[ID]],"SI","NO"),"NO")</f>
        <v/>
      </c>
      <c r="AD335">
        <f>IF(AND(Y335="",AA335=""),"",IF(OR(LEFT(AA335,2)="L0",LEFT(AA335,2)="L1",Y335="No Iniciado"),"CRÍTICO - Incumplimiento Normativo SEPS",IF(AND(OR(LEFT(AA335,2)="L4",LEFT(AA335,2)="L5"),AND(AC335&lt;&gt;"",AC335&lt;&gt;"N/A")),"CONFORME - Control Efectivo ISO 27001","OBSERVACIÓN - Revisar Controles")))</f>
        <v/>
      </c>
    </row>
    <row r="336">
      <c r="A336" s="99" t="inlineStr">
        <is>
          <t>38-GNE</t>
        </is>
      </c>
      <c r="B336" s="10" t="inlineStr">
        <is>
          <t>PRODUCTIVO</t>
        </is>
      </c>
      <c r="C336" s="10" t="inlineStr">
        <is>
          <t>Gestión de Negocios</t>
        </is>
      </c>
      <c r="D336" s="10" t="inlineStr">
        <is>
          <t>GNE</t>
        </is>
      </c>
      <c r="E336" s="10" t="inlineStr">
        <is>
          <t>Gestión de Contact Center</t>
        </is>
      </c>
      <c r="F336" s="10" t="inlineStr">
        <is>
          <t>-</t>
        </is>
      </c>
      <c r="G336" s="10" t="inlineStr">
        <is>
          <t>Verificación de datos de socios</t>
        </is>
      </c>
      <c r="H336" s="10" t="inlineStr">
        <is>
          <t>Reporte
de socios verificados</t>
        </is>
      </c>
      <c r="I336" s="10" t="inlineStr">
        <is>
          <t>Reporte que se envía a negocios y cumplimiento</t>
        </is>
      </c>
      <c r="J336" s="10" t="inlineStr">
        <is>
          <t xml:space="preserve">Jefe de Canales Electrónicos </t>
        </is>
      </c>
      <c r="K336" s="10" t="inlineStr">
        <is>
          <t>Analista de Contact Center</t>
        </is>
      </c>
      <c r="L336" s="10" t="inlineStr">
        <is>
          <t>UBICACIÓN DIGITAL-EQUIPO DEL CUSTODIO</t>
        </is>
      </c>
      <c r="M336" s="10" t="inlineStr">
        <is>
          <t>DISCOS DUROS, SERVIDORES, DISCOS O MEDIOS PORTÁTILES, CINTAS O MEDIOS DE VIDEO Y AUDIO, ETC.</t>
        </is>
      </c>
      <c r="N336" s="10" t="inlineStr">
        <is>
          <t>PRIMARIOS</t>
        </is>
      </c>
      <c r="O336" s="10" t="inlineStr">
        <is>
          <t>INFORMACIÓN DE SOCIOS Y CLIENTES</t>
        </is>
      </c>
      <c r="P336" s="10" t="inlineStr">
        <is>
          <t>USO INTERNO(2)</t>
        </is>
      </c>
      <c r="Q336" s="10" t="inlineStr">
        <is>
          <t>MEDIA(2)</t>
        </is>
      </c>
      <c r="R336" s="10" t="inlineStr">
        <is>
          <t>MEDIA(2)</t>
        </is>
      </c>
      <c r="S336" s="10">
        <f>+(IF(P336="PUBLICA(1)",1,IF(P336="USO INTERNO(2)",2,IF(P336="RESTRINGIDO(3)",3,3))))+(IF(Q336="BAJA(1)",1,IF(Q336="MEDIA(2)",2,IF(Q336="ALTA(3)",3,3))))+(IF(R336="BAJA(1)",1,IF(R336="MEDIA(2)",2,IF(R336="ALTA(3)",3,3))))</f>
        <v/>
      </c>
      <c r="T336" s="10">
        <f>+IF(S336&lt;6,"BAJA",IF(S336&lt;8,"MEDIA","ALTA"))</f>
        <v/>
      </c>
      <c r="U336" s="10" t="inlineStr">
        <is>
          <t>-</t>
        </is>
      </c>
      <c r="V336" s="24" t="n">
        <v>45588</v>
      </c>
      <c r="W336" s="19" t="inlineStr">
        <is>
          <t>N/A</t>
        </is>
      </c>
      <c r="X336" s="10">
        <f>+IFERROR(IF(VLOOKUP(Tabla2[[#This Row],[ID]],'EVALUACION DE RIESGO'!A:A,1,FALSE)=Tabla2[[#This Row],[ID]],"SI","NO"),"NO")</f>
        <v/>
      </c>
      <c r="AD336">
        <f>IF(AND(Y336="",AA336=""),"",IF(OR(LEFT(AA336,2)="L0",LEFT(AA336,2)="L1",Y336="No Iniciado"),"CRÍTICO - Incumplimiento Normativo SEPS",IF(AND(OR(LEFT(AA336,2)="L4",LEFT(AA336,2)="L5"),AND(AC336&lt;&gt;"",AC336&lt;&gt;"N/A")),"CONFORME - Control Efectivo ISO 27001","OBSERVACIÓN - Revisar Controles")))</f>
        <v/>
      </c>
    </row>
    <row r="337">
      <c r="A337" s="99" t="inlineStr">
        <is>
          <t>39-GNE</t>
        </is>
      </c>
      <c r="B337" s="10" t="inlineStr">
        <is>
          <t>PRODUCTIVO</t>
        </is>
      </c>
      <c r="C337" s="10" t="inlineStr">
        <is>
          <t>Gestión de Negocios</t>
        </is>
      </c>
      <c r="D337" s="10" t="inlineStr">
        <is>
          <t>GNE</t>
        </is>
      </c>
      <c r="E337" s="10" t="inlineStr">
        <is>
          <t>Gestión de Contact Center</t>
        </is>
      </c>
      <c r="F337" s="10" t="inlineStr">
        <is>
          <t>-</t>
        </is>
      </c>
      <c r="G337" s="10" t="inlineStr">
        <is>
          <t>Atención de llamadas</t>
        </is>
      </c>
      <c r="H337" s="10" t="inlineStr">
        <is>
          <t>Reportes de llamadas</t>
        </is>
      </c>
      <c r="I337" s="10" t="inlineStr">
        <is>
          <t>Reporte de llamadas de Isabel</t>
        </is>
      </c>
      <c r="J337" s="10" t="inlineStr">
        <is>
          <t xml:space="preserve">Jefe de Canales Electrónicos </t>
        </is>
      </c>
      <c r="K337" s="10" t="inlineStr">
        <is>
          <t>Analista de Contact Center</t>
        </is>
      </c>
      <c r="L337" s="10" t="inlineStr">
        <is>
          <t>UBICACIÓN DIGITAL - SISTEMA ISSABEL</t>
        </is>
      </c>
      <c r="M337" s="10" t="inlineStr">
        <is>
          <t>PORTALES, INTRANET Y EXTRANET</t>
        </is>
      </c>
      <c r="N337" s="10" t="inlineStr">
        <is>
          <t>PRIMARIOS</t>
        </is>
      </c>
      <c r="O337" s="10" t="inlineStr">
        <is>
          <t>INFORMACIÓN DE SOCIOS Y CLIENTES</t>
        </is>
      </c>
      <c r="P337" s="10" t="inlineStr">
        <is>
          <t>RESTRINGIDO(3)</t>
        </is>
      </c>
      <c r="Q337" s="10" t="inlineStr">
        <is>
          <t>MEDIA(2)</t>
        </is>
      </c>
      <c r="R337" s="10" t="inlineStr">
        <is>
          <t>MEDIA(2)</t>
        </is>
      </c>
      <c r="S337" s="10">
        <f>+(IF(P337="PUBLICA(1)",1,IF(P337="USO INTERNO(2)",2,IF(P337="RESTRINGIDO(3)",3,3))))+(IF(Q337="BAJA(1)",1,IF(Q337="MEDIA(2)",2,IF(Q337="ALTA(3)",3,3))))+(IF(R337="BAJA(1)",1,IF(R337="MEDIA(2)",2,IF(R337="ALTA(3)",3,3))))</f>
        <v/>
      </c>
      <c r="T337" s="10">
        <f>+IF(S337&lt;6,"BAJA",IF(S337&lt;8,"MEDIA","ALTA"))</f>
        <v/>
      </c>
      <c r="U337" s="10" t="inlineStr">
        <is>
          <t>-</t>
        </is>
      </c>
      <c r="V337" s="24" t="n">
        <v>45588</v>
      </c>
      <c r="W337" s="19" t="inlineStr">
        <is>
          <t>N/A</t>
        </is>
      </c>
      <c r="X337" s="10">
        <f>+IFERROR(IF(VLOOKUP(Tabla2[[#This Row],[ID]],'EVALUACION DE RIESGO'!A:A,1,FALSE)=Tabla2[[#This Row],[ID]],"SI","NO"),"NO")</f>
        <v/>
      </c>
      <c r="AD337">
        <f>IF(AND(Y337="",AA337=""),"",IF(OR(LEFT(AA337,2)="L0",LEFT(AA337,2)="L1",Y337="No Iniciado"),"CRÍTICO - Incumplimiento Normativo SEPS",IF(AND(OR(LEFT(AA337,2)="L4",LEFT(AA337,2)="L5"),AND(AC337&lt;&gt;"",AC337&lt;&gt;"N/A")),"CONFORME - Control Efectivo ISO 27001","OBSERVACIÓN - Revisar Controles")))</f>
        <v/>
      </c>
    </row>
    <row r="338" ht="20.45" customHeight="1" s="106">
      <c r="A338" s="99" t="inlineStr">
        <is>
          <t>40-GNE</t>
        </is>
      </c>
      <c r="B338" s="10" t="inlineStr">
        <is>
          <t>PRODUCTIVO</t>
        </is>
      </c>
      <c r="C338" s="10" t="inlineStr">
        <is>
          <t>Gestión de Negocios</t>
        </is>
      </c>
      <c r="D338" s="10" t="inlineStr">
        <is>
          <t>GNE</t>
        </is>
      </c>
      <c r="E338" s="10" t="inlineStr">
        <is>
          <t>Gestión de Contact Center</t>
        </is>
      </c>
      <c r="F338" s="10" t="inlineStr">
        <is>
          <t>-</t>
        </is>
      </c>
      <c r="G338" s="10" t="inlineStr">
        <is>
          <t>Atención de llamadas</t>
        </is>
      </c>
      <c r="H338" s="17" t="inlineStr">
        <is>
          <t>Grabaciones sistema Issabel</t>
        </is>
      </c>
      <c r="I338" s="17" t="inlineStr">
        <is>
          <t>Audio de la llamada realizada por el gestor telefónico</t>
        </is>
      </c>
      <c r="J338" s="10" t="inlineStr">
        <is>
          <t xml:space="preserve">Jefe de Canales Electrónicos </t>
        </is>
      </c>
      <c r="K338" s="10" t="inlineStr">
        <is>
          <t>Analista de Contact Center</t>
        </is>
      </c>
      <c r="L338" s="10" t="inlineStr">
        <is>
          <t>UBICACIÓN DIGITAL - SISTEMA ISSABEL</t>
        </is>
      </c>
      <c r="M338" s="10" t="inlineStr">
        <is>
          <t>PORTALES, INTRANET Y EXTRANET</t>
        </is>
      </c>
      <c r="N338" s="10" t="inlineStr">
        <is>
          <t>PRIMARIOS</t>
        </is>
      </c>
      <c r="O338" s="10" t="inlineStr">
        <is>
          <t>INFORMACIÓN DE SOCIOS Y CLIENTES</t>
        </is>
      </c>
      <c r="P338" s="10" t="inlineStr">
        <is>
          <t>RESTRINGIDO(3)</t>
        </is>
      </c>
      <c r="Q338" s="10" t="inlineStr">
        <is>
          <t>ALTA(3)</t>
        </is>
      </c>
      <c r="R338" s="10" t="inlineStr">
        <is>
          <t>MEDIA(2)</t>
        </is>
      </c>
      <c r="S338" s="10">
        <f>+(IF(P338="PUBLICA(1)",1,IF(P338="USO INTERNO(2)",2,IF(P338="RESTRINGIDO(3)",3,3))))+(IF(Q338="BAJA(1)",1,IF(Q338="MEDIA(2)",2,IF(Q338="ALTA(3)",3,3))))+(IF(R338="BAJA(1)",1,IF(R338="MEDIA(2)",2,IF(R338="ALTA(3)",3,3))))</f>
        <v/>
      </c>
      <c r="T338" s="10">
        <f>+IF(S338&lt;6,"BAJA",IF(S338&lt;8,"MEDIA","ALTA"))</f>
        <v/>
      </c>
      <c r="U338" s="10" t="inlineStr">
        <is>
          <t>-</t>
        </is>
      </c>
      <c r="V338" s="24" t="n">
        <v>45588</v>
      </c>
      <c r="W338" s="19" t="inlineStr">
        <is>
          <t>N/A</t>
        </is>
      </c>
      <c r="X338" s="10">
        <f>+IFERROR(IF(VLOOKUP(Tabla2[[#This Row],[ID]],'EVALUACION DE RIESGO'!A:A,1,FALSE)=Tabla2[[#This Row],[ID]],"SI","NO"),"NO")</f>
        <v/>
      </c>
      <c r="AD338">
        <f>IF(AND(Y338="",AA338=""),"",IF(OR(LEFT(AA338,2)="L0",LEFT(AA338,2)="L1",Y338="No Iniciado"),"CRÍTICO - Incumplimiento Normativo SEPS",IF(AND(OR(LEFT(AA338,2)="L4",LEFT(AA338,2)="L5"),AND(AC338&lt;&gt;"",AC338&lt;&gt;"N/A")),"CONFORME - Control Efectivo ISO 27001","OBSERVACIÓN - Revisar Controles")))</f>
        <v/>
      </c>
    </row>
    <row r="339">
      <c r="A339" s="99" t="inlineStr">
        <is>
          <t>41-GNE</t>
        </is>
      </c>
      <c r="B339" s="10" t="inlineStr">
        <is>
          <t>PRODUCTIVO</t>
        </is>
      </c>
      <c r="C339" s="10" t="inlineStr">
        <is>
          <t>Gestión de Negocios</t>
        </is>
      </c>
      <c r="D339" s="10" t="inlineStr">
        <is>
          <t>GNE</t>
        </is>
      </c>
      <c r="E339" s="10" t="inlineStr">
        <is>
          <t>Gestión de Contact Center</t>
        </is>
      </c>
      <c r="F339" s="10" t="inlineStr">
        <is>
          <t>-</t>
        </is>
      </c>
      <c r="G339" s="10" t="inlineStr">
        <is>
          <t>Atención de llamadas</t>
        </is>
      </c>
      <c r="H339" s="10" t="inlineStr">
        <is>
          <t>Registro de preguntas inusuales</t>
        </is>
      </c>
      <c r="I339" s="10" t="inlineStr">
        <is>
          <t>Registro de requerimientos que no son comunes y se encuentran en seguimiento</t>
        </is>
      </c>
      <c r="J339" s="10" t="inlineStr">
        <is>
          <t xml:space="preserve">Jefe de Canales Electrónicos </t>
        </is>
      </c>
      <c r="K339" s="10" t="inlineStr">
        <is>
          <t>Analista de Contact Center</t>
        </is>
      </c>
      <c r="L339" s="10" t="inlineStr">
        <is>
          <t>UBICACIÓN DIGITAL-EQUIPO DEL CUSTODIO</t>
        </is>
      </c>
      <c r="M339" s="10" t="inlineStr">
        <is>
          <t>DISCOS DUROS, SERVIDORES, DISCOS O MEDIOS PORTÁTILES, CINTAS O MEDIOS DE VIDEO Y AUDIO, ETC.</t>
        </is>
      </c>
      <c r="N339" s="10" t="inlineStr">
        <is>
          <t>PRIMARIOS</t>
        </is>
      </c>
      <c r="O339" s="10" t="inlineStr">
        <is>
          <t>INFORMACIÓN DE SOCIOS Y CLIENTES</t>
        </is>
      </c>
      <c r="P339" s="10" t="inlineStr">
        <is>
          <t>USO INTERNO(2)</t>
        </is>
      </c>
      <c r="Q339" s="10" t="inlineStr">
        <is>
          <t>MEDIA(2)</t>
        </is>
      </c>
      <c r="R339" s="10" t="inlineStr">
        <is>
          <t>BAJA(1)</t>
        </is>
      </c>
      <c r="S339" s="10">
        <f>+(IF(P339="PUBLICA(1)",1,IF(P339="USO INTERNO(2)",2,IF(P339="RESTRINGIDO(3)",3,3))))+(IF(Q339="BAJA(1)",1,IF(Q339="MEDIA(2)",2,IF(Q339="ALTA(3)",3,3))))+(IF(R339="BAJA(1)",1,IF(R339="MEDIA(2)",2,IF(R339="ALTA(3)",3,3))))</f>
        <v/>
      </c>
      <c r="T339" s="10">
        <f>+IF(S339&lt;6,"BAJA",IF(S339&lt;8,"MEDIA","ALTA"))</f>
        <v/>
      </c>
      <c r="U339" s="10" t="inlineStr">
        <is>
          <t>-</t>
        </is>
      </c>
      <c r="V339" s="24" t="n">
        <v>45588</v>
      </c>
      <c r="W339" s="19" t="inlineStr">
        <is>
          <t>N/A</t>
        </is>
      </c>
      <c r="X339" s="10">
        <f>+IFERROR(IF(VLOOKUP(Tabla2[[#This Row],[ID]],'EVALUACION DE RIESGO'!A:A,1,FALSE)=Tabla2[[#This Row],[ID]],"SI","NO"),"NO")</f>
        <v/>
      </c>
      <c r="AD339">
        <f>IF(AND(Y339="",AA339=""),"",IF(OR(LEFT(AA339,2)="L0",LEFT(AA339,2)="L1",Y339="No Iniciado"),"CRÍTICO - Incumplimiento Normativo SEPS",IF(AND(OR(LEFT(AA339,2)="L4",LEFT(AA339,2)="L5"),AND(AC339&lt;&gt;"",AC339&lt;&gt;"N/A")),"CONFORME - Control Efectivo ISO 27001","OBSERVACIÓN - Revisar Controles")))</f>
        <v/>
      </c>
    </row>
    <row r="340">
      <c r="A340" s="99" t="inlineStr">
        <is>
          <t>42-GNE</t>
        </is>
      </c>
      <c r="B340" s="10" t="inlineStr">
        <is>
          <t>PRODUCTIVO</t>
        </is>
      </c>
      <c r="C340" s="10" t="inlineStr">
        <is>
          <t>Gestión de Negocios</t>
        </is>
      </c>
      <c r="D340" s="10" t="inlineStr">
        <is>
          <t>GNE</t>
        </is>
      </c>
      <c r="E340" s="10" t="inlineStr">
        <is>
          <t>Gestión de Contact Center</t>
        </is>
      </c>
      <c r="F340" s="10" t="inlineStr">
        <is>
          <t>-</t>
        </is>
      </c>
      <c r="G340" s="10" t="inlineStr">
        <is>
          <t>Atención de llamadas</t>
        </is>
      </c>
      <c r="H340" s="10" t="inlineStr">
        <is>
          <t>Registro de usuarios bloqueados</t>
        </is>
      </c>
      <c r="I340" s="10" t="inlineStr">
        <is>
          <t>Reporte descargado de Fit 18-4052</t>
        </is>
      </c>
      <c r="J340" s="10" t="inlineStr">
        <is>
          <t xml:space="preserve">Jefe de Canales Electrónicos </t>
        </is>
      </c>
      <c r="K340" s="10" t="inlineStr">
        <is>
          <t>Analista de Contact Center</t>
        </is>
      </c>
      <c r="L340" s="10" t="inlineStr">
        <is>
          <t>UBICACIÓN DIGITAL-EQUIPO DEL CUSTODIO</t>
        </is>
      </c>
      <c r="M340" s="10" t="inlineStr">
        <is>
          <t>DISCOS DUROS, SERVIDORES, DISCOS O MEDIOS PORTÁTILES, CINTAS O MEDIOS DE VIDEO Y AUDIO, ETC.</t>
        </is>
      </c>
      <c r="N340" s="10" t="inlineStr">
        <is>
          <t>PRIMARIOS</t>
        </is>
      </c>
      <c r="O340" s="10" t="inlineStr">
        <is>
          <t>INFORMACIÓN DE SOCIOS Y CLIENTES</t>
        </is>
      </c>
      <c r="P340" s="10" t="inlineStr">
        <is>
          <t>USO INTERNO(2)</t>
        </is>
      </c>
      <c r="Q340" s="10" t="inlineStr">
        <is>
          <t>MEDIA(2)</t>
        </is>
      </c>
      <c r="R340" s="10" t="inlineStr">
        <is>
          <t>BAJA(1)</t>
        </is>
      </c>
      <c r="S340" s="10">
        <f>+(IF(P340="PUBLICA(1)",1,IF(P340="USO INTERNO(2)",2,IF(P340="RESTRINGIDO(3)",3,3))))+(IF(Q340="BAJA(1)",1,IF(Q340="MEDIA(2)",2,IF(Q340="ALTA(3)",3,3))))+(IF(R340="BAJA(1)",1,IF(R340="MEDIA(2)",2,IF(R340="ALTA(3)",3,3))))</f>
        <v/>
      </c>
      <c r="T340" s="10">
        <f>+IF(S340&lt;6,"BAJA",IF(S340&lt;8,"MEDIA","ALTA"))</f>
        <v/>
      </c>
      <c r="U340" s="10" t="inlineStr">
        <is>
          <t>-</t>
        </is>
      </c>
      <c r="V340" s="24" t="n">
        <v>45588</v>
      </c>
      <c r="W340" s="19" t="inlineStr">
        <is>
          <t>N/A</t>
        </is>
      </c>
      <c r="X340" s="10">
        <f>+IFERROR(IF(VLOOKUP(Tabla2[[#This Row],[ID]],'EVALUACION DE RIESGO'!A:A,1,FALSE)=Tabla2[[#This Row],[ID]],"SI","NO"),"NO")</f>
        <v/>
      </c>
      <c r="AD340">
        <f>IF(AND(Y340="",AA340=""),"",IF(OR(LEFT(AA340,2)="L0",LEFT(AA340,2)="L1",Y340="No Iniciado"),"CRÍTICO - Incumplimiento Normativo SEPS",IF(AND(OR(LEFT(AA340,2)="L4",LEFT(AA340,2)="L5"),AND(AC340&lt;&gt;"",AC340&lt;&gt;"N/A")),"CONFORME - Control Efectivo ISO 27001","OBSERVACIÓN - Revisar Controles")))</f>
        <v/>
      </c>
    </row>
    <row r="341" ht="20.45" customHeight="1" s="106">
      <c r="A341" s="99" t="inlineStr">
        <is>
          <t>43-GNE</t>
        </is>
      </c>
      <c r="B341" s="10" t="inlineStr">
        <is>
          <t>PRODUCTIVO</t>
        </is>
      </c>
      <c r="C341" s="10" t="inlineStr">
        <is>
          <t>Gestión de Negocios</t>
        </is>
      </c>
      <c r="D341" s="10" t="inlineStr">
        <is>
          <t>GNE</t>
        </is>
      </c>
      <c r="E341" s="10" t="inlineStr">
        <is>
          <t>Gestión de Contact Center</t>
        </is>
      </c>
      <c r="F341" s="10" t="inlineStr">
        <is>
          <t>-</t>
        </is>
      </c>
      <c r="G341" s="10" t="inlineStr">
        <is>
          <t>Activación de cuentas de cooperativa virtual</t>
        </is>
      </c>
      <c r="H341" s="17" t="inlineStr">
        <is>
          <t>Reportes del módulo de
Cooperativa Virtual</t>
        </is>
      </c>
      <c r="I341" s="17" t="inlineStr">
        <is>
          <t>Reporte de clientes validados y registrados</t>
        </is>
      </c>
      <c r="J341" s="10" t="inlineStr">
        <is>
          <t xml:space="preserve">Jefe de Canales Electrónicos </t>
        </is>
      </c>
      <c r="K341" s="10" t="inlineStr">
        <is>
          <t>Analista de Contact Center</t>
        </is>
      </c>
      <c r="L341" s="10" t="inlineStr">
        <is>
          <t>UBICACIÓN DIGITAL-EQUIPO DEL CUSTODIO</t>
        </is>
      </c>
      <c r="M341" s="10" t="inlineStr">
        <is>
          <t>DISCOS DUROS, SERVIDORES, DISCOS O MEDIOS PORTÁTILES, CINTAS O MEDIOS DE VIDEO Y AUDIO, ETC.</t>
        </is>
      </c>
      <c r="N341" s="10" t="inlineStr">
        <is>
          <t>PRIMARIOS</t>
        </is>
      </c>
      <c r="O341" s="10" t="inlineStr">
        <is>
          <t>INFORMACIÓN DE SOCIOS Y CLIENTES</t>
        </is>
      </c>
      <c r="P341" s="10" t="inlineStr">
        <is>
          <t>RESTRINGIDO(3)</t>
        </is>
      </c>
      <c r="Q341" s="10" t="inlineStr">
        <is>
          <t>ALTA(3)</t>
        </is>
      </c>
      <c r="R341" s="10" t="inlineStr">
        <is>
          <t>MEDIA(2)</t>
        </is>
      </c>
      <c r="S341" s="10">
        <f>+(IF(P341="PUBLICA(1)",1,IF(P341="USO INTERNO(2)",2,IF(P341="RESTRINGIDO(3)",3,3))))+(IF(Q341="BAJA(1)",1,IF(Q341="MEDIA(2)",2,IF(Q341="ALTA(3)",3,3))))+(IF(R341="BAJA(1)",1,IF(R341="MEDIA(2)",2,IF(R341="ALTA(3)",3,3))))</f>
        <v/>
      </c>
      <c r="T341" s="10">
        <f>+IF(S341&lt;6,"BAJA",IF(S341&lt;8,"MEDIA","ALTA"))</f>
        <v/>
      </c>
      <c r="U341" s="10" t="inlineStr">
        <is>
          <t>-</t>
        </is>
      </c>
      <c r="V341" s="24" t="n">
        <v>45588</v>
      </c>
      <c r="W341" s="19" t="inlineStr">
        <is>
          <t>N/A</t>
        </is>
      </c>
      <c r="X341" s="10">
        <f>+IFERROR(IF(VLOOKUP(Tabla2[[#This Row],[ID]],'EVALUACION DE RIESGO'!A:A,1,FALSE)=Tabla2[[#This Row],[ID]],"SI","NO"),"NO")</f>
        <v/>
      </c>
      <c r="AD341">
        <f>IF(AND(Y341="",AA341=""),"",IF(OR(LEFT(AA341,2)="L0",LEFT(AA341,2)="L1",Y341="No Iniciado"),"CRÍTICO - Incumplimiento Normativo SEPS",IF(AND(OR(LEFT(AA341,2)="L4",LEFT(AA341,2)="L5"),AND(AC341&lt;&gt;"",AC341&lt;&gt;"N/A")),"CONFORME - Control Efectivo ISO 27001","OBSERVACIÓN - Revisar Controles")))</f>
        <v/>
      </c>
    </row>
    <row r="342" ht="20.45" customHeight="1" s="106">
      <c r="A342" s="99" t="inlineStr">
        <is>
          <t>44-GNE</t>
        </is>
      </c>
      <c r="B342" s="10" t="inlineStr">
        <is>
          <t>PRODUCTIVO</t>
        </is>
      </c>
      <c r="C342" s="10" t="inlineStr">
        <is>
          <t>Gestión de Negocios</t>
        </is>
      </c>
      <c r="D342" s="10" t="inlineStr">
        <is>
          <t>GNE</t>
        </is>
      </c>
      <c r="E342" s="10" t="inlineStr">
        <is>
          <t>Gestión de Contact Center</t>
        </is>
      </c>
      <c r="F342" s="10" t="inlineStr">
        <is>
          <t>-</t>
        </is>
      </c>
      <c r="G342" s="10" t="inlineStr">
        <is>
          <t>Activación de cuentas de cooperativa virtual</t>
        </is>
      </c>
      <c r="H342" s="17" t="inlineStr">
        <is>
          <t>Grabaciones sistema Issabel</t>
        </is>
      </c>
      <c r="I342" s="17" t="inlineStr">
        <is>
          <t>Audio de la llamada realizada por el gestor telefónico</t>
        </is>
      </c>
      <c r="J342" s="10" t="inlineStr">
        <is>
          <t xml:space="preserve">Jefe de Canales Electrónicos </t>
        </is>
      </c>
      <c r="K342" s="10" t="inlineStr">
        <is>
          <t>Analista de Contact Center</t>
        </is>
      </c>
      <c r="L342" s="10" t="inlineStr">
        <is>
          <t>UBICACIÓN DIGITAL - SISTEMA ISSABEL</t>
        </is>
      </c>
      <c r="M342" s="10" t="inlineStr">
        <is>
          <t>PORTALES, INTRANET Y EXTRANET</t>
        </is>
      </c>
      <c r="N342" s="10" t="inlineStr">
        <is>
          <t>PRIMARIOS</t>
        </is>
      </c>
      <c r="O342" s="10" t="inlineStr">
        <is>
          <t>INFORMACIÓN DE SOCIOS Y CLIENTES</t>
        </is>
      </c>
      <c r="P342" s="10" t="inlineStr">
        <is>
          <t>RESTRINGIDO(3)</t>
        </is>
      </c>
      <c r="Q342" s="10" t="inlineStr">
        <is>
          <t>ALTA(3)</t>
        </is>
      </c>
      <c r="R342" s="10" t="inlineStr">
        <is>
          <t>MEDIA(2)</t>
        </is>
      </c>
      <c r="S342" s="10">
        <f>+(IF(P342="PUBLICA(1)",1,IF(P342="USO INTERNO(2)",2,IF(P342="RESTRINGIDO(3)",3,3))))+(IF(Q342="BAJA(1)",1,IF(Q342="MEDIA(2)",2,IF(Q342="ALTA(3)",3,3))))+(IF(R342="BAJA(1)",1,IF(R342="MEDIA(2)",2,IF(R342="ALTA(3)",3,3))))</f>
        <v/>
      </c>
      <c r="T342" s="10">
        <f>+IF(S342&lt;6,"BAJA",IF(S342&lt;8,"MEDIA","ALTA"))</f>
        <v/>
      </c>
      <c r="U342" s="10" t="inlineStr">
        <is>
          <t>-</t>
        </is>
      </c>
      <c r="V342" s="24" t="n">
        <v>45588</v>
      </c>
      <c r="W342" s="19" t="inlineStr">
        <is>
          <t>N/A</t>
        </is>
      </c>
      <c r="X342" s="10">
        <f>+IFERROR(IF(VLOOKUP(Tabla2[[#This Row],[ID]],'EVALUACION DE RIESGO'!A:A,1,FALSE)=Tabla2[[#This Row],[ID]],"SI","NO"),"NO")</f>
        <v/>
      </c>
      <c r="AD342">
        <f>IF(AND(Y342="",AA342=""),"",IF(OR(LEFT(AA342,2)="L0",LEFT(AA342,2)="L1",Y342="No Iniciado"),"CRÍTICO - Incumplimiento Normativo SEPS",IF(AND(OR(LEFT(AA342,2)="L4",LEFT(AA342,2)="L5"),AND(AC342&lt;&gt;"",AC342&lt;&gt;"N/A")),"CONFORME - Control Efectivo ISO 27001","OBSERVACIÓN - Revisar Controles")))</f>
        <v/>
      </c>
    </row>
    <row r="343">
      <c r="A343" s="99" t="inlineStr">
        <is>
          <t>45-GNE</t>
        </is>
      </c>
      <c r="B343" s="10" t="inlineStr">
        <is>
          <t>PRODUCTIVO</t>
        </is>
      </c>
      <c r="C343" s="10" t="inlineStr">
        <is>
          <t>Gestión de Negocios</t>
        </is>
      </c>
      <c r="D343" s="10" t="inlineStr">
        <is>
          <t>GNE</t>
        </is>
      </c>
      <c r="E343" s="10" t="inlineStr">
        <is>
          <t>Gestión de Contact Center</t>
        </is>
      </c>
      <c r="F343" s="10" t="inlineStr">
        <is>
          <t>-</t>
        </is>
      </c>
      <c r="G343" s="10" t="inlineStr">
        <is>
          <t>N/A</t>
        </is>
      </c>
      <c r="H343" s="10" t="inlineStr">
        <is>
          <t>Equipos de computación del Jefe de  Contact Center</t>
        </is>
      </c>
      <c r="I343" s="10" t="inlineStr">
        <is>
          <t>Equipos de computación donde se almacena toda la documentación del área</t>
        </is>
      </c>
      <c r="J343" s="10" t="inlineStr">
        <is>
          <t xml:space="preserve">Jefe de Canales Electrónicos </t>
        </is>
      </c>
      <c r="K343" s="10" t="inlineStr">
        <is>
          <t xml:space="preserve">Jefe de Canales Electrónicos </t>
        </is>
      </c>
      <c r="L343" s="10" t="inlineStr">
        <is>
          <t>UBICACIÓN FISICA-SUCURSAL IBARRA</t>
        </is>
      </c>
      <c r="M343" s="10" t="inlineStr">
        <is>
          <t>DISCOS DUROS, SERVIDORES, DISCOS O MEDIOS PORTÁTILES, CINTAS O MEDIOS DE VIDEO Y AUDIO, ETC.</t>
        </is>
      </c>
      <c r="N343" s="10" t="inlineStr">
        <is>
          <t>PRIMARIOS</t>
        </is>
      </c>
      <c r="O343" s="10" t="inlineStr">
        <is>
          <t>INFORMACIÓN DE SOCIOS Y CLIENTES</t>
        </is>
      </c>
      <c r="P343" s="10" t="inlineStr">
        <is>
          <t>RESTRINGIDO(3)</t>
        </is>
      </c>
      <c r="Q343" s="10" t="inlineStr">
        <is>
          <t>MEDIA(2)</t>
        </is>
      </c>
      <c r="R343" s="10" t="inlineStr">
        <is>
          <t>MEDIA(2)</t>
        </is>
      </c>
      <c r="S343" s="10">
        <f>+(IF(P343="PUBLICA(1)",1,IF(P343="USO INTERNO(2)",2,IF(P343="RESTRINGIDO(3)",3,3))))+(IF(Q343="BAJA(1)",1,IF(Q343="MEDIA(2)",2,IF(Q343="ALTA(3)",3,3))))+(IF(R343="BAJA(1)",1,IF(R343="MEDIA(2)",2,IF(R343="ALTA(3)",3,3))))</f>
        <v/>
      </c>
      <c r="T343" s="10">
        <f>+IF(S343&lt;6,"BAJA",IF(S343&lt;8,"MEDIA","ALTA"))</f>
        <v/>
      </c>
      <c r="U343" s="10" t="inlineStr">
        <is>
          <t>-</t>
        </is>
      </c>
      <c r="V343" s="24" t="n">
        <v>45588</v>
      </c>
      <c r="W343" s="19" t="inlineStr">
        <is>
          <t>N/A</t>
        </is>
      </c>
      <c r="X343" s="10">
        <f>+IFERROR(IF(VLOOKUP(Tabla2[[#This Row],[ID]],'EVALUACION DE RIESGO'!A:A,1,FALSE)=Tabla2[[#This Row],[ID]],"SI","NO"),"NO")</f>
        <v/>
      </c>
      <c r="AD343">
        <f>IF(AND(Y343="",AA343=""),"",IF(OR(LEFT(AA343,2)="L0",LEFT(AA343,2)="L1",Y343="No Iniciado"),"CRÍTICO - Incumplimiento Normativo SEPS",IF(AND(OR(LEFT(AA343,2)="L4",LEFT(AA343,2)="L5"),AND(AC343&lt;&gt;"",AC343&lt;&gt;"N/A")),"CONFORME - Control Efectivo ISO 27001","OBSERVACIÓN - Revisar Controles")))</f>
        <v/>
      </c>
    </row>
    <row r="344" ht="20.45" customHeight="1" s="106">
      <c r="A344" s="99" t="inlineStr">
        <is>
          <t>46-GNE</t>
        </is>
      </c>
      <c r="B344" s="10" t="inlineStr">
        <is>
          <t>PRODUCTIVO</t>
        </is>
      </c>
      <c r="C344" s="10" t="inlineStr">
        <is>
          <t>Gestión de Negocios</t>
        </is>
      </c>
      <c r="D344" s="10" t="inlineStr">
        <is>
          <t>GNE</t>
        </is>
      </c>
      <c r="E344" s="10" t="inlineStr">
        <is>
          <t>Gestión de Contact Center</t>
        </is>
      </c>
      <c r="F344" s="10" t="inlineStr">
        <is>
          <t>-</t>
        </is>
      </c>
      <c r="G344" s="10" t="inlineStr">
        <is>
          <t>N/A</t>
        </is>
      </c>
      <c r="H344" s="17" t="inlineStr">
        <is>
          <t>Equipos de computación de Analista de Contact Center</t>
        </is>
      </c>
      <c r="I344" s="17" t="inlineStr">
        <is>
          <t>Equipos de computación donde se realiza la gestión del área</t>
        </is>
      </c>
      <c r="J344" s="10" t="inlineStr">
        <is>
          <t xml:space="preserve">Jefe de Canales Electrónicos </t>
        </is>
      </c>
      <c r="K344" s="10" t="inlineStr">
        <is>
          <t xml:space="preserve">Jefe de Canales Electrónicos </t>
        </is>
      </c>
      <c r="L344" s="10" t="inlineStr">
        <is>
          <t>UBICACIÓN FISICA-SUCURSAL IBARRA</t>
        </is>
      </c>
      <c r="M344" s="10" t="inlineStr">
        <is>
          <t>DISCOS DUROS, SERVIDORES, DISCOS O MEDIOS PORTÁTILES, CINTAS O MEDIOS DE VIDEO Y AUDIO, ETC.</t>
        </is>
      </c>
      <c r="N344" s="10" t="inlineStr">
        <is>
          <t>PRIMARIOS</t>
        </is>
      </c>
      <c r="O344" s="10" t="inlineStr">
        <is>
          <t>INFORMACIÓN DE SOCIOS Y CLIENTES</t>
        </is>
      </c>
      <c r="P344" s="10" t="inlineStr">
        <is>
          <t>RESTRINGIDO(3)</t>
        </is>
      </c>
      <c r="Q344" s="10" t="inlineStr">
        <is>
          <t>ALTA(3)</t>
        </is>
      </c>
      <c r="R344" s="10" t="inlineStr">
        <is>
          <t>MEDIA(2)</t>
        </is>
      </c>
      <c r="S344" s="10">
        <f>+(IF(P344="PUBLICA(1)",1,IF(P344="USO INTERNO(2)",2,IF(P344="RESTRINGIDO(3)",3,3))))+(IF(Q344="BAJA(1)",1,IF(Q344="MEDIA(2)",2,IF(Q344="ALTA(3)",3,3))))+(IF(R344="BAJA(1)",1,IF(R344="MEDIA(2)",2,IF(R344="ALTA(3)",3,3))))</f>
        <v/>
      </c>
      <c r="T344" s="10">
        <f>+IF(S344&lt;6,"BAJA",IF(S344&lt;8,"MEDIA","ALTA"))</f>
        <v/>
      </c>
      <c r="U344" s="10" t="inlineStr">
        <is>
          <t>-</t>
        </is>
      </c>
      <c r="V344" s="24" t="n">
        <v>45588</v>
      </c>
      <c r="W344" s="19" t="inlineStr">
        <is>
          <t>N/A</t>
        </is>
      </c>
      <c r="X344" s="10">
        <f>+IFERROR(IF(VLOOKUP(Tabla2[[#This Row],[ID]],'EVALUACION DE RIESGO'!A:A,1,FALSE)=Tabla2[[#This Row],[ID]],"SI","NO"),"NO")</f>
        <v/>
      </c>
      <c r="AD344">
        <f>IF(AND(Y344="",AA344=""),"",IF(OR(LEFT(AA344,2)="L0",LEFT(AA344,2)="L1",Y344="No Iniciado"),"CRÍTICO - Incumplimiento Normativo SEPS",IF(AND(OR(LEFT(AA344,2)="L4",LEFT(AA344,2)="L5"),AND(AC344&lt;&gt;"",AC344&lt;&gt;"N/A")),"CONFORME - Control Efectivo ISO 27001","OBSERVACIÓN - Revisar Controles")))</f>
        <v/>
      </c>
    </row>
    <row r="345">
      <c r="A345" s="99" t="inlineStr">
        <is>
          <t>47-GNE</t>
        </is>
      </c>
      <c r="B345" s="10" t="inlineStr">
        <is>
          <t>PRODUCTIVO</t>
        </is>
      </c>
      <c r="C345" s="10" t="inlineStr">
        <is>
          <t>Gestión de Negocios</t>
        </is>
      </c>
      <c r="D345" s="10" t="inlineStr">
        <is>
          <t>GNE</t>
        </is>
      </c>
      <c r="E345" s="10" t="inlineStr">
        <is>
          <t>Gestión de Contact Center</t>
        </is>
      </c>
      <c r="F345" s="10" t="inlineStr">
        <is>
          <t>-</t>
        </is>
      </c>
      <c r="G345" s="10" t="inlineStr">
        <is>
          <t>N/A</t>
        </is>
      </c>
      <c r="H345" s="10" t="inlineStr">
        <is>
          <t>Jefe de Contact Center</t>
        </is>
      </c>
      <c r="I345" s="10" t="inlineStr">
        <is>
          <t>N/A</t>
        </is>
      </c>
      <c r="J345" s="10" t="inlineStr">
        <is>
          <t xml:space="preserve">Jefe de Canales Electrónicos </t>
        </is>
      </c>
      <c r="K345" s="10" t="inlineStr">
        <is>
          <t>N/A</t>
        </is>
      </c>
      <c r="L345" s="10" t="inlineStr">
        <is>
          <t>N/A</t>
        </is>
      </c>
      <c r="M345" s="10" t="inlineStr">
        <is>
          <t>N/A</t>
        </is>
      </c>
      <c r="N345" s="10" t="inlineStr">
        <is>
          <t>APOYO</t>
        </is>
      </c>
      <c r="O345" s="10" t="inlineStr">
        <is>
          <t>RECURSO HUMANO</t>
        </is>
      </c>
      <c r="P345" s="10" t="inlineStr">
        <is>
          <t>USO INTERNO(2)</t>
        </is>
      </c>
      <c r="Q345" s="10" t="inlineStr">
        <is>
          <t>MEDIA(2)</t>
        </is>
      </c>
      <c r="R345" s="10" t="inlineStr">
        <is>
          <t>MEDIA(2)</t>
        </is>
      </c>
      <c r="S345" s="10">
        <f>+(IF(P345="PUBLICA(1)",1,IF(P345="USO INTERNO(2)",2,IF(P345="RESTRINGIDO(3)",3,3))))+(IF(Q345="BAJA(1)",1,IF(Q345="MEDIA(2)",2,IF(Q345="ALTA(3)",3,3))))+(IF(R345="BAJA(1)",1,IF(R345="MEDIA(2)",2,IF(R345="ALTA(3)",3,3))))</f>
        <v/>
      </c>
      <c r="T345" s="10">
        <f>+IF(S345&lt;6,"BAJA",IF(S345&lt;8,"MEDIA","ALTA"))</f>
        <v/>
      </c>
      <c r="U345" s="10" t="inlineStr">
        <is>
          <t>-</t>
        </is>
      </c>
      <c r="V345" s="24" t="n">
        <v>45588</v>
      </c>
      <c r="W345" s="19" t="inlineStr">
        <is>
          <t>N/A</t>
        </is>
      </c>
      <c r="X345" s="10">
        <f>+IFERROR(IF(VLOOKUP(Tabla2[[#This Row],[ID]],'EVALUACION DE RIESGO'!A:A,1,FALSE)=Tabla2[[#This Row],[ID]],"SI","NO"),"NO")</f>
        <v/>
      </c>
      <c r="AD345">
        <f>IF(AND(Y345="",AA345=""),"",IF(OR(LEFT(AA345,2)="L0",LEFT(AA345,2)="L1",Y345="No Iniciado"),"CRÍTICO - Incumplimiento Normativo SEPS",IF(AND(OR(LEFT(AA345,2)="L4",LEFT(AA345,2)="L5"),AND(AC345&lt;&gt;"",AC345&lt;&gt;"N/A")),"CONFORME - Control Efectivo ISO 27001","OBSERVACIÓN - Revisar Controles")))</f>
        <v/>
      </c>
    </row>
    <row r="346">
      <c r="A346" s="99" t="inlineStr">
        <is>
          <t>48-GNE</t>
        </is>
      </c>
      <c r="B346" s="10" t="inlineStr">
        <is>
          <t>PRODUCTIVO</t>
        </is>
      </c>
      <c r="C346" s="10" t="inlineStr">
        <is>
          <t>Gestión de Negocios</t>
        </is>
      </c>
      <c r="D346" s="10" t="inlineStr">
        <is>
          <t>GNE</t>
        </is>
      </c>
      <c r="E346" s="10" t="inlineStr">
        <is>
          <t>Gestión de Contact Center</t>
        </is>
      </c>
      <c r="F346" s="10" t="inlineStr">
        <is>
          <t>-</t>
        </is>
      </c>
      <c r="G346" s="10" t="inlineStr">
        <is>
          <t>N/A</t>
        </is>
      </c>
      <c r="H346" s="10" t="inlineStr">
        <is>
          <t>Reporte de transacciones de Tarjetas de Débito</t>
        </is>
      </c>
      <c r="I346" s="10" t="inlineStr">
        <is>
          <t>Reporte de transacciones que envía financoop para validar en contactabilidad de prosupply</t>
        </is>
      </c>
      <c r="J346" s="10" t="inlineStr">
        <is>
          <t xml:space="preserve">Jefe de Canales Electrónicos </t>
        </is>
      </c>
      <c r="K346" s="10" t="inlineStr">
        <is>
          <t xml:space="preserve">Jefe de Canales Electrónicos </t>
        </is>
      </c>
      <c r="L346" s="10" t="inlineStr">
        <is>
          <t>UBICACIÓN DIGITAL-EQUIPO DEL CUSTODIO</t>
        </is>
      </c>
      <c r="M346" s="10" t="inlineStr">
        <is>
          <t>DISCOS DUROS, SERVIDORES, DISCOS O MEDIOS PORTÁTILES, CINTAS O MEDIOS DE VIDEO Y AUDIO, ETC.</t>
        </is>
      </c>
      <c r="N346" s="10" t="inlineStr">
        <is>
          <t>PRIMARIOS</t>
        </is>
      </c>
      <c r="O346" s="10" t="inlineStr">
        <is>
          <t>INFORMACIÓN DE SOCIOS Y CLIENTES</t>
        </is>
      </c>
      <c r="P346" s="10" t="inlineStr">
        <is>
          <t>RESTRINGIDO(3)</t>
        </is>
      </c>
      <c r="Q346" s="10" t="inlineStr">
        <is>
          <t>MEDIA(2)</t>
        </is>
      </c>
      <c r="R346" s="10" t="inlineStr">
        <is>
          <t>MEDIA(2)</t>
        </is>
      </c>
      <c r="S346" s="10">
        <f>+(IF(P346="PUBLICA(1)",1,IF(P346="USO INTERNO(2)",2,IF(P346="RESTRINGIDO(3)",3,3))))+(IF(Q346="BAJA(1)",1,IF(Q346="MEDIA(2)",2,IF(Q346="ALTA(3)",3,3))))+(IF(R346="BAJA(1)",1,IF(R346="MEDIA(2)",2,IF(R346="ALTA(3)",3,3))))</f>
        <v/>
      </c>
      <c r="T346" s="10">
        <f>+IF(S346&lt;6,"BAJA",IF(S346&lt;8,"MEDIA","ALTA"))</f>
        <v/>
      </c>
      <c r="U346" s="10" t="inlineStr">
        <is>
          <t>-</t>
        </is>
      </c>
      <c r="V346" s="24" t="n">
        <v>45588</v>
      </c>
      <c r="W346" s="19" t="inlineStr">
        <is>
          <t>N/A</t>
        </is>
      </c>
      <c r="X346" s="10">
        <f>+IFERROR(IF(VLOOKUP(Tabla2[[#This Row],[ID]],'EVALUACION DE RIESGO'!A:A,1,FALSE)=Tabla2[[#This Row],[ID]],"SI","NO"),"NO")</f>
        <v/>
      </c>
      <c r="AD346">
        <f>IF(AND(Y346="",AA346=""),"",IF(OR(LEFT(AA346,2)="L0",LEFT(AA346,2)="L1",Y346="No Iniciado"),"CRÍTICO - Incumplimiento Normativo SEPS",IF(AND(OR(LEFT(AA346,2)="L4",LEFT(AA346,2)="L5"),AND(AC346&lt;&gt;"",AC346&lt;&gt;"N/A")),"CONFORME - Control Efectivo ISO 27001","OBSERVACIÓN - Revisar Controles")))</f>
        <v/>
      </c>
    </row>
    <row r="347">
      <c r="A347" s="99" t="inlineStr">
        <is>
          <t>49-GNE</t>
        </is>
      </c>
      <c r="B347" s="10" t="inlineStr">
        <is>
          <t>PRODUCTIVO</t>
        </is>
      </c>
      <c r="C347" s="10" t="inlineStr">
        <is>
          <t>Gestión de Negocios</t>
        </is>
      </c>
      <c r="D347" s="10" t="inlineStr">
        <is>
          <t>GNE</t>
        </is>
      </c>
      <c r="E347" s="10" t="inlineStr">
        <is>
          <t>Gestión de Remuneración Variable</t>
        </is>
      </c>
      <c r="F347" s="10" t="inlineStr">
        <is>
          <t>-</t>
        </is>
      </c>
      <c r="G347" s="10" t="inlineStr">
        <is>
          <t>Definición de metas de negocio</t>
        </is>
      </c>
      <c r="H347" s="10" t="inlineStr">
        <is>
          <t>Registro de metas y resultados del personal</t>
        </is>
      </c>
      <c r="I347" s="10" t="inlineStr">
        <is>
          <t>Registro de Metas mensuales asignadas al personal y su cumplimiento</t>
        </is>
      </c>
      <c r="J347" s="10" t="inlineStr">
        <is>
          <t>Gerente de Negocios</t>
        </is>
      </c>
      <c r="K347" s="10" t="inlineStr">
        <is>
          <t>Analista de Negocios</t>
        </is>
      </c>
      <c r="L347" s="10" t="inlineStr">
        <is>
          <t>UBICACIÓN DIGITAL-EQUIPO DEL CUSTODIO</t>
        </is>
      </c>
      <c r="M347" s="10" t="inlineStr">
        <is>
          <t>DISCOS DUROS, SERVIDORES, DISCOS O MEDIOS PORTÁTILES, CINTAS O MEDIOS DE VIDEO Y AUDIO, ETC.</t>
        </is>
      </c>
      <c r="N347" s="10" t="inlineStr">
        <is>
          <t>PRIMARIOS</t>
        </is>
      </c>
      <c r="O347" s="10" t="inlineStr">
        <is>
          <t>DOCUMENTOS TÉCNICOS</t>
        </is>
      </c>
      <c r="P347" s="10" t="inlineStr">
        <is>
          <t>USO INTERNO(2)</t>
        </is>
      </c>
      <c r="Q347" s="10" t="inlineStr">
        <is>
          <t>MEDIA(2)</t>
        </is>
      </c>
      <c r="R347" s="10" t="inlineStr">
        <is>
          <t>BAJA(1)</t>
        </is>
      </c>
      <c r="S347" s="10">
        <f>+(IF(P347="PUBLICA(1)",1,IF(P347="USO INTERNO(2)",2,IF(P347="RESTRINGIDO(3)",3,3))))+(IF(Q347="BAJA(1)",1,IF(Q347="MEDIA(2)",2,IF(Q347="ALTA(3)",3,3))))+(IF(R347="BAJA(1)",1,IF(R347="MEDIA(2)",2,IF(R347="ALTA(3)",3,3))))</f>
        <v/>
      </c>
      <c r="T347" s="10">
        <f>+IF(S347&lt;6,"BAJA",IF(S347&lt;8,"MEDIA","ALTA"))</f>
        <v/>
      </c>
      <c r="U347" s="10" t="inlineStr">
        <is>
          <t>-</t>
        </is>
      </c>
      <c r="V347" s="24" t="n">
        <v>45580</v>
      </c>
      <c r="W347" s="19" t="inlineStr">
        <is>
          <t>N/A</t>
        </is>
      </c>
      <c r="X347" s="10">
        <f>+IFERROR(IF(VLOOKUP(Tabla2[[#This Row],[ID]],'EVALUACION DE RIESGO'!A:A,1,FALSE)=Tabla2[[#This Row],[ID]],"SI","NO"),"NO")</f>
        <v/>
      </c>
      <c r="AD347">
        <f>IF(AND(Y347="",AA347=""),"",IF(OR(LEFT(AA347,2)="L0",LEFT(AA347,2)="L1",Y347="No Iniciado"),"CRÍTICO - Incumplimiento Normativo SEPS",IF(AND(OR(LEFT(AA347,2)="L4",LEFT(AA347,2)="L5"),AND(AC347&lt;&gt;"",AC347&lt;&gt;"N/A")),"CONFORME - Control Efectivo ISO 27001","OBSERVACIÓN - Revisar Controles")))</f>
        <v/>
      </c>
    </row>
    <row r="348">
      <c r="A348" s="99" t="inlineStr">
        <is>
          <t>50-GNE</t>
        </is>
      </c>
      <c r="B348" s="10" t="inlineStr">
        <is>
          <t>PRODUCTIVO</t>
        </is>
      </c>
      <c r="C348" s="10" t="inlineStr">
        <is>
          <t>Gestión de Negocios</t>
        </is>
      </c>
      <c r="D348" s="10" t="inlineStr">
        <is>
          <t>GNE</t>
        </is>
      </c>
      <c r="E348" s="10" t="inlineStr">
        <is>
          <t>Gestión de Remuneración Variable</t>
        </is>
      </c>
      <c r="F348" s="10" t="inlineStr">
        <is>
          <t>-</t>
        </is>
      </c>
      <c r="G348" s="10" t="inlineStr">
        <is>
          <t>Pago de remuneración variable</t>
        </is>
      </c>
      <c r="H348" s="10" t="inlineStr">
        <is>
          <t>Registro de metas y resultados del personal</t>
        </is>
      </c>
      <c r="I348" s="10" t="inlineStr">
        <is>
          <t>Registro de Metas mensuales asignadas al personal y su cumplimiento remitido a Analista de Nómina</t>
        </is>
      </c>
      <c r="J348" s="10" t="inlineStr">
        <is>
          <t>Gerente de Negocios</t>
        </is>
      </c>
      <c r="K348" s="10" t="inlineStr">
        <is>
          <t>Analista de Negocios</t>
        </is>
      </c>
      <c r="L348" s="10" t="inlineStr">
        <is>
          <t>UBICACIÓN DIGITAL-EQUIPO DEL CUSTODIO</t>
        </is>
      </c>
      <c r="M348" s="10" t="inlineStr">
        <is>
          <t>DISCOS DUROS, SERVIDORES, DISCOS O MEDIOS PORTÁTILES, CINTAS O MEDIOS DE VIDEO Y AUDIO, ETC.</t>
        </is>
      </c>
      <c r="N348" s="10" t="inlineStr">
        <is>
          <t>PRIMARIOS</t>
        </is>
      </c>
      <c r="O348" s="10" t="inlineStr">
        <is>
          <t>DOCUMENTOS TÉCNICOS</t>
        </is>
      </c>
      <c r="P348" s="10" t="inlineStr">
        <is>
          <t>USO INTERNO(2)</t>
        </is>
      </c>
      <c r="Q348" s="10" t="inlineStr">
        <is>
          <t>MEDIA(2)</t>
        </is>
      </c>
      <c r="R348" s="10" t="inlineStr">
        <is>
          <t>BAJA(1)</t>
        </is>
      </c>
      <c r="S348" s="10">
        <f>+(IF(P348="PUBLICA(1)",1,IF(P348="USO INTERNO(2)",2,IF(P348="RESTRINGIDO(3)",3,3))))+(IF(Q348="BAJA(1)",1,IF(Q348="MEDIA(2)",2,IF(Q348="ALTA(3)",3,3))))+(IF(R348="BAJA(1)",1,IF(R348="MEDIA(2)",2,IF(R348="ALTA(3)",3,3))))</f>
        <v/>
      </c>
      <c r="T348" s="10">
        <f>+IF(S348&lt;6,"BAJA",IF(S348&lt;8,"MEDIA","ALTA"))</f>
        <v/>
      </c>
      <c r="U348" s="10" t="inlineStr">
        <is>
          <t>-</t>
        </is>
      </c>
      <c r="V348" s="24" t="n">
        <v>45580</v>
      </c>
      <c r="W348" s="19" t="inlineStr">
        <is>
          <t>N/A</t>
        </is>
      </c>
      <c r="X348" s="10">
        <f>+IFERROR(IF(VLOOKUP(Tabla2[[#This Row],[ID]],'EVALUACION DE RIESGO'!A:A,1,FALSE)=Tabla2[[#This Row],[ID]],"SI","NO"),"NO")</f>
        <v/>
      </c>
      <c r="AD348">
        <f>IF(AND(Y348="",AA348=""),"",IF(OR(LEFT(AA348,2)="L0",LEFT(AA348,2)="L1",Y348="No Iniciado"),"CRÍTICO - Incumplimiento Normativo SEPS",IF(AND(OR(LEFT(AA348,2)="L4",LEFT(AA348,2)="L5"),AND(AC348&lt;&gt;"",AC348&lt;&gt;"N/A")),"CONFORME - Control Efectivo ISO 27001","OBSERVACIÓN - Revisar Controles")))</f>
        <v/>
      </c>
    </row>
    <row r="349">
      <c r="A349" s="99" t="inlineStr">
        <is>
          <t>51-GNE</t>
        </is>
      </c>
      <c r="B349" s="10" t="inlineStr">
        <is>
          <t>PRODUCTIVO</t>
        </is>
      </c>
      <c r="C349" s="10" t="inlineStr">
        <is>
          <t>Gestión de Negocios</t>
        </is>
      </c>
      <c r="D349" s="10" t="inlineStr">
        <is>
          <t>GNE</t>
        </is>
      </c>
      <c r="E349" s="10" t="inlineStr">
        <is>
          <t>Gestión de Remuneración Variable</t>
        </is>
      </c>
      <c r="F349" s="10" t="inlineStr">
        <is>
          <t>-</t>
        </is>
      </c>
      <c r="G349" s="10" t="inlineStr">
        <is>
          <t xml:space="preserve">Análisis y actualización de porcentajes de indicadores </t>
        </is>
      </c>
      <c r="H349" s="10" t="inlineStr">
        <is>
          <t>Matriz de remuneración variable</t>
        </is>
      </c>
      <c r="I349" s="10" t="inlineStr">
        <is>
          <t>Matriz de remuneración variable de metas asignadas al personal incorporando los nuevos porcentajes y autorizado por Gerencia General</t>
        </is>
      </c>
      <c r="J349" s="10" t="inlineStr">
        <is>
          <t>Gerente de Negocios</t>
        </is>
      </c>
      <c r="K349" s="10" t="inlineStr">
        <is>
          <t>Analista de Negocios</t>
        </is>
      </c>
      <c r="L349" s="10" t="inlineStr">
        <is>
          <t>UBICACIÓN DIGITAL-EQUIPO DEL CUSTODIO</t>
        </is>
      </c>
      <c r="M349" s="10" t="inlineStr">
        <is>
          <t>DISCOS DUROS, SERVIDORES, DISCOS O MEDIOS PORTÁTILES, CINTAS O MEDIOS DE VIDEO Y AUDIO, ETC.</t>
        </is>
      </c>
      <c r="N349" s="10" t="inlineStr">
        <is>
          <t>PRIMARIOS</t>
        </is>
      </c>
      <c r="O349" s="10" t="inlineStr">
        <is>
          <t>DOCUMENTOS TÉCNICOS</t>
        </is>
      </c>
      <c r="P349" s="10" t="inlineStr">
        <is>
          <t>USO INTERNO(2)</t>
        </is>
      </c>
      <c r="Q349" s="10" t="inlineStr">
        <is>
          <t>MEDIA(2)</t>
        </is>
      </c>
      <c r="R349" s="10" t="inlineStr">
        <is>
          <t>MEDIA(2)</t>
        </is>
      </c>
      <c r="S349" s="10">
        <f>+(IF(P349="PUBLICA(1)",1,IF(P349="USO INTERNO(2)",2,IF(P349="RESTRINGIDO(3)",3,3))))+(IF(Q349="BAJA(1)",1,IF(Q349="MEDIA(2)",2,IF(Q349="ALTA(3)",3,3))))+(IF(R349="BAJA(1)",1,IF(R349="MEDIA(2)",2,IF(R349="ALTA(3)",3,3))))</f>
        <v/>
      </c>
      <c r="T349" s="10">
        <f>+IF(S349&lt;6,"BAJA",IF(S349&lt;8,"MEDIA","ALTA"))</f>
        <v/>
      </c>
      <c r="U349" s="10" t="inlineStr">
        <is>
          <t>-</t>
        </is>
      </c>
      <c r="V349" s="24" t="n">
        <v>45580</v>
      </c>
      <c r="W349" s="19" t="inlineStr">
        <is>
          <t>N/A</t>
        </is>
      </c>
      <c r="X349" s="10">
        <f>+IFERROR(IF(VLOOKUP(Tabla2[[#This Row],[ID]],'EVALUACION DE RIESGO'!A:A,1,FALSE)=Tabla2[[#This Row],[ID]],"SI","NO"),"NO")</f>
        <v/>
      </c>
      <c r="AD349">
        <f>IF(AND(Y349="",AA349=""),"",IF(OR(LEFT(AA349,2)="L0",LEFT(AA349,2)="L1",Y349="No Iniciado"),"CRÍTICO - Incumplimiento Normativo SEPS",IF(AND(OR(LEFT(AA349,2)="L4",LEFT(AA349,2)="L5"),AND(AC349&lt;&gt;"",AC349&lt;&gt;"N/A")),"CONFORME - Control Efectivo ISO 27001","OBSERVACIÓN - Revisar Controles")))</f>
        <v/>
      </c>
    </row>
    <row r="350">
      <c r="A350" s="99" t="inlineStr">
        <is>
          <t>52-GNE</t>
        </is>
      </c>
      <c r="B350" s="10" t="inlineStr">
        <is>
          <t>PRODUCTIVO</t>
        </is>
      </c>
      <c r="C350" s="10" t="inlineStr">
        <is>
          <t>Gestión de Negocios</t>
        </is>
      </c>
      <c r="D350" s="10" t="inlineStr">
        <is>
          <t>GNE</t>
        </is>
      </c>
      <c r="E350" s="10" t="inlineStr">
        <is>
          <t>Gestión de Productos y Servicios</t>
        </is>
      </c>
      <c r="F350" s="10" t="inlineStr">
        <is>
          <t>-</t>
        </is>
      </c>
      <c r="G350" s="10" t="inlineStr">
        <is>
          <t>Generación de la idea</t>
        </is>
      </c>
      <c r="H350" s="10" t="inlineStr">
        <is>
          <t>Consolidado de ideas del nuevo producto o servicio
(Plan Comercial)</t>
        </is>
      </c>
      <c r="I350" s="10" t="inlineStr">
        <is>
          <t>Consolidado de ideas del nuevo producto o servicio que puede traducirse en un Plan Comercial (objetivos, mercado, competencia, definición, presupuestos, proyecciones y metas)</t>
        </is>
      </c>
      <c r="J350" s="10" t="inlineStr">
        <is>
          <t>Gerente de Negocios</t>
        </is>
      </c>
      <c r="K350" s="10" t="inlineStr">
        <is>
          <t>Analista de Negocios</t>
        </is>
      </c>
      <c r="L350" s="10" t="inlineStr">
        <is>
          <t>UBICACIÓN DIGITAL-EQUIPO DEL CUSTODIO</t>
        </is>
      </c>
      <c r="M350" s="10" t="inlineStr">
        <is>
          <t>DISCOS DUROS, SERVIDORES, DISCOS O MEDIOS PORTÁTILES, CINTAS O MEDIOS DE VIDEO Y AUDIO, ETC.</t>
        </is>
      </c>
      <c r="N350" s="10" t="inlineStr">
        <is>
          <t>PRIMARIOS</t>
        </is>
      </c>
      <c r="O350" s="10" t="inlineStr">
        <is>
          <t>DOCUMENTOS TÉCNICOS</t>
        </is>
      </c>
      <c r="P350" s="10" t="inlineStr">
        <is>
          <t>USO INTERNO(2)</t>
        </is>
      </c>
      <c r="Q350" s="10" t="inlineStr">
        <is>
          <t>MEDIA(2)</t>
        </is>
      </c>
      <c r="R350" s="10" t="inlineStr">
        <is>
          <t>BAJA(1)</t>
        </is>
      </c>
      <c r="S350" s="10">
        <f>+(IF(P350="PUBLICA(1)",1,IF(P350="USO INTERNO(2)",2,IF(P350="RESTRINGIDO(3)",3,3))))+(IF(Q350="BAJA(1)",1,IF(Q350="MEDIA(2)",2,IF(Q350="ALTA(3)",3,3))))+(IF(R350="BAJA(1)",1,IF(R350="MEDIA(2)",2,IF(R350="ALTA(3)",3,3))))</f>
        <v/>
      </c>
      <c r="T350" s="10">
        <f>+IF(S350&lt;6,"BAJA",IF(S350&lt;8,"MEDIA","ALTA"))</f>
        <v/>
      </c>
      <c r="U350" s="10" t="inlineStr">
        <is>
          <t>-</t>
        </is>
      </c>
      <c r="V350" s="24" t="n">
        <v>45580</v>
      </c>
      <c r="W350" s="19" t="inlineStr">
        <is>
          <t>N/A</t>
        </is>
      </c>
      <c r="X350" s="10">
        <f>+IFERROR(IF(VLOOKUP(Tabla2[[#This Row],[ID]],'EVALUACION DE RIESGO'!A:A,1,FALSE)=Tabla2[[#This Row],[ID]],"SI","NO"),"NO")</f>
        <v/>
      </c>
      <c r="AD350">
        <f>IF(AND(Y350="",AA350=""),"",IF(OR(LEFT(AA350,2)="L0",LEFT(AA350,2)="L1",Y350="No Iniciado"),"CRÍTICO - Incumplimiento Normativo SEPS",IF(AND(OR(LEFT(AA350,2)="L4",LEFT(AA350,2)="L5"),AND(AC350&lt;&gt;"",AC350&lt;&gt;"N/A")),"CONFORME - Control Efectivo ISO 27001","OBSERVACIÓN - Revisar Controles")))</f>
        <v/>
      </c>
    </row>
    <row r="351">
      <c r="A351" s="99" t="inlineStr">
        <is>
          <t>53-GNE</t>
        </is>
      </c>
      <c r="B351" s="10" t="inlineStr">
        <is>
          <t>PRODUCTIVO</t>
        </is>
      </c>
      <c r="C351" s="10" t="inlineStr">
        <is>
          <t>Gestión de Negocios</t>
        </is>
      </c>
      <c r="D351" s="10" t="inlineStr">
        <is>
          <t>GNE</t>
        </is>
      </c>
      <c r="E351" s="10" t="inlineStr">
        <is>
          <t>Gestión de Productos y Servicios</t>
        </is>
      </c>
      <c r="F351" s="10" t="inlineStr">
        <is>
          <t>-</t>
        </is>
      </c>
      <c r="G351" s="10" t="inlineStr">
        <is>
          <t>Estudio de Mercado</t>
        </is>
      </c>
      <c r="H351" s="10" t="inlineStr">
        <is>
          <t>Estudio de Mercado</t>
        </is>
      </c>
      <c r="I351" s="10" t="inlineStr">
        <is>
          <t>Documento de estudio de mercado que contiene análisis de oferta, análisis de la demanda, determinación impacto de las exigencias de la demanda, estudio técnico, estudio organizacional, estudio financiero, evaluación financiera, impacto social, análisis de sensibilidad , análisis internacional</t>
        </is>
      </c>
      <c r="J351" s="10" t="inlineStr">
        <is>
          <t>Gerente de Negocios</t>
        </is>
      </c>
      <c r="K351" s="10" t="inlineStr">
        <is>
          <t>Analista de Negocios</t>
        </is>
      </c>
      <c r="L351" s="10" t="inlineStr">
        <is>
          <t>UBICACIÓN DIGITAL-EQUIPO DEL CUSTODIO</t>
        </is>
      </c>
      <c r="M351" s="10" t="inlineStr">
        <is>
          <t>DISCOS DUROS, SERVIDORES, DISCOS O MEDIOS PORTÁTILES, CINTAS O MEDIOS DE VIDEO Y AUDIO, ETC.</t>
        </is>
      </c>
      <c r="N351" s="10" t="inlineStr">
        <is>
          <t>PRIMARIOS</t>
        </is>
      </c>
      <c r="O351" s="10" t="inlineStr">
        <is>
          <t>DOCUMENTOS TÉCNICOS</t>
        </is>
      </c>
      <c r="P351" s="10" t="inlineStr">
        <is>
          <t>USO INTERNO(2)</t>
        </is>
      </c>
      <c r="Q351" s="10" t="inlineStr">
        <is>
          <t>MEDIA(2)</t>
        </is>
      </c>
      <c r="R351" s="10" t="inlineStr">
        <is>
          <t>MEDIA(2)</t>
        </is>
      </c>
      <c r="S351" s="10">
        <f>+(IF(P351="PUBLICA(1)",1,IF(P351="USO INTERNO(2)",2,IF(P351="RESTRINGIDO(3)",3,3))))+(IF(Q351="BAJA(1)",1,IF(Q351="MEDIA(2)",2,IF(Q351="ALTA(3)",3,3))))+(IF(R351="BAJA(1)",1,IF(R351="MEDIA(2)",2,IF(R351="ALTA(3)",3,3))))</f>
        <v/>
      </c>
      <c r="T351" s="10">
        <f>+IF(S351&lt;6,"BAJA",IF(S351&lt;8,"MEDIA","ALTA"))</f>
        <v/>
      </c>
      <c r="U351" s="10" t="inlineStr">
        <is>
          <t>-</t>
        </is>
      </c>
      <c r="V351" s="24" t="n">
        <v>45580</v>
      </c>
      <c r="W351" s="19" t="inlineStr">
        <is>
          <t>N/A</t>
        </is>
      </c>
      <c r="X351" s="10">
        <f>+IFERROR(IF(VLOOKUP(Tabla2[[#This Row],[ID]],'EVALUACION DE RIESGO'!A:A,1,FALSE)=Tabla2[[#This Row],[ID]],"SI","NO"),"NO")</f>
        <v/>
      </c>
      <c r="AD351">
        <f>IF(AND(Y351="",AA351=""),"",IF(OR(LEFT(AA351,2)="L0",LEFT(AA351,2)="L1",Y351="No Iniciado"),"CRÍTICO - Incumplimiento Normativo SEPS",IF(AND(OR(LEFT(AA351,2)="L4",LEFT(AA351,2)="L5"),AND(AC351&lt;&gt;"",AC351&lt;&gt;"N/A")),"CONFORME - Control Efectivo ISO 27001","OBSERVACIÓN - Revisar Controles")))</f>
        <v/>
      </c>
    </row>
    <row r="352">
      <c r="A352" s="99" t="inlineStr">
        <is>
          <t>54-GNE</t>
        </is>
      </c>
      <c r="B352" s="10" t="inlineStr">
        <is>
          <t>PRODUCTIVO</t>
        </is>
      </c>
      <c r="C352" s="10" t="inlineStr">
        <is>
          <t>Gestión de Negocios</t>
        </is>
      </c>
      <c r="D352" s="10" t="inlineStr">
        <is>
          <t>GNE</t>
        </is>
      </c>
      <c r="E352" s="10" t="inlineStr">
        <is>
          <t>Gestión de Productos y Servicios</t>
        </is>
      </c>
      <c r="F352" s="10" t="inlineStr">
        <is>
          <t>-</t>
        </is>
      </c>
      <c r="G352" s="10" t="inlineStr">
        <is>
          <t>Diseño del producto o servicio</t>
        </is>
      </c>
      <c r="H352" s="10" t="inlineStr">
        <is>
          <t>Propuesta de Creación de
Productos y Servicios</t>
        </is>
      </c>
      <c r="I352" s="10" t="inlineStr">
        <is>
          <t>Documento de proyecto del nuevo producto que contiene visión objetivo, alcance, problema, justificación, aspectos técnicos, descripción del producto, población objetivo, políticas generales, análisis previo, flujo de proceso, propuesta económica, costo beneficio</t>
        </is>
      </c>
      <c r="J352" s="10" t="inlineStr">
        <is>
          <t>Gerente de Negocios</t>
        </is>
      </c>
      <c r="K352" s="10" t="inlineStr">
        <is>
          <t>Analista de Negocios</t>
        </is>
      </c>
      <c r="L352" s="10" t="inlineStr">
        <is>
          <t>UBICACIÓN DIGITAL-EQUIPO DEL CUSTODIO</t>
        </is>
      </c>
      <c r="M352" s="10" t="inlineStr">
        <is>
          <t>DISCOS DUROS, SERVIDORES, DISCOS O MEDIOS PORTÁTILES, CINTAS O MEDIOS DE VIDEO Y AUDIO, ETC.</t>
        </is>
      </c>
      <c r="N352" s="10" t="inlineStr">
        <is>
          <t>PRIMARIOS</t>
        </is>
      </c>
      <c r="O352" s="10" t="inlineStr">
        <is>
          <t>COMUNICACIÓN INTERNA</t>
        </is>
      </c>
      <c r="P352" s="10" t="inlineStr">
        <is>
          <t>USO INTERNO(2)</t>
        </is>
      </c>
      <c r="Q352" s="10" t="inlineStr">
        <is>
          <t>MEDIA(2)</t>
        </is>
      </c>
      <c r="R352" s="10" t="inlineStr">
        <is>
          <t>MEDIA(2)</t>
        </is>
      </c>
      <c r="S352" s="10">
        <f>+(IF(P352="PUBLICA(1)",1,IF(P352="USO INTERNO(2)",2,IF(P352="RESTRINGIDO(3)",3,3))))+(IF(Q352="BAJA(1)",1,IF(Q352="MEDIA(2)",2,IF(Q352="ALTA(3)",3,3))))+(IF(R352="BAJA(1)",1,IF(R352="MEDIA(2)",2,IF(R352="ALTA(3)",3,3))))</f>
        <v/>
      </c>
      <c r="T352" s="10">
        <f>+IF(S352&lt;6,"BAJA",IF(S352&lt;8,"MEDIA","ALTA"))</f>
        <v/>
      </c>
      <c r="U352" s="10" t="inlineStr">
        <is>
          <t>-</t>
        </is>
      </c>
      <c r="V352" s="24" t="n">
        <v>45580</v>
      </c>
      <c r="W352" s="19" t="inlineStr">
        <is>
          <t>N/A</t>
        </is>
      </c>
      <c r="X352" s="10">
        <f>+IFERROR(IF(VLOOKUP(Tabla2[[#This Row],[ID]],'EVALUACION DE RIESGO'!A:A,1,FALSE)=Tabla2[[#This Row],[ID]],"SI","NO"),"NO")</f>
        <v/>
      </c>
      <c r="AD352">
        <f>IF(AND(Y352="",AA352=""),"",IF(OR(LEFT(AA352,2)="L0",LEFT(AA352,2)="L1",Y352="No Iniciado"),"CRÍTICO - Incumplimiento Normativo SEPS",IF(AND(OR(LEFT(AA352,2)="L4",LEFT(AA352,2)="L5"),AND(AC352&lt;&gt;"",AC352&lt;&gt;"N/A")),"CONFORME - Control Efectivo ISO 27001","OBSERVACIÓN - Revisar Controles")))</f>
        <v/>
      </c>
    </row>
    <row r="353">
      <c r="A353" s="99" t="inlineStr">
        <is>
          <t>55-GNE</t>
        </is>
      </c>
      <c r="B353" s="10" t="inlineStr">
        <is>
          <t>PRODUCTIVO</t>
        </is>
      </c>
      <c r="C353" s="10" t="inlineStr">
        <is>
          <t>Gestión de Negocios</t>
        </is>
      </c>
      <c r="D353" s="10" t="inlineStr">
        <is>
          <t>GNE</t>
        </is>
      </c>
      <c r="E353" s="10" t="inlineStr">
        <is>
          <t>Gestión de Productos y Servicios</t>
        </is>
      </c>
      <c r="F353" s="10" t="inlineStr">
        <is>
          <t>-</t>
        </is>
      </c>
      <c r="G353" s="10" t="inlineStr">
        <is>
          <t>Diseño del producto o servicio</t>
        </is>
      </c>
      <c r="H353" s="10" t="inlineStr">
        <is>
          <t>Formato de Factibilidad para
la creación de Productos y
Servicios</t>
        </is>
      </c>
      <c r="I353" s="10" t="inlineStr">
        <is>
          <t>análisis adjunto al proyecto del nuevo producto contiene, factibilidad de Ti, de Seguridad de la Información, de Legal, de cumplimiento, financiero, riesgos</t>
        </is>
      </c>
      <c r="J353" s="10" t="inlineStr">
        <is>
          <t>Gerente de Negocios</t>
        </is>
      </c>
      <c r="K353" s="10" t="inlineStr">
        <is>
          <t>Analista de Negocios</t>
        </is>
      </c>
      <c r="L353" s="10" t="inlineStr">
        <is>
          <t>UBICACIÓN DIGITAL-EQUIPO DEL CUSTODIO</t>
        </is>
      </c>
      <c r="M353" s="10" t="inlineStr">
        <is>
          <t>DISCOS DUROS, SERVIDORES, DISCOS O MEDIOS PORTÁTILES, CINTAS O MEDIOS DE VIDEO Y AUDIO, ETC.</t>
        </is>
      </c>
      <c r="N353" s="10" t="inlineStr">
        <is>
          <t>PRIMARIOS</t>
        </is>
      </c>
      <c r="O353" s="10" t="inlineStr">
        <is>
          <t>INFORMACIÓN DE TERCEROS</t>
        </is>
      </c>
      <c r="P353" s="10" t="inlineStr">
        <is>
          <t>USO INTERNO(2)</t>
        </is>
      </c>
      <c r="Q353" s="10" t="inlineStr">
        <is>
          <t>MEDIA(2)</t>
        </is>
      </c>
      <c r="R353" s="10" t="inlineStr">
        <is>
          <t>MEDIA(2)</t>
        </is>
      </c>
      <c r="S353" s="10">
        <f>+(IF(P353="PUBLICA(1)",1,IF(P353="USO INTERNO(2)",2,IF(P353="RESTRINGIDO(3)",3,3))))+(IF(Q353="BAJA(1)",1,IF(Q353="MEDIA(2)",2,IF(Q353="ALTA(3)",3,3))))+(IF(R353="BAJA(1)",1,IF(R353="MEDIA(2)",2,IF(R353="ALTA(3)",3,3))))</f>
        <v/>
      </c>
      <c r="T353" s="10">
        <f>+IF(S353&lt;6,"BAJA",IF(S353&lt;8,"MEDIA","ALTA"))</f>
        <v/>
      </c>
      <c r="U353" s="10" t="inlineStr">
        <is>
          <t>-</t>
        </is>
      </c>
      <c r="V353" s="24" t="n">
        <v>45580</v>
      </c>
      <c r="W353" s="19" t="inlineStr">
        <is>
          <t>N/A</t>
        </is>
      </c>
      <c r="X353" s="10">
        <f>+IFERROR(IF(VLOOKUP(Tabla2[[#This Row],[ID]],'EVALUACION DE RIESGO'!A:A,1,FALSE)=Tabla2[[#This Row],[ID]],"SI","NO"),"NO")</f>
        <v/>
      </c>
      <c r="AD353">
        <f>IF(AND(Y353="",AA353=""),"",IF(OR(LEFT(AA353,2)="L0",LEFT(AA353,2)="L1",Y353="No Iniciado"),"CRÍTICO - Incumplimiento Normativo SEPS",IF(AND(OR(LEFT(AA353,2)="L4",LEFT(AA353,2)="L5"),AND(AC353&lt;&gt;"",AC353&lt;&gt;"N/A")),"CONFORME - Control Efectivo ISO 27001","OBSERVACIÓN - Revisar Controles")))</f>
        <v/>
      </c>
    </row>
    <row r="354">
      <c r="A354" s="99" t="inlineStr">
        <is>
          <t>56-GNE</t>
        </is>
      </c>
      <c r="B354" s="10" t="inlineStr">
        <is>
          <t>PRODUCTIVO</t>
        </is>
      </c>
      <c r="C354" s="10" t="inlineStr">
        <is>
          <t>Gestión de Negocios</t>
        </is>
      </c>
      <c r="D354" s="10" t="inlineStr">
        <is>
          <t>GNE</t>
        </is>
      </c>
      <c r="E354" s="10" t="inlineStr">
        <is>
          <t>Gestión de Productos y Servicios</t>
        </is>
      </c>
      <c r="F354" s="10" t="inlineStr">
        <is>
          <t>-</t>
        </is>
      </c>
      <c r="G354" s="10" t="inlineStr">
        <is>
          <t>Análisis de Riesgos para un nuevo Producto o Servicio</t>
        </is>
      </c>
      <c r="H354" s="10" t="inlineStr">
        <is>
          <t>Propuesta de creación del 
producto o servicio</t>
        </is>
      </c>
      <c r="I354" s="10" t="inlineStr">
        <is>
          <t>Análisis de riesgo adjunto al proyecto del nuevo producto</t>
        </is>
      </c>
      <c r="J354" s="10" t="inlineStr">
        <is>
          <t>Gerente de Negocios</t>
        </is>
      </c>
      <c r="K354" s="10" t="inlineStr">
        <is>
          <t>Analista de Negocios</t>
        </is>
      </c>
      <c r="L354" s="10" t="inlineStr">
        <is>
          <t>UBICACIÓN DIGITAL-EQUIPO DEL CUSTODIO</t>
        </is>
      </c>
      <c r="M354" s="10" t="inlineStr">
        <is>
          <t>DISCOS DUROS, SERVIDORES, DISCOS O MEDIOS PORTÁTILES, CINTAS O MEDIOS DE VIDEO Y AUDIO, ETC.</t>
        </is>
      </c>
      <c r="N354" s="10" t="inlineStr">
        <is>
          <t>PRIMARIOS</t>
        </is>
      </c>
      <c r="O354" s="10" t="inlineStr">
        <is>
          <t>DOCUMENTOS TÉCNICOS</t>
        </is>
      </c>
      <c r="P354" s="10" t="inlineStr">
        <is>
          <t>USO INTERNO(2)</t>
        </is>
      </c>
      <c r="Q354" s="10" t="inlineStr">
        <is>
          <t>MEDIA(2)</t>
        </is>
      </c>
      <c r="R354" s="10" t="inlineStr">
        <is>
          <t>BAJA(1)</t>
        </is>
      </c>
      <c r="S354" s="10">
        <f>+(IF(P354="PUBLICA(1)",1,IF(P354="USO INTERNO(2)",2,IF(P354="RESTRINGIDO(3)",3,3))))+(IF(Q354="BAJA(1)",1,IF(Q354="MEDIA(2)",2,IF(Q354="ALTA(3)",3,3))))+(IF(R354="BAJA(1)",1,IF(R354="MEDIA(2)",2,IF(R354="ALTA(3)",3,3))))</f>
        <v/>
      </c>
      <c r="T354" s="10">
        <f>+IF(S354&lt;6,"BAJA",IF(S354&lt;8,"MEDIA","ALTA"))</f>
        <v/>
      </c>
      <c r="U354" s="10" t="inlineStr">
        <is>
          <t>-</t>
        </is>
      </c>
      <c r="V354" s="24" t="n">
        <v>45580</v>
      </c>
      <c r="W354" s="19" t="inlineStr">
        <is>
          <t>N/A</t>
        </is>
      </c>
      <c r="X354" s="10">
        <f>+IFERROR(IF(VLOOKUP(Tabla2[[#This Row],[ID]],'EVALUACION DE RIESGO'!A:A,1,FALSE)=Tabla2[[#This Row],[ID]],"SI","NO"),"NO")</f>
        <v/>
      </c>
      <c r="AD354">
        <f>IF(AND(Y354="",AA354=""),"",IF(OR(LEFT(AA354,2)="L0",LEFT(AA354,2)="L1",Y354="No Iniciado"),"CRÍTICO - Incumplimiento Normativo SEPS",IF(AND(OR(LEFT(AA354,2)="L4",LEFT(AA354,2)="L5"),AND(AC354&lt;&gt;"",AC354&lt;&gt;"N/A")),"CONFORME - Control Efectivo ISO 27001","OBSERVACIÓN - Revisar Controles")))</f>
        <v/>
      </c>
    </row>
    <row r="355">
      <c r="A355" s="99" t="inlineStr">
        <is>
          <t>57-GNE</t>
        </is>
      </c>
      <c r="B355" s="10" t="inlineStr">
        <is>
          <t>PRODUCTIVO</t>
        </is>
      </c>
      <c r="C355" s="10" t="inlineStr">
        <is>
          <t>Gestión de Negocios</t>
        </is>
      </c>
      <c r="D355" s="10" t="inlineStr">
        <is>
          <t>GNE</t>
        </is>
      </c>
      <c r="E355" s="10" t="inlineStr">
        <is>
          <t>Gestión de Productos y Servicios</t>
        </is>
      </c>
      <c r="F355" s="10" t="inlineStr">
        <is>
          <t>-</t>
        </is>
      </c>
      <c r="G355" s="10" t="inlineStr">
        <is>
          <t>Análisis de Riesgos para un nuevo Producto o Servicio</t>
        </is>
      </c>
      <c r="H355" s="10" t="inlineStr">
        <is>
          <t>Informe de riesgos de lavado 
de activos</t>
        </is>
      </c>
      <c r="I355" s="10" t="inlineStr">
        <is>
          <t>Análisis de factibilidad de cumplimiento adjunto al proyecto del nuevo producto</t>
        </is>
      </c>
      <c r="J355" s="10" t="inlineStr">
        <is>
          <t>Gerente de Negocios</t>
        </is>
      </c>
      <c r="K355" s="10" t="inlineStr">
        <is>
          <t>Analista de Negocios</t>
        </is>
      </c>
      <c r="L355" s="10" t="inlineStr">
        <is>
          <t>UBICACIÓN DIGITAL-EQUIPO DEL CUSTODIO</t>
        </is>
      </c>
      <c r="M355" s="10" t="inlineStr">
        <is>
          <t>DISCOS DUROS, SERVIDORES, DISCOS O MEDIOS PORTÁTILES, CINTAS O MEDIOS DE VIDEO Y AUDIO, ETC.</t>
        </is>
      </c>
      <c r="N355" s="10" t="inlineStr">
        <is>
          <t>PRIMARIOS</t>
        </is>
      </c>
      <c r="O355" s="10" t="inlineStr">
        <is>
          <t>DOCUMENTOS TÉCNICOS</t>
        </is>
      </c>
      <c r="P355" s="10" t="inlineStr">
        <is>
          <t>RESTRINGIDO(3)</t>
        </is>
      </c>
      <c r="Q355" s="10" t="inlineStr">
        <is>
          <t>MEDIA(2)</t>
        </is>
      </c>
      <c r="R355" s="10" t="inlineStr">
        <is>
          <t>MEDIA(2)</t>
        </is>
      </c>
      <c r="S355" s="10">
        <f>+(IF(P355="PUBLICA(1)",1,IF(P355="USO INTERNO(2)",2,IF(P355="RESTRINGIDO(3)",3,3))))+(IF(Q355="BAJA(1)",1,IF(Q355="MEDIA(2)",2,IF(Q355="ALTA(3)",3,3))))+(IF(R355="BAJA(1)",1,IF(R355="MEDIA(2)",2,IF(R355="ALTA(3)",3,3))))</f>
        <v/>
      </c>
      <c r="T355" s="10">
        <f>+IF(S355&lt;6,"BAJA",IF(S355&lt;8,"MEDIA","ALTA"))</f>
        <v/>
      </c>
      <c r="U355" s="10" t="inlineStr">
        <is>
          <t>-</t>
        </is>
      </c>
      <c r="V355" s="24" t="n">
        <v>45580</v>
      </c>
      <c r="W355" s="19" t="inlineStr">
        <is>
          <t>N/A</t>
        </is>
      </c>
      <c r="X355" s="10">
        <f>+IFERROR(IF(VLOOKUP(Tabla2[[#This Row],[ID]],'EVALUACION DE RIESGO'!A:A,1,FALSE)=Tabla2[[#This Row],[ID]],"SI","NO"),"NO")</f>
        <v/>
      </c>
      <c r="AD355">
        <f>IF(AND(Y355="",AA355=""),"",IF(OR(LEFT(AA355,2)="L0",LEFT(AA355,2)="L1",Y355="No Iniciado"),"CRÍTICO - Incumplimiento Normativo SEPS",IF(AND(OR(LEFT(AA355,2)="L4",LEFT(AA355,2)="L5"),AND(AC355&lt;&gt;"",AC355&lt;&gt;"N/A")),"CONFORME - Control Efectivo ISO 27001","OBSERVACIÓN - Revisar Controles")))</f>
        <v/>
      </c>
    </row>
    <row r="356">
      <c r="A356" s="99" t="inlineStr">
        <is>
          <t>58-GNE</t>
        </is>
      </c>
      <c r="B356" s="10" t="inlineStr">
        <is>
          <t>PRODUCTIVO</t>
        </is>
      </c>
      <c r="C356" s="10" t="inlineStr">
        <is>
          <t>Gestión de Negocios</t>
        </is>
      </c>
      <c r="D356" s="10" t="inlineStr">
        <is>
          <t>GNE</t>
        </is>
      </c>
      <c r="E356" s="10" t="inlineStr">
        <is>
          <t>Gestión de Productos y Servicios</t>
        </is>
      </c>
      <c r="F356" s="10" t="inlineStr">
        <is>
          <t>-</t>
        </is>
      </c>
      <c r="G356" s="10" t="inlineStr">
        <is>
          <t>Análisis de Riesgos para un nuevo Producto o Servicio</t>
        </is>
      </c>
      <c r="H356" s="10" t="inlineStr">
        <is>
          <t>Informe del Análisis de
Riesgos</t>
        </is>
      </c>
      <c r="I356" s="10" t="inlineStr">
        <is>
          <t>Análisis de riesgo adjunto al proyecto del nuevo producto</t>
        </is>
      </c>
      <c r="J356" s="10" t="inlineStr">
        <is>
          <t>Gerente de Negocios</t>
        </is>
      </c>
      <c r="K356" s="10" t="inlineStr">
        <is>
          <t>Analista de Negocios</t>
        </is>
      </c>
      <c r="L356" s="10" t="inlineStr">
        <is>
          <t>UBICACIÓN DIGITAL-EQUIPO DEL CUSTODIO</t>
        </is>
      </c>
      <c r="M356" s="10" t="inlineStr">
        <is>
          <t>DISCOS DUROS, SERVIDORES, DISCOS O MEDIOS PORTÁTILES, CINTAS O MEDIOS DE VIDEO Y AUDIO, ETC.</t>
        </is>
      </c>
      <c r="N356" s="10" t="inlineStr">
        <is>
          <t>PRIMARIOS</t>
        </is>
      </c>
      <c r="O356" s="10" t="inlineStr">
        <is>
          <t>DOCUMENTOS TÉCNICOS</t>
        </is>
      </c>
      <c r="P356" s="10" t="inlineStr">
        <is>
          <t>RESTRINGIDO(3)</t>
        </is>
      </c>
      <c r="Q356" s="10" t="inlineStr">
        <is>
          <t>MEDIA(2)</t>
        </is>
      </c>
      <c r="R356" s="10" t="inlineStr">
        <is>
          <t>MEDIA(2)</t>
        </is>
      </c>
      <c r="S356" s="10">
        <f>+(IF(P356="PUBLICA(1)",1,IF(P356="USO INTERNO(2)",2,IF(P356="RESTRINGIDO(3)",3,3))))+(IF(Q356="BAJA(1)",1,IF(Q356="MEDIA(2)",2,IF(Q356="ALTA(3)",3,3))))+(IF(R356="BAJA(1)",1,IF(R356="MEDIA(2)",2,IF(R356="ALTA(3)",3,3))))</f>
        <v/>
      </c>
      <c r="T356" s="10">
        <f>+IF(S356&lt;6,"BAJA",IF(S356&lt;8,"MEDIA","ALTA"))</f>
        <v/>
      </c>
      <c r="U356" s="10" t="inlineStr">
        <is>
          <t>-</t>
        </is>
      </c>
      <c r="V356" s="24" t="n">
        <v>45580</v>
      </c>
      <c r="W356" s="19" t="inlineStr">
        <is>
          <t>N/A</t>
        </is>
      </c>
      <c r="X356" s="10">
        <f>+IFERROR(IF(VLOOKUP(Tabla2[[#This Row],[ID]],'EVALUACION DE RIESGO'!A:A,1,FALSE)=Tabla2[[#This Row],[ID]],"SI","NO"),"NO")</f>
        <v/>
      </c>
      <c r="AD356">
        <f>IF(AND(Y356="",AA356=""),"",IF(OR(LEFT(AA356,2)="L0",LEFT(AA356,2)="L1",Y356="No Iniciado"),"CRÍTICO - Incumplimiento Normativo SEPS",IF(AND(OR(LEFT(AA356,2)="L4",LEFT(AA356,2)="L5"),AND(AC356&lt;&gt;"",AC356&lt;&gt;"N/A")),"CONFORME - Control Efectivo ISO 27001","OBSERVACIÓN - Revisar Controles")))</f>
        <v/>
      </c>
    </row>
    <row r="357">
      <c r="A357" s="99" t="inlineStr">
        <is>
          <t>59-GNE</t>
        </is>
      </c>
      <c r="B357" s="10" t="inlineStr">
        <is>
          <t>PRODUCTIVO</t>
        </is>
      </c>
      <c r="C357" s="10" t="inlineStr">
        <is>
          <t>Gestión de Negocios</t>
        </is>
      </c>
      <c r="D357" s="10" t="inlineStr">
        <is>
          <t>GNE</t>
        </is>
      </c>
      <c r="E357" s="10" t="inlineStr">
        <is>
          <t>Gestión de Productos y Servicios</t>
        </is>
      </c>
      <c r="F357" s="10" t="inlineStr">
        <is>
          <t>-</t>
        </is>
      </c>
      <c r="G357" s="10" t="inlineStr">
        <is>
          <t>Análisis de Riesgos para un nuevo Producto o Servicio</t>
        </is>
      </c>
      <c r="H357" s="10" t="inlineStr">
        <is>
          <t>Resolución CAIR</t>
        </is>
      </c>
      <c r="I357" s="10" t="inlineStr">
        <is>
          <t>Resolución emitida por el comité de CAIR área de Riesgos</t>
        </is>
      </c>
      <c r="J357" s="10" t="inlineStr">
        <is>
          <t>Gerente de Negocios</t>
        </is>
      </c>
      <c r="K357" s="10" t="inlineStr">
        <is>
          <t>Analista de Negocios</t>
        </is>
      </c>
      <c r="L357" s="10" t="inlineStr">
        <is>
          <t>UBICACIÓN DIGITAL-EQUIPO DEL CUSTODIO</t>
        </is>
      </c>
      <c r="M357" s="10" t="inlineStr">
        <is>
          <t>DISCOS DUROS, SERVIDORES, DISCOS O MEDIOS PORTÁTILES, CINTAS O MEDIOS DE VIDEO Y AUDIO, ETC.</t>
        </is>
      </c>
      <c r="N357" s="10" t="inlineStr">
        <is>
          <t>PRIMARIOS</t>
        </is>
      </c>
      <c r="O357" s="10" t="inlineStr">
        <is>
          <t>COMUNICACIÓN INTERNA</t>
        </is>
      </c>
      <c r="P357" s="10" t="inlineStr">
        <is>
          <t>USO INTERNO(2)</t>
        </is>
      </c>
      <c r="Q357" s="10" t="inlineStr">
        <is>
          <t>MEDIA(2)</t>
        </is>
      </c>
      <c r="R357" s="10" t="inlineStr">
        <is>
          <t>MEDIA(2)</t>
        </is>
      </c>
      <c r="S357" s="10">
        <f>+(IF(P357="PUBLICA(1)",1,IF(P357="USO INTERNO(2)",2,IF(P357="RESTRINGIDO(3)",3,3))))+(IF(Q357="BAJA(1)",1,IF(Q357="MEDIA(2)",2,IF(Q357="ALTA(3)",3,3))))+(IF(R357="BAJA(1)",1,IF(R357="MEDIA(2)",2,IF(R357="ALTA(3)",3,3))))</f>
        <v/>
      </c>
      <c r="T357" s="10">
        <f>+IF(S357&lt;6,"BAJA",IF(S357&lt;8,"MEDIA","ALTA"))</f>
        <v/>
      </c>
      <c r="U357" s="10" t="inlineStr">
        <is>
          <t>-</t>
        </is>
      </c>
      <c r="V357" s="24" t="n">
        <v>45580</v>
      </c>
      <c r="W357" s="19" t="inlineStr">
        <is>
          <t>N/A</t>
        </is>
      </c>
      <c r="X357" s="10">
        <f>+IFERROR(IF(VLOOKUP(Tabla2[[#This Row],[ID]],'EVALUACION DE RIESGO'!A:A,1,FALSE)=Tabla2[[#This Row],[ID]],"SI","NO"),"NO")</f>
        <v/>
      </c>
      <c r="AD357">
        <f>IF(AND(Y357="",AA357=""),"",IF(OR(LEFT(AA357,2)="L0",LEFT(AA357,2)="L1",Y357="No Iniciado"),"CRÍTICO - Incumplimiento Normativo SEPS",IF(AND(OR(LEFT(AA357,2)="L4",LEFT(AA357,2)="L5"),AND(AC357&lt;&gt;"",AC357&lt;&gt;"N/A")),"CONFORME - Control Efectivo ISO 27001","OBSERVACIÓN - Revisar Controles")))</f>
        <v/>
      </c>
    </row>
    <row r="358">
      <c r="A358" s="99" t="inlineStr">
        <is>
          <t>60-GNE</t>
        </is>
      </c>
      <c r="B358" s="10" t="inlineStr">
        <is>
          <t>PRODUCTIVO</t>
        </is>
      </c>
      <c r="C358" s="10" t="inlineStr">
        <is>
          <t>Gestión de Negocios</t>
        </is>
      </c>
      <c r="D358" s="10" t="inlineStr">
        <is>
          <t>GNE</t>
        </is>
      </c>
      <c r="E358" s="10" t="inlineStr">
        <is>
          <t>Gestión de Productos y Servicios</t>
        </is>
      </c>
      <c r="F358" s="10" t="inlineStr">
        <is>
          <t>-</t>
        </is>
      </c>
      <c r="G358" s="10" t="inlineStr">
        <is>
          <t>Aprobación del producto o servicio</t>
        </is>
      </c>
      <c r="H358" s="10" t="inlineStr">
        <is>
          <t>Matriz de Productos</t>
        </is>
      </c>
      <c r="I358" s="10" t="inlineStr">
        <is>
          <t xml:space="preserve">Matriz de productos de colocaciones y captaciones, contiene las resoluciones, contiene montos mínimos, tasas, niveles de aprobación </t>
        </is>
      </c>
      <c r="J358" s="10" t="inlineStr">
        <is>
          <t>Gerente de Negocios</t>
        </is>
      </c>
      <c r="K358" s="10" t="inlineStr">
        <is>
          <t>Analista de Negocios</t>
        </is>
      </c>
      <c r="L358" s="10" t="inlineStr">
        <is>
          <t>UBICACIÓN DIGITAL-EQUIPO DEL CUSTODIO</t>
        </is>
      </c>
      <c r="M358" s="10" t="inlineStr">
        <is>
          <t>DISCOS DUROS, SERVIDORES, DISCOS O MEDIOS PORTÁTILES, CINTAS O MEDIOS DE VIDEO Y AUDIO, ETC.</t>
        </is>
      </c>
      <c r="N358" s="10" t="inlineStr">
        <is>
          <t>PRIMARIOS</t>
        </is>
      </c>
      <c r="O358" s="10" t="inlineStr">
        <is>
          <t>DOCUMENTOS TÉCNICOS</t>
        </is>
      </c>
      <c r="P358" s="10" t="inlineStr">
        <is>
          <t>USO INTERNO(2)</t>
        </is>
      </c>
      <c r="Q358" s="10" t="inlineStr">
        <is>
          <t>MEDIA(2)</t>
        </is>
      </c>
      <c r="R358" s="10" t="inlineStr">
        <is>
          <t>BAJA(1)</t>
        </is>
      </c>
      <c r="S358" s="10">
        <f>+(IF(P358="PUBLICA(1)",1,IF(P358="USO INTERNO(2)",2,IF(P358="RESTRINGIDO(3)",3,3))))+(IF(Q358="BAJA(1)",1,IF(Q358="MEDIA(2)",2,IF(Q358="ALTA(3)",3,3))))+(IF(R358="BAJA(1)",1,IF(R358="MEDIA(2)",2,IF(R358="ALTA(3)",3,3))))</f>
        <v/>
      </c>
      <c r="T358" s="10">
        <f>+IF(S358&lt;6,"BAJA",IF(S358&lt;8,"MEDIA","ALTA"))</f>
        <v/>
      </c>
      <c r="U358" s="10" t="inlineStr">
        <is>
          <t>-</t>
        </is>
      </c>
      <c r="V358" s="24" t="n">
        <v>45580</v>
      </c>
      <c r="W358" s="19" t="inlineStr">
        <is>
          <t>N/A</t>
        </is>
      </c>
      <c r="X358" s="10">
        <f>+IFERROR(IF(VLOOKUP(Tabla2[[#This Row],[ID]],'EVALUACION DE RIESGO'!A:A,1,FALSE)=Tabla2[[#This Row],[ID]],"SI","NO"),"NO")</f>
        <v/>
      </c>
      <c r="AD358">
        <f>IF(AND(Y358="",AA358=""),"",IF(OR(LEFT(AA358,2)="L0",LEFT(AA358,2)="L1",Y358="No Iniciado"),"CRÍTICO - Incumplimiento Normativo SEPS",IF(AND(OR(LEFT(AA358,2)="L4",LEFT(AA358,2)="L5"),AND(AC358&lt;&gt;"",AC358&lt;&gt;"N/A")),"CONFORME - Control Efectivo ISO 27001","OBSERVACIÓN - Revisar Controles")))</f>
        <v/>
      </c>
    </row>
    <row r="359">
      <c r="A359" s="99" t="inlineStr">
        <is>
          <t>61-GNE</t>
        </is>
      </c>
      <c r="B359" s="10" t="inlineStr">
        <is>
          <t>PRODUCTIVO</t>
        </is>
      </c>
      <c r="C359" s="10" t="inlineStr">
        <is>
          <t>Gestión de Negocios</t>
        </is>
      </c>
      <c r="D359" s="10" t="inlineStr">
        <is>
          <t>GNE</t>
        </is>
      </c>
      <c r="E359" s="10" t="inlineStr">
        <is>
          <t>Gestión de Productos y Servicios</t>
        </is>
      </c>
      <c r="F359" s="10" t="inlineStr">
        <is>
          <t>-</t>
        </is>
      </c>
      <c r="G359" s="10" t="inlineStr">
        <is>
          <t>Aprobación del producto o servicio</t>
        </is>
      </c>
      <c r="H359" s="10" t="inlineStr">
        <is>
          <t>Certificación de Aprobación
del Consejo de
Administración</t>
        </is>
      </c>
      <c r="I359" s="10" t="inlineStr">
        <is>
          <t xml:space="preserve">Acta de certificación realizada por el Consejo de Administración donde se aprueba el producto o servicio </t>
        </is>
      </c>
      <c r="J359" s="10" t="inlineStr">
        <is>
          <t>Gerente de Negocios</t>
        </is>
      </c>
      <c r="K359" s="10" t="inlineStr">
        <is>
          <t>Analista de Negocios</t>
        </is>
      </c>
      <c r="L359" s="10" t="inlineStr">
        <is>
          <t>UBICACIÓN DIGITAL-EQUIPO DEL CUSTODIO</t>
        </is>
      </c>
      <c r="M359" s="10" t="inlineStr">
        <is>
          <t>DISCOS DUROS, SERVIDORES, DISCOS O MEDIOS PORTÁTILES, CINTAS O MEDIOS DE VIDEO Y AUDIO, ETC.</t>
        </is>
      </c>
      <c r="N359" s="10" t="inlineStr">
        <is>
          <t>PRIMARIOS</t>
        </is>
      </c>
      <c r="O359" s="10" t="inlineStr">
        <is>
          <t>DOCUMENTOS HABILITANTES</t>
        </is>
      </c>
      <c r="P359" s="10" t="inlineStr">
        <is>
          <t>USO INTERNO(2)</t>
        </is>
      </c>
      <c r="Q359" s="10" t="inlineStr">
        <is>
          <t>MEDIA(2)</t>
        </is>
      </c>
      <c r="R359" s="10" t="inlineStr">
        <is>
          <t>MEDIA(2)</t>
        </is>
      </c>
      <c r="S359" s="10">
        <f>+(IF(P359="PUBLICA(1)",1,IF(P359="USO INTERNO(2)",2,IF(P359="RESTRINGIDO(3)",3,3))))+(IF(Q359="BAJA(1)",1,IF(Q359="MEDIA(2)",2,IF(Q359="ALTA(3)",3,3))))+(IF(R359="BAJA(1)",1,IF(R359="MEDIA(2)",2,IF(R359="ALTA(3)",3,3))))</f>
        <v/>
      </c>
      <c r="T359" s="10">
        <f>+IF(S359&lt;6,"BAJA",IF(S359&lt;8,"MEDIA","ALTA"))</f>
        <v/>
      </c>
      <c r="U359" s="10" t="inlineStr">
        <is>
          <t>-</t>
        </is>
      </c>
      <c r="V359" s="24" t="n">
        <v>45580</v>
      </c>
      <c r="W359" s="19" t="inlineStr">
        <is>
          <t>N/A</t>
        </is>
      </c>
      <c r="X359" s="10">
        <f>+IFERROR(IF(VLOOKUP(Tabla2[[#This Row],[ID]],'EVALUACION DE RIESGO'!A:A,1,FALSE)=Tabla2[[#This Row],[ID]],"SI","NO"),"NO")</f>
        <v/>
      </c>
      <c r="AD359">
        <f>IF(AND(Y359="",AA359=""),"",IF(OR(LEFT(AA359,2)="L0",LEFT(AA359,2)="L1",Y359="No Iniciado"),"CRÍTICO - Incumplimiento Normativo SEPS",IF(AND(OR(LEFT(AA359,2)="L4",LEFT(AA359,2)="L5"),AND(AC359&lt;&gt;"",AC359&lt;&gt;"N/A")),"CONFORME - Control Efectivo ISO 27001","OBSERVACIÓN - Revisar Controles")))</f>
        <v/>
      </c>
    </row>
    <row r="360">
      <c r="A360" s="99" t="inlineStr">
        <is>
          <t>62-GNE</t>
        </is>
      </c>
      <c r="B360" s="10" t="inlineStr">
        <is>
          <t>PRODUCTIVO</t>
        </is>
      </c>
      <c r="C360" s="10" t="inlineStr">
        <is>
          <t>Gestión de Negocios</t>
        </is>
      </c>
      <c r="D360" s="10" t="inlineStr">
        <is>
          <t>GNE</t>
        </is>
      </c>
      <c r="E360" s="10" t="inlineStr">
        <is>
          <t>Gestión de Productos y Servicios</t>
        </is>
      </c>
      <c r="F360" s="10" t="inlineStr">
        <is>
          <t>-</t>
        </is>
      </c>
      <c r="G360" s="10" t="inlineStr">
        <is>
          <t>Aprobación del producto o servicio</t>
        </is>
      </c>
      <c r="H360" s="10" t="inlineStr">
        <is>
          <t>Aprobación del Ente de
Control</t>
        </is>
      </c>
      <c r="I360" s="10" t="inlineStr">
        <is>
          <t>Documento tipo permiso de funcionamiento otorgado por el ente de control , detalla fecha de emisión, código de oficina, tipo de establecimiento, provincia, cantón, ruc, numero de permiso y firmas</t>
        </is>
      </c>
      <c r="J360" s="10" t="inlineStr">
        <is>
          <t>Gerente de Negocios</t>
        </is>
      </c>
      <c r="K360" s="10" t="inlineStr">
        <is>
          <t>Analista de Negocios</t>
        </is>
      </c>
      <c r="L360" s="10" t="inlineStr">
        <is>
          <t>UBICACIÓN DIGITAL-EQUIPO DEL CUSTODIO</t>
        </is>
      </c>
      <c r="M360" s="10" t="inlineStr">
        <is>
          <t>DISCOS DUROS, SERVIDORES, DISCOS O MEDIOS PORTÁTILES, CINTAS O MEDIOS DE VIDEO Y AUDIO, ETC.</t>
        </is>
      </c>
      <c r="N360" s="10" t="inlineStr">
        <is>
          <t>PRIMARIOS</t>
        </is>
      </c>
      <c r="O360" s="10" t="inlineStr">
        <is>
          <t>DOCUMENTOS HABILITANTES</t>
        </is>
      </c>
      <c r="P360" s="10" t="inlineStr">
        <is>
          <t>USO INTERNO(2)</t>
        </is>
      </c>
      <c r="Q360" s="10" t="inlineStr">
        <is>
          <t>MEDIA(2)</t>
        </is>
      </c>
      <c r="R360" s="10" t="inlineStr">
        <is>
          <t>MEDIA(2)</t>
        </is>
      </c>
      <c r="S360" s="10">
        <f>+(IF(P360="PUBLICA(1)",1,IF(P360="USO INTERNO(2)",2,IF(P360="RESTRINGIDO(3)",3,3))))+(IF(Q360="BAJA(1)",1,IF(Q360="MEDIA(2)",2,IF(Q360="ALTA(3)",3,3))))+(IF(R360="BAJA(1)",1,IF(R360="MEDIA(2)",2,IF(R360="ALTA(3)",3,3))))</f>
        <v/>
      </c>
      <c r="T360" s="10">
        <f>+IF(S360&lt;6,"BAJA",IF(S360&lt;8,"MEDIA","ALTA"))</f>
        <v/>
      </c>
      <c r="U360" s="10" t="inlineStr">
        <is>
          <t>-</t>
        </is>
      </c>
      <c r="V360" s="24" t="n">
        <v>45580</v>
      </c>
      <c r="W360" s="19" t="inlineStr">
        <is>
          <t>N/A</t>
        </is>
      </c>
      <c r="X360" s="10">
        <f>+IFERROR(IF(VLOOKUP(Tabla2[[#This Row],[ID]],'EVALUACION DE RIESGO'!A:A,1,FALSE)=Tabla2[[#This Row],[ID]],"SI","NO"),"NO")</f>
        <v/>
      </c>
      <c r="AD360">
        <f>IF(AND(Y360="",AA360=""),"",IF(OR(LEFT(AA360,2)="L0",LEFT(AA360,2)="L1",Y360="No Iniciado"),"CRÍTICO - Incumplimiento Normativo SEPS",IF(AND(OR(LEFT(AA360,2)="L4",LEFT(AA360,2)="L5"),AND(AC360&lt;&gt;"",AC360&lt;&gt;"N/A")),"CONFORME - Control Efectivo ISO 27001","OBSERVACIÓN - Revisar Controles")))</f>
        <v/>
      </c>
    </row>
    <row r="361">
      <c r="A361" s="99" t="inlineStr">
        <is>
          <t>63-GNE</t>
        </is>
      </c>
      <c r="B361" s="10" t="inlineStr">
        <is>
          <t>PRODUCTIVO</t>
        </is>
      </c>
      <c r="C361" s="10" t="inlineStr">
        <is>
          <t>Gestión de Negocios</t>
        </is>
      </c>
      <c r="D361" s="10" t="inlineStr">
        <is>
          <t>GNE</t>
        </is>
      </c>
      <c r="E361" s="10" t="inlineStr">
        <is>
          <t>Gestión de Productos y Servicios</t>
        </is>
      </c>
      <c r="F361" s="10" t="inlineStr">
        <is>
          <t>-</t>
        </is>
      </c>
      <c r="G361" s="10" t="inlineStr">
        <is>
          <t>Ejecución del proyecto, pruebas y levantamiento de la documentación del
nuevo producto o servicio</t>
        </is>
      </c>
      <c r="H361" s="10" t="inlineStr">
        <is>
          <t>Plan de Pruebas/Informe de las pruebas</t>
        </is>
      </c>
      <c r="I361" s="10" t="inlineStr">
        <is>
          <t>Documento de registro de pruebas e incidencias encontradas en el proceso de verificación del producto</t>
        </is>
      </c>
      <c r="J361" s="10" t="inlineStr">
        <is>
          <t>Gerente de Negocios</t>
        </is>
      </c>
      <c r="K361" s="10" t="inlineStr">
        <is>
          <t>Analista de Negocios</t>
        </is>
      </c>
      <c r="L361" s="10" t="inlineStr">
        <is>
          <t>UBICACIÓN DIGITAL-EQUIPO DEL CUSTODIO</t>
        </is>
      </c>
      <c r="M361" s="10" t="inlineStr">
        <is>
          <t>DISCOS DUROS, SERVIDORES, DISCOS O MEDIOS PORTÁTILES, CINTAS O MEDIOS DE VIDEO Y AUDIO, ETC.</t>
        </is>
      </c>
      <c r="N361" s="10" t="inlineStr">
        <is>
          <t>PRIMARIOS</t>
        </is>
      </c>
      <c r="O361" s="10" t="inlineStr">
        <is>
          <t>DOCUMENTOS TÉCNICOS</t>
        </is>
      </c>
      <c r="P361" s="10" t="inlineStr">
        <is>
          <t>USO INTERNO(2)</t>
        </is>
      </c>
      <c r="Q361" s="10" t="inlineStr">
        <is>
          <t>MEDIA(2)</t>
        </is>
      </c>
      <c r="R361" s="10" t="inlineStr">
        <is>
          <t>BAJA(1)</t>
        </is>
      </c>
      <c r="S361" s="10">
        <f>+(IF(P361="PUBLICA(1)",1,IF(P361="USO INTERNO(2)",2,IF(P361="RESTRINGIDO(3)",3,3))))+(IF(Q361="BAJA(1)",1,IF(Q361="MEDIA(2)",2,IF(Q361="ALTA(3)",3,3))))+(IF(R361="BAJA(1)",1,IF(R361="MEDIA(2)",2,IF(R361="ALTA(3)",3,3))))</f>
        <v/>
      </c>
      <c r="T361" s="10">
        <f>+IF(S361&lt;6,"BAJA",IF(S361&lt;8,"MEDIA","ALTA"))</f>
        <v/>
      </c>
      <c r="U361" s="10" t="inlineStr">
        <is>
          <t>-</t>
        </is>
      </c>
      <c r="V361" s="24" t="n">
        <v>45580</v>
      </c>
      <c r="W361" s="19" t="inlineStr">
        <is>
          <t>N/A</t>
        </is>
      </c>
      <c r="X361" s="10">
        <f>+IFERROR(IF(VLOOKUP(Tabla2[[#This Row],[ID]],'EVALUACION DE RIESGO'!A:A,1,FALSE)=Tabla2[[#This Row],[ID]],"SI","NO"),"NO")</f>
        <v/>
      </c>
      <c r="AD361">
        <f>IF(AND(Y361="",AA361=""),"",IF(OR(LEFT(AA361,2)="L0",LEFT(AA361,2)="L1",Y361="No Iniciado"),"CRÍTICO - Incumplimiento Normativo SEPS",IF(AND(OR(LEFT(AA361,2)="L4",LEFT(AA361,2)="L5"),AND(AC361&lt;&gt;"",AC361&lt;&gt;"N/A")),"CONFORME - Control Efectivo ISO 27001","OBSERVACIÓN - Revisar Controles")))</f>
        <v/>
      </c>
    </row>
    <row r="362">
      <c r="A362" s="99" t="inlineStr">
        <is>
          <t>64-GNE</t>
        </is>
      </c>
      <c r="B362" s="10" t="inlineStr">
        <is>
          <t>PRODUCTIVO</t>
        </is>
      </c>
      <c r="C362" s="10" t="inlineStr">
        <is>
          <t>Gestión de Negocios</t>
        </is>
      </c>
      <c r="D362" s="10" t="inlineStr">
        <is>
          <t>GNE</t>
        </is>
      </c>
      <c r="E362" s="10" t="inlineStr">
        <is>
          <t>Gestión de Productos y Servicios</t>
        </is>
      </c>
      <c r="F362" s="10" t="inlineStr">
        <is>
          <t>-</t>
        </is>
      </c>
      <c r="G362" s="10" t="inlineStr">
        <is>
          <t>Ejecución del proyecto, pruebas y levantamiento de la documentación del
nuevo producto o servicio</t>
        </is>
      </c>
      <c r="H362" s="10" t="inlineStr">
        <is>
          <t>Certificación de pruebas
satisfactorias</t>
        </is>
      </c>
      <c r="I362" s="10" t="inlineStr">
        <is>
          <t>Service Desk de erguimiento del Encargado del proyecto indicando que las pruebas se han realizando con éxito y se requiere subir a producción</t>
        </is>
      </c>
      <c r="J362" s="10" t="inlineStr">
        <is>
          <t>Gerente de Negocios</t>
        </is>
      </c>
      <c r="K362" s="10" t="inlineStr">
        <is>
          <t>Analista de Negocios</t>
        </is>
      </c>
      <c r="L362" s="10" t="inlineStr">
        <is>
          <t>UBICACIÓN DIGITAL-EQUIPO DEL CUSTODIO</t>
        </is>
      </c>
      <c r="M362" s="10" t="inlineStr">
        <is>
          <t>DISCOS DUROS, SERVIDORES, DISCOS O MEDIOS PORTÁTILES, CINTAS O MEDIOS DE VIDEO Y AUDIO, ETC.</t>
        </is>
      </c>
      <c r="N362" s="10" t="inlineStr">
        <is>
          <t>PRIMARIOS</t>
        </is>
      </c>
      <c r="O362" s="10" t="inlineStr">
        <is>
          <t>DOCUMENTOS HABILITANTES</t>
        </is>
      </c>
      <c r="P362" s="10" t="inlineStr">
        <is>
          <t>USO INTERNO(2)</t>
        </is>
      </c>
      <c r="Q362" s="10" t="inlineStr">
        <is>
          <t>MEDIA(2)</t>
        </is>
      </c>
      <c r="R362" s="10" t="inlineStr">
        <is>
          <t>MEDIA(2)</t>
        </is>
      </c>
      <c r="S362" s="10">
        <f>+(IF(P362="PUBLICA(1)",1,IF(P362="USO INTERNO(2)",2,IF(P362="RESTRINGIDO(3)",3,3))))+(IF(Q362="BAJA(1)",1,IF(Q362="MEDIA(2)",2,IF(Q362="ALTA(3)",3,3))))+(IF(R362="BAJA(1)",1,IF(R362="MEDIA(2)",2,IF(R362="ALTA(3)",3,3))))</f>
        <v/>
      </c>
      <c r="T362" s="10">
        <f>+IF(S362&lt;6,"BAJA",IF(S362&lt;8,"MEDIA","ALTA"))</f>
        <v/>
      </c>
      <c r="U362" s="10" t="inlineStr">
        <is>
          <t>-</t>
        </is>
      </c>
      <c r="V362" s="24" t="n">
        <v>45580</v>
      </c>
      <c r="W362" s="19" t="inlineStr">
        <is>
          <t>N/A</t>
        </is>
      </c>
      <c r="X362" s="10">
        <f>+IFERROR(IF(VLOOKUP(Tabla2[[#This Row],[ID]],'EVALUACION DE RIESGO'!A:A,1,FALSE)=Tabla2[[#This Row],[ID]],"SI","NO"),"NO")</f>
        <v/>
      </c>
      <c r="AD362">
        <f>IF(AND(Y362="",AA362=""),"",IF(OR(LEFT(AA362,2)="L0",LEFT(AA362,2)="L1",Y362="No Iniciado"),"CRÍTICO - Incumplimiento Normativo SEPS",IF(AND(OR(LEFT(AA362,2)="L4",LEFT(AA362,2)="L5"),AND(AC362&lt;&gt;"",AC362&lt;&gt;"N/A")),"CONFORME - Control Efectivo ISO 27001","OBSERVACIÓN - Revisar Controles")))</f>
        <v/>
      </c>
    </row>
    <row r="363">
      <c r="A363" s="99" t="inlineStr">
        <is>
          <t>65-GNE</t>
        </is>
      </c>
      <c r="B363" s="10" t="inlineStr">
        <is>
          <t>PRODUCTIVO</t>
        </is>
      </c>
      <c r="C363" s="10" t="inlineStr">
        <is>
          <t>Gestión de Negocios</t>
        </is>
      </c>
      <c r="D363" s="10" t="inlineStr">
        <is>
          <t>GNE</t>
        </is>
      </c>
      <c r="E363" s="10" t="inlineStr">
        <is>
          <t>Gestión de Productos y Servicios</t>
        </is>
      </c>
      <c r="F363" s="10" t="inlineStr">
        <is>
          <t>-</t>
        </is>
      </c>
      <c r="G363" s="10" t="inlineStr">
        <is>
          <t>Implementación y puesta en producción del producto o servicio</t>
        </is>
      </c>
      <c r="H363" s="10" t="inlineStr">
        <is>
          <t>Acta de Capacitación</t>
        </is>
      </c>
      <c r="I363" s="10" t="inlineStr">
        <is>
          <t>Registro de capacitación que detalla en nombre, cedula, cargo oficina, y firma del personal capacitado</t>
        </is>
      </c>
      <c r="J363" s="10" t="inlineStr">
        <is>
          <t>Gerente de Negocios</t>
        </is>
      </c>
      <c r="K363" s="10" t="inlineStr">
        <is>
          <t>Analista de Negocios</t>
        </is>
      </c>
      <c r="L363" s="10" t="inlineStr">
        <is>
          <t>UBICACIÓN DIGITAL-EQUIPO DEL CUSTODIO</t>
        </is>
      </c>
      <c r="M363" s="10" t="inlineStr">
        <is>
          <t>DISCOS DUROS, SERVIDORES, DISCOS O MEDIOS PORTÁTILES, CINTAS O MEDIOS DE VIDEO Y AUDIO, ETC.</t>
        </is>
      </c>
      <c r="N363" s="10" t="inlineStr">
        <is>
          <t>PRIMARIOS</t>
        </is>
      </c>
      <c r="O363" s="10" t="inlineStr">
        <is>
          <t>DOCUMENTOS HABILITANTES</t>
        </is>
      </c>
      <c r="P363" s="10" t="inlineStr">
        <is>
          <t>USO INTERNO(2)</t>
        </is>
      </c>
      <c r="Q363" s="10" t="inlineStr">
        <is>
          <t>MEDIA(2)</t>
        </is>
      </c>
      <c r="R363" s="10" t="inlineStr">
        <is>
          <t>BAJA(1)</t>
        </is>
      </c>
      <c r="S363" s="10">
        <f>+(IF(P363="PUBLICA(1)",1,IF(P363="USO INTERNO(2)",2,IF(P363="RESTRINGIDO(3)",3,3))))+(IF(Q363="BAJA(1)",1,IF(Q363="MEDIA(2)",2,IF(Q363="ALTA(3)",3,3))))+(IF(R363="BAJA(1)",1,IF(R363="MEDIA(2)",2,IF(R363="ALTA(3)",3,3))))</f>
        <v/>
      </c>
      <c r="T363" s="10">
        <f>+IF(S363&lt;6,"BAJA",IF(S363&lt;8,"MEDIA","ALTA"))</f>
        <v/>
      </c>
      <c r="U363" s="10" t="inlineStr">
        <is>
          <t>-</t>
        </is>
      </c>
      <c r="V363" s="24" t="n">
        <v>45580</v>
      </c>
      <c r="W363" s="19" t="inlineStr">
        <is>
          <t>N/A</t>
        </is>
      </c>
      <c r="X363" s="10">
        <f>+IFERROR(IF(VLOOKUP(Tabla2[[#This Row],[ID]],'EVALUACION DE RIESGO'!A:A,1,FALSE)=Tabla2[[#This Row],[ID]],"SI","NO"),"NO")</f>
        <v/>
      </c>
      <c r="AD363">
        <f>IF(AND(Y363="",AA363=""),"",IF(OR(LEFT(AA363,2)="L0",LEFT(AA363,2)="L1",Y363="No Iniciado"),"CRÍTICO - Incumplimiento Normativo SEPS",IF(AND(OR(LEFT(AA363,2)="L4",LEFT(AA363,2)="L5"),AND(AC363&lt;&gt;"",AC363&lt;&gt;"N/A")),"CONFORME - Control Efectivo ISO 27001","OBSERVACIÓN - Revisar Controles")))</f>
        <v/>
      </c>
    </row>
    <row r="364">
      <c r="A364" s="99" t="inlineStr">
        <is>
          <t>66-GNE</t>
        </is>
      </c>
      <c r="B364" s="10" t="inlineStr">
        <is>
          <t>PRODUCTIVO</t>
        </is>
      </c>
      <c r="C364" s="10" t="inlineStr">
        <is>
          <t>Gestión de Negocios</t>
        </is>
      </c>
      <c r="D364" s="10" t="inlineStr">
        <is>
          <t>GNE</t>
        </is>
      </c>
      <c r="E364" s="10" t="inlineStr">
        <is>
          <t>Gestión de Productos y Servicios</t>
        </is>
      </c>
      <c r="F364" s="10" t="inlineStr">
        <is>
          <t>-</t>
        </is>
      </c>
      <c r="G364" s="10" t="inlineStr">
        <is>
          <t>Implementación y puesta en producción del producto o servicio</t>
        </is>
      </c>
      <c r="H364" s="10" t="inlineStr">
        <is>
          <t>Informe de Gestión de
Negocios / Disposición de lanzamiento de nuevos productos servicios</t>
        </is>
      </c>
      <c r="I364" s="10" t="inlineStr">
        <is>
          <t>Extracto de la implementación y puesta en producción del nuevo servicio adjunto al informe final de la Gestión de Negocios, contiene el detalle la campaña y la publicidad</t>
        </is>
      </c>
      <c r="J364" s="10" t="inlineStr">
        <is>
          <t>Gerente de Negocios</t>
        </is>
      </c>
      <c r="K364" s="10" t="inlineStr">
        <is>
          <t>Analista de Negocios</t>
        </is>
      </c>
      <c r="L364" s="10" t="inlineStr">
        <is>
          <t>UBICACIÓN DIGITAL-EQUIPO DEL CUSTODIO</t>
        </is>
      </c>
      <c r="M364" s="10" t="inlineStr">
        <is>
          <t>DISCOS DUROS, SERVIDORES, DISCOS O MEDIOS PORTÁTILES, CINTAS O MEDIOS DE VIDEO Y AUDIO, ETC.</t>
        </is>
      </c>
      <c r="N364" s="10" t="inlineStr">
        <is>
          <t>PRIMARIOS</t>
        </is>
      </c>
      <c r="O364" s="10" t="inlineStr">
        <is>
          <t>DOCUMENTOS TÉCNICOS</t>
        </is>
      </c>
      <c r="P364" s="10" t="inlineStr">
        <is>
          <t>USO INTERNO(2)</t>
        </is>
      </c>
      <c r="Q364" s="10" t="inlineStr">
        <is>
          <t>MEDIA(2)</t>
        </is>
      </c>
      <c r="R364" s="10" t="inlineStr">
        <is>
          <t>MEDIA(2)</t>
        </is>
      </c>
      <c r="S364" s="10">
        <f>+(IF(P364="PUBLICA(1)",1,IF(P364="USO INTERNO(2)",2,IF(P364="RESTRINGIDO(3)",3,3))))+(IF(Q364="BAJA(1)",1,IF(Q364="MEDIA(2)",2,IF(Q364="ALTA(3)",3,3))))+(IF(R364="BAJA(1)",1,IF(R364="MEDIA(2)",2,IF(R364="ALTA(3)",3,3))))</f>
        <v/>
      </c>
      <c r="T364" s="10">
        <f>+IF(S364&lt;6,"BAJA",IF(S364&lt;8,"MEDIA","ALTA"))</f>
        <v/>
      </c>
      <c r="U364" s="10" t="inlineStr">
        <is>
          <t>-</t>
        </is>
      </c>
      <c r="V364" s="24" t="n">
        <v>45580</v>
      </c>
      <c r="W364" s="19" t="inlineStr">
        <is>
          <t>N/A</t>
        </is>
      </c>
      <c r="X364" s="10">
        <f>+IFERROR(IF(VLOOKUP(Tabla2[[#This Row],[ID]],'EVALUACION DE RIESGO'!A:A,1,FALSE)=Tabla2[[#This Row],[ID]],"SI","NO"),"NO")</f>
        <v/>
      </c>
      <c r="AD364">
        <f>IF(AND(Y364="",AA364=""),"",IF(OR(LEFT(AA364,2)="L0",LEFT(AA364,2)="L1",Y364="No Iniciado"),"CRÍTICO - Incumplimiento Normativo SEPS",IF(AND(OR(LEFT(AA364,2)="L4",LEFT(AA364,2)="L5"),AND(AC364&lt;&gt;"",AC364&lt;&gt;"N/A")),"CONFORME - Control Efectivo ISO 27001","OBSERVACIÓN - Revisar Controles")))</f>
        <v/>
      </c>
    </row>
    <row r="365">
      <c r="A365" s="99" t="inlineStr">
        <is>
          <t>67-GNE</t>
        </is>
      </c>
      <c r="B365" s="10" t="inlineStr">
        <is>
          <t>PRODUCTIVO</t>
        </is>
      </c>
      <c r="C365" s="10" t="inlineStr">
        <is>
          <t>Gestión de Negocios</t>
        </is>
      </c>
      <c r="D365" s="10" t="inlineStr">
        <is>
          <t>GNE</t>
        </is>
      </c>
      <c r="E365" s="10" t="inlineStr">
        <is>
          <t>Gestión de Fondeo Externo</t>
        </is>
      </c>
      <c r="F365" s="10" t="inlineStr">
        <is>
          <t>-</t>
        </is>
      </c>
      <c r="G365" s="10" t="inlineStr">
        <is>
          <t>Gestión del fondeo externo</t>
        </is>
      </c>
      <c r="H365" s="10" t="inlineStr">
        <is>
          <t>Informe sobre la revisión de los posibles fondeadores en las listas de control</t>
        </is>
      </c>
      <c r="I365" s="10" t="inlineStr">
        <is>
          <t>Informe del departamento de Cumplimiento sobre la revisión de los posibles fondeadores en las listas de control</t>
        </is>
      </c>
      <c r="J365" s="10" t="inlineStr">
        <is>
          <t xml:space="preserve">Gerente Financiero </t>
        </is>
      </c>
      <c r="K365" s="10" t="inlineStr">
        <is>
          <t xml:space="preserve">Gerente Financiero </t>
        </is>
      </c>
      <c r="L365" s="10" t="inlineStr">
        <is>
          <t>UBICACIÓN DIGITAL-EQUIPO DEL CUSTODIO</t>
        </is>
      </c>
      <c r="M365" s="10" t="inlineStr">
        <is>
          <t>DISCOS DUROS, SERVIDORES, DISCOS O MEDIOS PORTÁTILES, CINTAS O MEDIOS DE VIDEO Y AUDIO, ETC.</t>
        </is>
      </c>
      <c r="N365" s="10" t="inlineStr">
        <is>
          <t>PRIMARIOS</t>
        </is>
      </c>
      <c r="O365" s="10" t="inlineStr">
        <is>
          <t>DOCUMENTOS TÉCNICOS</t>
        </is>
      </c>
      <c r="P365" s="10" t="inlineStr">
        <is>
          <t>USO INTERNO(2)</t>
        </is>
      </c>
      <c r="Q365" s="10" t="inlineStr">
        <is>
          <t>MEDIA(2)</t>
        </is>
      </c>
      <c r="R365" s="10" t="inlineStr">
        <is>
          <t>MEDIA(2)</t>
        </is>
      </c>
      <c r="S365" s="10">
        <f>+(IF(P365="PUBLICA(1)",1,IF(P365="USO INTERNO(2)",2,IF(P365="RESTRINGIDO(3)",3,3))))+(IF(Q365="BAJA(1)",1,IF(Q365="MEDIA(2)",2,IF(Q365="ALTA(3)",3,3))))+(IF(R365="BAJA(1)",1,IF(R365="MEDIA(2)",2,IF(R365="ALTA(3)",3,3))))</f>
        <v/>
      </c>
      <c r="T365" s="10">
        <f>+IF(S365&lt;6,"BAJA",IF(S365&lt;8,"MEDIA","ALTA"))</f>
        <v/>
      </c>
      <c r="U365" s="10" t="inlineStr">
        <is>
          <t>-</t>
        </is>
      </c>
      <c r="V365" s="24" t="n">
        <v>45580</v>
      </c>
      <c r="W365" s="19" t="inlineStr">
        <is>
          <t>N/A</t>
        </is>
      </c>
      <c r="X365" s="10">
        <f>+IFERROR(IF(VLOOKUP(Tabla2[[#This Row],[ID]],'EVALUACION DE RIESGO'!A:A,1,FALSE)=Tabla2[[#This Row],[ID]],"SI","NO"),"NO")</f>
        <v/>
      </c>
      <c r="AD365">
        <f>IF(AND(Y365="",AA365=""),"",IF(OR(LEFT(AA365,2)="L0",LEFT(AA365,2)="L1",Y365="No Iniciado"),"CRÍTICO - Incumplimiento Normativo SEPS",IF(AND(OR(LEFT(AA365,2)="L4",LEFT(AA365,2)="L5"),AND(AC365&lt;&gt;"",AC365&lt;&gt;"N/A")),"CONFORME - Control Efectivo ISO 27001","OBSERVACIÓN - Revisar Controles")))</f>
        <v/>
      </c>
    </row>
    <row r="366">
      <c r="A366" s="99" t="inlineStr">
        <is>
          <t>68-GNE</t>
        </is>
      </c>
      <c r="B366" s="10" t="inlineStr">
        <is>
          <t>PRODUCTIVO</t>
        </is>
      </c>
      <c r="C366" s="10" t="inlineStr">
        <is>
          <t>Gestión de Negocios</t>
        </is>
      </c>
      <c r="D366" s="10" t="inlineStr">
        <is>
          <t>GNE</t>
        </is>
      </c>
      <c r="E366" s="10" t="inlineStr">
        <is>
          <t>Gestión de Fondeo Externo</t>
        </is>
      </c>
      <c r="F366" s="10" t="inlineStr">
        <is>
          <t>-</t>
        </is>
      </c>
      <c r="G366" s="10" t="inlineStr">
        <is>
          <t>Gestión del fondeo externo</t>
        </is>
      </c>
      <c r="H366" s="10" t="inlineStr">
        <is>
          <t>Informe de Riesgos sobre la viabilidad de la nueva obligación financiera</t>
        </is>
      </c>
      <c r="I366" s="10" t="inlineStr">
        <is>
          <t>Informe de viabilidad de la nueva obligación financiera, considerando el análisis de indicadores, volatilidad y liquidez.</t>
        </is>
      </c>
      <c r="J366" s="10" t="inlineStr">
        <is>
          <t xml:space="preserve">Gerente Financiero </t>
        </is>
      </c>
      <c r="K366" s="10" t="inlineStr">
        <is>
          <t xml:space="preserve">Gerente Financiero </t>
        </is>
      </c>
      <c r="L366" s="10" t="inlineStr">
        <is>
          <t>UBICACIÓN DIGITAL-EQUIPO DEL CUSTODIO</t>
        </is>
      </c>
      <c r="M366" s="10" t="inlineStr">
        <is>
          <t>DISCOS DUROS, SERVIDORES, DISCOS O MEDIOS PORTÁTILES, CINTAS O MEDIOS DE VIDEO Y AUDIO, ETC.</t>
        </is>
      </c>
      <c r="N366" s="10" t="inlineStr">
        <is>
          <t>PRIMARIOS</t>
        </is>
      </c>
      <c r="O366" s="10" t="inlineStr">
        <is>
          <t>DOCUMENTOS TÉCNICOS</t>
        </is>
      </c>
      <c r="P366" s="10" t="inlineStr">
        <is>
          <t>RESTRINGIDO(3)</t>
        </is>
      </c>
      <c r="Q366" s="10" t="inlineStr">
        <is>
          <t>MEDIA(2)</t>
        </is>
      </c>
      <c r="R366" s="10" t="inlineStr">
        <is>
          <t>MEDIA(2)</t>
        </is>
      </c>
      <c r="S366" s="10">
        <f>+(IF(P366="PUBLICA(1)",1,IF(P366="USO INTERNO(2)",2,IF(P366="RESTRINGIDO(3)",3,3))))+(IF(Q366="BAJA(1)",1,IF(Q366="MEDIA(2)",2,IF(Q366="ALTA(3)",3,3))))+(IF(R366="BAJA(1)",1,IF(R366="MEDIA(2)",2,IF(R366="ALTA(3)",3,3))))</f>
        <v/>
      </c>
      <c r="T366" s="10">
        <f>+IF(S366&lt;6,"BAJA",IF(S366&lt;8,"MEDIA","ALTA"))</f>
        <v/>
      </c>
      <c r="U366" s="10" t="inlineStr">
        <is>
          <t>-</t>
        </is>
      </c>
      <c r="V366" s="24" t="n">
        <v>45580</v>
      </c>
      <c r="W366" s="19" t="inlineStr">
        <is>
          <t>N/A</t>
        </is>
      </c>
      <c r="X366" s="10">
        <f>+IFERROR(IF(VLOOKUP(Tabla2[[#This Row],[ID]],'EVALUACION DE RIESGO'!A:A,1,FALSE)=Tabla2[[#This Row],[ID]],"SI","NO"),"NO")</f>
        <v/>
      </c>
      <c r="AD366">
        <f>IF(AND(Y366="",AA366=""),"",IF(OR(LEFT(AA366,2)="L0",LEFT(AA366,2)="L1",Y366="No Iniciado"),"CRÍTICO - Incumplimiento Normativo SEPS",IF(AND(OR(LEFT(AA366,2)="L4",LEFT(AA366,2)="L5"),AND(AC366&lt;&gt;"",AC366&lt;&gt;"N/A")),"CONFORME - Control Efectivo ISO 27001","OBSERVACIÓN - Revisar Controles")))</f>
        <v/>
      </c>
    </row>
    <row r="367">
      <c r="A367" s="99" t="inlineStr">
        <is>
          <t>69-GNE</t>
        </is>
      </c>
      <c r="B367" s="10" t="inlineStr">
        <is>
          <t>PRODUCTIVO</t>
        </is>
      </c>
      <c r="C367" s="10" t="inlineStr">
        <is>
          <t>Gestión de Negocios</t>
        </is>
      </c>
      <c r="D367" s="10" t="inlineStr">
        <is>
          <t>GNE</t>
        </is>
      </c>
      <c r="E367" s="10" t="inlineStr">
        <is>
          <t>Gestión de Fondeo Externo</t>
        </is>
      </c>
      <c r="F367" s="10" t="inlineStr">
        <is>
          <t>-</t>
        </is>
      </c>
      <c r="G367" s="10" t="inlineStr">
        <is>
          <t>Gestión del fondeo externo</t>
        </is>
      </c>
      <c r="H367" s="10" t="inlineStr">
        <is>
          <t>Informe final de análisis de fondeador externo</t>
        </is>
      </c>
      <c r="I367" s="10" t="inlineStr">
        <is>
          <t xml:space="preserve">Informe de consolidación y análisis de las condiciones y ofertas propuestas </t>
        </is>
      </c>
      <c r="J367" s="10" t="inlineStr">
        <is>
          <t xml:space="preserve">Gerente Financiero </t>
        </is>
      </c>
      <c r="K367" s="10" t="inlineStr">
        <is>
          <t xml:space="preserve">Gerente Financiero </t>
        </is>
      </c>
      <c r="L367" s="10" t="inlineStr">
        <is>
          <t>UBICACIÓN DIGITAL-EQUIPO DEL CUSTODIO</t>
        </is>
      </c>
      <c r="M367" s="10" t="inlineStr">
        <is>
          <t>DISCOS DUROS, SERVIDORES, DISCOS O MEDIOS PORTÁTILES, CINTAS O MEDIOS DE VIDEO Y AUDIO, ETC.</t>
        </is>
      </c>
      <c r="N367" s="10" t="inlineStr">
        <is>
          <t>PRIMARIOS</t>
        </is>
      </c>
      <c r="O367" s="10" t="inlineStr">
        <is>
          <t>DOCUMENTOS TÉCNICOS</t>
        </is>
      </c>
      <c r="P367" s="10" t="inlineStr">
        <is>
          <t>USO INTERNO(2)</t>
        </is>
      </c>
      <c r="Q367" s="10" t="inlineStr">
        <is>
          <t>MEDIA(2)</t>
        </is>
      </c>
      <c r="R367" s="10" t="inlineStr">
        <is>
          <t>MEDIA(2)</t>
        </is>
      </c>
      <c r="S367" s="10">
        <f>+(IF(P367="PUBLICA(1)",1,IF(P367="USO INTERNO(2)",2,IF(P367="RESTRINGIDO(3)",3,3))))+(IF(Q367="BAJA(1)",1,IF(Q367="MEDIA(2)",2,IF(Q367="ALTA(3)",3,3))))+(IF(R367="BAJA(1)",1,IF(R367="MEDIA(2)",2,IF(R367="ALTA(3)",3,3))))</f>
        <v/>
      </c>
      <c r="T367" s="10">
        <f>+IF(S367&lt;6,"BAJA",IF(S367&lt;8,"MEDIA","ALTA"))</f>
        <v/>
      </c>
      <c r="U367" s="10" t="inlineStr">
        <is>
          <t>-</t>
        </is>
      </c>
      <c r="V367" s="24" t="n">
        <v>45580</v>
      </c>
      <c r="W367" s="19" t="inlineStr">
        <is>
          <t>N/A</t>
        </is>
      </c>
      <c r="X367" s="10">
        <f>+IFERROR(IF(VLOOKUP(Tabla2[[#This Row],[ID]],'EVALUACION DE RIESGO'!A:A,1,FALSE)=Tabla2[[#This Row],[ID]],"SI","NO"),"NO")</f>
        <v/>
      </c>
      <c r="AD367">
        <f>IF(AND(Y367="",AA367=""),"",IF(OR(LEFT(AA367,2)="L0",LEFT(AA367,2)="L1",Y367="No Iniciado"),"CRÍTICO - Incumplimiento Normativo SEPS",IF(AND(OR(LEFT(AA367,2)="L4",LEFT(AA367,2)="L5"),AND(AC367&lt;&gt;"",AC367&lt;&gt;"N/A")),"CONFORME - Control Efectivo ISO 27001","OBSERVACIÓN - Revisar Controles")))</f>
        <v/>
      </c>
    </row>
    <row r="368">
      <c r="A368" s="99" t="inlineStr">
        <is>
          <t>70-GNE</t>
        </is>
      </c>
      <c r="B368" s="10" t="inlineStr">
        <is>
          <t>PRODUCTIVO</t>
        </is>
      </c>
      <c r="C368" s="10" t="inlineStr">
        <is>
          <t>Gestión de Negocios</t>
        </is>
      </c>
      <c r="D368" s="10" t="inlineStr">
        <is>
          <t>GNE</t>
        </is>
      </c>
      <c r="E368" s="10" t="inlineStr">
        <is>
          <t>Gestión de Fondeo Externo</t>
        </is>
      </c>
      <c r="F368" s="10" t="inlineStr">
        <is>
          <t>-</t>
        </is>
      </c>
      <c r="G368" s="10" t="inlineStr">
        <is>
          <t>Gestión del fondeo externo</t>
        </is>
      </c>
      <c r="H368" s="10" t="inlineStr">
        <is>
          <t>Convenio con fondeador externo</t>
        </is>
      </c>
      <c r="I368" s="10" t="inlineStr">
        <is>
          <t xml:space="preserve">Convenio gestionado y legalizado con el Departamento Jurídico </t>
        </is>
      </c>
      <c r="J368" s="10" t="inlineStr">
        <is>
          <t xml:space="preserve">Gerente Financiero </t>
        </is>
      </c>
      <c r="K368" s="10" t="inlineStr">
        <is>
          <t>Jefe de Negocios</t>
        </is>
      </c>
      <c r="L368" s="10" t="inlineStr">
        <is>
          <t>UBICACIÓN DIGITAL-EQUIPO DEL CUSTODIO</t>
        </is>
      </c>
      <c r="M368" s="10" t="inlineStr">
        <is>
          <t>DISCOS DUROS, SERVIDORES, DISCOS O MEDIOS PORTÁTILES, CINTAS O MEDIOS DE VIDEO Y AUDIO, ETC.</t>
        </is>
      </c>
      <c r="N368" s="10" t="inlineStr">
        <is>
          <t>PRIMARIOS</t>
        </is>
      </c>
      <c r="O368" s="10" t="inlineStr">
        <is>
          <t>DOCUMENTOS HABILITANTES</t>
        </is>
      </c>
      <c r="P368" s="10" t="inlineStr">
        <is>
          <t>USO INTERNO(2)</t>
        </is>
      </c>
      <c r="Q368" s="10" t="inlineStr">
        <is>
          <t>MEDIA(2)</t>
        </is>
      </c>
      <c r="R368" s="10" t="inlineStr">
        <is>
          <t>MEDIA(2)</t>
        </is>
      </c>
      <c r="S368" s="10">
        <f>+(IF(P368="PUBLICA(1)",1,IF(P368="USO INTERNO(2)",2,IF(P368="RESTRINGIDO(3)",3,3))))+(IF(Q368="BAJA(1)",1,IF(Q368="MEDIA(2)",2,IF(Q368="ALTA(3)",3,3))))+(IF(R368="BAJA(1)",1,IF(R368="MEDIA(2)",2,IF(R368="ALTA(3)",3,3))))</f>
        <v/>
      </c>
      <c r="T368" s="10">
        <f>+IF(S368&lt;6,"BAJA",IF(S368&lt;8,"MEDIA","ALTA"))</f>
        <v/>
      </c>
      <c r="U368" s="10" t="inlineStr">
        <is>
          <t>-</t>
        </is>
      </c>
      <c r="V368" s="24" t="n">
        <v>45580</v>
      </c>
      <c r="W368" s="19" t="inlineStr">
        <is>
          <t>N/A</t>
        </is>
      </c>
      <c r="X368" s="10">
        <f>+IFERROR(IF(VLOOKUP(Tabla2[[#This Row],[ID]],'EVALUACION DE RIESGO'!A:A,1,FALSE)=Tabla2[[#This Row],[ID]],"SI","NO"),"NO")</f>
        <v/>
      </c>
      <c r="AD368">
        <f>IF(AND(Y368="",AA368=""),"",IF(OR(LEFT(AA368,2)="L0",LEFT(AA368,2)="L1",Y368="No Iniciado"),"CRÍTICO - Incumplimiento Normativo SEPS",IF(AND(OR(LEFT(AA368,2)="L4",LEFT(AA368,2)="L5"),AND(AC368&lt;&gt;"",AC368&lt;&gt;"N/A")),"CONFORME - Control Efectivo ISO 27001","OBSERVACIÓN - Revisar Controles")))</f>
        <v/>
      </c>
    </row>
    <row r="369">
      <c r="A369" s="99" t="inlineStr">
        <is>
          <t>71-GNE</t>
        </is>
      </c>
      <c r="B369" s="10" t="inlineStr">
        <is>
          <t>PRODUCTIVO</t>
        </is>
      </c>
      <c r="C369" s="10" t="inlineStr">
        <is>
          <t>Gestión de Negocios</t>
        </is>
      </c>
      <c r="D369" s="10" t="inlineStr">
        <is>
          <t>GNE</t>
        </is>
      </c>
      <c r="E369" s="10" t="inlineStr">
        <is>
          <t>Gestión de Fondeo Externo</t>
        </is>
      </c>
      <c r="F369" s="10" t="inlineStr">
        <is>
          <t>-</t>
        </is>
      </c>
      <c r="G369" s="10" t="inlineStr">
        <is>
          <t>Gestión del fondeo externo</t>
        </is>
      </c>
      <c r="H369" s="10" t="inlineStr">
        <is>
          <t>Solicitud de crédito externo/Solicitud de anticipo/Reporte de operaciones a redescontar</t>
        </is>
      </c>
      <c r="I369" s="10" t="inlineStr">
        <is>
          <t>Solitud de crédito adjuntando el Reporte de las operaciones a redescontar, o la solicitud del anticipo al fondeador</t>
        </is>
      </c>
      <c r="J369" s="10" t="inlineStr">
        <is>
          <t xml:space="preserve">Gerente Financiero </t>
        </is>
      </c>
      <c r="K369" s="10" t="inlineStr">
        <is>
          <t>Jefe de Negocios</t>
        </is>
      </c>
      <c r="L369" s="10" t="inlineStr">
        <is>
          <t>UBICACIÓN DIGITAL-EQUIPO DEL CUSTODIO</t>
        </is>
      </c>
      <c r="M369" s="10" t="inlineStr">
        <is>
          <t>DISCOS DUROS, SERVIDORES, DISCOS O MEDIOS PORTÁTILES, CINTAS O MEDIOS DE VIDEO Y AUDIO, ETC.</t>
        </is>
      </c>
      <c r="N369" s="10" t="inlineStr">
        <is>
          <t>PRIMARIOS</t>
        </is>
      </c>
      <c r="O369" s="10" t="inlineStr">
        <is>
          <t>DOCUMENTOS HABILITANTES</t>
        </is>
      </c>
      <c r="P369" s="10" t="inlineStr">
        <is>
          <t>RESTRINGIDO(3)</t>
        </is>
      </c>
      <c r="Q369" s="10" t="inlineStr">
        <is>
          <t>MEDIA(2)</t>
        </is>
      </c>
      <c r="R369" s="10" t="inlineStr">
        <is>
          <t>MEDIA(2)</t>
        </is>
      </c>
      <c r="S369" s="10">
        <f>+(IF(P369="PUBLICA(1)",1,IF(P369="USO INTERNO(2)",2,IF(P369="RESTRINGIDO(3)",3,3))))+(IF(Q369="BAJA(1)",1,IF(Q369="MEDIA(2)",2,IF(Q369="ALTA(3)",3,3))))+(IF(R369="BAJA(1)",1,IF(R369="MEDIA(2)",2,IF(R369="ALTA(3)",3,3))))</f>
        <v/>
      </c>
      <c r="T369" s="10">
        <f>+IF(S369&lt;6,"BAJA",IF(S369&lt;8,"MEDIA","ALTA"))</f>
        <v/>
      </c>
      <c r="U369" s="10" t="inlineStr">
        <is>
          <t>-</t>
        </is>
      </c>
      <c r="V369" s="24" t="n">
        <v>45580</v>
      </c>
      <c r="W369" s="19" t="inlineStr">
        <is>
          <t>N/A</t>
        </is>
      </c>
      <c r="X369" s="10">
        <f>+IFERROR(IF(VLOOKUP(Tabla2[[#This Row],[ID]],'EVALUACION DE RIESGO'!A:A,1,FALSE)=Tabla2[[#This Row],[ID]],"SI","NO"),"NO")</f>
        <v/>
      </c>
      <c r="AD369">
        <f>IF(AND(Y369="",AA369=""),"",IF(OR(LEFT(AA369,2)="L0",LEFT(AA369,2)="L1",Y369="No Iniciado"),"CRÍTICO - Incumplimiento Normativo SEPS",IF(AND(OR(LEFT(AA369,2)="L4",LEFT(AA369,2)="L5"),AND(AC369&lt;&gt;"",AC369&lt;&gt;"N/A")),"CONFORME - Control Efectivo ISO 27001","OBSERVACIÓN - Revisar Controles")))</f>
        <v/>
      </c>
    </row>
    <row r="370">
      <c r="A370" s="99" t="inlineStr">
        <is>
          <t>72-GNE</t>
        </is>
      </c>
      <c r="B370" s="10" t="inlineStr">
        <is>
          <t>PRODUCTIVO</t>
        </is>
      </c>
      <c r="C370" s="10" t="inlineStr">
        <is>
          <t>Gestión de Negocios</t>
        </is>
      </c>
      <c r="D370" s="10" t="inlineStr">
        <is>
          <t>GNE</t>
        </is>
      </c>
      <c r="E370" s="10" t="inlineStr">
        <is>
          <t>Gestión de Fondeo Externo</t>
        </is>
      </c>
      <c r="F370" s="10" t="inlineStr">
        <is>
          <t>-</t>
        </is>
      </c>
      <c r="G370" s="10" t="inlineStr">
        <is>
          <t>Gestión del fondeo externo</t>
        </is>
      </c>
      <c r="H370" s="10" t="inlineStr">
        <is>
          <t>Pagaré de las obligaciones financieras</t>
        </is>
      </c>
      <c r="I370" s="10" t="inlineStr">
        <is>
          <t>Convenio, pagaré y tabla de amortización de la nueva obligación financiera</t>
        </is>
      </c>
      <c r="J370" s="10" t="inlineStr">
        <is>
          <t xml:space="preserve">Gerente Financiero </t>
        </is>
      </c>
      <c r="K370" s="10" t="inlineStr">
        <is>
          <t xml:space="preserve">Gerente Financiero </t>
        </is>
      </c>
      <c r="L370" s="10" t="inlineStr">
        <is>
          <t>UBICACIÓN DIGITAL-EQUIPO DEL CUSTODIO</t>
        </is>
      </c>
      <c r="M370" s="10" t="inlineStr">
        <is>
          <t>DISCOS DUROS, SERVIDORES, DISCOS O MEDIOS PORTÁTILES, CINTAS O MEDIOS DE VIDEO Y AUDIO, ETC.</t>
        </is>
      </c>
      <c r="N370" s="10" t="inlineStr">
        <is>
          <t>PRIMARIOS</t>
        </is>
      </c>
      <c r="O370" s="10" t="inlineStr">
        <is>
          <t>DOCUMENTOS TÉCNICOS</t>
        </is>
      </c>
      <c r="P370" s="10" t="inlineStr">
        <is>
          <t>RESTRINGIDO(3)</t>
        </is>
      </c>
      <c r="Q370" s="10" t="inlineStr">
        <is>
          <t>MEDIA(2)</t>
        </is>
      </c>
      <c r="R370" s="10" t="inlineStr">
        <is>
          <t>MEDIA(2)</t>
        </is>
      </c>
      <c r="S370" s="10">
        <f>+(IF(P370="PUBLICA(1)",1,IF(P370="USO INTERNO(2)",2,IF(P370="RESTRINGIDO(3)",3,3))))+(IF(Q370="BAJA(1)",1,IF(Q370="MEDIA(2)",2,IF(Q370="ALTA(3)",3,3))))+(IF(R370="BAJA(1)",1,IF(R370="MEDIA(2)",2,IF(R370="ALTA(3)",3,3))))</f>
        <v/>
      </c>
      <c r="T370" s="10">
        <f>+IF(S370&lt;6,"BAJA",IF(S370&lt;8,"MEDIA","ALTA"))</f>
        <v/>
      </c>
      <c r="U370" s="10" t="inlineStr">
        <is>
          <t>-</t>
        </is>
      </c>
      <c r="V370" s="24" t="n">
        <v>45580</v>
      </c>
      <c r="W370" s="19" t="inlineStr">
        <is>
          <t>N/A</t>
        </is>
      </c>
      <c r="X370" s="10">
        <f>+IFERROR(IF(VLOOKUP(Tabla2[[#This Row],[ID]],'EVALUACION DE RIESGO'!A:A,1,FALSE)=Tabla2[[#This Row],[ID]],"SI","NO"),"NO")</f>
        <v/>
      </c>
      <c r="AD370">
        <f>IF(AND(Y370="",AA370=""),"",IF(OR(LEFT(AA370,2)="L0",LEFT(AA370,2)="L1",Y370="No Iniciado"),"CRÍTICO - Incumplimiento Normativo SEPS",IF(AND(OR(LEFT(AA370,2)="L4",LEFT(AA370,2)="L5"),AND(AC370&lt;&gt;"",AC370&lt;&gt;"N/A")),"CONFORME - Control Efectivo ISO 27001","OBSERVACIÓN - Revisar Controles")))</f>
        <v/>
      </c>
    </row>
    <row r="371">
      <c r="A371" s="99" t="inlineStr">
        <is>
          <t>73-GNE</t>
        </is>
      </c>
      <c r="B371" s="10" t="inlineStr">
        <is>
          <t>PRODUCTIVO</t>
        </is>
      </c>
      <c r="C371" s="10" t="inlineStr">
        <is>
          <t>Gestión de Negocios</t>
        </is>
      </c>
      <c r="D371" s="10" t="inlineStr">
        <is>
          <t>GNE</t>
        </is>
      </c>
      <c r="E371" s="10" t="inlineStr">
        <is>
          <t>Gestión de Fondeo Externo</t>
        </is>
      </c>
      <c r="F371" s="10" t="inlineStr">
        <is>
          <t>-</t>
        </is>
      </c>
      <c r="G371" s="10" t="inlineStr">
        <is>
          <t>Gestión del fondeo externo</t>
        </is>
      </c>
      <c r="H371" s="10" t="inlineStr">
        <is>
          <t>Garantías de las obligaciones financieras</t>
        </is>
      </c>
      <c r="I371" s="10" t="inlineStr">
        <is>
          <t>Garantías endosadas solicitadas por el fondeador.</t>
        </is>
      </c>
      <c r="J371" s="10" t="inlineStr">
        <is>
          <t xml:space="preserve">Gerente Financiero </t>
        </is>
      </c>
      <c r="K371" s="10" t="inlineStr">
        <is>
          <t xml:space="preserve">Gerente Financiero </t>
        </is>
      </c>
      <c r="L371" s="10" t="inlineStr">
        <is>
          <t>UBICACIÓN DIGITAL-EQUIPO DEL CUSTODIO</t>
        </is>
      </c>
      <c r="M371" s="10" t="inlineStr">
        <is>
          <t>DISCOS DUROS, SERVIDORES, DISCOS O MEDIOS PORTÁTILES, CINTAS O MEDIOS DE VIDEO Y AUDIO, ETC.</t>
        </is>
      </c>
      <c r="N371" s="10" t="inlineStr">
        <is>
          <t>PRIMARIOS</t>
        </is>
      </c>
      <c r="O371" s="10" t="inlineStr">
        <is>
          <t>DOCUMENTOS TÉCNICOS</t>
        </is>
      </c>
      <c r="P371" s="10" t="inlineStr">
        <is>
          <t>USO INTERNO(2)</t>
        </is>
      </c>
      <c r="Q371" s="10" t="inlineStr">
        <is>
          <t>MEDIA(2)</t>
        </is>
      </c>
      <c r="R371" s="10" t="inlineStr">
        <is>
          <t>MEDIA(2)</t>
        </is>
      </c>
      <c r="S371" s="10">
        <f>+(IF(P371="PUBLICA(1)",1,IF(P371="USO INTERNO(2)",2,IF(P371="RESTRINGIDO(3)",3,3))))+(IF(Q371="BAJA(1)",1,IF(Q371="MEDIA(2)",2,IF(Q371="ALTA(3)",3,3))))+(IF(R371="BAJA(1)",1,IF(R371="MEDIA(2)",2,IF(R371="ALTA(3)",3,3))))</f>
        <v/>
      </c>
      <c r="T371" s="10">
        <f>+IF(S371&lt;6,"BAJA",IF(S371&lt;8,"MEDIA","ALTA"))</f>
        <v/>
      </c>
      <c r="U371" s="10" t="inlineStr">
        <is>
          <t>-</t>
        </is>
      </c>
      <c r="V371" s="24" t="n">
        <v>45580</v>
      </c>
      <c r="W371" s="19" t="inlineStr">
        <is>
          <t>N/A</t>
        </is>
      </c>
      <c r="X371" s="10">
        <f>+IFERROR(IF(VLOOKUP(Tabla2[[#This Row],[ID]],'EVALUACION DE RIESGO'!A:A,1,FALSE)=Tabla2[[#This Row],[ID]],"SI","NO"),"NO")</f>
        <v/>
      </c>
      <c r="AD371">
        <f>IF(AND(Y371="",AA371=""),"",IF(OR(LEFT(AA371,2)="L0",LEFT(AA371,2)="L1",Y371="No Iniciado"),"CRÍTICO - Incumplimiento Normativo SEPS",IF(AND(OR(LEFT(AA371,2)="L4",LEFT(AA371,2)="L5"),AND(AC371&lt;&gt;"",AC371&lt;&gt;"N/A")),"CONFORME - Control Efectivo ISO 27001","OBSERVACIÓN - Revisar Controles")))</f>
        <v/>
      </c>
    </row>
    <row r="372">
      <c r="A372" s="99" t="inlineStr">
        <is>
          <t>74-GNE</t>
        </is>
      </c>
      <c r="B372" s="10" t="inlineStr">
        <is>
          <t>PRODUCTIVO</t>
        </is>
      </c>
      <c r="C372" s="10" t="inlineStr">
        <is>
          <t>Gestión de Negocios</t>
        </is>
      </c>
      <c r="D372" s="10" t="inlineStr">
        <is>
          <t>GNE</t>
        </is>
      </c>
      <c r="E372" s="10" t="inlineStr">
        <is>
          <t>Gestión de Fondeo Externo</t>
        </is>
      </c>
      <c r="F372" s="10" t="inlineStr">
        <is>
          <t>-</t>
        </is>
      </c>
      <c r="G372" s="10" t="inlineStr">
        <is>
          <t>Gestión del fondeo externo</t>
        </is>
      </c>
      <c r="H372" s="10" t="inlineStr">
        <is>
          <t>Confirmación transferencia/Tabla de amortización</t>
        </is>
      </c>
      <c r="I372" s="10" t="inlineStr">
        <is>
          <t>Notificación realizada por el fondeador donde se remite el pagaré y la tabla de amortización</t>
        </is>
      </c>
      <c r="J372" s="10" t="inlineStr">
        <is>
          <t xml:space="preserve">Gerente Financiero </t>
        </is>
      </c>
      <c r="K372" s="10" t="inlineStr">
        <is>
          <t xml:space="preserve">Gerente Financiero </t>
        </is>
      </c>
      <c r="L372" s="10" t="inlineStr">
        <is>
          <t>UBICACIÓN DIGITAL-EQUIPO DEL CUSTODIO</t>
        </is>
      </c>
      <c r="M372" s="10" t="inlineStr">
        <is>
          <t>DISCOS DUROS, SERVIDORES, DISCOS O MEDIOS PORTÁTILES, CINTAS O MEDIOS DE VIDEO Y AUDIO, ETC.</t>
        </is>
      </c>
      <c r="N372" s="10" t="inlineStr">
        <is>
          <t>PRIMARIOS</t>
        </is>
      </c>
      <c r="O372" s="10" t="inlineStr">
        <is>
          <t>DOCUMENTOS TÉCNICOS</t>
        </is>
      </c>
      <c r="P372" s="10" t="inlineStr">
        <is>
          <t>USO INTERNO(2)</t>
        </is>
      </c>
      <c r="Q372" s="10" t="inlineStr">
        <is>
          <t>MEDIA(2)</t>
        </is>
      </c>
      <c r="R372" s="10" t="inlineStr">
        <is>
          <t>BAJA(1)</t>
        </is>
      </c>
      <c r="S372" s="10">
        <f>+(IF(P372="PUBLICA(1)",1,IF(P372="USO INTERNO(2)",2,IF(P372="RESTRINGIDO(3)",3,3))))+(IF(Q372="BAJA(1)",1,IF(Q372="MEDIA(2)",2,IF(Q372="ALTA(3)",3,3))))+(IF(R372="BAJA(1)",1,IF(R372="MEDIA(2)",2,IF(R372="ALTA(3)",3,3))))</f>
        <v/>
      </c>
      <c r="T372" s="10">
        <f>+IF(S372&lt;6,"BAJA",IF(S372&lt;8,"MEDIA","ALTA"))</f>
        <v/>
      </c>
      <c r="U372" s="10" t="inlineStr">
        <is>
          <t>-</t>
        </is>
      </c>
      <c r="V372" s="24" t="n">
        <v>45580</v>
      </c>
      <c r="W372" s="19" t="inlineStr">
        <is>
          <t>N/A</t>
        </is>
      </c>
      <c r="X372" s="10">
        <f>+IFERROR(IF(VLOOKUP(Tabla2[[#This Row],[ID]],'EVALUACION DE RIESGO'!A:A,1,FALSE)=Tabla2[[#This Row],[ID]],"SI","NO"),"NO")</f>
        <v/>
      </c>
      <c r="AD372">
        <f>IF(AND(Y372="",AA372=""),"",IF(OR(LEFT(AA372,2)="L0",LEFT(AA372,2)="L1",Y372="No Iniciado"),"CRÍTICO - Incumplimiento Normativo SEPS",IF(AND(OR(LEFT(AA372,2)="L4",LEFT(AA372,2)="L5"),AND(AC372&lt;&gt;"",AC372&lt;&gt;"N/A")),"CONFORME - Control Efectivo ISO 27001","OBSERVACIÓN - Revisar Controles")))</f>
        <v/>
      </c>
    </row>
    <row r="373">
      <c r="A373" s="99" t="inlineStr">
        <is>
          <t>75-GNE</t>
        </is>
      </c>
      <c r="B373" s="10" t="inlineStr">
        <is>
          <t>PRODUCTIVO</t>
        </is>
      </c>
      <c r="C373" s="10" t="inlineStr">
        <is>
          <t>Gestión de Negocios</t>
        </is>
      </c>
      <c r="D373" s="10" t="inlineStr">
        <is>
          <t>GNE</t>
        </is>
      </c>
      <c r="E373" s="10" t="inlineStr">
        <is>
          <t>Gestión de Fondeo Externo</t>
        </is>
      </c>
      <c r="F373" s="10" t="inlineStr">
        <is>
          <t>-</t>
        </is>
      </c>
      <c r="G373" s="10" t="inlineStr">
        <is>
          <t>Precancelación de Obligaciones Financieras</t>
        </is>
      </c>
      <c r="H373" s="10" t="inlineStr">
        <is>
          <t>Pagaré y garantías entregadas al fondeador por la obligación financiera</t>
        </is>
      </c>
      <c r="I373" s="10" t="inlineStr">
        <is>
          <t>Informe de justificación de precancelación y respaldos de la entrega de garantías y pagarés entregados por el fondeador</t>
        </is>
      </c>
      <c r="J373" s="10" t="inlineStr">
        <is>
          <t xml:space="preserve">Gerente Financiero </t>
        </is>
      </c>
      <c r="K373" s="10" t="inlineStr">
        <is>
          <t xml:space="preserve">Gerente Financiero </t>
        </is>
      </c>
      <c r="L373" s="10" t="inlineStr">
        <is>
          <t>UBICACIÓN DIGITAL-EQUIPO DEL CUSTODIO</t>
        </is>
      </c>
      <c r="M373" s="10" t="inlineStr">
        <is>
          <t>DISCOS DUROS, SERVIDORES, DISCOS O MEDIOS PORTÁTILES, CINTAS O MEDIOS DE VIDEO Y AUDIO, ETC.</t>
        </is>
      </c>
      <c r="N373" s="10" t="inlineStr">
        <is>
          <t>PRIMARIOS</t>
        </is>
      </c>
      <c r="O373" s="10" t="inlineStr">
        <is>
          <t>DOCUMENTOS TÉCNICOS</t>
        </is>
      </c>
      <c r="P373" s="10" t="inlineStr">
        <is>
          <t>RESTRINGIDO(3)</t>
        </is>
      </c>
      <c r="Q373" s="10" t="inlineStr">
        <is>
          <t>MEDIA(2)</t>
        </is>
      </c>
      <c r="R373" s="10" t="inlineStr">
        <is>
          <t>MEDIA(2)</t>
        </is>
      </c>
      <c r="S373" s="10">
        <f>+(IF(P373="PUBLICA(1)",1,IF(P373="USO INTERNO(2)",2,IF(P373="RESTRINGIDO(3)",3,3))))+(IF(Q373="BAJA(1)",1,IF(Q373="MEDIA(2)",2,IF(Q373="ALTA(3)",3,3))))+(IF(R373="BAJA(1)",1,IF(R373="MEDIA(2)",2,IF(R373="ALTA(3)",3,3))))</f>
        <v/>
      </c>
      <c r="T373" s="10">
        <f>+IF(S373&lt;6,"BAJA",IF(S373&lt;8,"MEDIA","ALTA"))</f>
        <v/>
      </c>
      <c r="U373" s="10" t="inlineStr">
        <is>
          <t>-</t>
        </is>
      </c>
      <c r="V373" s="24" t="n">
        <v>45580</v>
      </c>
      <c r="W373" s="19" t="inlineStr">
        <is>
          <t>N/A</t>
        </is>
      </c>
      <c r="X373" s="10">
        <f>+IFERROR(IF(VLOOKUP(Tabla2[[#This Row],[ID]],'EVALUACION DE RIESGO'!A:A,1,FALSE)=Tabla2[[#This Row],[ID]],"SI","NO"),"NO")</f>
        <v/>
      </c>
      <c r="AD373">
        <f>IF(AND(Y373="",AA373=""),"",IF(OR(LEFT(AA373,2)="L0",LEFT(AA373,2)="L1",Y373="No Iniciado"),"CRÍTICO - Incumplimiento Normativo SEPS",IF(AND(OR(LEFT(AA373,2)="L4",LEFT(AA373,2)="L5"),AND(AC373&lt;&gt;"",AC373&lt;&gt;"N/A")),"CONFORME - Control Efectivo ISO 27001","OBSERVACIÓN - Revisar Controles")))</f>
        <v/>
      </c>
    </row>
    <row r="374">
      <c r="A374" s="99" t="inlineStr">
        <is>
          <t>76-GNE</t>
        </is>
      </c>
      <c r="B374" s="10" t="inlineStr">
        <is>
          <t>PRODUCTIVO</t>
        </is>
      </c>
      <c r="C374" s="10" t="inlineStr">
        <is>
          <t>Gestión de Negocios</t>
        </is>
      </c>
      <c r="D374" s="10" t="inlineStr">
        <is>
          <t>GNE</t>
        </is>
      </c>
      <c r="E374" s="10" t="inlineStr">
        <is>
          <t>Gestión de Fondeo Externo</t>
        </is>
      </c>
      <c r="F374" s="10" t="inlineStr">
        <is>
          <t>-</t>
        </is>
      </c>
      <c r="G374" s="10" t="inlineStr">
        <is>
          <t>Levantamiento de cesión de derechos de bienes muebles hipotecados</t>
        </is>
      </c>
      <c r="H374" s="10" t="inlineStr">
        <is>
          <t xml:space="preserve">Documentos de levantamiento de cesión de derechos </t>
        </is>
      </c>
      <c r="I374" s="10" t="inlineStr">
        <is>
          <t>Documento de levantamiento de cesión de derechos entregado por el fondeador, posterior de la gestión del reconocimiento de firmas ante el notario</t>
        </is>
      </c>
      <c r="J374" s="10" t="inlineStr">
        <is>
          <t xml:space="preserve">Gerente Financiero </t>
        </is>
      </c>
      <c r="K374" s="10" t="inlineStr">
        <is>
          <t xml:space="preserve">Gerente Financiero </t>
        </is>
      </c>
      <c r="L374" s="10" t="inlineStr">
        <is>
          <t>UBICACIÓN DIGITAL-EQUIPO DEL CUSTODIO</t>
        </is>
      </c>
      <c r="M374" s="10" t="inlineStr">
        <is>
          <t>DISCOS DUROS, SERVIDORES, DISCOS O MEDIOS PORTÁTILES, CINTAS O MEDIOS DE VIDEO Y AUDIO, ETC.</t>
        </is>
      </c>
      <c r="N374" s="10" t="inlineStr">
        <is>
          <t>PRIMARIOS</t>
        </is>
      </c>
      <c r="O374" s="10" t="inlineStr">
        <is>
          <t>DOCUMENTOS TÉCNICOS</t>
        </is>
      </c>
      <c r="P374" s="10" t="inlineStr">
        <is>
          <t>USO INTERNO(2)</t>
        </is>
      </c>
      <c r="Q374" s="10" t="inlineStr">
        <is>
          <t>MEDIA(2)</t>
        </is>
      </c>
      <c r="R374" s="10" t="inlineStr">
        <is>
          <t>MEDIA(2)</t>
        </is>
      </c>
      <c r="S374" s="10">
        <f>+(IF(P374="PUBLICA(1)",1,IF(P374="USO INTERNO(2)",2,IF(P374="RESTRINGIDO(3)",3,3))))+(IF(Q374="BAJA(1)",1,IF(Q374="MEDIA(2)",2,IF(Q374="ALTA(3)",3,3))))+(IF(R374="BAJA(1)",1,IF(R374="MEDIA(2)",2,IF(R374="ALTA(3)",3,3))))</f>
        <v/>
      </c>
      <c r="T374" s="10">
        <f>+IF(S374&lt;6,"BAJA",IF(S374&lt;8,"MEDIA","ALTA"))</f>
        <v/>
      </c>
      <c r="U374" s="10" t="inlineStr">
        <is>
          <t>-</t>
        </is>
      </c>
      <c r="V374" s="24" t="n">
        <v>45580</v>
      </c>
      <c r="W374" s="19" t="inlineStr">
        <is>
          <t>N/A</t>
        </is>
      </c>
      <c r="X374" s="10">
        <f>+IFERROR(IF(VLOOKUP(Tabla2[[#This Row],[ID]],'EVALUACION DE RIESGO'!A:A,1,FALSE)=Tabla2[[#This Row],[ID]],"SI","NO"),"NO")</f>
        <v/>
      </c>
      <c r="AD374">
        <f>IF(AND(Y374="",AA374=""),"",IF(OR(LEFT(AA374,2)="L0",LEFT(AA374,2)="L1",Y374="No Iniciado"),"CRÍTICO - Incumplimiento Normativo SEPS",IF(AND(OR(LEFT(AA374,2)="L4",LEFT(AA374,2)="L5"),AND(AC374&lt;&gt;"",AC374&lt;&gt;"N/A")),"CONFORME - Control Efectivo ISO 27001","OBSERVACIÓN - Revisar Controles")))</f>
        <v/>
      </c>
    </row>
    <row r="375">
      <c r="A375" s="99" t="inlineStr">
        <is>
          <t>77-GNE</t>
        </is>
      </c>
      <c r="B375" s="10" t="inlineStr">
        <is>
          <t>PRODUCTIVO</t>
        </is>
      </c>
      <c r="C375" s="10" t="inlineStr">
        <is>
          <t>Gestión de Negocios</t>
        </is>
      </c>
      <c r="D375" s="10" t="inlineStr">
        <is>
          <t>GNE</t>
        </is>
      </c>
      <c r="E375" s="10" t="inlineStr">
        <is>
          <t>Gestión de Fondeo Externo</t>
        </is>
      </c>
      <c r="F375" s="10" t="inlineStr">
        <is>
          <t>-</t>
        </is>
      </c>
      <c r="G375" s="10" t="inlineStr">
        <is>
          <t>Levantamiento de endosos de pagarés dados en garantía</t>
        </is>
      </c>
      <c r="H375" s="10" t="inlineStr">
        <is>
          <t xml:space="preserve">Pagaré original </t>
        </is>
      </c>
      <c r="I375" s="10" t="inlineStr">
        <is>
          <t xml:space="preserve">Pagaré original </t>
        </is>
      </c>
      <c r="J375" s="10" t="inlineStr">
        <is>
          <t xml:space="preserve">Gerente Financiero </t>
        </is>
      </c>
      <c r="K375" s="10" t="inlineStr">
        <is>
          <t xml:space="preserve">Gerente Financiero </t>
        </is>
      </c>
      <c r="L375" s="10" t="inlineStr">
        <is>
          <t>UBICACIÓN DIGITAL-EQUIPO DEL CUSTODIO</t>
        </is>
      </c>
      <c r="M375" s="10" t="inlineStr">
        <is>
          <t>DISCOS DUROS, SERVIDORES, DISCOS O MEDIOS PORTÁTILES, CINTAS O MEDIOS DE VIDEO Y AUDIO, ETC.</t>
        </is>
      </c>
      <c r="N375" s="10" t="inlineStr">
        <is>
          <t>PRIMARIOS</t>
        </is>
      </c>
      <c r="O375" s="10" t="inlineStr">
        <is>
          <t>COMUNICACIÓN INTERNA</t>
        </is>
      </c>
      <c r="P375" s="10" t="inlineStr">
        <is>
          <t>USO INTERNO(2)</t>
        </is>
      </c>
      <c r="Q375" s="10" t="inlineStr">
        <is>
          <t>MEDIA(2)</t>
        </is>
      </c>
      <c r="R375" s="10" t="inlineStr">
        <is>
          <t>BAJA(1)</t>
        </is>
      </c>
      <c r="S375" s="10">
        <f>+(IF(P375="PUBLICA(1)",1,IF(P375="USO INTERNO(2)",2,IF(P375="RESTRINGIDO(3)",3,3))))+(IF(Q375="BAJA(1)",1,IF(Q375="MEDIA(2)",2,IF(Q375="ALTA(3)",3,3))))+(IF(R375="BAJA(1)",1,IF(R375="MEDIA(2)",2,IF(R375="ALTA(3)",3,3))))</f>
        <v/>
      </c>
      <c r="T375" s="10">
        <f>+IF(S375&lt;6,"BAJA",IF(S375&lt;8,"MEDIA","ALTA"))</f>
        <v/>
      </c>
      <c r="U375" s="10" t="inlineStr">
        <is>
          <t>-</t>
        </is>
      </c>
      <c r="V375" s="24" t="n">
        <v>45580</v>
      </c>
      <c r="W375" s="19" t="inlineStr">
        <is>
          <t>N/A</t>
        </is>
      </c>
      <c r="X375" s="10">
        <f>+IFERROR(IF(VLOOKUP(Tabla2[[#This Row],[ID]],'EVALUACION DE RIESGO'!A:A,1,FALSE)=Tabla2[[#This Row],[ID]],"SI","NO"),"NO")</f>
        <v/>
      </c>
      <c r="AD375">
        <f>IF(AND(Y375="",AA375=""),"",IF(OR(LEFT(AA375,2)="L0",LEFT(AA375,2)="L1",Y375="No Iniciado"),"CRÍTICO - Incumplimiento Normativo SEPS",IF(AND(OR(LEFT(AA375,2)="L4",LEFT(AA375,2)="L5"),AND(AC375&lt;&gt;"",AC375&lt;&gt;"N/A")),"CONFORME - Control Efectivo ISO 27001","OBSERVACIÓN - Revisar Controles")))</f>
        <v/>
      </c>
    </row>
    <row r="376">
      <c r="A376" s="99" t="inlineStr">
        <is>
          <t>78-GNE</t>
        </is>
      </c>
      <c r="B376" s="10" t="inlineStr">
        <is>
          <t>PRODUCTIVO</t>
        </is>
      </c>
      <c r="C376" s="10" t="inlineStr">
        <is>
          <t>Gestión de Negocios</t>
        </is>
      </c>
      <c r="D376" s="10" t="inlineStr">
        <is>
          <t>GNE</t>
        </is>
      </c>
      <c r="E376" s="10" t="inlineStr">
        <is>
          <t>Gestión de Fondeo Externo</t>
        </is>
      </c>
      <c r="F376" s="10" t="inlineStr">
        <is>
          <t>-</t>
        </is>
      </c>
      <c r="G376" s="10" t="inlineStr">
        <is>
          <t>Devolución de pagarés  cancelados</t>
        </is>
      </c>
      <c r="H376" s="10" t="inlineStr">
        <is>
          <t>Pagarés</t>
        </is>
      </c>
      <c r="I376" s="10" t="inlineStr">
        <is>
          <t>Pagarés</t>
        </is>
      </c>
      <c r="J376" s="10" t="inlineStr">
        <is>
          <t xml:space="preserve">Gerente Financiero </t>
        </is>
      </c>
      <c r="K376" s="10" t="inlineStr">
        <is>
          <t xml:space="preserve">Gerente Financiero </t>
        </is>
      </c>
      <c r="L376" s="10" t="inlineStr">
        <is>
          <t>UBICACIÓN DIGITAL-EQUIPO DEL CUSTODIO</t>
        </is>
      </c>
      <c r="M376" s="10" t="inlineStr">
        <is>
          <t>DISCOS DUROS, SERVIDORES, DISCOS O MEDIOS PORTÁTILES, CINTAS O MEDIOS DE VIDEO Y AUDIO, ETC.</t>
        </is>
      </c>
      <c r="N376" s="10" t="inlineStr">
        <is>
          <t>PRIMARIOS</t>
        </is>
      </c>
      <c r="O376" s="10" t="inlineStr">
        <is>
          <t>DOCUMENTOS TÉCNICOS</t>
        </is>
      </c>
      <c r="P376" s="10" t="inlineStr">
        <is>
          <t>USO INTERNO(2)</t>
        </is>
      </c>
      <c r="Q376" s="10" t="inlineStr">
        <is>
          <t>MEDIA(2)</t>
        </is>
      </c>
      <c r="R376" s="10" t="inlineStr">
        <is>
          <t>MEDIA(2)</t>
        </is>
      </c>
      <c r="S376" s="10">
        <f>+(IF(P376="PUBLICA(1)",1,IF(P376="USO INTERNO(2)",2,IF(P376="RESTRINGIDO(3)",3,3))))+(IF(Q376="BAJA(1)",1,IF(Q376="MEDIA(2)",2,IF(Q376="ALTA(3)",3,3))))+(IF(R376="BAJA(1)",1,IF(R376="MEDIA(2)",2,IF(R376="ALTA(3)",3,3))))</f>
        <v/>
      </c>
      <c r="T376" s="10">
        <f>+IF(S376&lt;6,"BAJA",IF(S376&lt;8,"MEDIA","ALTA"))</f>
        <v/>
      </c>
      <c r="U376" s="10" t="inlineStr">
        <is>
          <t>-</t>
        </is>
      </c>
      <c r="V376" s="24" t="n">
        <v>45580</v>
      </c>
      <c r="W376" s="19" t="inlineStr">
        <is>
          <t>N/A</t>
        </is>
      </c>
      <c r="X376" s="10">
        <f>+IFERROR(IF(VLOOKUP(Tabla2[[#This Row],[ID]],'EVALUACION DE RIESGO'!A:A,1,FALSE)=Tabla2[[#This Row],[ID]],"SI","NO"),"NO")</f>
        <v/>
      </c>
      <c r="AD376">
        <f>IF(AND(Y376="",AA376=""),"",IF(OR(LEFT(AA376,2)="L0",LEFT(AA376,2)="L1",Y376="No Iniciado"),"CRÍTICO - Incumplimiento Normativo SEPS",IF(AND(OR(LEFT(AA376,2)="L4",LEFT(AA376,2)="L5"),AND(AC376&lt;&gt;"",AC376&lt;&gt;"N/A")),"CONFORME - Control Efectivo ISO 27001","OBSERVACIÓN - Revisar Controles")))</f>
        <v/>
      </c>
    </row>
    <row r="377">
      <c r="A377" s="99" t="inlineStr">
        <is>
          <t>79-GNE</t>
        </is>
      </c>
      <c r="B377" s="10" t="inlineStr">
        <is>
          <t>PRODUCTIVO</t>
        </is>
      </c>
      <c r="C377" s="10" t="inlineStr">
        <is>
          <t>Gestión de Negocios</t>
        </is>
      </c>
      <c r="D377" s="10" t="inlineStr">
        <is>
          <t>GNE</t>
        </is>
      </c>
      <c r="E377" s="10" t="inlineStr">
        <is>
          <t>Gestión de Fondeo Externo</t>
        </is>
      </c>
      <c r="F377" s="10" t="inlineStr">
        <is>
          <t>-</t>
        </is>
      </c>
      <c r="G377" s="10" t="inlineStr">
        <is>
          <t>Devolución de pagarés  cancelados</t>
        </is>
      </c>
      <c r="H377" s="10" t="inlineStr">
        <is>
          <t>Registro de operación cancelada</t>
        </is>
      </c>
      <c r="I377" s="10" t="inlineStr">
        <is>
          <t>Registro interno de las operaciones canceladas</t>
        </is>
      </c>
      <c r="J377" s="10" t="inlineStr">
        <is>
          <t xml:space="preserve">Gerente Financiero </t>
        </is>
      </c>
      <c r="K377" s="10" t="inlineStr">
        <is>
          <t xml:space="preserve">Gerente Financiero </t>
        </is>
      </c>
      <c r="L377" s="10" t="inlineStr">
        <is>
          <t>UBICACIÓN DIGITAL-EQUIPO DEL CUSTODIO</t>
        </is>
      </c>
      <c r="M377" s="10" t="inlineStr">
        <is>
          <t>DISCOS DUROS, SERVIDORES, DISCOS O MEDIOS PORTÁTILES, CINTAS O MEDIOS DE VIDEO Y AUDIO, ETC.</t>
        </is>
      </c>
      <c r="N377" s="10" t="inlineStr">
        <is>
          <t>PRIMARIOS</t>
        </is>
      </c>
      <c r="O377" s="10" t="inlineStr">
        <is>
          <t>DOCUMENTOS TÉCNICOS</t>
        </is>
      </c>
      <c r="P377" s="10" t="inlineStr">
        <is>
          <t>RESTRINGIDO(3)</t>
        </is>
      </c>
      <c r="Q377" s="10" t="inlineStr">
        <is>
          <t>MEDIA(2)</t>
        </is>
      </c>
      <c r="R377" s="10" t="inlineStr">
        <is>
          <t>MEDIA(2)</t>
        </is>
      </c>
      <c r="S377" s="10">
        <f>+(IF(P377="PUBLICA(1)",1,IF(P377="USO INTERNO(2)",2,IF(P377="RESTRINGIDO(3)",3,3))))+(IF(Q377="BAJA(1)",1,IF(Q377="MEDIA(2)",2,IF(Q377="ALTA(3)",3,3))))+(IF(R377="BAJA(1)",1,IF(R377="MEDIA(2)",2,IF(R377="ALTA(3)",3,3))))</f>
        <v/>
      </c>
      <c r="T377" s="10">
        <f>+IF(S377&lt;6,"BAJA",IF(S377&lt;8,"MEDIA","ALTA"))</f>
        <v/>
      </c>
      <c r="U377" s="10" t="inlineStr">
        <is>
          <t>-</t>
        </is>
      </c>
      <c r="V377" s="24" t="n">
        <v>45580</v>
      </c>
      <c r="W377" s="19" t="inlineStr">
        <is>
          <t>N/A</t>
        </is>
      </c>
      <c r="X377" s="10">
        <f>+IFERROR(IF(VLOOKUP(Tabla2[[#This Row],[ID]],'EVALUACION DE RIESGO'!A:A,1,FALSE)=Tabla2[[#This Row],[ID]],"SI","NO"),"NO")</f>
        <v/>
      </c>
      <c r="AD377">
        <f>IF(AND(Y377="",AA377=""),"",IF(OR(LEFT(AA377,2)="L0",LEFT(AA377,2)="L1",Y377="No Iniciado"),"CRÍTICO - Incumplimiento Normativo SEPS",IF(AND(OR(LEFT(AA377,2)="L4",LEFT(AA377,2)="L5"),AND(AC377&lt;&gt;"",AC377&lt;&gt;"N/A")),"CONFORME - Control Efectivo ISO 27001","OBSERVACIÓN - Revisar Controles")))</f>
        <v/>
      </c>
    </row>
    <row r="378">
      <c r="A378" s="99" t="inlineStr">
        <is>
          <t>80-GNE</t>
        </is>
      </c>
      <c r="B378" s="10" t="inlineStr">
        <is>
          <t>APOYO</t>
        </is>
      </c>
      <c r="C378" s="10" t="inlineStr">
        <is>
          <t>Gestión de Negocios</t>
        </is>
      </c>
      <c r="D378" s="10" t="inlineStr">
        <is>
          <t>GNE</t>
        </is>
      </c>
      <c r="E378" s="10" t="inlineStr">
        <is>
          <t>N/A</t>
        </is>
      </c>
      <c r="F378" s="10" t="inlineStr">
        <is>
          <t>-</t>
        </is>
      </c>
      <c r="G378" s="10" t="inlineStr">
        <is>
          <t>N/A</t>
        </is>
      </c>
      <c r="H378" s="10" t="inlineStr">
        <is>
          <t xml:space="preserve">Equipos de computación </t>
        </is>
      </c>
      <c r="I378" s="10" t="inlineStr">
        <is>
          <t>Equipos de computación donde se realiza la gestión del área</t>
        </is>
      </c>
      <c r="J378" s="10" t="inlineStr">
        <is>
          <t>Gerente de Negocios</t>
        </is>
      </c>
      <c r="K378" s="10" t="inlineStr">
        <is>
          <t>Gerente de Negocios</t>
        </is>
      </c>
      <c r="L378" s="10" t="inlineStr">
        <is>
          <t>UBICACIÓN FISICA-MATRIZ ATUNTAQUI</t>
        </is>
      </c>
      <c r="M378" s="10" t="inlineStr">
        <is>
          <t>DISCOS DUROS, SERVIDORES, DISCOS O MEDIOS PORTÁTILES, CINTAS O MEDIOS DE VIDEO Y AUDIO, ETC.</t>
        </is>
      </c>
      <c r="N378" s="10" t="inlineStr">
        <is>
          <t>APOYO</t>
        </is>
      </c>
      <c r="O378" s="10" t="inlineStr">
        <is>
          <t>HARDWARE</t>
        </is>
      </c>
      <c r="P378" s="10" t="inlineStr">
        <is>
          <t>RESTRINGIDO(3)</t>
        </is>
      </c>
      <c r="Q378" s="10" t="inlineStr">
        <is>
          <t>MEDIA(2)</t>
        </is>
      </c>
      <c r="R378" s="10" t="inlineStr">
        <is>
          <t>MEDIA(2)</t>
        </is>
      </c>
      <c r="S378" s="10">
        <f>+(IF(P378="PUBLICA(1)",1,IF(P378="USO INTERNO(2)",2,IF(P378="RESTRINGIDO(3)",3,3))))+(IF(Q378="BAJA(1)",1,IF(Q378="MEDIA(2)",2,IF(Q378="ALTA(3)",3,3))))+(IF(R378="BAJA(1)",1,IF(R378="MEDIA(2)",2,IF(R378="ALTA(3)",3,3))))</f>
        <v/>
      </c>
      <c r="T378" s="10">
        <f>+IF(S378&lt;6,"BAJA",IF(S378&lt;8,"MEDIA","ALTA"))</f>
        <v/>
      </c>
      <c r="U378" s="10" t="inlineStr">
        <is>
          <t>-</t>
        </is>
      </c>
      <c r="V378" s="24" t="n">
        <v>45712</v>
      </c>
      <c r="W378" s="19" t="inlineStr">
        <is>
          <t>N/A</t>
        </is>
      </c>
      <c r="X378" s="10">
        <f>+IFERROR(IF(VLOOKUP(Tabla2[[#This Row],[ID]],'EVALUACION DE RIESGO'!A:A,1,FALSE)=Tabla2[[#This Row],[ID]],"SI","NO"),"NO")</f>
        <v/>
      </c>
      <c r="AD378">
        <f>IF(AND(Y378="",AA378=""),"",IF(OR(LEFT(AA378,2)="L0",LEFT(AA378,2)="L1",Y378="No Iniciado"),"CRÍTICO - Incumplimiento Normativo SEPS",IF(AND(OR(LEFT(AA378,2)="L4",LEFT(AA378,2)="L5"),AND(AC378&lt;&gt;"",AC378&lt;&gt;"N/A")),"CONFORME - Control Efectivo ISO 27001","OBSERVACIÓN - Revisar Controles")))</f>
        <v/>
      </c>
    </row>
    <row r="379">
      <c r="A379" s="99" t="inlineStr">
        <is>
          <t>81-GNE</t>
        </is>
      </c>
      <c r="B379" s="10" t="inlineStr">
        <is>
          <t>APOYO</t>
        </is>
      </c>
      <c r="C379" s="10" t="inlineStr">
        <is>
          <t>Gestión de Negocios</t>
        </is>
      </c>
      <c r="D379" s="10" t="inlineStr">
        <is>
          <t>GNE</t>
        </is>
      </c>
      <c r="E379" s="10" t="inlineStr">
        <is>
          <t>N/A</t>
        </is>
      </c>
      <c r="F379" s="10" t="inlineStr">
        <is>
          <t>-</t>
        </is>
      </c>
      <c r="G379" s="10" t="inlineStr">
        <is>
          <t>N/A</t>
        </is>
      </c>
      <c r="H379" s="10" t="inlineStr">
        <is>
          <t>Jegente de Negocios</t>
        </is>
      </c>
      <c r="I379" s="10" t="inlineStr">
        <is>
          <t>N/A</t>
        </is>
      </c>
      <c r="J379" s="10" t="inlineStr">
        <is>
          <t>Gerente de Negocios</t>
        </is>
      </c>
      <c r="K379" s="10" t="inlineStr">
        <is>
          <t>N/A</t>
        </is>
      </c>
      <c r="L379" s="10" t="inlineStr">
        <is>
          <t>N/A</t>
        </is>
      </c>
      <c r="M379" s="10" t="inlineStr">
        <is>
          <t>N/A</t>
        </is>
      </c>
      <c r="N379" s="10" t="inlineStr">
        <is>
          <t>APOYO</t>
        </is>
      </c>
      <c r="O379" s="10" t="inlineStr">
        <is>
          <t>RECURSO HUMANO</t>
        </is>
      </c>
      <c r="P379" s="10" t="inlineStr">
        <is>
          <t>USO INTERNO(2)</t>
        </is>
      </c>
      <c r="Q379" s="10" t="inlineStr">
        <is>
          <t>MEDIA(2)</t>
        </is>
      </c>
      <c r="R379" s="10" t="inlineStr">
        <is>
          <t>MEDIA(2)</t>
        </is>
      </c>
      <c r="S379" s="10">
        <f>+(IF(P379="PUBLICA(1)",1,IF(P379="USO INTERNO(2)",2,IF(P379="RESTRINGIDO(3)",3,3))))+(IF(Q379="BAJA(1)",1,IF(Q379="MEDIA(2)",2,IF(Q379="ALTA(3)",3,3))))+(IF(R379="BAJA(1)",1,IF(R379="MEDIA(2)",2,IF(R379="ALTA(3)",3,3))))</f>
        <v/>
      </c>
      <c r="T379" s="10">
        <f>+IF(S379&lt;6,"BAJA",IF(S379&lt;8,"MEDIA","ALTA"))</f>
        <v/>
      </c>
      <c r="U379" s="10" t="inlineStr">
        <is>
          <t>-</t>
        </is>
      </c>
      <c r="V379" s="24" t="n">
        <v>45712</v>
      </c>
      <c r="W379" s="19" t="inlineStr">
        <is>
          <t>N/A</t>
        </is>
      </c>
      <c r="X379" s="10">
        <f>+IFERROR(IF(VLOOKUP(Tabla2[[#This Row],[ID]],'EVALUACION DE RIESGO'!A:A,1,FALSE)=Tabla2[[#This Row],[ID]],"SI","NO"),"NO")</f>
        <v/>
      </c>
      <c r="AD379">
        <f>IF(AND(Y379="",AA379=""),"",IF(OR(LEFT(AA379,2)="L0",LEFT(AA379,2)="L1",Y379="No Iniciado"),"CRÍTICO - Incumplimiento Normativo SEPS",IF(AND(OR(LEFT(AA379,2)="L4",LEFT(AA379,2)="L5"),AND(AC379&lt;&gt;"",AC379&lt;&gt;"N/A")),"CONFORME - Control Efectivo ISO 27001","OBSERVACIÓN - Revisar Controles")))</f>
        <v/>
      </c>
    </row>
    <row r="380">
      <c r="A380" s="99" t="inlineStr">
        <is>
          <t>1-GOP</t>
        </is>
      </c>
      <c r="B380" s="10" t="inlineStr">
        <is>
          <t>APOYO</t>
        </is>
      </c>
      <c r="C380" s="10" t="inlineStr">
        <is>
          <t xml:space="preserve">Gestión de Operaciones </t>
        </is>
      </c>
      <c r="D380" s="10" t="inlineStr">
        <is>
          <t>GOP</t>
        </is>
      </c>
      <c r="E380" s="10" t="inlineStr">
        <is>
          <t>Soporte Operativo</t>
        </is>
      </c>
      <c r="F380" s="10" t="inlineStr">
        <is>
          <t>-</t>
        </is>
      </c>
      <c r="G380" s="10" t="inlineStr">
        <is>
          <t>Parametrización de módulos</t>
        </is>
      </c>
      <c r="H380" s="10" t="inlineStr">
        <is>
          <t>Resoluciones ALCO</t>
        </is>
      </c>
      <c r="I380" s="10" t="inlineStr">
        <is>
          <t>Acta de resolución recibida por área respectiva como formalidad para actualizar los parámetros</t>
        </is>
      </c>
      <c r="J380" s="10" t="inlineStr">
        <is>
          <t>Jefe de Soporte y Cuadres</t>
        </is>
      </c>
      <c r="K380" s="10" t="inlineStr">
        <is>
          <t>JEFE DE INFRAESTRUCTURA OPERACIONAL</t>
        </is>
      </c>
      <c r="L380" s="10" t="inlineStr">
        <is>
          <t>UBICACIÓN DIGITAL-EQUIPO DEL CUSTODIO</t>
        </is>
      </c>
      <c r="M380" s="10" t="inlineStr">
        <is>
          <t>DISCOS DUROS, SERVIDORES, DISCOS O MEDIOS PORTÁTILES, CINTAS O MEDIOS DE VIDEO Y AUDIO, ETC.</t>
        </is>
      </c>
      <c r="N380" s="10" t="inlineStr">
        <is>
          <t>PRIMARIOS</t>
        </is>
      </c>
      <c r="O380" s="10" t="inlineStr">
        <is>
          <t>DOCUMENTOS HABILITANTES</t>
        </is>
      </c>
      <c r="P380" s="10" t="inlineStr">
        <is>
          <t>USO INTERNO(2)</t>
        </is>
      </c>
      <c r="Q380" s="10" t="inlineStr">
        <is>
          <t>BAJA(1)</t>
        </is>
      </c>
      <c r="R380" s="10" t="inlineStr">
        <is>
          <t>MEDIA(2)</t>
        </is>
      </c>
      <c r="S380" s="10">
        <f>+(IF(P380="PUBLICA(1)",1,IF(P380="USO INTERNO(2)",2,IF(P380="RESTRINGIDO(3)",3,3))))+(IF(Q380="BAJA(1)",1,IF(Q380="MEDIA(2)",2,IF(Q380="ALTA(3)",3,3))))+(IF(R380="BAJA(1)",1,IF(R380="MEDIA(2)",2,IF(R380="ALTA(3)",3,3))))</f>
        <v/>
      </c>
      <c r="T380" s="10">
        <f>+IF(S380&lt;6,"BAJA",IF(S380&lt;8,"MEDIA","ALTA"))</f>
        <v/>
      </c>
      <c r="U380" s="10" t="inlineStr">
        <is>
          <t>-</t>
        </is>
      </c>
      <c r="V380" s="24" t="n">
        <v>45674</v>
      </c>
      <c r="W380" s="19" t="inlineStr">
        <is>
          <t>N/A</t>
        </is>
      </c>
      <c r="X380" s="10">
        <f>+IFERROR(IF(VLOOKUP(Tabla2[[#This Row],[ID]],'EVALUACION DE RIESGO'!A:A,1,FALSE)=Tabla2[[#This Row],[ID]],"SI","NO"),"NO")</f>
        <v/>
      </c>
      <c r="AD380">
        <f>IF(AND(Y380="",AA380=""),"",IF(OR(LEFT(AA380,2)="L0",LEFT(AA380,2)="L1",Y380="No Iniciado"),"CRÍTICO - Incumplimiento Normativo SEPS",IF(AND(OR(LEFT(AA380,2)="L4",LEFT(AA380,2)="L5"),AND(AC380&lt;&gt;"",AC380&lt;&gt;"N/A")),"CONFORME - Control Efectivo ISO 27001","OBSERVACIÓN - Revisar Controles")))</f>
        <v/>
      </c>
    </row>
    <row r="381">
      <c r="A381" s="99" t="inlineStr">
        <is>
          <t>2-GOP</t>
        </is>
      </c>
      <c r="B381" s="10" t="inlineStr">
        <is>
          <t>APOYO</t>
        </is>
      </c>
      <c r="C381" s="10" t="inlineStr">
        <is>
          <t xml:space="preserve">Gestión de Operaciones </t>
        </is>
      </c>
      <c r="D381" s="10" t="inlineStr">
        <is>
          <t>GOP</t>
        </is>
      </c>
      <c r="E381" s="10" t="inlineStr">
        <is>
          <t>Soporte Operativo</t>
        </is>
      </c>
      <c r="F381" s="10" t="inlineStr">
        <is>
          <t>-</t>
        </is>
      </c>
      <c r="G381" s="10" t="inlineStr">
        <is>
          <t>Parametrización de módulos</t>
        </is>
      </c>
      <c r="H381" s="10" t="inlineStr">
        <is>
          <t>Formulario de requerimiento en el sistema</t>
        </is>
      </c>
      <c r="I381" s="10" t="inlineStr">
        <is>
          <t>Requerimiento de actualización dependiendo de los casos se adjunta la solicitud y autorización por medio de service desk</t>
        </is>
      </c>
      <c r="J381" s="10" t="inlineStr">
        <is>
          <t>Jefe de Soporte y Cuadres</t>
        </is>
      </c>
      <c r="K381" s="10" t="inlineStr">
        <is>
          <t>JEFE DE INFRAESTRUCTURA OPERACIONAL</t>
        </is>
      </c>
      <c r="L381" s="10" t="inlineStr">
        <is>
          <t>UBICACIÓN DIGITAL-EQUIPO DEL CUSTODIO</t>
        </is>
      </c>
      <c r="M381" s="10" t="inlineStr">
        <is>
          <t>DISCOS DUROS, SERVIDORES, DISCOS O MEDIOS PORTÁTILES, CINTAS O MEDIOS DE VIDEO Y AUDIO, ETC.</t>
        </is>
      </c>
      <c r="N381" s="10" t="inlineStr">
        <is>
          <t>PRIMARIOS</t>
        </is>
      </c>
      <c r="O381" s="10" t="inlineStr">
        <is>
          <t>DOCUMENTOS TÉCNICOS</t>
        </is>
      </c>
      <c r="P381" s="10" t="inlineStr">
        <is>
          <t>USO INTERNO(2)</t>
        </is>
      </c>
      <c r="Q381" s="10" t="inlineStr">
        <is>
          <t>BAJA(1)</t>
        </is>
      </c>
      <c r="R381" s="10" t="inlineStr">
        <is>
          <t>BAJA(1)</t>
        </is>
      </c>
      <c r="S381" s="10">
        <f>+(IF(P381="PUBLICA(1)",1,IF(P381="USO INTERNO(2)",2,IF(P381="RESTRINGIDO(3)",3,3))))+(IF(Q381="BAJA(1)",1,IF(Q381="MEDIA(2)",2,IF(Q381="ALTA(3)",3,3))))+(IF(R381="BAJA(1)",1,IF(R381="MEDIA(2)",2,IF(R381="ALTA(3)",3,3))))</f>
        <v/>
      </c>
      <c r="T381" s="10">
        <f>+IF(S381&lt;6,"BAJA",IF(S381&lt;8,"MEDIA","ALTA"))</f>
        <v/>
      </c>
      <c r="U381" s="10" t="inlineStr">
        <is>
          <t>-</t>
        </is>
      </c>
      <c r="V381" s="24" t="n">
        <v>45674</v>
      </c>
      <c r="W381" s="19" t="inlineStr">
        <is>
          <t>N/A</t>
        </is>
      </c>
      <c r="X381" s="10">
        <f>+IFERROR(IF(VLOOKUP(Tabla2[[#This Row],[ID]],'EVALUACION DE RIESGO'!A:A,1,FALSE)=Tabla2[[#This Row],[ID]],"SI","NO"),"NO")</f>
        <v/>
      </c>
      <c r="AD381">
        <f>IF(AND(Y381="",AA381=""),"",IF(OR(LEFT(AA381,2)="L0",LEFT(AA381,2)="L1",Y381="No Iniciado"),"CRÍTICO - Incumplimiento Normativo SEPS",IF(AND(OR(LEFT(AA381,2)="L4",LEFT(AA381,2)="L5"),AND(AC381&lt;&gt;"",AC381&lt;&gt;"N/A")),"CONFORME - Control Efectivo ISO 27001","OBSERVACIÓN - Revisar Controles")))</f>
        <v/>
      </c>
    </row>
    <row r="382">
      <c r="A382" s="99" t="inlineStr">
        <is>
          <t>3-GOP</t>
        </is>
      </c>
      <c r="B382" s="10" t="inlineStr">
        <is>
          <t>APOYO</t>
        </is>
      </c>
      <c r="C382" s="10" t="inlineStr">
        <is>
          <t xml:space="preserve">Gestión de Operaciones </t>
        </is>
      </c>
      <c r="D382" s="10" t="inlineStr">
        <is>
          <t>GOP</t>
        </is>
      </c>
      <c r="E382" s="10" t="inlineStr">
        <is>
          <t>Soporte Operativo</t>
        </is>
      </c>
      <c r="F382" s="10" t="inlineStr">
        <is>
          <t>-</t>
        </is>
      </c>
      <c r="G382" s="10" t="inlineStr">
        <is>
          <t>Ejecución del Cash Management del Banco Pichincha</t>
        </is>
      </c>
      <c r="H382" s="10" t="inlineStr">
        <is>
          <t>Reporte de socios registrados en el Cash Management</t>
        </is>
      </c>
      <c r="I382" s="10" t="inlineStr">
        <is>
          <t>Reportes mensuales almacenados en el servidor 100.1 de socios registrados en el Cash Management de Banco Pichincha, nombre, numero de cuenta, monto, cedula y nombre</t>
        </is>
      </c>
      <c r="J382" s="10" t="inlineStr">
        <is>
          <t>Jefe de Soporte y Cuadres</t>
        </is>
      </c>
      <c r="K382" s="10" t="inlineStr">
        <is>
          <t>SERVIDOR FTP 100.1</t>
        </is>
      </c>
      <c r="L382" s="10" t="inlineStr">
        <is>
          <t>UBICACIÓN DIGITAL-CORE FINANCIERO</t>
        </is>
      </c>
      <c r="M382" s="10" t="inlineStr">
        <is>
          <t>SISTEMAS DE INFORMACIÓN CORPORATIVOS</t>
        </is>
      </c>
      <c r="N382" s="10" t="inlineStr">
        <is>
          <t>PRIMARIOS</t>
        </is>
      </c>
      <c r="O382" s="10" t="inlineStr">
        <is>
          <t>DOCUMENTOS TÉCNICOS</t>
        </is>
      </c>
      <c r="P382" s="10" t="inlineStr">
        <is>
          <t>USO INTERNO(2)</t>
        </is>
      </c>
      <c r="Q382" s="10" t="inlineStr">
        <is>
          <t>MEDIA(2)</t>
        </is>
      </c>
      <c r="R382" s="10" t="inlineStr">
        <is>
          <t>MEDIA(2)</t>
        </is>
      </c>
      <c r="S382" s="10">
        <f>+(IF(P382="PUBLICA(1)",1,IF(P382="USO INTERNO(2)",2,IF(P382="RESTRINGIDO(3)",3,3))))+(IF(Q382="BAJA(1)",1,IF(Q382="MEDIA(2)",2,IF(Q382="ALTA(3)",3,3))))+(IF(R382="BAJA(1)",1,IF(R382="MEDIA(2)",2,IF(R382="ALTA(3)",3,3))))</f>
        <v/>
      </c>
      <c r="T382" s="10">
        <f>+IF(S382&lt;6,"BAJA",IF(S382&lt;8,"MEDIA","ALTA"))</f>
        <v/>
      </c>
      <c r="U382" s="10" t="inlineStr">
        <is>
          <t>-</t>
        </is>
      </c>
      <c r="V382" s="24" t="n">
        <v>45674</v>
      </c>
      <c r="W382" s="19" t="inlineStr">
        <is>
          <t>N/A</t>
        </is>
      </c>
      <c r="X382" s="10">
        <f>+IFERROR(IF(VLOOKUP(Tabla2[[#This Row],[ID]],'EVALUACION DE RIESGO'!A:A,1,FALSE)=Tabla2[[#This Row],[ID]],"SI","NO"),"NO")</f>
        <v/>
      </c>
      <c r="AD382">
        <f>IF(AND(Y382="",AA382=""),"",IF(OR(LEFT(AA382,2)="L0",LEFT(AA382,2)="L1",Y382="No Iniciado"),"CRÍTICO - Incumplimiento Normativo SEPS",IF(AND(OR(LEFT(AA382,2)="L4",LEFT(AA382,2)="L5"),AND(AC382&lt;&gt;"",AC382&lt;&gt;"N/A")),"CONFORME - Control Efectivo ISO 27001","OBSERVACIÓN - Revisar Controles")))</f>
        <v/>
      </c>
    </row>
    <row r="383">
      <c r="A383" s="99" t="inlineStr">
        <is>
          <t>4-GOP</t>
        </is>
      </c>
      <c r="B383" s="10" t="inlineStr">
        <is>
          <t>APOYO</t>
        </is>
      </c>
      <c r="C383" s="10" t="inlineStr">
        <is>
          <t xml:space="preserve">Gestión de Operaciones </t>
        </is>
      </c>
      <c r="D383" s="10" t="inlineStr">
        <is>
          <t>GOP</t>
        </is>
      </c>
      <c r="E383" s="10" t="inlineStr">
        <is>
          <t>Soporte Operativo</t>
        </is>
      </c>
      <c r="F383" s="10" t="inlineStr">
        <is>
          <t>-</t>
        </is>
      </c>
      <c r="G383" s="10" t="inlineStr">
        <is>
          <t>Ejecución del Cash Management del Banco Pichincha</t>
        </is>
      </c>
      <c r="H383" s="10" t="inlineStr">
        <is>
          <t>Reporte de acreditaciones de Cash Management</t>
        </is>
      </c>
      <c r="I383" s="10" t="inlineStr">
        <is>
          <t>Reporte de transacciones acreditas diarias, con el detalle de la transacciones, cliente fecha</t>
        </is>
      </c>
      <c r="J383" s="10" t="inlineStr">
        <is>
          <t>Jefe de Soporte y Cuadres</t>
        </is>
      </c>
      <c r="K383" s="10" t="inlineStr">
        <is>
          <t>Asistente Operativo</t>
        </is>
      </c>
      <c r="L383" s="10" t="inlineStr">
        <is>
          <t>UBICACIÓN DIGITAL-EQUIPO DEL CUSTODIO</t>
        </is>
      </c>
      <c r="M383" s="10" t="inlineStr">
        <is>
          <t>DOCUMENTO DE ARCHIVO-ELECTRÓNICO</t>
        </is>
      </c>
      <c r="N383" s="10" t="inlineStr">
        <is>
          <t>PRIMARIOS</t>
        </is>
      </c>
      <c r="O383" s="10" t="inlineStr">
        <is>
          <t>DOCUMENTOS TÉCNICOS</t>
        </is>
      </c>
      <c r="P383" s="10" t="inlineStr">
        <is>
          <t>RESTRINGIDO(3)</t>
        </is>
      </c>
      <c r="Q383" s="10" t="inlineStr">
        <is>
          <t>BAJA(1)</t>
        </is>
      </c>
      <c r="R383" s="10" t="inlineStr">
        <is>
          <t>MEDIA(2)</t>
        </is>
      </c>
      <c r="S383" s="10">
        <f>+(IF(P383="PUBLICA(1)",1,IF(P383="USO INTERNO(2)",2,IF(P383="RESTRINGIDO(3)",3,3))))+(IF(Q383="BAJA(1)",1,IF(Q383="MEDIA(2)",2,IF(Q383="ALTA(3)",3,3))))+(IF(R383="BAJA(1)",1,IF(R383="MEDIA(2)",2,IF(R383="ALTA(3)",3,3))))</f>
        <v/>
      </c>
      <c r="T383" s="10">
        <f>+IF(S383&lt;6,"BAJA",IF(S383&lt;8,"MEDIA","ALTA"))</f>
        <v/>
      </c>
      <c r="U383" s="10" t="inlineStr">
        <is>
          <t>-</t>
        </is>
      </c>
      <c r="V383" s="24" t="n">
        <v>45674</v>
      </c>
      <c r="W383" s="19" t="inlineStr">
        <is>
          <t>N/A</t>
        </is>
      </c>
      <c r="X383" s="10">
        <f>+IFERROR(IF(VLOOKUP(Tabla2[[#This Row],[ID]],'EVALUACION DE RIESGO'!A:A,1,FALSE)=Tabla2[[#This Row],[ID]],"SI","NO"),"NO")</f>
        <v/>
      </c>
      <c r="AD383">
        <f>IF(AND(Y383="",AA383=""),"",IF(OR(LEFT(AA383,2)="L0",LEFT(AA383,2)="L1",Y383="No Iniciado"),"CRÍTICO - Incumplimiento Normativo SEPS",IF(AND(OR(LEFT(AA383,2)="L4",LEFT(AA383,2)="L5"),AND(AC383&lt;&gt;"",AC383&lt;&gt;"N/A")),"CONFORME - Control Efectivo ISO 27001","OBSERVACIÓN - Revisar Controles")))</f>
        <v/>
      </c>
    </row>
    <row r="384">
      <c r="A384" s="99" t="inlineStr">
        <is>
          <t>5-GOP</t>
        </is>
      </c>
      <c r="B384" s="10" t="inlineStr">
        <is>
          <t>APOYO</t>
        </is>
      </c>
      <c r="C384" s="10" t="inlineStr">
        <is>
          <t xml:space="preserve">Gestión de Operaciones </t>
        </is>
      </c>
      <c r="D384" s="10" t="inlineStr">
        <is>
          <t>GOP</t>
        </is>
      </c>
      <c r="E384" s="10" t="inlineStr">
        <is>
          <t>Soporte Operativo</t>
        </is>
      </c>
      <c r="F384" s="10" t="inlineStr">
        <is>
          <t>-</t>
        </is>
      </c>
      <c r="G384" s="10" t="inlineStr">
        <is>
          <t>Envío de información a Servipagos</t>
        </is>
      </c>
      <c r="H384" s="10" t="inlineStr">
        <is>
          <t>Estructuras de Servipagos</t>
        </is>
      </c>
      <c r="I384" s="10" t="inlineStr">
        <is>
          <t>FILES de estructuras en txt cargados a buzón por FileZilla de Servipagos, contiene información de cédulas, nombre, numero de cuenta, firmas</t>
        </is>
      </c>
      <c r="J384" s="10" t="inlineStr">
        <is>
          <t>Jefe de Soporte y Cuadres</t>
        </is>
      </c>
      <c r="K384" s="10" t="inlineStr">
        <is>
          <t>Asistente Operativo</t>
        </is>
      </c>
      <c r="L384" s="10" t="inlineStr">
        <is>
          <t>UBICACIÓN DIGITAL-EQUIPO DEL CUSTODIO</t>
        </is>
      </c>
      <c r="M384" s="10" t="inlineStr">
        <is>
          <t>DISCOS DUROS, SERVIDORES, DISCOS O MEDIOS PORTÁTILES, CINTAS O MEDIOS DE VIDEO Y AUDIO, ETC.</t>
        </is>
      </c>
      <c r="N384" s="10" t="inlineStr">
        <is>
          <t>PRIMARIOS</t>
        </is>
      </c>
      <c r="O384" s="10" t="inlineStr">
        <is>
          <t>DOCUMENTOS TÉCNICOS</t>
        </is>
      </c>
      <c r="P384" s="10" t="inlineStr">
        <is>
          <t>RESTRINGIDO(3)</t>
        </is>
      </c>
      <c r="Q384" s="10" t="inlineStr">
        <is>
          <t>MEDIA(2)</t>
        </is>
      </c>
      <c r="R384" s="10" t="inlineStr">
        <is>
          <t>BAJA(1)</t>
        </is>
      </c>
      <c r="S384" s="10">
        <f>+(IF(P384="PUBLICA(1)",1,IF(P384="USO INTERNO(2)",2,IF(P384="RESTRINGIDO(3)",3,3))))+(IF(Q384="BAJA(1)",1,IF(Q384="MEDIA(2)",2,IF(Q384="ALTA(3)",3,3))))+(IF(R384="BAJA(1)",1,IF(R384="MEDIA(2)",2,IF(R384="ALTA(3)",3,3))))</f>
        <v/>
      </c>
      <c r="T384" s="10">
        <f>+IF(S384&lt;6,"BAJA",IF(S384&lt;8,"MEDIA","ALTA"))</f>
        <v/>
      </c>
      <c r="U384" s="10" t="inlineStr">
        <is>
          <t>-</t>
        </is>
      </c>
      <c r="V384" s="24" t="n">
        <v>45674</v>
      </c>
      <c r="W384" s="19" t="inlineStr">
        <is>
          <t>N/A</t>
        </is>
      </c>
      <c r="X384" s="10">
        <f>+IFERROR(IF(VLOOKUP(Tabla2[[#This Row],[ID]],'EVALUACION DE RIESGO'!A:A,1,FALSE)=Tabla2[[#This Row],[ID]],"SI","NO"),"NO")</f>
        <v/>
      </c>
      <c r="AD384">
        <f>IF(AND(Y384="",AA384=""),"",IF(OR(LEFT(AA384,2)="L0",LEFT(AA384,2)="L1",Y384="No Iniciado"),"CRÍTICO - Incumplimiento Normativo SEPS",IF(AND(OR(LEFT(AA384,2)="L4",LEFT(AA384,2)="L5"),AND(AC384&lt;&gt;"",AC384&lt;&gt;"N/A")),"CONFORME - Control Efectivo ISO 27001","OBSERVACIÓN - Revisar Controles")))</f>
        <v/>
      </c>
    </row>
    <row r="385">
      <c r="A385" s="99" t="inlineStr">
        <is>
          <t>6-GOP</t>
        </is>
      </c>
      <c r="B385" s="10" t="inlineStr">
        <is>
          <t>APOYO</t>
        </is>
      </c>
      <c r="C385" s="10" t="inlineStr">
        <is>
          <t xml:space="preserve">Gestión de Operaciones </t>
        </is>
      </c>
      <c r="D385" s="10" t="inlineStr">
        <is>
          <t>GOP</t>
        </is>
      </c>
      <c r="E385" s="10" t="inlineStr">
        <is>
          <t>Soporte Operativo</t>
        </is>
      </c>
      <c r="F385" s="10" t="inlineStr">
        <is>
          <t>-</t>
        </is>
      </c>
      <c r="G385" s="10" t="inlineStr">
        <is>
          <t>Envío de información a Servipagos</t>
        </is>
      </c>
      <c r="H385" s="10" t="inlineStr">
        <is>
          <t>Confirmación de recepción Servipagos</t>
        </is>
      </c>
      <c r="I385" s="10" t="inlineStr">
        <is>
          <t>Correo receptado confirmando las transacciones que contiene el numero de firmas procesadas, numero de clientes cargados</t>
        </is>
      </c>
      <c r="J385" s="10" t="inlineStr">
        <is>
          <t>Jefe de Soporte y Cuadres</t>
        </is>
      </c>
      <c r="K385" s="10" t="inlineStr">
        <is>
          <t>Asistente Operativo</t>
        </is>
      </c>
      <c r="L385" s="10" t="inlineStr">
        <is>
          <t>UBICACIÓN DIGITAL-EQUIPO DEL CUSTODIO</t>
        </is>
      </c>
      <c r="M385" s="10" t="inlineStr">
        <is>
          <t>DISCOS DUROS, SERVIDORES, DISCOS O MEDIOS PORTÁTILES, CINTAS O MEDIOS DE VIDEO Y AUDIO, ETC.</t>
        </is>
      </c>
      <c r="N385" s="10" t="inlineStr">
        <is>
          <t>PRIMARIOS</t>
        </is>
      </c>
      <c r="O385" s="10" t="inlineStr">
        <is>
          <t>DOCUMENTOS TÉCNICOS</t>
        </is>
      </c>
      <c r="P385" s="10" t="inlineStr">
        <is>
          <t>USO INTERNO(2)</t>
        </is>
      </c>
      <c r="Q385" s="10" t="inlineStr">
        <is>
          <t>MEDIA(2)</t>
        </is>
      </c>
      <c r="R385" s="10" t="inlineStr">
        <is>
          <t>BAJA(1)</t>
        </is>
      </c>
      <c r="S385" s="10">
        <f>+(IF(P385="PUBLICA(1)",1,IF(P385="USO INTERNO(2)",2,IF(P385="RESTRINGIDO(3)",3,3))))+(IF(Q385="BAJA(1)",1,IF(Q385="MEDIA(2)",2,IF(Q385="ALTA(3)",3,3))))+(IF(R385="BAJA(1)",1,IF(R385="MEDIA(2)",2,IF(R385="ALTA(3)",3,3))))</f>
        <v/>
      </c>
      <c r="T385" s="10">
        <f>+IF(S385&lt;6,"BAJA",IF(S385&lt;8,"MEDIA","ALTA"))</f>
        <v/>
      </c>
      <c r="U385" s="10" t="inlineStr">
        <is>
          <t>-</t>
        </is>
      </c>
      <c r="V385" s="24" t="n">
        <v>45674</v>
      </c>
      <c r="W385" s="19" t="inlineStr">
        <is>
          <t>N/A</t>
        </is>
      </c>
      <c r="X385" s="10">
        <f>+IFERROR(IF(VLOOKUP(Tabla2[[#This Row],[ID]],'EVALUACION DE RIESGO'!A:A,1,FALSE)=Tabla2[[#This Row],[ID]],"SI","NO"),"NO")</f>
        <v/>
      </c>
      <c r="AD385">
        <f>IF(AND(Y385="",AA385=""),"",IF(OR(LEFT(AA385,2)="L0",LEFT(AA385,2)="L1",Y385="No Iniciado"),"CRÍTICO - Incumplimiento Normativo SEPS",IF(AND(OR(LEFT(AA385,2)="L4",LEFT(AA385,2)="L5"),AND(AC385&lt;&gt;"",AC385&lt;&gt;"N/A")),"CONFORME - Control Efectivo ISO 27001","OBSERVACIÓN - Revisar Controles")))</f>
        <v/>
      </c>
    </row>
    <row r="386">
      <c r="A386" s="99" t="inlineStr">
        <is>
          <t>7-GOP</t>
        </is>
      </c>
      <c r="B386" s="10" t="inlineStr">
        <is>
          <t>APOYO</t>
        </is>
      </c>
      <c r="C386" s="10" t="inlineStr">
        <is>
          <t xml:space="preserve">Gestión de Operaciones </t>
        </is>
      </c>
      <c r="D386" s="10" t="inlineStr">
        <is>
          <t>GOP</t>
        </is>
      </c>
      <c r="E386" s="10" t="inlineStr">
        <is>
          <t>Soporte Operativo</t>
        </is>
      </c>
      <c r="F386" s="10" t="inlineStr">
        <is>
          <t>-</t>
        </is>
      </c>
      <c r="G386" s="10" t="inlineStr">
        <is>
          <t>Transferencias interbancarias y remesas del exterior</t>
        </is>
      </c>
      <c r="H386" s="10" t="inlineStr">
        <is>
          <t>Reporte de órdenes de pagos interbancarios / Archivo de confirmación de transferencias del BCE</t>
        </is>
      </c>
      <c r="I386" s="10" t="inlineStr">
        <is>
          <t>Estructura SP2 - Remesas , cuando personas del Exterior enviar transferencias a través de Caja Caiza a la Institución</t>
        </is>
      </c>
      <c r="J386" s="10" t="inlineStr">
        <is>
          <t>Jefe de Soporte y Cuadres</t>
        </is>
      </c>
      <c r="K386" s="10" t="inlineStr">
        <is>
          <t>Asistente Operativo</t>
        </is>
      </c>
      <c r="L386" s="10" t="inlineStr">
        <is>
          <t>UBICACIÓN DIGITAL-EQUIPO DEL CUSTODIO</t>
        </is>
      </c>
      <c r="M386" s="10" t="inlineStr">
        <is>
          <t>DISCOS DUROS, SERVIDORES, DISCOS O MEDIOS PORTÁTILES, CINTAS O MEDIOS DE VIDEO Y AUDIO, ETC.</t>
        </is>
      </c>
      <c r="N386" s="10" t="inlineStr">
        <is>
          <t>PRIMARIOS</t>
        </is>
      </c>
      <c r="O386" s="10" t="inlineStr">
        <is>
          <t>DOCUMENTOS TÉCNICOS</t>
        </is>
      </c>
      <c r="P386" s="10" t="inlineStr">
        <is>
          <t>RESTRINGIDO(3)</t>
        </is>
      </c>
      <c r="Q386" s="10" t="inlineStr">
        <is>
          <t>BAJA(1)</t>
        </is>
      </c>
      <c r="R386" s="10" t="inlineStr">
        <is>
          <t>MEDIA(2)</t>
        </is>
      </c>
      <c r="S386" s="10">
        <f>+(IF(P386="PUBLICA(1)",1,IF(P386="USO INTERNO(2)",2,IF(P386="RESTRINGIDO(3)",3,3))))+(IF(Q386="BAJA(1)",1,IF(Q386="MEDIA(2)",2,IF(Q386="ALTA(3)",3,3))))+(IF(R386="BAJA(1)",1,IF(R386="MEDIA(2)",2,IF(R386="ALTA(3)",3,3))))</f>
        <v/>
      </c>
      <c r="T386" s="10">
        <f>+IF(S386&lt;6,"BAJA",IF(S386&lt;8,"MEDIA","ALTA"))</f>
        <v/>
      </c>
      <c r="U386" s="10" t="inlineStr">
        <is>
          <t>-</t>
        </is>
      </c>
      <c r="V386" s="24" t="n">
        <v>45674</v>
      </c>
      <c r="W386" s="19" t="inlineStr">
        <is>
          <t>N/A</t>
        </is>
      </c>
      <c r="X386" s="10">
        <f>+IFERROR(IF(VLOOKUP(Tabla2[[#This Row],[ID]],'EVALUACION DE RIESGO'!A:A,1,FALSE)=Tabla2[[#This Row],[ID]],"SI","NO"),"NO")</f>
        <v/>
      </c>
      <c r="AD386">
        <f>IF(AND(Y386="",AA386=""),"",IF(OR(LEFT(AA386,2)="L0",LEFT(AA386,2)="L1",Y386="No Iniciado"),"CRÍTICO - Incumplimiento Normativo SEPS",IF(AND(OR(LEFT(AA386,2)="L4",LEFT(AA386,2)="L5"),AND(AC386&lt;&gt;"",AC386&lt;&gt;"N/A")),"CONFORME - Control Efectivo ISO 27001","OBSERVACIÓN - Revisar Controles")))</f>
        <v/>
      </c>
    </row>
    <row r="387">
      <c r="A387" s="99" t="inlineStr">
        <is>
          <t>8-GOP</t>
        </is>
      </c>
      <c r="B387" s="10" t="inlineStr">
        <is>
          <t>APOYO</t>
        </is>
      </c>
      <c r="C387" s="10" t="inlineStr">
        <is>
          <t xml:space="preserve">Gestión de Operaciones </t>
        </is>
      </c>
      <c r="D387" s="10" t="inlineStr">
        <is>
          <t>GOP</t>
        </is>
      </c>
      <c r="E387" s="10" t="inlineStr">
        <is>
          <t>Soporte Operativo</t>
        </is>
      </c>
      <c r="F387" s="10" t="inlineStr">
        <is>
          <t>-</t>
        </is>
      </c>
      <c r="G387" s="10" t="inlineStr">
        <is>
          <t>Transferencias interbancarias y remesas del exterior</t>
        </is>
      </c>
      <c r="H387" s="10" t="inlineStr">
        <is>
          <t>Reporte de confirmación OPE3, el archivo de detalle de transferencias OPE2</t>
        </is>
      </c>
      <c r="I387" s="10" t="inlineStr">
        <is>
          <t>Estructuras de recepción de transacciones y respuestas  SPI2 y SPI3</t>
        </is>
      </c>
      <c r="J387" s="10" t="inlineStr">
        <is>
          <t>Jefe de Soporte y Cuadres</t>
        </is>
      </c>
      <c r="K387" s="10" t="inlineStr">
        <is>
          <t>Asistente Operativo</t>
        </is>
      </c>
      <c r="L387" s="10" t="inlineStr">
        <is>
          <t>UBICACIÓN DIGITAL-EQUIPO DEL CUSTODIO</t>
        </is>
      </c>
      <c r="M387" s="10" t="inlineStr">
        <is>
          <t>DISCOS DUROS, SERVIDORES, DISCOS O MEDIOS PORTÁTILES, CINTAS O MEDIOS DE VIDEO Y AUDIO, ETC.</t>
        </is>
      </c>
      <c r="N387" s="10" t="inlineStr">
        <is>
          <t>PRIMARIOS</t>
        </is>
      </c>
      <c r="O387" s="10" t="inlineStr">
        <is>
          <t>DOCUMENTOS TÉCNICOS</t>
        </is>
      </c>
      <c r="P387" s="10" t="inlineStr">
        <is>
          <t>RESTRINGIDO(3)</t>
        </is>
      </c>
      <c r="Q387" s="10" t="inlineStr">
        <is>
          <t>MEDIA(2)</t>
        </is>
      </c>
      <c r="R387" s="10" t="inlineStr">
        <is>
          <t>MEDIA(2)</t>
        </is>
      </c>
      <c r="S387" s="10">
        <f>+(IF(P387="PUBLICA(1)",1,IF(P387="USO INTERNO(2)",2,IF(P387="RESTRINGIDO(3)",3,3))))+(IF(Q387="BAJA(1)",1,IF(Q387="MEDIA(2)",2,IF(Q387="ALTA(3)",3,3))))+(IF(R387="BAJA(1)",1,IF(R387="MEDIA(2)",2,IF(R387="ALTA(3)",3,3))))</f>
        <v/>
      </c>
      <c r="T387" s="10">
        <f>+IF(S387&lt;6,"BAJA",IF(S387&lt;8,"MEDIA","ALTA"))</f>
        <v/>
      </c>
      <c r="U387" s="10" t="inlineStr">
        <is>
          <t>-</t>
        </is>
      </c>
      <c r="V387" s="24" t="n">
        <v>45674</v>
      </c>
      <c r="W387" s="19" t="inlineStr">
        <is>
          <t>N/A</t>
        </is>
      </c>
      <c r="X387" s="10">
        <f>+IFERROR(IF(VLOOKUP(Tabla2[[#This Row],[ID]],'EVALUACION DE RIESGO'!A:A,1,FALSE)=Tabla2[[#This Row],[ID]],"SI","NO"),"NO")</f>
        <v/>
      </c>
      <c r="AD387">
        <f>IF(AND(Y387="",AA387=""),"",IF(OR(LEFT(AA387,2)="L0",LEFT(AA387,2)="L1",Y387="No Iniciado"),"CRÍTICO - Incumplimiento Normativo SEPS",IF(AND(OR(LEFT(AA387,2)="L4",LEFT(AA387,2)="L5"),AND(AC387&lt;&gt;"",AC387&lt;&gt;"N/A")),"CONFORME - Control Efectivo ISO 27001","OBSERVACIÓN - Revisar Controles")))</f>
        <v/>
      </c>
    </row>
    <row r="388">
      <c r="A388" s="99" t="inlineStr">
        <is>
          <t>9-GOP</t>
        </is>
      </c>
      <c r="B388" s="10" t="inlineStr">
        <is>
          <t>APOYO</t>
        </is>
      </c>
      <c r="C388" s="10" t="inlineStr">
        <is>
          <t xml:space="preserve">Gestión de Operaciones </t>
        </is>
      </c>
      <c r="D388" s="10" t="inlineStr">
        <is>
          <t>GOP</t>
        </is>
      </c>
      <c r="E388" s="10" t="inlineStr">
        <is>
          <t>Soporte Operativo</t>
        </is>
      </c>
      <c r="F388" s="10" t="inlineStr">
        <is>
          <t>-</t>
        </is>
      </c>
      <c r="G388" s="10" t="inlineStr">
        <is>
          <t>Transferencias interbancarias y remesas del exterior</t>
        </is>
      </c>
      <c r="H388" s="10" t="inlineStr">
        <is>
          <t>Reporte transaccional de transferencias interbancarias</t>
        </is>
      </c>
      <c r="I388" s="10" t="inlineStr">
        <is>
          <t>Reporte generado desde el sistema WebCoop, que contiene el detalle de la transacción, fechas, canales, cuenta origen, destino, montos, detalle del cliente</t>
        </is>
      </c>
      <c r="J388" s="10" t="inlineStr">
        <is>
          <t>Jefe de Soporte y Cuadres</t>
        </is>
      </c>
      <c r="K388" s="10" t="inlineStr">
        <is>
          <t>Sistema WebCoop</t>
        </is>
      </c>
      <c r="L388" s="10" t="inlineStr">
        <is>
          <t>UBICACIÓN DIGITAL-CORE FINANCIERO</t>
        </is>
      </c>
      <c r="M388" s="10" t="inlineStr">
        <is>
          <t>SISTEMAS DE INFORMACIÓN CORPORATIVOS</t>
        </is>
      </c>
      <c r="N388" s="10" t="inlineStr">
        <is>
          <t>PRIMARIOS</t>
        </is>
      </c>
      <c r="O388" s="10" t="inlineStr">
        <is>
          <t>DOCUMENTOS TÉCNICOS</t>
        </is>
      </c>
      <c r="P388" s="10" t="inlineStr">
        <is>
          <t>USO INTERNO(2)</t>
        </is>
      </c>
      <c r="Q388" s="10" t="inlineStr">
        <is>
          <t>BAJA(1)</t>
        </is>
      </c>
      <c r="R388" s="10" t="inlineStr">
        <is>
          <t>MEDIA(2)</t>
        </is>
      </c>
      <c r="S388" s="10">
        <f>+(IF(P388="PUBLICA(1)",1,IF(P388="USO INTERNO(2)",2,IF(P388="RESTRINGIDO(3)",3,3))))+(IF(Q388="BAJA(1)",1,IF(Q388="MEDIA(2)",2,IF(Q388="ALTA(3)",3,3))))+(IF(R388="BAJA(1)",1,IF(R388="MEDIA(2)",2,IF(R388="ALTA(3)",3,3))))</f>
        <v/>
      </c>
      <c r="T388" s="10">
        <f>+IF(S388&lt;6,"BAJA",IF(S388&lt;8,"MEDIA","ALTA"))</f>
        <v/>
      </c>
      <c r="U388" s="10" t="inlineStr">
        <is>
          <t>-</t>
        </is>
      </c>
      <c r="V388" s="24" t="n">
        <v>45674</v>
      </c>
      <c r="W388" s="19" t="inlineStr">
        <is>
          <t>N/A</t>
        </is>
      </c>
      <c r="X388" s="10">
        <f>+IFERROR(IF(VLOOKUP(Tabla2[[#This Row],[ID]],'EVALUACION DE RIESGO'!A:A,1,FALSE)=Tabla2[[#This Row],[ID]],"SI","NO"),"NO")</f>
        <v/>
      </c>
      <c r="AD388">
        <f>IF(AND(Y388="",AA388=""),"",IF(OR(LEFT(AA388,2)="L0",LEFT(AA388,2)="L1",Y388="No Iniciado"),"CRÍTICO - Incumplimiento Normativo SEPS",IF(AND(OR(LEFT(AA388,2)="L4",LEFT(AA388,2)="L5"),AND(AC388&lt;&gt;"",AC388&lt;&gt;"N/A")),"CONFORME - Control Efectivo ISO 27001","OBSERVACIÓN - Revisar Controles")))</f>
        <v/>
      </c>
    </row>
    <row r="389">
      <c r="A389" s="99" t="inlineStr">
        <is>
          <t>10-GOP</t>
        </is>
      </c>
      <c r="B389" s="10" t="inlineStr">
        <is>
          <t>APOYO</t>
        </is>
      </c>
      <c r="C389" s="10" t="inlineStr">
        <is>
          <t xml:space="preserve">Gestión de Operaciones </t>
        </is>
      </c>
      <c r="D389" s="10" t="inlineStr">
        <is>
          <t>GOP</t>
        </is>
      </c>
      <c r="E389" s="10" t="inlineStr">
        <is>
          <t>Soporte Operativo</t>
        </is>
      </c>
      <c r="F389" s="10" t="inlineStr">
        <is>
          <t>-</t>
        </is>
      </c>
      <c r="G389" s="10" t="inlineStr">
        <is>
          <t xml:space="preserve">Cobros interbancarios </t>
        </is>
      </c>
      <c r="H389" s="10" t="inlineStr">
        <is>
          <t>Estructuras del corte diario SCI3</t>
        </is>
      </c>
      <c r="I389" s="10" t="inlineStr">
        <is>
          <t>Reporte generado desde el sistema WebCoop, que contiene el detalle de la transacción, fechas, canales, cuenta origen, destino, montos, detalle del cliente</t>
        </is>
      </c>
      <c r="J389" s="10" t="inlineStr">
        <is>
          <t>Jefe de Soporte y Cuadres</t>
        </is>
      </c>
      <c r="K389" s="10" t="inlineStr">
        <is>
          <t>Sistema WebCoop</t>
        </is>
      </c>
      <c r="L389" s="10" t="inlineStr">
        <is>
          <t>UBICACIÓN DIGITAL-CORE FINANCIERO</t>
        </is>
      </c>
      <c r="M389" s="10" t="inlineStr">
        <is>
          <t>SISTEMAS DE INFORMACIÓN CORPORATIVOS</t>
        </is>
      </c>
      <c r="N389" s="10" t="inlineStr">
        <is>
          <t>PRIMARIOS</t>
        </is>
      </c>
      <c r="O389" s="10" t="inlineStr">
        <is>
          <t>DOCUMENTOS TÉCNICOS</t>
        </is>
      </c>
      <c r="P389" s="10" t="inlineStr">
        <is>
          <t>RESTRINGIDO(3)</t>
        </is>
      </c>
      <c r="Q389" s="10" t="inlineStr">
        <is>
          <t>MEDIA(2)</t>
        </is>
      </c>
      <c r="R389" s="10" t="inlineStr">
        <is>
          <t>MEDIA(2)</t>
        </is>
      </c>
      <c r="S389" s="10">
        <f>+(IF(P389="PUBLICA(1)",1,IF(P389="USO INTERNO(2)",2,IF(P389="RESTRINGIDO(3)",3,3))))+(IF(Q389="BAJA(1)",1,IF(Q389="MEDIA(2)",2,IF(Q389="ALTA(3)",3,3))))+(IF(R389="BAJA(1)",1,IF(R389="MEDIA(2)",2,IF(R389="ALTA(3)",3,3))))</f>
        <v/>
      </c>
      <c r="T389" s="10">
        <f>+IF(S389&lt;6,"BAJA",IF(S389&lt;8,"MEDIA","ALTA"))</f>
        <v/>
      </c>
      <c r="U389" s="10" t="inlineStr">
        <is>
          <t>-</t>
        </is>
      </c>
      <c r="V389" s="24" t="n">
        <v>45674</v>
      </c>
      <c r="W389" s="19" t="inlineStr">
        <is>
          <t>N/A</t>
        </is>
      </c>
      <c r="X389" s="10">
        <f>+IFERROR(IF(VLOOKUP(Tabla2[[#This Row],[ID]],'EVALUACION DE RIESGO'!A:A,1,FALSE)=Tabla2[[#This Row],[ID]],"SI","NO"),"NO")</f>
        <v/>
      </c>
      <c r="AD389">
        <f>IF(AND(Y389="",AA389=""),"",IF(OR(LEFT(AA389,2)="L0",LEFT(AA389,2)="L1",Y389="No Iniciado"),"CRÍTICO - Incumplimiento Normativo SEPS",IF(AND(OR(LEFT(AA389,2)="L4",LEFT(AA389,2)="L5"),AND(AC389&lt;&gt;"",AC389&lt;&gt;"N/A")),"CONFORME - Control Efectivo ISO 27001","OBSERVACIÓN - Revisar Controles")))</f>
        <v/>
      </c>
    </row>
    <row r="390">
      <c r="A390" s="99" t="inlineStr">
        <is>
          <t>11-GOP</t>
        </is>
      </c>
      <c r="B390" s="10" t="inlineStr">
        <is>
          <t>APOYO</t>
        </is>
      </c>
      <c r="C390" s="10" t="inlineStr">
        <is>
          <t xml:space="preserve">Gestión de Operaciones </t>
        </is>
      </c>
      <c r="D390" s="10" t="inlineStr">
        <is>
          <t>GOP</t>
        </is>
      </c>
      <c r="E390" s="10" t="inlineStr">
        <is>
          <t>Soporte Operativo</t>
        </is>
      </c>
      <c r="F390" s="10" t="inlineStr">
        <is>
          <t>-</t>
        </is>
      </c>
      <c r="G390" s="10" t="inlineStr">
        <is>
          <t xml:space="preserve">Cobros interbancarios </t>
        </is>
      </c>
      <c r="H390" s="10" t="inlineStr">
        <is>
          <t>Confirmación de las transacciones</t>
        </is>
      </c>
      <c r="I390" s="10" t="inlineStr">
        <is>
          <t>Estructura SCI3 exportando del sistema FIT</t>
        </is>
      </c>
      <c r="J390" s="10" t="inlineStr">
        <is>
          <t>Jefe de Soporte y Cuadres</t>
        </is>
      </c>
      <c r="K390" s="10" t="inlineStr">
        <is>
          <t>CORE FINANCIERO</t>
        </is>
      </c>
      <c r="L390" s="10" t="inlineStr">
        <is>
          <t>UBICACIÓN DIGITAL-CORE FINANCIERO</t>
        </is>
      </c>
      <c r="M390" s="10" t="inlineStr">
        <is>
          <t>SISTEMAS DE INFORMACIÓN CORPORATIVOS</t>
        </is>
      </c>
      <c r="N390" s="10" t="inlineStr">
        <is>
          <t>PRIMARIOS</t>
        </is>
      </c>
      <c r="O390" s="10" t="inlineStr">
        <is>
          <t>DOCUMENTOS TÉCNICOS</t>
        </is>
      </c>
      <c r="P390" s="10" t="inlineStr">
        <is>
          <t>RESTRINGIDO(3)</t>
        </is>
      </c>
      <c r="Q390" s="10" t="inlineStr">
        <is>
          <t>MEDIA(2)</t>
        </is>
      </c>
      <c r="R390" s="10" t="inlineStr">
        <is>
          <t>MEDIA(2)</t>
        </is>
      </c>
      <c r="S390" s="10">
        <f>+(IF(P390="PUBLICA(1)",1,IF(P390="USO INTERNO(2)",2,IF(P390="RESTRINGIDO(3)",3,3))))+(IF(Q390="BAJA(1)",1,IF(Q390="MEDIA(2)",2,IF(Q390="ALTA(3)",3,3))))+(IF(R390="BAJA(1)",1,IF(R390="MEDIA(2)",2,IF(R390="ALTA(3)",3,3))))</f>
        <v/>
      </c>
      <c r="T390" s="10">
        <f>+IF(S390&lt;6,"BAJA",IF(S390&lt;8,"MEDIA","ALTA"))</f>
        <v/>
      </c>
      <c r="U390" s="10" t="inlineStr">
        <is>
          <t>-</t>
        </is>
      </c>
      <c r="V390" s="24" t="n">
        <v>45674</v>
      </c>
      <c r="W390" s="19" t="inlineStr">
        <is>
          <t>N/A</t>
        </is>
      </c>
      <c r="X390" s="10">
        <f>+IFERROR(IF(VLOOKUP(Tabla2[[#This Row],[ID]],'EVALUACION DE RIESGO'!A:A,1,FALSE)=Tabla2[[#This Row],[ID]],"SI","NO"),"NO")</f>
        <v/>
      </c>
      <c r="AD390">
        <f>IF(AND(Y390="",AA390=""),"",IF(OR(LEFT(AA390,2)="L0",LEFT(AA390,2)="L1",Y390="No Iniciado"),"CRÍTICO - Incumplimiento Normativo SEPS",IF(AND(OR(LEFT(AA390,2)="L4",LEFT(AA390,2)="L5"),AND(AC390&lt;&gt;"",AC390&lt;&gt;"N/A")),"CONFORME - Control Efectivo ISO 27001","OBSERVACIÓN - Revisar Controles")))</f>
        <v/>
      </c>
    </row>
    <row r="391">
      <c r="A391" s="99" t="inlineStr">
        <is>
          <t>12-GOP</t>
        </is>
      </c>
      <c r="B391" s="10" t="inlineStr">
        <is>
          <t>APOYO</t>
        </is>
      </c>
      <c r="C391" s="10" t="inlineStr">
        <is>
          <t xml:space="preserve">Gestión de Operaciones </t>
        </is>
      </c>
      <c r="D391" s="10" t="inlineStr">
        <is>
          <t>GOP</t>
        </is>
      </c>
      <c r="E391" s="10" t="inlineStr">
        <is>
          <t>Soporte Operativo</t>
        </is>
      </c>
      <c r="F391" s="10" t="inlineStr">
        <is>
          <t>-</t>
        </is>
      </c>
      <c r="G391" s="10" t="inlineStr">
        <is>
          <t xml:space="preserve">Débito de seguro de vida   </t>
        </is>
      </c>
      <c r="H391" s="10" t="inlineStr">
        <is>
          <t>Reporte de cuentas debitadas por Seguro de Vida</t>
        </is>
      </c>
      <c r="I391" s="10" t="inlineStr">
        <is>
          <t>Reporte detallado de los débitos realizados con información de cliente, fecha, cuenta, valor, apertura, sexo, dirección</t>
        </is>
      </c>
      <c r="J391" s="10" t="inlineStr">
        <is>
          <t>Jefe de Soporte y Cuadres</t>
        </is>
      </c>
      <c r="K391" s="10" t="inlineStr">
        <is>
          <t>Asistente Operativo</t>
        </is>
      </c>
      <c r="L391" s="10" t="inlineStr">
        <is>
          <t>UBICACIÓN DIGITAL-EQUIPO DEL CUSTODIO</t>
        </is>
      </c>
      <c r="M391" s="10" t="inlineStr">
        <is>
          <t>DISCOS DUROS, SERVIDORES, DISCOS O MEDIOS PORTÁTILES, CINTAS O MEDIOS DE VIDEO Y AUDIO, ETC.</t>
        </is>
      </c>
      <c r="N391" s="10" t="inlineStr">
        <is>
          <t>PRIMARIOS</t>
        </is>
      </c>
      <c r="O391" s="10" t="inlineStr">
        <is>
          <t>DOCUMENTOS TÉCNICOS</t>
        </is>
      </c>
      <c r="P391" s="10" t="inlineStr">
        <is>
          <t>RESTRINGIDO(3)</t>
        </is>
      </c>
      <c r="Q391" s="10" t="inlineStr">
        <is>
          <t>BAJA(1)</t>
        </is>
      </c>
      <c r="R391" s="10" t="inlineStr">
        <is>
          <t>BAJA(1)</t>
        </is>
      </c>
      <c r="S391" s="10">
        <f>+(IF(P391="PUBLICA(1)",1,IF(P391="USO INTERNO(2)",2,IF(P391="RESTRINGIDO(3)",3,3))))+(IF(Q391="BAJA(1)",1,IF(Q391="MEDIA(2)",2,IF(Q391="ALTA(3)",3,3))))+(IF(R391="BAJA(1)",1,IF(R391="MEDIA(2)",2,IF(R391="ALTA(3)",3,3))))</f>
        <v/>
      </c>
      <c r="T391" s="10">
        <f>+IF(S391&lt;6,"BAJA",IF(S391&lt;8,"MEDIA","ALTA"))</f>
        <v/>
      </c>
      <c r="U391" s="10" t="inlineStr">
        <is>
          <t>-</t>
        </is>
      </c>
      <c r="V391" s="24" t="n">
        <v>45674</v>
      </c>
      <c r="W391" s="19" t="inlineStr">
        <is>
          <t>N/A</t>
        </is>
      </c>
      <c r="X391" s="10">
        <f>+IFERROR(IF(VLOOKUP(Tabla2[[#This Row],[ID]],'EVALUACION DE RIESGO'!A:A,1,FALSE)=Tabla2[[#This Row],[ID]],"SI","NO"),"NO")</f>
        <v/>
      </c>
      <c r="AD391">
        <f>IF(AND(Y391="",AA391=""),"",IF(OR(LEFT(AA391,2)="L0",LEFT(AA391,2)="L1",Y391="No Iniciado"),"CRÍTICO - Incumplimiento Normativo SEPS",IF(AND(OR(LEFT(AA391,2)="L4",LEFT(AA391,2)="L5"),AND(AC391&lt;&gt;"",AC391&lt;&gt;"N/A")),"CONFORME - Control Efectivo ISO 27001","OBSERVACIÓN - Revisar Controles")))</f>
        <v/>
      </c>
    </row>
    <row r="392">
      <c r="A392" s="99" t="inlineStr">
        <is>
          <t>13-GOP</t>
        </is>
      </c>
      <c r="B392" s="10" t="inlineStr">
        <is>
          <t>APOYO</t>
        </is>
      </c>
      <c r="C392" s="10" t="inlineStr">
        <is>
          <t xml:space="preserve">Gestión de Operaciones </t>
        </is>
      </c>
      <c r="D392" s="10" t="inlineStr">
        <is>
          <t>GOP</t>
        </is>
      </c>
      <c r="E392" s="10" t="inlineStr">
        <is>
          <t>Soporte Operativo</t>
        </is>
      </c>
      <c r="F392" s="10" t="inlineStr">
        <is>
          <t>-</t>
        </is>
      </c>
      <c r="G392" s="10" t="inlineStr">
        <is>
          <t xml:space="preserve">Débito de seguro de vida   </t>
        </is>
      </c>
      <c r="H392" s="10" t="inlineStr">
        <is>
          <t>Registro de transacciones a regularizar</t>
        </is>
      </c>
      <c r="I392" s="10" t="inlineStr">
        <is>
          <t xml:space="preserve">Registros manuales de débitos o créditos realizados </t>
        </is>
      </c>
      <c r="J392" s="10" t="inlineStr">
        <is>
          <t>Jefe de Soporte y Cuadres</t>
        </is>
      </c>
      <c r="K392" s="10" t="inlineStr">
        <is>
          <t>Asistente Operativo</t>
        </is>
      </c>
      <c r="L392" s="10" t="inlineStr">
        <is>
          <t>UBICACIÓN DIGITAL-EQUIPO DEL CUSTODIO</t>
        </is>
      </c>
      <c r="M392" s="10" t="inlineStr">
        <is>
          <t>DISCOS DUROS, SERVIDORES, DISCOS O MEDIOS PORTÁTILES, CINTAS O MEDIOS DE VIDEO Y AUDIO, ETC.</t>
        </is>
      </c>
      <c r="N392" s="10" t="inlineStr">
        <is>
          <t>PRIMARIOS</t>
        </is>
      </c>
      <c r="O392" s="10" t="inlineStr">
        <is>
          <t>DOCUMENTOS TÉCNICOS</t>
        </is>
      </c>
      <c r="P392" s="10" t="inlineStr">
        <is>
          <t>USO INTERNO(2)</t>
        </is>
      </c>
      <c r="Q392" s="10" t="inlineStr">
        <is>
          <t>BAJA(1)</t>
        </is>
      </c>
      <c r="R392" s="10" t="inlineStr">
        <is>
          <t>BAJA(1)</t>
        </is>
      </c>
      <c r="S392" s="10">
        <f>+(IF(P392="PUBLICA(1)",1,IF(P392="USO INTERNO(2)",2,IF(P392="RESTRINGIDO(3)",3,3))))+(IF(Q392="BAJA(1)",1,IF(Q392="MEDIA(2)",2,IF(Q392="ALTA(3)",3,3))))+(IF(R392="BAJA(1)",1,IF(R392="MEDIA(2)",2,IF(R392="ALTA(3)",3,3))))</f>
        <v/>
      </c>
      <c r="T392" s="10">
        <f>+IF(S392&lt;6,"BAJA",IF(S392&lt;8,"MEDIA","ALTA"))</f>
        <v/>
      </c>
      <c r="U392" s="10" t="inlineStr">
        <is>
          <t>-</t>
        </is>
      </c>
      <c r="V392" s="24" t="n">
        <v>45674</v>
      </c>
      <c r="W392" s="19" t="inlineStr">
        <is>
          <t>N/A</t>
        </is>
      </c>
      <c r="X392" s="10">
        <f>+IFERROR(IF(VLOOKUP(Tabla2[[#This Row],[ID]],'EVALUACION DE RIESGO'!A:A,1,FALSE)=Tabla2[[#This Row],[ID]],"SI","NO"),"NO")</f>
        <v/>
      </c>
      <c r="AD392">
        <f>IF(AND(Y392="",AA392=""),"",IF(OR(LEFT(AA392,2)="L0",LEFT(AA392,2)="L1",Y392="No Iniciado"),"CRÍTICO - Incumplimiento Normativo SEPS",IF(AND(OR(LEFT(AA392,2)="L4",LEFT(AA392,2)="L5"),AND(AC392&lt;&gt;"",AC392&lt;&gt;"N/A")),"CONFORME - Control Efectivo ISO 27001","OBSERVACIÓN - Revisar Controles")))</f>
        <v/>
      </c>
    </row>
    <row r="393">
      <c r="A393" s="99" t="inlineStr">
        <is>
          <t>14-GOP</t>
        </is>
      </c>
      <c r="B393" s="10" t="inlineStr">
        <is>
          <t>APOYO</t>
        </is>
      </c>
      <c r="C393" s="10" t="inlineStr">
        <is>
          <t xml:space="preserve">Gestión de Operaciones </t>
        </is>
      </c>
      <c r="D393" s="10" t="inlineStr">
        <is>
          <t>GOP</t>
        </is>
      </c>
      <c r="E393" s="10" t="inlineStr">
        <is>
          <t>Soporte Operativo</t>
        </is>
      </c>
      <c r="F393" s="10" t="inlineStr">
        <is>
          <t>-</t>
        </is>
      </c>
      <c r="G393" s="10" t="inlineStr">
        <is>
          <t xml:space="preserve">Pago al COSEDE por depósitos garantizados       </t>
        </is>
      </c>
      <c r="H393" s="10" t="inlineStr">
        <is>
          <t>Reporte de cálculo pago al COSEDE</t>
        </is>
      </c>
      <c r="I393" s="10" t="inlineStr">
        <is>
          <t>Registro de pagos realizados en la plataforma Cosede, captura de pantalla de valores y confirmación</t>
        </is>
      </c>
      <c r="J393" s="10" t="inlineStr">
        <is>
          <t>Jefe de Soporte y Cuadres</t>
        </is>
      </c>
      <c r="K393" s="10" t="inlineStr">
        <is>
          <t>Asistente Operativo</t>
        </is>
      </c>
      <c r="L393" s="10" t="inlineStr">
        <is>
          <t>UBICACIÓN DIGITAL-EQUIPO DEL CUSTODIO</t>
        </is>
      </c>
      <c r="M393" s="10" t="inlineStr">
        <is>
          <t>DISCOS DUROS, SERVIDORES, DISCOS O MEDIOS PORTÁTILES, CINTAS O MEDIOS DE VIDEO Y AUDIO, ETC.</t>
        </is>
      </c>
      <c r="N393" s="10" t="inlineStr">
        <is>
          <t>PRIMARIOS</t>
        </is>
      </c>
      <c r="O393" s="10" t="inlineStr">
        <is>
          <t>DOCUMENTOS TÉCNICOS</t>
        </is>
      </c>
      <c r="P393" s="10" t="inlineStr">
        <is>
          <t>USO INTERNO(2)</t>
        </is>
      </c>
      <c r="Q393" s="10" t="inlineStr">
        <is>
          <t>BAJA(1)</t>
        </is>
      </c>
      <c r="R393" s="10" t="inlineStr">
        <is>
          <t>BAJA(1)</t>
        </is>
      </c>
      <c r="S393" s="10">
        <f>+(IF(P393="PUBLICA(1)",1,IF(P393="USO INTERNO(2)",2,IF(P393="RESTRINGIDO(3)",3,3))))+(IF(Q393="BAJA(1)",1,IF(Q393="MEDIA(2)",2,IF(Q393="ALTA(3)",3,3))))+(IF(R393="BAJA(1)",1,IF(R393="MEDIA(2)",2,IF(R393="ALTA(3)",3,3))))</f>
        <v/>
      </c>
      <c r="T393" s="10">
        <f>+IF(S393&lt;6,"BAJA",IF(S393&lt;8,"MEDIA","ALTA"))</f>
        <v/>
      </c>
      <c r="U393" s="10" t="inlineStr">
        <is>
          <t>-</t>
        </is>
      </c>
      <c r="V393" s="24" t="n">
        <v>45674</v>
      </c>
      <c r="W393" s="19" t="inlineStr">
        <is>
          <t>N/A</t>
        </is>
      </c>
      <c r="X393" s="10">
        <f>+IFERROR(IF(VLOOKUP(Tabla2[[#This Row],[ID]],'EVALUACION DE RIESGO'!A:A,1,FALSE)=Tabla2[[#This Row],[ID]],"SI","NO"),"NO")</f>
        <v/>
      </c>
      <c r="AD393">
        <f>IF(AND(Y393="",AA393=""),"",IF(OR(LEFT(AA393,2)="L0",LEFT(AA393,2)="L1",Y393="No Iniciado"),"CRÍTICO - Incumplimiento Normativo SEPS",IF(AND(OR(LEFT(AA393,2)="L4",LEFT(AA393,2)="L5"),AND(AC393&lt;&gt;"",AC393&lt;&gt;"N/A")),"CONFORME - Control Efectivo ISO 27001","OBSERVACIÓN - Revisar Controles")))</f>
        <v/>
      </c>
    </row>
    <row r="394">
      <c r="A394" s="99" t="inlineStr">
        <is>
          <t>15-GOP</t>
        </is>
      </c>
      <c r="B394" s="10" t="inlineStr">
        <is>
          <t>APOYO</t>
        </is>
      </c>
      <c r="C394" s="10" t="inlineStr">
        <is>
          <t xml:space="preserve">Gestión de Operaciones </t>
        </is>
      </c>
      <c r="D394" s="10" t="inlineStr">
        <is>
          <t>GOP</t>
        </is>
      </c>
      <c r="E394" s="10" t="inlineStr">
        <is>
          <t>Cuadres y Conciliaciones</t>
        </is>
      </c>
      <c r="F394" s="10" t="inlineStr">
        <is>
          <t>-</t>
        </is>
      </c>
      <c r="G394" s="10" t="inlineStr">
        <is>
          <t xml:space="preserve">Revisión de Anexo de Cuentas Principales </t>
        </is>
      </c>
      <c r="H394" s="10" t="inlineStr">
        <is>
          <t>Papeles de trabajo</t>
        </is>
      </c>
      <c r="I394" s="10" t="inlineStr">
        <is>
          <t>Plantillas de cuadres que contiene secuencial de autorización, código de respuesta, montos, cuenta receptor, cuenta ordenante, banco, otros</t>
        </is>
      </c>
      <c r="J394" s="10" t="inlineStr">
        <is>
          <t>Jefe de Soporte y Cuadres</t>
        </is>
      </c>
      <c r="K394" s="10" t="inlineStr">
        <is>
          <t>Asistente Operativo</t>
        </is>
      </c>
      <c r="L394" s="10" t="inlineStr">
        <is>
          <t>UBICACIÓN DIGITAL-EQUIPO DEL CUSTODIO</t>
        </is>
      </c>
      <c r="M394" s="10" t="inlineStr">
        <is>
          <t>DISCOS DUROS, SERVIDORES, DISCOS O MEDIOS PORTÁTILES, CINTAS O MEDIOS DE VIDEO Y AUDIO, ETC.</t>
        </is>
      </c>
      <c r="N394" s="10" t="inlineStr">
        <is>
          <t>PRIMARIOS</t>
        </is>
      </c>
      <c r="O394" s="10" t="inlineStr">
        <is>
          <t>DOCUMENTOS TÉCNICOS</t>
        </is>
      </c>
      <c r="P394" s="10" t="inlineStr">
        <is>
          <t>USO INTERNO(2)</t>
        </is>
      </c>
      <c r="Q394" s="10" t="inlineStr">
        <is>
          <t>MEDIA(2)</t>
        </is>
      </c>
      <c r="R394" s="10" t="inlineStr">
        <is>
          <t>ALTA(3)</t>
        </is>
      </c>
      <c r="S394" s="10">
        <f>+(IF(P394="PUBLICA(1)",1,IF(P394="USO INTERNO(2)",2,IF(P394="RESTRINGIDO(3)",3,3))))+(IF(Q394="BAJA(1)",1,IF(Q394="MEDIA(2)",2,IF(Q394="ALTA(3)",3,3))))+(IF(R394="BAJA(1)",1,IF(R394="MEDIA(2)",2,IF(R394="ALTA(3)",3,3))))</f>
        <v/>
      </c>
      <c r="T394" s="10">
        <f>+IF(S394&lt;6,"BAJA",IF(S394&lt;8,"MEDIA","ALTA"))</f>
        <v/>
      </c>
      <c r="U394" s="10" t="inlineStr">
        <is>
          <t>-</t>
        </is>
      </c>
      <c r="V394" s="24" t="n">
        <v>45674</v>
      </c>
      <c r="W394" s="19" t="inlineStr">
        <is>
          <t>N/A</t>
        </is>
      </c>
      <c r="X394" s="10">
        <f>+IFERROR(IF(VLOOKUP(Tabla2[[#This Row],[ID]],'EVALUACION DE RIESGO'!A:A,1,FALSE)=Tabla2[[#This Row],[ID]],"SI","NO"),"NO")</f>
        <v/>
      </c>
      <c r="AD394">
        <f>IF(AND(Y394="",AA394=""),"",IF(OR(LEFT(AA394,2)="L0",LEFT(AA394,2)="L1",Y394="No Iniciado"),"CRÍTICO - Incumplimiento Normativo SEPS",IF(AND(OR(LEFT(AA394,2)="L4",LEFT(AA394,2)="L5"),AND(AC394&lt;&gt;"",AC394&lt;&gt;"N/A")),"CONFORME - Control Efectivo ISO 27001","OBSERVACIÓN - Revisar Controles")))</f>
        <v/>
      </c>
    </row>
    <row r="395">
      <c r="A395" s="99" t="inlineStr">
        <is>
          <t>16-GOP</t>
        </is>
      </c>
      <c r="B395" s="10" t="inlineStr">
        <is>
          <t>APOYO</t>
        </is>
      </c>
      <c r="C395" s="10" t="inlineStr">
        <is>
          <t xml:space="preserve">Gestión de Operaciones </t>
        </is>
      </c>
      <c r="D395" s="10" t="inlineStr">
        <is>
          <t>GOP</t>
        </is>
      </c>
      <c r="E395" s="10" t="inlineStr">
        <is>
          <t>Cuadres y Conciliaciones</t>
        </is>
      </c>
      <c r="F395" s="10" t="inlineStr">
        <is>
          <t>-</t>
        </is>
      </c>
      <c r="G395" s="10" t="inlineStr">
        <is>
          <t xml:space="preserve">Revisión de Anexo de Cuentas Principales </t>
        </is>
      </c>
      <c r="H395" s="10" t="inlineStr">
        <is>
          <t>Solicitud de ajuste Contable</t>
        </is>
      </c>
      <c r="I395" s="10" t="inlineStr">
        <is>
          <t>Formulario de corrección de errores que se envía a contabilidad y reportes de webcoop, así como los files de proveedores</t>
        </is>
      </c>
      <c r="J395" s="10" t="inlineStr">
        <is>
          <t>Jefe de Soporte y Cuadres</t>
        </is>
      </c>
      <c r="K395" s="10" t="inlineStr">
        <is>
          <t>Asistente Operativo</t>
        </is>
      </c>
      <c r="L395" s="10" t="inlineStr">
        <is>
          <t>UBICACIÓN DIGITAL-EQUIPO DEL CUSTODIO</t>
        </is>
      </c>
      <c r="M395" s="10" t="inlineStr">
        <is>
          <t>DISCOS DUROS, SERVIDORES, DISCOS O MEDIOS PORTÁTILES, CINTAS O MEDIOS DE VIDEO Y AUDIO, ETC.</t>
        </is>
      </c>
      <c r="N395" s="10" t="inlineStr">
        <is>
          <t>PRIMARIOS</t>
        </is>
      </c>
      <c r="O395" s="10" t="inlineStr">
        <is>
          <t>DOCUMENTOS TÉCNICOS</t>
        </is>
      </c>
      <c r="P395" s="10" t="inlineStr">
        <is>
          <t>USO INTERNO(2)</t>
        </is>
      </c>
      <c r="Q395" s="10" t="inlineStr">
        <is>
          <t>BAJA(1)</t>
        </is>
      </c>
      <c r="R395" s="10" t="inlineStr">
        <is>
          <t>MEDIA(2)</t>
        </is>
      </c>
      <c r="S395" s="10">
        <f>+(IF(P395="PUBLICA(1)",1,IF(P395="USO INTERNO(2)",2,IF(P395="RESTRINGIDO(3)",3,3))))+(IF(Q395="BAJA(1)",1,IF(Q395="MEDIA(2)",2,IF(Q395="ALTA(3)",3,3))))+(IF(R395="BAJA(1)",1,IF(R395="MEDIA(2)",2,IF(R395="ALTA(3)",3,3))))</f>
        <v/>
      </c>
      <c r="T395" s="10">
        <f>+IF(S395&lt;6,"BAJA",IF(S395&lt;8,"MEDIA","ALTA"))</f>
        <v/>
      </c>
      <c r="U395" s="10" t="inlineStr">
        <is>
          <t>-</t>
        </is>
      </c>
      <c r="V395" s="24" t="n">
        <v>45674</v>
      </c>
      <c r="W395" s="19" t="inlineStr">
        <is>
          <t>N/A</t>
        </is>
      </c>
      <c r="X395" s="10">
        <f>+IFERROR(IF(VLOOKUP(Tabla2[[#This Row],[ID]],'EVALUACION DE RIESGO'!A:A,1,FALSE)=Tabla2[[#This Row],[ID]],"SI","NO"),"NO")</f>
        <v/>
      </c>
      <c r="AD395">
        <f>IF(AND(Y395="",AA395=""),"",IF(OR(LEFT(AA395,2)="L0",LEFT(AA395,2)="L1",Y395="No Iniciado"),"CRÍTICO - Incumplimiento Normativo SEPS",IF(AND(OR(LEFT(AA395,2)="L4",LEFT(AA395,2)="L5"),AND(AC395&lt;&gt;"",AC395&lt;&gt;"N/A")),"CONFORME - Control Efectivo ISO 27001","OBSERVACIÓN - Revisar Controles")))</f>
        <v/>
      </c>
    </row>
    <row r="396">
      <c r="A396" s="99" t="inlineStr">
        <is>
          <t>17-GOP</t>
        </is>
      </c>
      <c r="B396" s="10" t="inlineStr">
        <is>
          <t>APOYO</t>
        </is>
      </c>
      <c r="C396" s="10" t="inlineStr">
        <is>
          <t xml:space="preserve">Gestión de Operaciones </t>
        </is>
      </c>
      <c r="D396" s="10" t="inlineStr">
        <is>
          <t>GOP</t>
        </is>
      </c>
      <c r="E396" s="10" t="inlineStr">
        <is>
          <t>Cuadres y Conciliaciones</t>
        </is>
      </c>
      <c r="F396" s="10" t="inlineStr">
        <is>
          <t>-</t>
        </is>
      </c>
      <c r="G396" s="10" t="inlineStr">
        <is>
          <t xml:space="preserve">Revisión de Anexo de Cuentas Principales </t>
        </is>
      </c>
      <c r="H396" s="10" t="inlineStr">
        <is>
          <t>Bitácora de Seguimiento de ajustes contables</t>
        </is>
      </c>
      <c r="I396" s="10" t="inlineStr">
        <is>
          <t xml:space="preserve">Registro de históricos de ajustes contables </t>
        </is>
      </c>
      <c r="J396" s="10" t="inlineStr">
        <is>
          <t>Jefe de Soporte y Cuadres</t>
        </is>
      </c>
      <c r="K396" s="10" t="inlineStr">
        <is>
          <t>JEFE DE INFRAESTRUCTURA OPERACIONAL</t>
        </is>
      </c>
      <c r="L396" s="10" t="inlineStr">
        <is>
          <t>UBICACIÓN DIGITAL-EQUIPO DEL CUSTODIO</t>
        </is>
      </c>
      <c r="M396" s="10" t="inlineStr">
        <is>
          <t>DISCOS DUROS, SERVIDORES, DISCOS O MEDIOS PORTÁTILES, CINTAS O MEDIOS DE VIDEO Y AUDIO, ETC.</t>
        </is>
      </c>
      <c r="N396" s="10" t="inlineStr">
        <is>
          <t>PRIMARIOS</t>
        </is>
      </c>
      <c r="O396" s="10" t="inlineStr">
        <is>
          <t>DOCUMENTOS TÉCNICOS</t>
        </is>
      </c>
      <c r="P396" s="10" t="inlineStr">
        <is>
          <t>USO INTERNO(2)</t>
        </is>
      </c>
      <c r="Q396" s="10" t="inlineStr">
        <is>
          <t>BAJA(1)</t>
        </is>
      </c>
      <c r="R396" s="10" t="inlineStr">
        <is>
          <t>BAJA(1)</t>
        </is>
      </c>
      <c r="S396" s="10">
        <f>+(IF(P396="PUBLICA(1)",1,IF(P396="USO INTERNO(2)",2,IF(P396="RESTRINGIDO(3)",3,3))))+(IF(Q396="BAJA(1)",1,IF(Q396="MEDIA(2)",2,IF(Q396="ALTA(3)",3,3))))+(IF(R396="BAJA(1)",1,IF(R396="MEDIA(2)",2,IF(R396="ALTA(3)",3,3))))</f>
        <v/>
      </c>
      <c r="T396" s="10">
        <f>+IF(S396&lt;6,"BAJA",IF(S396&lt;8,"MEDIA","ALTA"))</f>
        <v/>
      </c>
      <c r="U396" s="10" t="inlineStr">
        <is>
          <t>-</t>
        </is>
      </c>
      <c r="V396" s="24" t="n">
        <v>45674</v>
      </c>
      <c r="W396" s="19" t="inlineStr">
        <is>
          <t>N/A</t>
        </is>
      </c>
      <c r="X396" s="10">
        <f>+IFERROR(IF(VLOOKUP(Tabla2[[#This Row],[ID]],'EVALUACION DE RIESGO'!A:A,1,FALSE)=Tabla2[[#This Row],[ID]],"SI","NO"),"NO")</f>
        <v/>
      </c>
      <c r="AD396">
        <f>IF(AND(Y396="",AA396=""),"",IF(OR(LEFT(AA396,2)="L0",LEFT(AA396,2)="L1",Y396="No Iniciado"),"CRÍTICO - Incumplimiento Normativo SEPS",IF(AND(OR(LEFT(AA396,2)="L4",LEFT(AA396,2)="L5"),AND(AC396&lt;&gt;"",AC396&lt;&gt;"N/A")),"CONFORME - Control Efectivo ISO 27001","OBSERVACIÓN - Revisar Controles")))</f>
        <v/>
      </c>
    </row>
    <row r="397">
      <c r="A397" s="99" t="inlineStr">
        <is>
          <t>18-GOP</t>
        </is>
      </c>
      <c r="B397" s="10" t="inlineStr">
        <is>
          <t>APOYO</t>
        </is>
      </c>
      <c r="C397" s="10" t="inlineStr">
        <is>
          <t xml:space="preserve">Gestión de Operaciones </t>
        </is>
      </c>
      <c r="D397" s="10" t="inlineStr">
        <is>
          <t>GOP</t>
        </is>
      </c>
      <c r="E397" s="10" t="inlineStr">
        <is>
          <t>Cuadres y Conciliaciones</t>
        </is>
      </c>
      <c r="F397" s="10" t="inlineStr">
        <is>
          <t>-</t>
        </is>
      </c>
      <c r="G397" s="10" t="inlineStr">
        <is>
          <t>Conciliación de Servicios Financieros</t>
        </is>
      </c>
      <c r="H397" s="10" t="inlineStr">
        <is>
          <t>Prueba departamental</t>
        </is>
      </c>
      <c r="I397" s="10" t="inlineStr">
        <is>
          <t>Plantillas de cuadres que contiene secuencial de autorización, código de respuesta, montos, cuenta receptor, cuenta ordenante, banco, otros</t>
        </is>
      </c>
      <c r="J397" s="10" t="inlineStr">
        <is>
          <t>Jefe de Soporte y Cuadres</t>
        </is>
      </c>
      <c r="K397" s="10" t="inlineStr">
        <is>
          <t>Asistente Operativo</t>
        </is>
      </c>
      <c r="L397" s="10" t="inlineStr">
        <is>
          <t>UBICACIÓN DIGITAL-EQUIPO DEL CUSTODIO</t>
        </is>
      </c>
      <c r="M397" s="10" t="inlineStr">
        <is>
          <t>DISCOS DUROS, SERVIDORES, DISCOS O MEDIOS PORTÁTILES, CINTAS O MEDIOS DE VIDEO Y AUDIO, ETC.</t>
        </is>
      </c>
      <c r="N397" s="10" t="inlineStr">
        <is>
          <t>PRIMARIOS</t>
        </is>
      </c>
      <c r="O397" s="10" t="inlineStr">
        <is>
          <t>DOCUMENTOS TÉCNICOS</t>
        </is>
      </c>
      <c r="P397" s="10" t="inlineStr">
        <is>
          <t>USO INTERNO(2)</t>
        </is>
      </c>
      <c r="Q397" s="10" t="inlineStr">
        <is>
          <t>BAJA(1)</t>
        </is>
      </c>
      <c r="R397" s="10" t="inlineStr">
        <is>
          <t>BAJA(1)</t>
        </is>
      </c>
      <c r="S397" s="10">
        <f>+(IF(P397="PUBLICA(1)",1,IF(P397="USO INTERNO(2)",2,IF(P397="RESTRINGIDO(3)",3,3))))+(IF(Q397="BAJA(1)",1,IF(Q397="MEDIA(2)",2,IF(Q397="ALTA(3)",3,3))))+(IF(R397="BAJA(1)",1,IF(R397="MEDIA(2)",2,IF(R397="ALTA(3)",3,3))))</f>
        <v/>
      </c>
      <c r="T397" s="10">
        <f>+IF(S397&lt;6,"BAJA",IF(S397&lt;8,"MEDIA","ALTA"))</f>
        <v/>
      </c>
      <c r="U397" s="10" t="inlineStr">
        <is>
          <t>-</t>
        </is>
      </c>
      <c r="V397" s="24" t="n">
        <v>45674</v>
      </c>
      <c r="W397" s="19" t="inlineStr">
        <is>
          <t>N/A</t>
        </is>
      </c>
      <c r="X397" s="10">
        <f>+IFERROR(IF(VLOOKUP(Tabla2[[#This Row],[ID]],'EVALUACION DE RIESGO'!A:A,1,FALSE)=Tabla2[[#This Row],[ID]],"SI","NO"),"NO")</f>
        <v/>
      </c>
      <c r="AD397">
        <f>IF(AND(Y397="",AA397=""),"",IF(OR(LEFT(AA397,2)="L0",LEFT(AA397,2)="L1",Y397="No Iniciado"),"CRÍTICO - Incumplimiento Normativo SEPS",IF(AND(OR(LEFT(AA397,2)="L4",LEFT(AA397,2)="L5"),AND(AC397&lt;&gt;"",AC397&lt;&gt;"N/A")),"CONFORME - Control Efectivo ISO 27001","OBSERVACIÓN - Revisar Controles")))</f>
        <v/>
      </c>
    </row>
    <row r="398">
      <c r="A398" s="99" t="inlineStr">
        <is>
          <t>19-GOP</t>
        </is>
      </c>
      <c r="B398" s="10" t="inlineStr">
        <is>
          <t>APOYO</t>
        </is>
      </c>
      <c r="C398" s="10" t="inlineStr">
        <is>
          <t xml:space="preserve">Gestión de Operaciones </t>
        </is>
      </c>
      <c r="D398" s="10" t="inlineStr">
        <is>
          <t>GOP</t>
        </is>
      </c>
      <c r="E398" s="10" t="inlineStr">
        <is>
          <t>Cuadres y Conciliaciones</t>
        </is>
      </c>
      <c r="F398" s="10" t="inlineStr">
        <is>
          <t>-</t>
        </is>
      </c>
      <c r="G398" s="10" t="inlineStr">
        <is>
          <t>Conciliación de Servicios Financieros</t>
        </is>
      </c>
      <c r="H398" s="10" t="inlineStr">
        <is>
          <t>Solicitud de ajuste Contable</t>
        </is>
      </c>
      <c r="I398" s="10" t="inlineStr">
        <is>
          <t>Formulario de corrección de errores que se envía a contabilidad y reportes de webcoop, así como los files de proveedores</t>
        </is>
      </c>
      <c r="J398" s="10" t="inlineStr">
        <is>
          <t>Jefe de Soporte y Cuadres</t>
        </is>
      </c>
      <c r="K398" s="10" t="inlineStr">
        <is>
          <t>Asistente Operativo</t>
        </is>
      </c>
      <c r="L398" s="10" t="inlineStr">
        <is>
          <t>UBICACIÓN DIGITAL-EQUIPO DEL CUSTODIO</t>
        </is>
      </c>
      <c r="M398" s="10" t="inlineStr">
        <is>
          <t>DISCOS DUROS, SERVIDORES, DISCOS O MEDIOS PORTÁTILES, CINTAS O MEDIOS DE VIDEO Y AUDIO, ETC.</t>
        </is>
      </c>
      <c r="N398" s="10" t="inlineStr">
        <is>
          <t>PRIMARIOS</t>
        </is>
      </c>
      <c r="O398" s="10" t="inlineStr">
        <is>
          <t>DOCUMENTOS TÉCNICOS</t>
        </is>
      </c>
      <c r="P398" s="10" t="inlineStr">
        <is>
          <t>USO INTERNO(2)</t>
        </is>
      </c>
      <c r="Q398" s="10" t="inlineStr">
        <is>
          <t>BAJA(1)</t>
        </is>
      </c>
      <c r="R398" s="10" t="inlineStr">
        <is>
          <t>BAJA(1)</t>
        </is>
      </c>
      <c r="S398" s="10">
        <f>+(IF(P398="PUBLICA(1)",1,IF(P398="USO INTERNO(2)",2,IF(P398="RESTRINGIDO(3)",3,3))))+(IF(Q398="BAJA(1)",1,IF(Q398="MEDIA(2)",2,IF(Q398="ALTA(3)",3,3))))+(IF(R398="BAJA(1)",1,IF(R398="MEDIA(2)",2,IF(R398="ALTA(3)",3,3))))</f>
        <v/>
      </c>
      <c r="T398" s="10">
        <f>+IF(S398&lt;6,"BAJA",IF(S398&lt;8,"MEDIA","ALTA"))</f>
        <v/>
      </c>
      <c r="U398" s="10" t="inlineStr">
        <is>
          <t>-</t>
        </is>
      </c>
      <c r="V398" s="24" t="n">
        <v>45674</v>
      </c>
      <c r="W398" s="19" t="inlineStr">
        <is>
          <t>N/A</t>
        </is>
      </c>
      <c r="X398" s="10">
        <f>+IFERROR(IF(VLOOKUP(Tabla2[[#This Row],[ID]],'EVALUACION DE RIESGO'!A:A,1,FALSE)=Tabla2[[#This Row],[ID]],"SI","NO"),"NO")</f>
        <v/>
      </c>
      <c r="AD398">
        <f>IF(AND(Y398="",AA398=""),"",IF(OR(LEFT(AA398,2)="L0",LEFT(AA398,2)="L1",Y398="No Iniciado"),"CRÍTICO - Incumplimiento Normativo SEPS",IF(AND(OR(LEFT(AA398,2)="L4",LEFT(AA398,2)="L5"),AND(AC398&lt;&gt;"",AC398&lt;&gt;"N/A")),"CONFORME - Control Efectivo ISO 27001","OBSERVACIÓN - Revisar Controles")))</f>
        <v/>
      </c>
    </row>
    <row r="399">
      <c r="A399" s="99" t="inlineStr">
        <is>
          <t>20-GOP</t>
        </is>
      </c>
      <c r="B399" s="10" t="inlineStr">
        <is>
          <t>APOYO</t>
        </is>
      </c>
      <c r="C399" s="10" t="inlineStr">
        <is>
          <t xml:space="preserve">Gestión de Operaciones </t>
        </is>
      </c>
      <c r="D399" s="10" t="inlineStr">
        <is>
          <t>GOP</t>
        </is>
      </c>
      <c r="E399" s="10" t="inlineStr">
        <is>
          <t>Cuadres y Conciliaciones</t>
        </is>
      </c>
      <c r="F399" s="10" t="inlineStr">
        <is>
          <t>-</t>
        </is>
      </c>
      <c r="G399" s="10" t="inlineStr">
        <is>
          <t>Conciliación de Servicios Financieros</t>
        </is>
      </c>
      <c r="H399" s="10" t="inlineStr">
        <is>
          <t>Bitácora de Seguimiento de ajustes contables</t>
        </is>
      </c>
      <c r="I399" s="10" t="inlineStr">
        <is>
          <t xml:space="preserve">Registro de históricos de ajustes contables </t>
        </is>
      </c>
      <c r="J399" s="10" t="inlineStr">
        <is>
          <t>Jefe de Soporte y Cuadres</t>
        </is>
      </c>
      <c r="K399" s="10" t="inlineStr">
        <is>
          <t>JEFE DE INFRAESTRUCTURA OPERACIONAL</t>
        </is>
      </c>
      <c r="L399" s="10" t="inlineStr">
        <is>
          <t>UBICACIÓN DIGITAL-EQUIPO DEL CUSTODIO</t>
        </is>
      </c>
      <c r="M399" s="10" t="inlineStr">
        <is>
          <t>DISCOS DUROS, SERVIDORES, DISCOS O MEDIOS PORTÁTILES, CINTAS O MEDIOS DE VIDEO Y AUDIO, ETC.</t>
        </is>
      </c>
      <c r="N399" s="10" t="inlineStr">
        <is>
          <t>PRIMARIOS</t>
        </is>
      </c>
      <c r="O399" s="10" t="inlineStr">
        <is>
          <t>DOCUMENTOS TÉCNICOS</t>
        </is>
      </c>
      <c r="P399" s="10" t="inlineStr">
        <is>
          <t>USO INTERNO(2)</t>
        </is>
      </c>
      <c r="Q399" s="10" t="inlineStr">
        <is>
          <t>BAJA(1)</t>
        </is>
      </c>
      <c r="R399" s="10" t="inlineStr">
        <is>
          <t>BAJA(1)</t>
        </is>
      </c>
      <c r="S399" s="10">
        <f>+(IF(P399="PUBLICA(1)",1,IF(P399="USO INTERNO(2)",2,IF(P399="RESTRINGIDO(3)",3,3))))+(IF(Q399="BAJA(1)",1,IF(Q399="MEDIA(2)",2,IF(Q399="ALTA(3)",3,3))))+(IF(R399="BAJA(1)",1,IF(R399="MEDIA(2)",2,IF(R399="ALTA(3)",3,3))))</f>
        <v/>
      </c>
      <c r="T399" s="10">
        <f>+IF(S399&lt;6,"BAJA",IF(S399&lt;8,"MEDIA","ALTA"))</f>
        <v/>
      </c>
      <c r="U399" s="10" t="inlineStr">
        <is>
          <t>-</t>
        </is>
      </c>
      <c r="V399" s="24" t="n">
        <v>45674</v>
      </c>
      <c r="W399" s="19" t="inlineStr">
        <is>
          <t>N/A</t>
        </is>
      </c>
      <c r="X399" s="10">
        <f>+IFERROR(IF(VLOOKUP(Tabla2[[#This Row],[ID]],'EVALUACION DE RIESGO'!A:A,1,FALSE)=Tabla2[[#This Row],[ID]],"SI","NO"),"NO")</f>
        <v/>
      </c>
      <c r="AD399">
        <f>IF(AND(Y399="",AA399=""),"",IF(OR(LEFT(AA399,2)="L0",LEFT(AA399,2)="L1",Y399="No Iniciado"),"CRÍTICO - Incumplimiento Normativo SEPS",IF(AND(OR(LEFT(AA399,2)="L4",LEFT(AA399,2)="L5"),AND(AC399&lt;&gt;"",AC399&lt;&gt;"N/A")),"CONFORME - Control Efectivo ISO 27001","OBSERVACIÓN - Revisar Controles")))</f>
        <v/>
      </c>
    </row>
    <row r="400">
      <c r="A400" s="99" t="inlineStr">
        <is>
          <t>21-GOP</t>
        </is>
      </c>
      <c r="B400" s="10" t="inlineStr">
        <is>
          <t>APOYO</t>
        </is>
      </c>
      <c r="C400" s="10" t="inlineStr">
        <is>
          <t xml:space="preserve">Gestión de Operaciones </t>
        </is>
      </c>
      <c r="D400" s="10" t="inlineStr">
        <is>
          <t>GOP</t>
        </is>
      </c>
      <c r="E400" s="10" t="inlineStr">
        <is>
          <t>Cuadres y Conciliaciones</t>
        </is>
      </c>
      <c r="F400" s="10" t="inlineStr">
        <is>
          <t>-</t>
        </is>
      </c>
      <c r="G400" s="10" t="inlineStr">
        <is>
          <t>Cuadre de transacciones del BCE</t>
        </is>
      </c>
      <c r="H400" s="10" t="inlineStr">
        <is>
          <t>Prueba departamental</t>
        </is>
      </c>
      <c r="I400" s="10" t="inlineStr">
        <is>
          <t xml:space="preserve">Formatos o papeles de trabajo que detallan fecha, oficina, tipo de trx, concepto, valor debito crédito, saldos, validación </t>
        </is>
      </c>
      <c r="J400" s="10" t="inlineStr">
        <is>
          <t>Jefe de Soporte y Cuadres</t>
        </is>
      </c>
      <c r="K400" s="10" t="inlineStr">
        <is>
          <t>Asistente Operativo</t>
        </is>
      </c>
      <c r="L400" s="10" t="inlineStr">
        <is>
          <t>UBICACIÓN DIGITAL-EQUIPO DEL CUSTODIO</t>
        </is>
      </c>
      <c r="M400" s="10" t="inlineStr">
        <is>
          <t>DISCOS DUROS, SERVIDORES, DISCOS O MEDIOS PORTÁTILES, CINTAS O MEDIOS DE VIDEO Y AUDIO, ETC.</t>
        </is>
      </c>
      <c r="N400" s="10" t="inlineStr">
        <is>
          <t>PRIMARIOS</t>
        </is>
      </c>
      <c r="O400" s="10" t="inlineStr">
        <is>
          <t>DOCUMENTOS TÉCNICOS</t>
        </is>
      </c>
      <c r="P400" s="10" t="inlineStr">
        <is>
          <t>USO INTERNO(2)</t>
        </is>
      </c>
      <c r="Q400" s="10" t="inlineStr">
        <is>
          <t>BAJA(1)</t>
        </is>
      </c>
      <c r="R400" s="10" t="inlineStr">
        <is>
          <t>BAJA(1)</t>
        </is>
      </c>
      <c r="S400" s="10">
        <f>+(IF(P400="PUBLICA(1)",1,IF(P400="USO INTERNO(2)",2,IF(P400="RESTRINGIDO(3)",3,3))))+(IF(Q400="BAJA(1)",1,IF(Q400="MEDIA(2)",2,IF(Q400="ALTA(3)",3,3))))+(IF(R400="BAJA(1)",1,IF(R400="MEDIA(2)",2,IF(R400="ALTA(3)",3,3))))</f>
        <v/>
      </c>
      <c r="T400" s="10">
        <f>+IF(S400&lt;6,"BAJA",IF(S400&lt;8,"MEDIA","ALTA"))</f>
        <v/>
      </c>
      <c r="U400" s="10" t="inlineStr">
        <is>
          <t>-</t>
        </is>
      </c>
      <c r="V400" s="24" t="n">
        <v>45674</v>
      </c>
      <c r="W400" s="19" t="inlineStr">
        <is>
          <t>N/A</t>
        </is>
      </c>
      <c r="X400" s="10">
        <f>+IFERROR(IF(VLOOKUP(Tabla2[[#This Row],[ID]],'EVALUACION DE RIESGO'!A:A,1,FALSE)=Tabla2[[#This Row],[ID]],"SI","NO"),"NO")</f>
        <v/>
      </c>
      <c r="AD400">
        <f>IF(AND(Y400="",AA400=""),"",IF(OR(LEFT(AA400,2)="L0",LEFT(AA400,2)="L1",Y400="No Iniciado"),"CRÍTICO - Incumplimiento Normativo SEPS",IF(AND(OR(LEFT(AA400,2)="L4",LEFT(AA400,2)="L5"),AND(AC400&lt;&gt;"",AC400&lt;&gt;"N/A")),"CONFORME - Control Efectivo ISO 27001","OBSERVACIÓN - Revisar Controles")))</f>
        <v/>
      </c>
    </row>
    <row r="401">
      <c r="A401" s="99" t="inlineStr">
        <is>
          <t>22-GOP</t>
        </is>
      </c>
      <c r="B401" s="10" t="inlineStr">
        <is>
          <t>APOYO</t>
        </is>
      </c>
      <c r="C401" s="10" t="inlineStr">
        <is>
          <t xml:space="preserve">Gestión de Operaciones </t>
        </is>
      </c>
      <c r="D401" s="10" t="inlineStr">
        <is>
          <t>GOP</t>
        </is>
      </c>
      <c r="E401" s="10" t="inlineStr">
        <is>
          <t>Cuadres y Conciliaciones</t>
        </is>
      </c>
      <c r="F401" s="10" t="inlineStr">
        <is>
          <t>-</t>
        </is>
      </c>
      <c r="G401" s="10" t="inlineStr">
        <is>
          <t>Cuadre de transacciones del BCE</t>
        </is>
      </c>
      <c r="H401" s="10" t="inlineStr">
        <is>
          <t>Solicitud de ajuste Contable</t>
        </is>
      </c>
      <c r="I401" s="10" t="inlineStr">
        <is>
          <t>Formulario de corrección de errores que se envía a contabilidad y reportes de webcoop, así como los files de proveedores</t>
        </is>
      </c>
      <c r="J401" s="10" t="inlineStr">
        <is>
          <t>Jefe de Soporte y Cuadres</t>
        </is>
      </c>
      <c r="K401" s="10" t="inlineStr">
        <is>
          <t>Asistente Operativo</t>
        </is>
      </c>
      <c r="L401" s="10" t="inlineStr">
        <is>
          <t>UBICACIÓN DIGITAL-EQUIPO DEL CUSTODIO</t>
        </is>
      </c>
      <c r="M401" s="10" t="inlineStr">
        <is>
          <t>DISCOS DUROS, SERVIDORES, DISCOS O MEDIOS PORTÁTILES, CINTAS O MEDIOS DE VIDEO Y AUDIO, ETC.</t>
        </is>
      </c>
      <c r="N401" s="10" t="inlineStr">
        <is>
          <t>PRIMARIOS</t>
        </is>
      </c>
      <c r="O401" s="10" t="inlineStr">
        <is>
          <t>DOCUMENTOS TÉCNICOS</t>
        </is>
      </c>
      <c r="P401" s="10" t="inlineStr">
        <is>
          <t>USO INTERNO(2)</t>
        </is>
      </c>
      <c r="Q401" s="10" t="inlineStr">
        <is>
          <t>BAJA(1)</t>
        </is>
      </c>
      <c r="R401" s="10" t="inlineStr">
        <is>
          <t>BAJA(1)</t>
        </is>
      </c>
      <c r="S401" s="10">
        <f>+(IF(P401="PUBLICA(1)",1,IF(P401="USO INTERNO(2)",2,IF(P401="RESTRINGIDO(3)",3,3))))+(IF(Q401="BAJA(1)",1,IF(Q401="MEDIA(2)",2,IF(Q401="ALTA(3)",3,3))))+(IF(R401="BAJA(1)",1,IF(R401="MEDIA(2)",2,IF(R401="ALTA(3)",3,3))))</f>
        <v/>
      </c>
      <c r="T401" s="10">
        <f>+IF(S401&lt;6,"BAJA",IF(S401&lt;8,"MEDIA","ALTA"))</f>
        <v/>
      </c>
      <c r="U401" s="10" t="inlineStr">
        <is>
          <t>-</t>
        </is>
      </c>
      <c r="V401" s="24" t="n">
        <v>45674</v>
      </c>
      <c r="W401" s="19" t="inlineStr">
        <is>
          <t>N/A</t>
        </is>
      </c>
      <c r="X401" s="10">
        <f>+IFERROR(IF(VLOOKUP(Tabla2[[#This Row],[ID]],'EVALUACION DE RIESGO'!A:A,1,FALSE)=Tabla2[[#This Row],[ID]],"SI","NO"),"NO")</f>
        <v/>
      </c>
      <c r="AD401">
        <f>IF(AND(Y401="",AA401=""),"",IF(OR(LEFT(AA401,2)="L0",LEFT(AA401,2)="L1",Y401="No Iniciado"),"CRÍTICO - Incumplimiento Normativo SEPS",IF(AND(OR(LEFT(AA401,2)="L4",LEFT(AA401,2)="L5"),AND(AC401&lt;&gt;"",AC401&lt;&gt;"N/A")),"CONFORME - Control Efectivo ISO 27001","OBSERVACIÓN - Revisar Controles")))</f>
        <v/>
      </c>
    </row>
    <row r="402">
      <c r="A402" s="99" t="inlineStr">
        <is>
          <t>23-GOP</t>
        </is>
      </c>
      <c r="B402" s="10" t="inlineStr">
        <is>
          <t>APOYO</t>
        </is>
      </c>
      <c r="C402" s="10" t="inlineStr">
        <is>
          <t xml:space="preserve">Gestión de Operaciones </t>
        </is>
      </c>
      <c r="D402" s="10" t="inlineStr">
        <is>
          <t>GOP</t>
        </is>
      </c>
      <c r="E402" s="10" t="inlineStr">
        <is>
          <t>Cuadres y Conciliaciones</t>
        </is>
      </c>
      <c r="F402" s="10" t="inlineStr">
        <is>
          <t>-</t>
        </is>
      </c>
      <c r="G402" s="10" t="inlineStr">
        <is>
          <t>Cuadre de transacciones del BCE</t>
        </is>
      </c>
      <c r="H402" s="10" t="inlineStr">
        <is>
          <t>Bitácora de Seguimiento de ajustes contables</t>
        </is>
      </c>
      <c r="I402" s="10" t="inlineStr">
        <is>
          <t xml:space="preserve">Registro de históricos de ajustes contables </t>
        </is>
      </c>
      <c r="J402" s="10" t="inlineStr">
        <is>
          <t>Jefe de Soporte y Cuadres</t>
        </is>
      </c>
      <c r="K402" s="10" t="inlineStr">
        <is>
          <t>JEFE DE INFRAESTRUCTURA OPERACIONAL</t>
        </is>
      </c>
      <c r="L402" s="10" t="inlineStr">
        <is>
          <t>UBICACIÓN DIGITAL-EQUIPO DEL CUSTODIO</t>
        </is>
      </c>
      <c r="M402" s="10" t="inlineStr">
        <is>
          <t>DISCOS DUROS, SERVIDORES, DISCOS O MEDIOS PORTÁTILES, CINTAS O MEDIOS DE VIDEO Y AUDIO, ETC.</t>
        </is>
      </c>
      <c r="N402" s="10" t="inlineStr">
        <is>
          <t>PRIMARIOS</t>
        </is>
      </c>
      <c r="O402" s="10" t="inlineStr">
        <is>
          <t>DOCUMENTOS TÉCNICOS</t>
        </is>
      </c>
      <c r="P402" s="10" t="inlineStr">
        <is>
          <t>USO INTERNO(2)</t>
        </is>
      </c>
      <c r="Q402" s="10" t="inlineStr">
        <is>
          <t>BAJA(1)</t>
        </is>
      </c>
      <c r="R402" s="10" t="inlineStr">
        <is>
          <t>BAJA(1)</t>
        </is>
      </c>
      <c r="S402" s="10">
        <f>+(IF(P402="PUBLICA(1)",1,IF(P402="USO INTERNO(2)",2,IF(P402="RESTRINGIDO(3)",3,3))))+(IF(Q402="BAJA(1)",1,IF(Q402="MEDIA(2)",2,IF(Q402="ALTA(3)",3,3))))+(IF(R402="BAJA(1)",1,IF(R402="MEDIA(2)",2,IF(R402="ALTA(3)",3,3))))</f>
        <v/>
      </c>
      <c r="T402" s="10">
        <f>+IF(S402&lt;6,"BAJA",IF(S402&lt;8,"MEDIA","ALTA"))</f>
        <v/>
      </c>
      <c r="U402" s="10" t="inlineStr">
        <is>
          <t>-</t>
        </is>
      </c>
      <c r="V402" s="24" t="n">
        <v>45674</v>
      </c>
      <c r="W402" s="19" t="inlineStr">
        <is>
          <t>N/A</t>
        </is>
      </c>
      <c r="X402" s="10">
        <f>+IFERROR(IF(VLOOKUP(Tabla2[[#This Row],[ID]],'EVALUACION DE RIESGO'!A:A,1,FALSE)=Tabla2[[#This Row],[ID]],"SI","NO"),"NO")</f>
        <v/>
      </c>
      <c r="AD402">
        <f>IF(AND(Y402="",AA402=""),"",IF(OR(LEFT(AA402,2)="L0",LEFT(AA402,2)="L1",Y402="No Iniciado"),"CRÍTICO - Incumplimiento Normativo SEPS",IF(AND(OR(LEFT(AA402,2)="L4",LEFT(AA402,2)="L5"),AND(AC402&lt;&gt;"",AC402&lt;&gt;"N/A")),"CONFORME - Control Efectivo ISO 27001","OBSERVACIÓN - Revisar Controles")))</f>
        <v/>
      </c>
    </row>
    <row r="403">
      <c r="A403" s="99" t="inlineStr">
        <is>
          <t>24-GOP</t>
        </is>
      </c>
      <c r="B403" s="10" t="inlineStr">
        <is>
          <t>APOYO</t>
        </is>
      </c>
      <c r="C403" s="10" t="inlineStr">
        <is>
          <t xml:space="preserve">Gestión de Operaciones </t>
        </is>
      </c>
      <c r="D403" s="10" t="inlineStr">
        <is>
          <t>GOP</t>
        </is>
      </c>
      <c r="E403" s="10" t="inlineStr">
        <is>
          <t>Cuadres y Conciliaciones</t>
        </is>
      </c>
      <c r="F403" s="10" t="inlineStr">
        <is>
          <t>-</t>
        </is>
      </c>
      <c r="G403" s="10" t="inlineStr">
        <is>
          <t>Conciliación de Retiros de Tarjetas Propias</t>
        </is>
      </c>
      <c r="H403" s="10" t="inlineStr">
        <is>
          <t>Prueba departamental</t>
        </is>
      </c>
      <c r="I403" s="10" t="inlineStr">
        <is>
          <t xml:space="preserve">Formatos o papeles de trabajo que detallan fecha, oficina, tipo de trx, concepto, valor debito crédito, saldos, validación </t>
        </is>
      </c>
      <c r="J403" s="10" t="inlineStr">
        <is>
          <t>Jefe de Soporte y Cuadres</t>
        </is>
      </c>
      <c r="K403" s="10" t="inlineStr">
        <is>
          <t>Asistente Operativo</t>
        </is>
      </c>
      <c r="L403" s="10" t="inlineStr">
        <is>
          <t>UBICACIÓN DIGITAL-EQUIPO DEL CUSTODIO</t>
        </is>
      </c>
      <c r="M403" s="10" t="inlineStr">
        <is>
          <t>DISCOS DUROS, SERVIDORES, DISCOS O MEDIOS PORTÁTILES, CINTAS O MEDIOS DE VIDEO Y AUDIO, ETC.</t>
        </is>
      </c>
      <c r="N403" s="10" t="inlineStr">
        <is>
          <t>PRIMARIOS</t>
        </is>
      </c>
      <c r="O403" s="10" t="inlineStr">
        <is>
          <t>DOCUMENTOS TÉCNICOS</t>
        </is>
      </c>
      <c r="P403" s="10" t="inlineStr">
        <is>
          <t>USO INTERNO(2)</t>
        </is>
      </c>
      <c r="Q403" s="10" t="inlineStr">
        <is>
          <t>BAJA(1)</t>
        </is>
      </c>
      <c r="R403" s="10" t="inlineStr">
        <is>
          <t>BAJA(1)</t>
        </is>
      </c>
      <c r="S403" s="10">
        <f>+(IF(P403="PUBLICA(1)",1,IF(P403="USO INTERNO(2)",2,IF(P403="RESTRINGIDO(3)",3,3))))+(IF(Q403="BAJA(1)",1,IF(Q403="MEDIA(2)",2,IF(Q403="ALTA(3)",3,3))))+(IF(R403="BAJA(1)",1,IF(R403="MEDIA(2)",2,IF(R403="ALTA(3)",3,3))))</f>
        <v/>
      </c>
      <c r="T403" s="10">
        <f>+IF(S403&lt;6,"BAJA",IF(S403&lt;8,"MEDIA","ALTA"))</f>
        <v/>
      </c>
      <c r="U403" s="10" t="inlineStr">
        <is>
          <t>-</t>
        </is>
      </c>
      <c r="V403" s="24" t="n">
        <v>45674</v>
      </c>
      <c r="W403" s="19" t="inlineStr">
        <is>
          <t>N/A</t>
        </is>
      </c>
      <c r="X403" s="10">
        <f>+IFERROR(IF(VLOOKUP(Tabla2[[#This Row],[ID]],'EVALUACION DE RIESGO'!A:A,1,FALSE)=Tabla2[[#This Row],[ID]],"SI","NO"),"NO")</f>
        <v/>
      </c>
      <c r="AD403">
        <f>IF(AND(Y403="",AA403=""),"",IF(OR(LEFT(AA403,2)="L0",LEFT(AA403,2)="L1",Y403="No Iniciado"),"CRÍTICO - Incumplimiento Normativo SEPS",IF(AND(OR(LEFT(AA403,2)="L4",LEFT(AA403,2)="L5"),AND(AC403&lt;&gt;"",AC403&lt;&gt;"N/A")),"CONFORME - Control Efectivo ISO 27001","OBSERVACIÓN - Revisar Controles")))</f>
        <v/>
      </c>
    </row>
    <row r="404">
      <c r="A404" s="99" t="inlineStr">
        <is>
          <t>25-GOP</t>
        </is>
      </c>
      <c r="B404" s="10" t="inlineStr">
        <is>
          <t>APOYO</t>
        </is>
      </c>
      <c r="C404" s="10" t="inlineStr">
        <is>
          <t xml:space="preserve">Gestión de Operaciones </t>
        </is>
      </c>
      <c r="D404" s="10" t="inlineStr">
        <is>
          <t>GOP</t>
        </is>
      </c>
      <c r="E404" s="10" t="inlineStr">
        <is>
          <t>Cuadres y Conciliaciones</t>
        </is>
      </c>
      <c r="F404" s="10" t="inlineStr">
        <is>
          <t>-</t>
        </is>
      </c>
      <c r="G404" s="10" t="inlineStr">
        <is>
          <t>Conciliación de Retiros de Tarjetas Propias</t>
        </is>
      </c>
      <c r="H404" s="10" t="inlineStr">
        <is>
          <t>Solicitud de ajuste Contable</t>
        </is>
      </c>
      <c r="I404" s="10" t="inlineStr">
        <is>
          <t>Formulario de corrección de errores que se envía a contabilidad y reportes de webcoop, así como los files de proveedores</t>
        </is>
      </c>
      <c r="J404" s="10" t="inlineStr">
        <is>
          <t>Jefe de Soporte y Cuadres</t>
        </is>
      </c>
      <c r="K404" s="10" t="inlineStr">
        <is>
          <t>Asistente Operativo</t>
        </is>
      </c>
      <c r="L404" s="10" t="inlineStr">
        <is>
          <t>UBICACIÓN DIGITAL-EQUIPO DEL CUSTODIO</t>
        </is>
      </c>
      <c r="M404" s="10" t="inlineStr">
        <is>
          <t>DISCOS DUROS, SERVIDORES, DISCOS O MEDIOS PORTÁTILES, CINTAS O MEDIOS DE VIDEO Y AUDIO, ETC.</t>
        </is>
      </c>
      <c r="N404" s="10" t="inlineStr">
        <is>
          <t>PRIMARIOS</t>
        </is>
      </c>
      <c r="O404" s="10" t="inlineStr">
        <is>
          <t>DOCUMENTOS TÉCNICOS</t>
        </is>
      </c>
      <c r="P404" s="10" t="inlineStr">
        <is>
          <t>USO INTERNO(2)</t>
        </is>
      </c>
      <c r="Q404" s="10" t="inlineStr">
        <is>
          <t>BAJA(1)</t>
        </is>
      </c>
      <c r="R404" s="10" t="inlineStr">
        <is>
          <t>BAJA(1)</t>
        </is>
      </c>
      <c r="S404" s="10">
        <f>+(IF(P404="PUBLICA(1)",1,IF(P404="USO INTERNO(2)",2,IF(P404="RESTRINGIDO(3)",3,3))))+(IF(Q404="BAJA(1)",1,IF(Q404="MEDIA(2)",2,IF(Q404="ALTA(3)",3,3))))+(IF(R404="BAJA(1)",1,IF(R404="MEDIA(2)",2,IF(R404="ALTA(3)",3,3))))</f>
        <v/>
      </c>
      <c r="T404" s="10">
        <f>+IF(S404&lt;6,"BAJA",IF(S404&lt;8,"MEDIA","ALTA"))</f>
        <v/>
      </c>
      <c r="U404" s="10" t="inlineStr">
        <is>
          <t>-</t>
        </is>
      </c>
      <c r="V404" s="24" t="n">
        <v>45674</v>
      </c>
      <c r="W404" s="19" t="inlineStr">
        <is>
          <t>N/A</t>
        </is>
      </c>
      <c r="X404" s="10">
        <f>+IFERROR(IF(VLOOKUP(Tabla2[[#This Row],[ID]],'EVALUACION DE RIESGO'!A:A,1,FALSE)=Tabla2[[#This Row],[ID]],"SI","NO"),"NO")</f>
        <v/>
      </c>
      <c r="AD404">
        <f>IF(AND(Y404="",AA404=""),"",IF(OR(LEFT(AA404,2)="L0",LEFT(AA404,2)="L1",Y404="No Iniciado"),"CRÍTICO - Incumplimiento Normativo SEPS",IF(AND(OR(LEFT(AA404,2)="L4",LEFT(AA404,2)="L5"),AND(AC404&lt;&gt;"",AC404&lt;&gt;"N/A")),"CONFORME - Control Efectivo ISO 27001","OBSERVACIÓN - Revisar Controles")))</f>
        <v/>
      </c>
    </row>
    <row r="405">
      <c r="A405" s="99" t="inlineStr">
        <is>
          <t>26-GOP</t>
        </is>
      </c>
      <c r="B405" s="10" t="inlineStr">
        <is>
          <t>APOYO</t>
        </is>
      </c>
      <c r="C405" s="10" t="inlineStr">
        <is>
          <t xml:space="preserve">Gestión de Operaciones </t>
        </is>
      </c>
      <c r="D405" s="10" t="inlineStr">
        <is>
          <t>GOP</t>
        </is>
      </c>
      <c r="E405" s="10" t="inlineStr">
        <is>
          <t>Cuadres y Conciliaciones</t>
        </is>
      </c>
      <c r="F405" s="10" t="inlineStr">
        <is>
          <t>-</t>
        </is>
      </c>
      <c r="G405" s="10" t="inlineStr">
        <is>
          <t>Conciliación de Retiros de Tarjetas Propias</t>
        </is>
      </c>
      <c r="H405" s="10" t="inlineStr">
        <is>
          <t>Bitácora de Seguimiento de ajustes contables</t>
        </is>
      </c>
      <c r="I405" s="10" t="inlineStr">
        <is>
          <t xml:space="preserve">Registro de históricos de ajustes contables </t>
        </is>
      </c>
      <c r="J405" s="10" t="inlineStr">
        <is>
          <t>Jefe de Soporte y Cuadres</t>
        </is>
      </c>
      <c r="K405" s="10" t="inlineStr">
        <is>
          <t>JEFE DE INFRAESTRUCTURA OPERACIONAL</t>
        </is>
      </c>
      <c r="L405" s="10" t="inlineStr">
        <is>
          <t>UBICACIÓN DIGITAL-EQUIPO DEL CUSTODIO</t>
        </is>
      </c>
      <c r="M405" s="10" t="inlineStr">
        <is>
          <t>DISCOS DUROS, SERVIDORES, DISCOS O MEDIOS PORTÁTILES, CINTAS O MEDIOS DE VIDEO Y AUDIO, ETC.</t>
        </is>
      </c>
      <c r="N405" s="10" t="inlineStr">
        <is>
          <t>PRIMARIOS</t>
        </is>
      </c>
      <c r="O405" s="10" t="inlineStr">
        <is>
          <t>DOCUMENTOS TÉCNICOS</t>
        </is>
      </c>
      <c r="P405" s="10" t="inlineStr">
        <is>
          <t>USO INTERNO(2)</t>
        </is>
      </c>
      <c r="Q405" s="10" t="inlineStr">
        <is>
          <t>BAJA(1)</t>
        </is>
      </c>
      <c r="R405" s="10" t="inlineStr">
        <is>
          <t>BAJA(1)</t>
        </is>
      </c>
      <c r="S405" s="10">
        <f>+(IF(P405="PUBLICA(1)",1,IF(P405="USO INTERNO(2)",2,IF(P405="RESTRINGIDO(3)",3,3))))+(IF(Q405="BAJA(1)",1,IF(Q405="MEDIA(2)",2,IF(Q405="ALTA(3)",3,3))))+(IF(R405="BAJA(1)",1,IF(R405="MEDIA(2)",2,IF(R405="ALTA(3)",3,3))))</f>
        <v/>
      </c>
      <c r="T405" s="10">
        <f>+IF(S405&lt;6,"BAJA",IF(S405&lt;8,"MEDIA","ALTA"))</f>
        <v/>
      </c>
      <c r="U405" s="10" t="inlineStr">
        <is>
          <t>-</t>
        </is>
      </c>
      <c r="V405" s="24" t="n">
        <v>45674</v>
      </c>
      <c r="W405" s="19" t="inlineStr">
        <is>
          <t>N/A</t>
        </is>
      </c>
      <c r="X405" s="10">
        <f>+IFERROR(IF(VLOOKUP(Tabla2[[#This Row],[ID]],'EVALUACION DE RIESGO'!A:A,1,FALSE)=Tabla2[[#This Row],[ID]],"SI","NO"),"NO")</f>
        <v/>
      </c>
      <c r="AD405">
        <f>IF(AND(Y405="",AA405=""),"",IF(OR(LEFT(AA405,2)="L0",LEFT(AA405,2)="L1",Y405="No Iniciado"),"CRÍTICO - Incumplimiento Normativo SEPS",IF(AND(OR(LEFT(AA405,2)="L4",LEFT(AA405,2)="L5"),AND(AC405&lt;&gt;"",AC405&lt;&gt;"N/A")),"CONFORME - Control Efectivo ISO 27001","OBSERVACIÓN - Revisar Controles")))</f>
        <v/>
      </c>
    </row>
    <row r="406">
      <c r="A406" s="99" t="inlineStr">
        <is>
          <t>27-GOP</t>
        </is>
      </c>
      <c r="B406" s="10" t="inlineStr">
        <is>
          <t>APOYO</t>
        </is>
      </c>
      <c r="C406" s="10" t="inlineStr">
        <is>
          <t xml:space="preserve">Gestión de Operaciones </t>
        </is>
      </c>
      <c r="D406" s="10" t="inlineStr">
        <is>
          <t>GOP</t>
        </is>
      </c>
      <c r="E406" s="10" t="inlineStr">
        <is>
          <t>Cuadres y Conciliaciones</t>
        </is>
      </c>
      <c r="F406" s="10" t="inlineStr">
        <is>
          <t>-</t>
        </is>
      </c>
      <c r="G406" s="10" t="inlineStr">
        <is>
          <t>Conciliación de retiros con Tarjetas Propias en otras instituciones</t>
        </is>
      </c>
      <c r="H406" s="10" t="inlineStr">
        <is>
          <t>Prueba departamental</t>
        </is>
      </c>
      <c r="I406" s="10" t="inlineStr">
        <is>
          <t xml:space="preserve">Formatos o papeles de trabajo que detallan fecha, oficina, tipo de trx, concepto, valor debito crédito, saldos, validación </t>
        </is>
      </c>
      <c r="J406" s="10" t="inlineStr">
        <is>
          <t>Jefe de Soporte y Cuadres</t>
        </is>
      </c>
      <c r="K406" s="10" t="inlineStr">
        <is>
          <t>Asistente Operativo</t>
        </is>
      </c>
      <c r="L406" s="10" t="inlineStr">
        <is>
          <t>UBICACIÓN DIGITAL-EQUIPO DEL CUSTODIO</t>
        </is>
      </c>
      <c r="M406" s="10" t="inlineStr">
        <is>
          <t>DISCOS DUROS, SERVIDORES, DISCOS O MEDIOS PORTÁTILES, CINTAS O MEDIOS DE VIDEO Y AUDIO, ETC.</t>
        </is>
      </c>
      <c r="N406" s="10" t="inlineStr">
        <is>
          <t>PRIMARIOS</t>
        </is>
      </c>
      <c r="O406" s="10" t="inlineStr">
        <is>
          <t>DOCUMENTOS TÉCNICOS</t>
        </is>
      </c>
      <c r="P406" s="10" t="inlineStr">
        <is>
          <t>USO INTERNO(2)</t>
        </is>
      </c>
      <c r="Q406" s="10" t="inlineStr">
        <is>
          <t>BAJA(1)</t>
        </is>
      </c>
      <c r="R406" s="10" t="inlineStr">
        <is>
          <t>BAJA(1)</t>
        </is>
      </c>
      <c r="S406" s="10">
        <f>+(IF(P406="PUBLICA(1)",1,IF(P406="USO INTERNO(2)",2,IF(P406="RESTRINGIDO(3)",3,3))))+(IF(Q406="BAJA(1)",1,IF(Q406="MEDIA(2)",2,IF(Q406="ALTA(3)",3,3))))+(IF(R406="BAJA(1)",1,IF(R406="MEDIA(2)",2,IF(R406="ALTA(3)",3,3))))</f>
        <v/>
      </c>
      <c r="T406" s="10">
        <f>+IF(S406&lt;6,"BAJA",IF(S406&lt;8,"MEDIA","ALTA"))</f>
        <v/>
      </c>
      <c r="U406" s="10" t="inlineStr">
        <is>
          <t>-</t>
        </is>
      </c>
      <c r="V406" s="24" t="n">
        <v>45674</v>
      </c>
      <c r="W406" s="19" t="inlineStr">
        <is>
          <t>N/A</t>
        </is>
      </c>
      <c r="X406" s="10">
        <f>+IFERROR(IF(VLOOKUP(Tabla2[[#This Row],[ID]],'EVALUACION DE RIESGO'!A:A,1,FALSE)=Tabla2[[#This Row],[ID]],"SI","NO"),"NO")</f>
        <v/>
      </c>
      <c r="AD406">
        <f>IF(AND(Y406="",AA406=""),"",IF(OR(LEFT(AA406,2)="L0",LEFT(AA406,2)="L1",Y406="No Iniciado"),"CRÍTICO - Incumplimiento Normativo SEPS",IF(AND(OR(LEFT(AA406,2)="L4",LEFT(AA406,2)="L5"),AND(AC406&lt;&gt;"",AC406&lt;&gt;"N/A")),"CONFORME - Control Efectivo ISO 27001","OBSERVACIÓN - Revisar Controles")))</f>
        <v/>
      </c>
    </row>
    <row r="407">
      <c r="A407" s="99" t="inlineStr">
        <is>
          <t>28-GOP</t>
        </is>
      </c>
      <c r="B407" s="10" t="inlineStr">
        <is>
          <t>APOYO</t>
        </is>
      </c>
      <c r="C407" s="10" t="inlineStr">
        <is>
          <t xml:space="preserve">Gestión de Operaciones </t>
        </is>
      </c>
      <c r="D407" s="10" t="inlineStr">
        <is>
          <t>GOP</t>
        </is>
      </c>
      <c r="E407" s="10" t="inlineStr">
        <is>
          <t>Cuadres y Conciliaciones</t>
        </is>
      </c>
      <c r="F407" s="10" t="inlineStr">
        <is>
          <t>-</t>
        </is>
      </c>
      <c r="G407" s="10" t="inlineStr">
        <is>
          <t>Conciliación de retiros con Tarjetas Propias en otras instituciones</t>
        </is>
      </c>
      <c r="H407" s="10" t="inlineStr">
        <is>
          <t>Solicitud de ajuste Contable</t>
        </is>
      </c>
      <c r="I407" s="10" t="inlineStr">
        <is>
          <t>Formulario de corrección de errores que se envía a contabilidad y reportes de webcoop, así como los files de proveedores</t>
        </is>
      </c>
      <c r="J407" s="10" t="inlineStr">
        <is>
          <t>Jefe de Soporte y Cuadres</t>
        </is>
      </c>
      <c r="K407" s="10" t="inlineStr">
        <is>
          <t>Asistente Operativo</t>
        </is>
      </c>
      <c r="L407" s="10" t="inlineStr">
        <is>
          <t>UBICACIÓN DIGITAL-EQUIPO DEL CUSTODIO</t>
        </is>
      </c>
      <c r="M407" s="10" t="inlineStr">
        <is>
          <t>DISCOS DUROS, SERVIDORES, DISCOS O MEDIOS PORTÁTILES, CINTAS O MEDIOS DE VIDEO Y AUDIO, ETC.</t>
        </is>
      </c>
      <c r="N407" s="10" t="inlineStr">
        <is>
          <t>PRIMARIOS</t>
        </is>
      </c>
      <c r="O407" s="10" t="inlineStr">
        <is>
          <t>DOCUMENTOS TÉCNICOS</t>
        </is>
      </c>
      <c r="P407" s="10" t="inlineStr">
        <is>
          <t>USO INTERNO(2)</t>
        </is>
      </c>
      <c r="Q407" s="10" t="inlineStr">
        <is>
          <t>BAJA(1)</t>
        </is>
      </c>
      <c r="R407" s="10" t="inlineStr">
        <is>
          <t>BAJA(1)</t>
        </is>
      </c>
      <c r="S407" s="10">
        <f>+(IF(P407="PUBLICA(1)",1,IF(P407="USO INTERNO(2)",2,IF(P407="RESTRINGIDO(3)",3,3))))+(IF(Q407="BAJA(1)",1,IF(Q407="MEDIA(2)",2,IF(Q407="ALTA(3)",3,3))))+(IF(R407="BAJA(1)",1,IF(R407="MEDIA(2)",2,IF(R407="ALTA(3)",3,3))))</f>
        <v/>
      </c>
      <c r="T407" s="10">
        <f>+IF(S407&lt;6,"BAJA",IF(S407&lt;8,"MEDIA","ALTA"))</f>
        <v/>
      </c>
      <c r="U407" s="10" t="inlineStr">
        <is>
          <t>-</t>
        </is>
      </c>
      <c r="V407" s="24" t="n">
        <v>45674</v>
      </c>
      <c r="W407" s="19" t="inlineStr">
        <is>
          <t>N/A</t>
        </is>
      </c>
      <c r="X407" s="10">
        <f>+IFERROR(IF(VLOOKUP(Tabla2[[#This Row],[ID]],'EVALUACION DE RIESGO'!A:A,1,FALSE)=Tabla2[[#This Row],[ID]],"SI","NO"),"NO")</f>
        <v/>
      </c>
      <c r="AD407">
        <f>IF(AND(Y407="",AA407=""),"",IF(OR(LEFT(AA407,2)="L0",LEFT(AA407,2)="L1",Y407="No Iniciado"),"CRÍTICO - Incumplimiento Normativo SEPS",IF(AND(OR(LEFT(AA407,2)="L4",LEFT(AA407,2)="L5"),AND(AC407&lt;&gt;"",AC407&lt;&gt;"N/A")),"CONFORME - Control Efectivo ISO 27001","OBSERVACIÓN - Revisar Controles")))</f>
        <v/>
      </c>
    </row>
    <row r="408">
      <c r="A408" s="99" t="inlineStr">
        <is>
          <t>29-GOP</t>
        </is>
      </c>
      <c r="B408" s="10" t="inlineStr">
        <is>
          <t>APOYO</t>
        </is>
      </c>
      <c r="C408" s="10" t="inlineStr">
        <is>
          <t xml:space="preserve">Gestión de Operaciones </t>
        </is>
      </c>
      <c r="D408" s="10" t="inlineStr">
        <is>
          <t>GOP</t>
        </is>
      </c>
      <c r="E408" s="10" t="inlineStr">
        <is>
          <t>Cuadres y Conciliaciones</t>
        </is>
      </c>
      <c r="F408" s="10" t="inlineStr">
        <is>
          <t>-</t>
        </is>
      </c>
      <c r="G408" s="10" t="inlineStr">
        <is>
          <t>Conciliación de retiros con Tarjetas Propias en otras instituciones</t>
        </is>
      </c>
      <c r="H408" s="10" t="inlineStr">
        <is>
          <t>Bitácora de Seguimiento de ajustes contables</t>
        </is>
      </c>
      <c r="I408" s="10" t="inlineStr">
        <is>
          <t xml:space="preserve">Registro de históricos de ajustes contables </t>
        </is>
      </c>
      <c r="J408" s="10" t="inlineStr">
        <is>
          <t>Jefe de Soporte y Cuadres</t>
        </is>
      </c>
      <c r="K408" s="10" t="inlineStr">
        <is>
          <t>JEFE DE INFRAESTRUCTURA OPERACIONAL</t>
        </is>
      </c>
      <c r="L408" s="10" t="inlineStr">
        <is>
          <t>UBICACIÓN DIGITAL-EQUIPO DEL CUSTODIO</t>
        </is>
      </c>
      <c r="M408" s="10" t="inlineStr">
        <is>
          <t>DISCOS DUROS, SERVIDORES, DISCOS O MEDIOS PORTÁTILES, CINTAS O MEDIOS DE VIDEO Y AUDIO, ETC.</t>
        </is>
      </c>
      <c r="N408" s="10" t="inlineStr">
        <is>
          <t>PRIMARIOS</t>
        </is>
      </c>
      <c r="O408" s="10" t="inlineStr">
        <is>
          <t>DOCUMENTOS TÉCNICOS</t>
        </is>
      </c>
      <c r="P408" s="10" t="inlineStr">
        <is>
          <t>USO INTERNO(2)</t>
        </is>
      </c>
      <c r="Q408" s="10" t="inlineStr">
        <is>
          <t>BAJA(1)</t>
        </is>
      </c>
      <c r="R408" s="10" t="inlineStr">
        <is>
          <t>BAJA(1)</t>
        </is>
      </c>
      <c r="S408" s="10">
        <f>+(IF(P408="PUBLICA(1)",1,IF(P408="USO INTERNO(2)",2,IF(P408="RESTRINGIDO(3)",3,3))))+(IF(Q408="BAJA(1)",1,IF(Q408="MEDIA(2)",2,IF(Q408="ALTA(3)",3,3))))+(IF(R408="BAJA(1)",1,IF(R408="MEDIA(2)",2,IF(R408="ALTA(3)",3,3))))</f>
        <v/>
      </c>
      <c r="T408" s="10">
        <f>+IF(S408&lt;6,"BAJA",IF(S408&lt;8,"MEDIA","ALTA"))</f>
        <v/>
      </c>
      <c r="U408" s="10" t="inlineStr">
        <is>
          <t>-</t>
        </is>
      </c>
      <c r="V408" s="24" t="n">
        <v>45674</v>
      </c>
      <c r="W408" s="19" t="inlineStr">
        <is>
          <t>N/A</t>
        </is>
      </c>
      <c r="X408" s="10">
        <f>+IFERROR(IF(VLOOKUP(Tabla2[[#This Row],[ID]],'EVALUACION DE RIESGO'!A:A,1,FALSE)=Tabla2[[#This Row],[ID]],"SI","NO"),"NO")</f>
        <v/>
      </c>
      <c r="AD408">
        <f>IF(AND(Y408="",AA408=""),"",IF(OR(LEFT(AA408,2)="L0",LEFT(AA408,2)="L1",Y408="No Iniciado"),"CRÍTICO - Incumplimiento Normativo SEPS",IF(AND(OR(LEFT(AA408,2)="L4",LEFT(AA408,2)="L5"),AND(AC408&lt;&gt;"",AC408&lt;&gt;"N/A")),"CONFORME - Control Efectivo ISO 27001","OBSERVACIÓN - Revisar Controles")))</f>
        <v/>
      </c>
    </row>
    <row r="409">
      <c r="A409" s="99" t="inlineStr">
        <is>
          <t>30-GOP</t>
        </is>
      </c>
      <c r="B409" s="10" t="inlineStr">
        <is>
          <t>APOYO</t>
        </is>
      </c>
      <c r="C409" s="10" t="inlineStr">
        <is>
          <t xml:space="preserve">Gestión de Operaciones </t>
        </is>
      </c>
      <c r="D409" s="10" t="inlineStr">
        <is>
          <t>GOP</t>
        </is>
      </c>
      <c r="E409" s="10" t="inlineStr">
        <is>
          <t>Cuadres y Conciliaciones</t>
        </is>
      </c>
      <c r="F409" s="10" t="inlineStr">
        <is>
          <t>-</t>
        </is>
      </c>
      <c r="G409" s="10" t="inlineStr">
        <is>
          <t>Conciliación de compras POS y Solución de Reclamos</t>
        </is>
      </c>
      <c r="H409" s="10" t="inlineStr">
        <is>
          <t>Prueba departamental</t>
        </is>
      </c>
      <c r="I409" s="10" t="inlineStr">
        <is>
          <t xml:space="preserve">Formatos o papeles de trabajo que detallan fecha, oficina, tipo de trx, concepto, valor debito crédito, saldos, validación </t>
        </is>
      </c>
      <c r="J409" s="10" t="inlineStr">
        <is>
          <t>Jefe de Soporte y Cuadres</t>
        </is>
      </c>
      <c r="K409" s="10" t="inlineStr">
        <is>
          <t>Asistente Operativo</t>
        </is>
      </c>
      <c r="L409" s="10" t="inlineStr">
        <is>
          <t>UBICACIÓN DIGITAL-EQUIPO DEL CUSTODIO</t>
        </is>
      </c>
      <c r="M409" s="10" t="inlineStr">
        <is>
          <t>DISCOS DUROS, SERVIDORES, DISCOS O MEDIOS PORTÁTILES, CINTAS O MEDIOS DE VIDEO Y AUDIO, ETC.</t>
        </is>
      </c>
      <c r="N409" s="10" t="inlineStr">
        <is>
          <t>PRIMARIOS</t>
        </is>
      </c>
      <c r="O409" s="10" t="inlineStr">
        <is>
          <t>DOCUMENTOS TÉCNICOS</t>
        </is>
      </c>
      <c r="P409" s="10" t="inlineStr">
        <is>
          <t>USO INTERNO(2)</t>
        </is>
      </c>
      <c r="Q409" s="10" t="inlineStr">
        <is>
          <t>BAJA(1)</t>
        </is>
      </c>
      <c r="R409" s="10" t="inlineStr">
        <is>
          <t>BAJA(1)</t>
        </is>
      </c>
      <c r="S409" s="10">
        <f>+(IF(P409="PUBLICA(1)",1,IF(P409="USO INTERNO(2)",2,IF(P409="RESTRINGIDO(3)",3,3))))+(IF(Q409="BAJA(1)",1,IF(Q409="MEDIA(2)",2,IF(Q409="ALTA(3)",3,3))))+(IF(R409="BAJA(1)",1,IF(R409="MEDIA(2)",2,IF(R409="ALTA(3)",3,3))))</f>
        <v/>
      </c>
      <c r="T409" s="10">
        <f>+IF(S409&lt;6,"BAJA",IF(S409&lt;8,"MEDIA","ALTA"))</f>
        <v/>
      </c>
      <c r="U409" s="10" t="inlineStr">
        <is>
          <t>-</t>
        </is>
      </c>
      <c r="V409" s="24" t="n">
        <v>45674</v>
      </c>
      <c r="W409" s="19" t="inlineStr">
        <is>
          <t>N/A</t>
        </is>
      </c>
      <c r="X409" s="10">
        <f>+IFERROR(IF(VLOOKUP(Tabla2[[#This Row],[ID]],'EVALUACION DE RIESGO'!A:A,1,FALSE)=Tabla2[[#This Row],[ID]],"SI","NO"),"NO")</f>
        <v/>
      </c>
      <c r="AD409">
        <f>IF(AND(Y409="",AA409=""),"",IF(OR(LEFT(AA409,2)="L0",LEFT(AA409,2)="L1",Y409="No Iniciado"),"CRÍTICO - Incumplimiento Normativo SEPS",IF(AND(OR(LEFT(AA409,2)="L4",LEFT(AA409,2)="L5"),AND(AC409&lt;&gt;"",AC409&lt;&gt;"N/A")),"CONFORME - Control Efectivo ISO 27001","OBSERVACIÓN - Revisar Controles")))</f>
        <v/>
      </c>
    </row>
    <row r="410">
      <c r="A410" s="99" t="inlineStr">
        <is>
          <t>31-GOP</t>
        </is>
      </c>
      <c r="B410" s="10" t="inlineStr">
        <is>
          <t>APOYO</t>
        </is>
      </c>
      <c r="C410" s="10" t="inlineStr">
        <is>
          <t xml:space="preserve">Gestión de Operaciones </t>
        </is>
      </c>
      <c r="D410" s="10" t="inlineStr">
        <is>
          <t>GOP</t>
        </is>
      </c>
      <c r="E410" s="10" t="inlineStr">
        <is>
          <t>Cuadres y Conciliaciones</t>
        </is>
      </c>
      <c r="F410" s="10" t="inlineStr">
        <is>
          <t>-</t>
        </is>
      </c>
      <c r="G410" s="10" t="inlineStr">
        <is>
          <t>Conciliación de compras POS y Solución de Reclamos</t>
        </is>
      </c>
      <c r="H410" s="10" t="inlineStr">
        <is>
          <t>Solicitud de ajuste Contable</t>
        </is>
      </c>
      <c r="I410" s="10" t="inlineStr">
        <is>
          <t>Formulario de corrección de errores que se envía a contabilidad y reportes de webcoop, así como los files de proveedores</t>
        </is>
      </c>
      <c r="J410" s="10" t="inlineStr">
        <is>
          <t>Jefe de Soporte y Cuadres</t>
        </is>
      </c>
      <c r="K410" s="10" t="inlineStr">
        <is>
          <t>Asistente Operativo</t>
        </is>
      </c>
      <c r="L410" s="10" t="inlineStr">
        <is>
          <t>UBICACIÓN DIGITAL-EQUIPO DEL CUSTODIO</t>
        </is>
      </c>
      <c r="M410" s="10" t="inlineStr">
        <is>
          <t>DISCOS DUROS, SERVIDORES, DISCOS O MEDIOS PORTÁTILES, CINTAS O MEDIOS DE VIDEO Y AUDIO, ETC.</t>
        </is>
      </c>
      <c r="N410" s="10" t="inlineStr">
        <is>
          <t>PRIMARIOS</t>
        </is>
      </c>
      <c r="O410" s="10" t="inlineStr">
        <is>
          <t>DOCUMENTOS TÉCNICOS</t>
        </is>
      </c>
      <c r="P410" s="10" t="inlineStr">
        <is>
          <t>USO INTERNO(2)</t>
        </is>
      </c>
      <c r="Q410" s="10" t="inlineStr">
        <is>
          <t>BAJA(1)</t>
        </is>
      </c>
      <c r="R410" s="10" t="inlineStr">
        <is>
          <t>BAJA(1)</t>
        </is>
      </c>
      <c r="S410" s="10">
        <f>+(IF(P410="PUBLICA(1)",1,IF(P410="USO INTERNO(2)",2,IF(P410="RESTRINGIDO(3)",3,3))))+(IF(Q410="BAJA(1)",1,IF(Q410="MEDIA(2)",2,IF(Q410="ALTA(3)",3,3))))+(IF(R410="BAJA(1)",1,IF(R410="MEDIA(2)",2,IF(R410="ALTA(3)",3,3))))</f>
        <v/>
      </c>
      <c r="T410" s="10">
        <f>+IF(S410&lt;6,"BAJA",IF(S410&lt;8,"MEDIA","ALTA"))</f>
        <v/>
      </c>
      <c r="U410" s="10" t="inlineStr">
        <is>
          <t>-</t>
        </is>
      </c>
      <c r="V410" s="24" t="n">
        <v>45674</v>
      </c>
      <c r="W410" s="19" t="inlineStr">
        <is>
          <t>N/A</t>
        </is>
      </c>
      <c r="X410" s="10">
        <f>+IFERROR(IF(VLOOKUP(Tabla2[[#This Row],[ID]],'EVALUACION DE RIESGO'!A:A,1,FALSE)=Tabla2[[#This Row],[ID]],"SI","NO"),"NO")</f>
        <v/>
      </c>
      <c r="AD410">
        <f>IF(AND(Y410="",AA410=""),"",IF(OR(LEFT(AA410,2)="L0",LEFT(AA410,2)="L1",Y410="No Iniciado"),"CRÍTICO - Incumplimiento Normativo SEPS",IF(AND(OR(LEFT(AA410,2)="L4",LEFT(AA410,2)="L5"),AND(AC410&lt;&gt;"",AC410&lt;&gt;"N/A")),"CONFORME - Control Efectivo ISO 27001","OBSERVACIÓN - Revisar Controles")))</f>
        <v/>
      </c>
    </row>
    <row r="411">
      <c r="A411" s="99" t="inlineStr">
        <is>
          <t>32-GOP</t>
        </is>
      </c>
      <c r="B411" s="10" t="inlineStr">
        <is>
          <t>APOYO</t>
        </is>
      </c>
      <c r="C411" s="10" t="inlineStr">
        <is>
          <t xml:space="preserve">Gestión de Operaciones </t>
        </is>
      </c>
      <c r="D411" s="10" t="inlineStr">
        <is>
          <t>GOP</t>
        </is>
      </c>
      <c r="E411" s="10" t="inlineStr">
        <is>
          <t>Cuadres y Conciliaciones</t>
        </is>
      </c>
      <c r="F411" s="10" t="inlineStr">
        <is>
          <t>-</t>
        </is>
      </c>
      <c r="G411" s="10" t="inlineStr">
        <is>
          <t>Conciliación de compras POS y Solución de Reclamos</t>
        </is>
      </c>
      <c r="H411" s="10" t="inlineStr">
        <is>
          <t>Bitácora de Seguimiento de ajustes contables</t>
        </is>
      </c>
      <c r="I411" s="10" t="inlineStr">
        <is>
          <t xml:space="preserve">Registro de históricos de ajustes contables </t>
        </is>
      </c>
      <c r="J411" s="10" t="inlineStr">
        <is>
          <t>Jefe de Soporte y Cuadres</t>
        </is>
      </c>
      <c r="K411" s="10" t="inlineStr">
        <is>
          <t>JEFE DE INFRAESTRUCTURA OPERACIONAL</t>
        </is>
      </c>
      <c r="L411" s="10" t="inlineStr">
        <is>
          <t>UBICACIÓN DIGITAL-EQUIPO DEL CUSTODIO</t>
        </is>
      </c>
      <c r="M411" s="10" t="inlineStr">
        <is>
          <t>DISCOS DUROS, SERVIDORES, DISCOS O MEDIOS PORTÁTILES, CINTAS O MEDIOS DE VIDEO Y AUDIO, ETC.</t>
        </is>
      </c>
      <c r="N411" s="10" t="inlineStr">
        <is>
          <t>PRIMARIOS</t>
        </is>
      </c>
      <c r="O411" s="10" t="inlineStr">
        <is>
          <t>DOCUMENTOS TÉCNICOS</t>
        </is>
      </c>
      <c r="P411" s="10" t="inlineStr">
        <is>
          <t>USO INTERNO(2)</t>
        </is>
      </c>
      <c r="Q411" s="10" t="inlineStr">
        <is>
          <t>BAJA(1)</t>
        </is>
      </c>
      <c r="R411" s="10" t="inlineStr">
        <is>
          <t>BAJA(1)</t>
        </is>
      </c>
      <c r="S411" s="10">
        <f>+(IF(P411="PUBLICA(1)",1,IF(P411="USO INTERNO(2)",2,IF(P411="RESTRINGIDO(3)",3,3))))+(IF(Q411="BAJA(1)",1,IF(Q411="MEDIA(2)",2,IF(Q411="ALTA(3)",3,3))))+(IF(R411="BAJA(1)",1,IF(R411="MEDIA(2)",2,IF(R411="ALTA(3)",3,3))))</f>
        <v/>
      </c>
      <c r="T411" s="10">
        <f>+IF(S411&lt;6,"BAJA",IF(S411&lt;8,"MEDIA","ALTA"))</f>
        <v/>
      </c>
      <c r="U411" s="10" t="inlineStr">
        <is>
          <t>-</t>
        </is>
      </c>
      <c r="V411" s="24" t="n">
        <v>45674</v>
      </c>
      <c r="W411" s="19" t="inlineStr">
        <is>
          <t>N/A</t>
        </is>
      </c>
      <c r="X411" s="10">
        <f>+IFERROR(IF(VLOOKUP(Tabla2[[#This Row],[ID]],'EVALUACION DE RIESGO'!A:A,1,FALSE)=Tabla2[[#This Row],[ID]],"SI","NO"),"NO")</f>
        <v/>
      </c>
      <c r="AD411">
        <f>IF(AND(Y411="",AA411=""),"",IF(OR(LEFT(AA411,2)="L0",LEFT(AA411,2)="L1",Y411="No Iniciado"),"CRÍTICO - Incumplimiento Normativo SEPS",IF(AND(OR(LEFT(AA411,2)="L4",LEFT(AA411,2)="L5"),AND(AC411&lt;&gt;"",AC411&lt;&gt;"N/A")),"CONFORME - Control Efectivo ISO 27001","OBSERVACIÓN - Revisar Controles")))</f>
        <v/>
      </c>
    </row>
    <row r="412">
      <c r="A412" s="99" t="inlineStr">
        <is>
          <t>33-GOP</t>
        </is>
      </c>
      <c r="B412" s="10" t="inlineStr">
        <is>
          <t>APOYO</t>
        </is>
      </c>
      <c r="C412" s="10" t="inlineStr">
        <is>
          <t xml:space="preserve">Gestión de Operaciones </t>
        </is>
      </c>
      <c r="D412" s="10" t="inlineStr">
        <is>
          <t>GOP</t>
        </is>
      </c>
      <c r="E412" s="10" t="inlineStr">
        <is>
          <t>Cuadres y Conciliaciones</t>
        </is>
      </c>
      <c r="F412" s="10" t="inlineStr">
        <is>
          <t>-</t>
        </is>
      </c>
      <c r="G412" s="10" t="inlineStr">
        <is>
          <t>Cuadre de depósitos y pagos de crédito realizados a través de ATM propio</t>
        </is>
      </c>
      <c r="H412" s="10" t="inlineStr">
        <is>
          <t>Prueba departamental</t>
        </is>
      </c>
      <c r="I412" s="10" t="inlineStr">
        <is>
          <t xml:space="preserve">Formatos o papeles de trabajo que detallan fecha, oficina, tipo de trx, concepto, valor debito crédito, saldos, validación </t>
        </is>
      </c>
      <c r="J412" s="10" t="inlineStr">
        <is>
          <t>Jefe de Soporte y Cuadres</t>
        </is>
      </c>
      <c r="K412" s="10" t="inlineStr">
        <is>
          <t>Asistente Operativo</t>
        </is>
      </c>
      <c r="L412" s="10" t="inlineStr">
        <is>
          <t>UBICACIÓN DIGITAL-EQUIPO DEL CUSTODIO</t>
        </is>
      </c>
      <c r="M412" s="10" t="inlineStr">
        <is>
          <t>DISCOS DUROS, SERVIDORES, DISCOS O MEDIOS PORTÁTILES, CINTAS O MEDIOS DE VIDEO Y AUDIO, ETC.</t>
        </is>
      </c>
      <c r="N412" s="10" t="inlineStr">
        <is>
          <t>PRIMARIOS</t>
        </is>
      </c>
      <c r="O412" s="10" t="inlineStr">
        <is>
          <t>DOCUMENTOS TÉCNICOS</t>
        </is>
      </c>
      <c r="P412" s="10" t="inlineStr">
        <is>
          <t>USO INTERNO(2)</t>
        </is>
      </c>
      <c r="Q412" s="10" t="inlineStr">
        <is>
          <t>BAJA(1)</t>
        </is>
      </c>
      <c r="R412" s="10" t="inlineStr">
        <is>
          <t>BAJA(1)</t>
        </is>
      </c>
      <c r="S412" s="10">
        <f>+(IF(P412="PUBLICA(1)",1,IF(P412="USO INTERNO(2)",2,IF(P412="RESTRINGIDO(3)",3,3))))+(IF(Q412="BAJA(1)",1,IF(Q412="MEDIA(2)",2,IF(Q412="ALTA(3)",3,3))))+(IF(R412="BAJA(1)",1,IF(R412="MEDIA(2)",2,IF(R412="ALTA(3)",3,3))))</f>
        <v/>
      </c>
      <c r="T412" s="10">
        <f>+IF(S412&lt;6,"BAJA",IF(S412&lt;8,"MEDIA","ALTA"))</f>
        <v/>
      </c>
      <c r="U412" s="10" t="inlineStr">
        <is>
          <t>-</t>
        </is>
      </c>
      <c r="V412" s="24" t="n">
        <v>45674</v>
      </c>
      <c r="W412" s="19" t="inlineStr">
        <is>
          <t>N/A</t>
        </is>
      </c>
      <c r="X412" s="10">
        <f>+IFERROR(IF(VLOOKUP(Tabla2[[#This Row],[ID]],'EVALUACION DE RIESGO'!A:A,1,FALSE)=Tabla2[[#This Row],[ID]],"SI","NO"),"NO")</f>
        <v/>
      </c>
      <c r="AD412">
        <f>IF(AND(Y412="",AA412=""),"",IF(OR(LEFT(AA412,2)="L0",LEFT(AA412,2)="L1",Y412="No Iniciado"),"CRÍTICO - Incumplimiento Normativo SEPS",IF(AND(OR(LEFT(AA412,2)="L4",LEFT(AA412,2)="L5"),AND(AC412&lt;&gt;"",AC412&lt;&gt;"N/A")),"CONFORME - Control Efectivo ISO 27001","OBSERVACIÓN - Revisar Controles")))</f>
        <v/>
      </c>
    </row>
    <row r="413">
      <c r="A413" s="99" t="inlineStr">
        <is>
          <t>34-GOP</t>
        </is>
      </c>
      <c r="B413" s="10" t="inlineStr">
        <is>
          <t>APOYO</t>
        </is>
      </c>
      <c r="C413" s="10" t="inlineStr">
        <is>
          <t xml:space="preserve">Gestión de Operaciones </t>
        </is>
      </c>
      <c r="D413" s="10" t="inlineStr">
        <is>
          <t>GOP</t>
        </is>
      </c>
      <c r="E413" s="10" t="inlineStr">
        <is>
          <t>Cuadres y Conciliaciones</t>
        </is>
      </c>
      <c r="F413" s="10" t="inlineStr">
        <is>
          <t>-</t>
        </is>
      </c>
      <c r="G413" s="10" t="inlineStr">
        <is>
          <t>Cuadre de depósitos y pagos de crédito realizados a través de ATM propio</t>
        </is>
      </c>
      <c r="H413" s="10" t="inlineStr">
        <is>
          <t>Solicitud de ajuste Contable</t>
        </is>
      </c>
      <c r="I413" s="10" t="inlineStr">
        <is>
          <t>Formulario de corrección de errores que se envía a contabilidad y reportes de webcoop, así como los files de proveedores</t>
        </is>
      </c>
      <c r="J413" s="10" t="inlineStr">
        <is>
          <t>Jefe de Soporte y Cuadres</t>
        </is>
      </c>
      <c r="K413" s="10" t="inlineStr">
        <is>
          <t>Asistente Operativo</t>
        </is>
      </c>
      <c r="L413" s="10" t="inlineStr">
        <is>
          <t>UBICACIÓN DIGITAL-EQUIPO DEL CUSTODIO</t>
        </is>
      </c>
      <c r="M413" s="10" t="inlineStr">
        <is>
          <t>DISCOS DUROS, SERVIDORES, DISCOS O MEDIOS PORTÁTILES, CINTAS O MEDIOS DE VIDEO Y AUDIO, ETC.</t>
        </is>
      </c>
      <c r="N413" s="10" t="inlineStr">
        <is>
          <t>PRIMARIOS</t>
        </is>
      </c>
      <c r="O413" s="10" t="inlineStr">
        <is>
          <t>DOCUMENTOS TÉCNICOS</t>
        </is>
      </c>
      <c r="P413" s="10" t="inlineStr">
        <is>
          <t>USO INTERNO(2)</t>
        </is>
      </c>
      <c r="Q413" s="10" t="inlineStr">
        <is>
          <t>BAJA(1)</t>
        </is>
      </c>
      <c r="R413" s="10" t="inlineStr">
        <is>
          <t>MEDIA(2)</t>
        </is>
      </c>
      <c r="S413" s="10">
        <f>+(IF(P413="PUBLICA(1)",1,IF(P413="USO INTERNO(2)",2,IF(P413="RESTRINGIDO(3)",3,3))))+(IF(Q413="BAJA(1)",1,IF(Q413="MEDIA(2)",2,IF(Q413="ALTA(3)",3,3))))+(IF(R413="BAJA(1)",1,IF(R413="MEDIA(2)",2,IF(R413="ALTA(3)",3,3))))</f>
        <v/>
      </c>
      <c r="T413" s="10">
        <f>+IF(S413&lt;6,"BAJA",IF(S413&lt;8,"MEDIA","ALTA"))</f>
        <v/>
      </c>
      <c r="U413" s="10" t="inlineStr">
        <is>
          <t>-</t>
        </is>
      </c>
      <c r="V413" s="24" t="n">
        <v>45674</v>
      </c>
      <c r="W413" s="19" t="inlineStr">
        <is>
          <t>N/A</t>
        </is>
      </c>
      <c r="X413" s="10">
        <f>+IFERROR(IF(VLOOKUP(Tabla2[[#This Row],[ID]],'EVALUACION DE RIESGO'!A:A,1,FALSE)=Tabla2[[#This Row],[ID]],"SI","NO"),"NO")</f>
        <v/>
      </c>
      <c r="AD413">
        <f>IF(AND(Y413="",AA413=""),"",IF(OR(LEFT(AA413,2)="L0",LEFT(AA413,2)="L1",Y413="No Iniciado"),"CRÍTICO - Incumplimiento Normativo SEPS",IF(AND(OR(LEFT(AA413,2)="L4",LEFT(AA413,2)="L5"),AND(AC413&lt;&gt;"",AC413&lt;&gt;"N/A")),"CONFORME - Control Efectivo ISO 27001","OBSERVACIÓN - Revisar Controles")))</f>
        <v/>
      </c>
    </row>
    <row r="414">
      <c r="A414" s="99" t="inlineStr">
        <is>
          <t>35-GOP</t>
        </is>
      </c>
      <c r="B414" s="10" t="inlineStr">
        <is>
          <t>APOYO</t>
        </is>
      </c>
      <c r="C414" s="10" t="inlineStr">
        <is>
          <t xml:space="preserve">Gestión de Operaciones </t>
        </is>
      </c>
      <c r="D414" s="10" t="inlineStr">
        <is>
          <t>GOP</t>
        </is>
      </c>
      <c r="E414" s="10" t="inlineStr">
        <is>
          <t>Cuadres y Conciliaciones</t>
        </is>
      </c>
      <c r="F414" s="10" t="inlineStr">
        <is>
          <t>-</t>
        </is>
      </c>
      <c r="G414" s="10" t="inlineStr">
        <is>
          <t>Cuadre de depósitos y pagos de crédito realizados a través de ATM propio</t>
        </is>
      </c>
      <c r="H414" s="10" t="inlineStr">
        <is>
          <t>Bitácora de Seguimiento de ajustes contables</t>
        </is>
      </c>
      <c r="I414" s="10" t="inlineStr">
        <is>
          <t xml:space="preserve">Registro de históricos de ajustes contables </t>
        </is>
      </c>
      <c r="J414" s="10" t="inlineStr">
        <is>
          <t>Jefe de Soporte y Cuadres</t>
        </is>
      </c>
      <c r="K414" s="10" t="inlineStr">
        <is>
          <t>JEFE DE INFRAESTRUCTURA OPERACIONAL</t>
        </is>
      </c>
      <c r="L414" s="10" t="inlineStr">
        <is>
          <t>UBICACIÓN DIGITAL-EQUIPO DEL CUSTODIO</t>
        </is>
      </c>
      <c r="M414" s="10" t="inlineStr">
        <is>
          <t>DISCOS DUROS, SERVIDORES, DISCOS O MEDIOS PORTÁTILES, CINTAS O MEDIOS DE VIDEO Y AUDIO, ETC.</t>
        </is>
      </c>
      <c r="N414" s="10" t="inlineStr">
        <is>
          <t>PRIMARIOS</t>
        </is>
      </c>
      <c r="O414" s="10" t="inlineStr">
        <is>
          <t>DOCUMENTOS TÉCNICOS</t>
        </is>
      </c>
      <c r="P414" s="10" t="inlineStr">
        <is>
          <t>USO INTERNO(2)</t>
        </is>
      </c>
      <c r="Q414" s="10" t="inlineStr">
        <is>
          <t>BAJA(1)</t>
        </is>
      </c>
      <c r="R414" s="10" t="inlineStr">
        <is>
          <t>BAJA(1)</t>
        </is>
      </c>
      <c r="S414" s="10">
        <f>+(IF(P414="PUBLICA(1)",1,IF(P414="USO INTERNO(2)",2,IF(P414="RESTRINGIDO(3)",3,3))))+(IF(Q414="BAJA(1)",1,IF(Q414="MEDIA(2)",2,IF(Q414="ALTA(3)",3,3))))+(IF(R414="BAJA(1)",1,IF(R414="MEDIA(2)",2,IF(R414="ALTA(3)",3,3))))</f>
        <v/>
      </c>
      <c r="T414" s="10">
        <f>+IF(S414&lt;6,"BAJA",IF(S414&lt;8,"MEDIA","ALTA"))</f>
        <v/>
      </c>
      <c r="U414" s="10" t="inlineStr">
        <is>
          <t>-</t>
        </is>
      </c>
      <c r="V414" s="24" t="n">
        <v>45674</v>
      </c>
      <c r="W414" s="19" t="inlineStr">
        <is>
          <t>N/A</t>
        </is>
      </c>
      <c r="X414" s="10">
        <f>+IFERROR(IF(VLOOKUP(Tabla2[[#This Row],[ID]],'EVALUACION DE RIESGO'!A:A,1,FALSE)=Tabla2[[#This Row],[ID]],"SI","NO"),"NO")</f>
        <v/>
      </c>
      <c r="AD414">
        <f>IF(AND(Y414="",AA414=""),"",IF(OR(LEFT(AA414,2)="L0",LEFT(AA414,2)="L1",Y414="No Iniciado"),"CRÍTICO - Incumplimiento Normativo SEPS",IF(AND(OR(LEFT(AA414,2)="L4",LEFT(AA414,2)="L5"),AND(AC414&lt;&gt;"",AC414&lt;&gt;"N/A")),"CONFORME - Control Efectivo ISO 27001","OBSERVACIÓN - Revisar Controles")))</f>
        <v/>
      </c>
    </row>
    <row r="415">
      <c r="A415" s="99" t="inlineStr">
        <is>
          <t>36-GOP</t>
        </is>
      </c>
      <c r="B415" s="10" t="inlineStr">
        <is>
          <t>APOYO</t>
        </is>
      </c>
      <c r="C415" s="10" t="inlineStr">
        <is>
          <t xml:space="preserve">Gestión de Operaciones </t>
        </is>
      </c>
      <c r="D415" s="10" t="inlineStr">
        <is>
          <t>GOP</t>
        </is>
      </c>
      <c r="E415" s="10" t="inlineStr">
        <is>
          <t>Cuadres y Conciliaciones</t>
        </is>
      </c>
      <c r="F415" s="10" t="inlineStr">
        <is>
          <t>-</t>
        </is>
      </c>
      <c r="G415" s="10" t="inlineStr">
        <is>
          <t>Cuadre de Pago directo</t>
        </is>
      </c>
      <c r="H415" s="10" t="inlineStr">
        <is>
          <t>Formulario de Corrección de errores</t>
        </is>
      </c>
      <c r="I415" s="10" t="inlineStr">
        <is>
          <t xml:space="preserve">Formatos o papeles de trabajo que detallan fecha, oficina, tipo de trx, concepto, valor debito crédito, saldos, validación </t>
        </is>
      </c>
      <c r="J415" s="10" t="inlineStr">
        <is>
          <t>Jefe de Soporte y Cuadres</t>
        </is>
      </c>
      <c r="K415" s="10" t="inlineStr">
        <is>
          <t>Asistente Operativo</t>
        </is>
      </c>
      <c r="L415" s="10" t="inlineStr">
        <is>
          <t>UBICACIÓN DIGITAL-EQUIPO DEL CUSTODIO</t>
        </is>
      </c>
      <c r="M415" s="10" t="inlineStr">
        <is>
          <t>DISCOS DUROS, SERVIDORES, DISCOS O MEDIOS PORTÁTILES, CINTAS O MEDIOS DE VIDEO Y AUDIO, ETC.</t>
        </is>
      </c>
      <c r="N415" s="10" t="inlineStr">
        <is>
          <t>PRIMARIOS</t>
        </is>
      </c>
      <c r="O415" s="10" t="inlineStr">
        <is>
          <t>DOCUMENTOS TÉCNICOS</t>
        </is>
      </c>
      <c r="P415" s="10" t="inlineStr">
        <is>
          <t>USO INTERNO(2)</t>
        </is>
      </c>
      <c r="Q415" s="10" t="inlineStr">
        <is>
          <t>BAJA(1)</t>
        </is>
      </c>
      <c r="R415" s="10" t="inlineStr">
        <is>
          <t>MEDIA(2)</t>
        </is>
      </c>
      <c r="S415" s="10">
        <f>+(IF(P415="PUBLICA(1)",1,IF(P415="USO INTERNO(2)",2,IF(P415="RESTRINGIDO(3)",3,3))))+(IF(Q415="BAJA(1)",1,IF(Q415="MEDIA(2)",2,IF(Q415="ALTA(3)",3,3))))+(IF(R415="BAJA(1)",1,IF(R415="MEDIA(2)",2,IF(R415="ALTA(3)",3,3))))</f>
        <v/>
      </c>
      <c r="T415" s="10">
        <f>+IF(S415&lt;6,"BAJA",IF(S415&lt;8,"MEDIA","ALTA"))</f>
        <v/>
      </c>
      <c r="U415" s="10" t="inlineStr">
        <is>
          <t>-</t>
        </is>
      </c>
      <c r="V415" s="24" t="n">
        <v>45674</v>
      </c>
      <c r="W415" s="19" t="inlineStr">
        <is>
          <t>N/A</t>
        </is>
      </c>
      <c r="X415" s="10">
        <f>+IFERROR(IF(VLOOKUP(Tabla2[[#This Row],[ID]],'EVALUACION DE RIESGO'!A:A,1,FALSE)=Tabla2[[#This Row],[ID]],"SI","NO"),"NO")</f>
        <v/>
      </c>
      <c r="AD415">
        <f>IF(AND(Y415="",AA415=""),"",IF(OR(LEFT(AA415,2)="L0",LEFT(AA415,2)="L1",Y415="No Iniciado"),"CRÍTICO - Incumplimiento Normativo SEPS",IF(AND(OR(LEFT(AA415,2)="L4",LEFT(AA415,2)="L5"),AND(AC415&lt;&gt;"",AC415&lt;&gt;"N/A")),"CONFORME - Control Efectivo ISO 27001","OBSERVACIÓN - Revisar Controles")))</f>
        <v/>
      </c>
    </row>
    <row r="416">
      <c r="A416" s="99" t="inlineStr">
        <is>
          <t>37-GOP</t>
        </is>
      </c>
      <c r="B416" s="10" t="inlineStr">
        <is>
          <t>APOYO</t>
        </is>
      </c>
      <c r="C416" s="10" t="inlineStr">
        <is>
          <t xml:space="preserve">Gestión de Operaciones </t>
        </is>
      </c>
      <c r="D416" s="10" t="inlineStr">
        <is>
          <t>GOP</t>
        </is>
      </c>
      <c r="E416" s="10" t="inlineStr">
        <is>
          <t>Cuadres y Conciliaciones</t>
        </is>
      </c>
      <c r="F416" s="10" t="inlineStr">
        <is>
          <t>-</t>
        </is>
      </c>
      <c r="G416" s="10" t="inlineStr">
        <is>
          <t>Conciliación de estado de cuenta del servicio de Servipagos</t>
        </is>
      </c>
      <c r="H416" s="10" t="inlineStr">
        <is>
          <t>Reporte de Transacciones Diarias de Servipagos</t>
        </is>
      </c>
      <c r="I416" s="10" t="inlineStr">
        <is>
          <t xml:space="preserve">Formatos o papeles de trabajo que detallan fecha, oficina, tipo de trx, concepto, valor debito crédito, saldos, validación </t>
        </is>
      </c>
      <c r="J416" s="10" t="inlineStr">
        <is>
          <t>Jefe de Soporte y Cuadres</t>
        </is>
      </c>
      <c r="K416" s="10" t="inlineStr">
        <is>
          <t>Asistente Operativo</t>
        </is>
      </c>
      <c r="L416" s="10" t="inlineStr">
        <is>
          <t>UBICACIÓN DIGITAL-EQUIPO DEL CUSTODIO</t>
        </is>
      </c>
      <c r="M416" s="10" t="inlineStr">
        <is>
          <t>DISCOS DUROS, SERVIDORES, DISCOS O MEDIOS PORTÁTILES, CINTAS O MEDIOS DE VIDEO Y AUDIO, ETC.</t>
        </is>
      </c>
      <c r="N416" s="10" t="inlineStr">
        <is>
          <t>PRIMARIOS</t>
        </is>
      </c>
      <c r="O416" s="10" t="inlineStr">
        <is>
          <t>DOCUMENTOS TÉCNICOS</t>
        </is>
      </c>
      <c r="P416" s="10" t="inlineStr">
        <is>
          <t>USO INTERNO(2)</t>
        </is>
      </c>
      <c r="Q416" s="10" t="inlineStr">
        <is>
          <t>MEDIA(2)</t>
        </is>
      </c>
      <c r="R416" s="10" t="inlineStr">
        <is>
          <t>ALTA(3)</t>
        </is>
      </c>
      <c r="S416" s="10">
        <f>+(IF(P416="PUBLICA(1)",1,IF(P416="USO INTERNO(2)",2,IF(P416="RESTRINGIDO(3)",3,3))))+(IF(Q416="BAJA(1)",1,IF(Q416="MEDIA(2)",2,IF(Q416="ALTA(3)",3,3))))+(IF(R416="BAJA(1)",1,IF(R416="MEDIA(2)",2,IF(R416="ALTA(3)",3,3))))</f>
        <v/>
      </c>
      <c r="T416" s="10">
        <f>+IF(S416&lt;6,"BAJA",IF(S416&lt;8,"MEDIA","ALTA"))</f>
        <v/>
      </c>
      <c r="U416" s="10" t="inlineStr">
        <is>
          <t>-</t>
        </is>
      </c>
      <c r="V416" s="24" t="n">
        <v>45674</v>
      </c>
      <c r="W416" s="19" t="inlineStr">
        <is>
          <t>N/A</t>
        </is>
      </c>
      <c r="X416" s="10">
        <f>+IFERROR(IF(VLOOKUP(Tabla2[[#This Row],[ID]],'EVALUACION DE RIESGO'!A:A,1,FALSE)=Tabla2[[#This Row],[ID]],"SI","NO"),"NO")</f>
        <v/>
      </c>
      <c r="AD416">
        <f>IF(AND(Y416="",AA416=""),"",IF(OR(LEFT(AA416,2)="L0",LEFT(AA416,2)="L1",Y416="No Iniciado"),"CRÍTICO - Incumplimiento Normativo SEPS",IF(AND(OR(LEFT(AA416,2)="L4",LEFT(AA416,2)="L5"),AND(AC416&lt;&gt;"",AC416&lt;&gt;"N/A")),"CONFORME - Control Efectivo ISO 27001","OBSERVACIÓN - Revisar Controles")))</f>
        <v/>
      </c>
    </row>
    <row r="417">
      <c r="A417" s="99" t="inlineStr">
        <is>
          <t>38-GOP</t>
        </is>
      </c>
      <c r="B417" s="10" t="inlineStr">
        <is>
          <t>APOYO</t>
        </is>
      </c>
      <c r="C417" s="10" t="inlineStr">
        <is>
          <t xml:space="preserve">Gestión de Operaciones </t>
        </is>
      </c>
      <c r="D417" s="10" t="inlineStr">
        <is>
          <t>GOP</t>
        </is>
      </c>
      <c r="E417" s="10" t="inlineStr">
        <is>
          <t>Cuadres y Conciliaciones</t>
        </is>
      </c>
      <c r="F417" s="10" t="inlineStr">
        <is>
          <t>-</t>
        </is>
      </c>
      <c r="G417" s="10" t="inlineStr">
        <is>
          <t>Conciliación de estado de cuenta del servicio de Servipagos</t>
        </is>
      </c>
      <c r="H417" s="10" t="inlineStr">
        <is>
          <t>Planilla de Cuadre Diario de Servipagos</t>
        </is>
      </c>
      <c r="I417" s="10" t="inlineStr">
        <is>
          <t>Planilla que se imprime con e detalle de movimiento realizado</t>
        </is>
      </c>
      <c r="J417" s="10" t="inlineStr">
        <is>
          <t>Jefe de Soporte y Cuadres</t>
        </is>
      </c>
      <c r="K417" s="10" t="inlineStr">
        <is>
          <t>Asistente Operativo</t>
        </is>
      </c>
      <c r="L417" s="10" t="inlineStr">
        <is>
          <t>UBICACIÓN DIGITAL-EQUIPO DEL CUSTODIO</t>
        </is>
      </c>
      <c r="M417" s="10" t="inlineStr">
        <is>
          <t>DISCOS DUROS, SERVIDORES, DISCOS O MEDIOS PORTÁTILES, CINTAS O MEDIOS DE VIDEO Y AUDIO, ETC.</t>
        </is>
      </c>
      <c r="N417" s="10" t="inlineStr">
        <is>
          <t>PRIMARIOS</t>
        </is>
      </c>
      <c r="O417" s="10" t="inlineStr">
        <is>
          <t>DOCUMENTOS TÉCNICOS</t>
        </is>
      </c>
      <c r="P417" s="10" t="inlineStr">
        <is>
          <t>USO INTERNO(2)</t>
        </is>
      </c>
      <c r="Q417" s="10" t="inlineStr">
        <is>
          <t>BAJA(1)</t>
        </is>
      </c>
      <c r="R417" s="10" t="inlineStr">
        <is>
          <t>BAJA(1)</t>
        </is>
      </c>
      <c r="S417" s="10">
        <f>+(IF(P417="PUBLICA(1)",1,IF(P417="USO INTERNO(2)",2,IF(P417="RESTRINGIDO(3)",3,3))))+(IF(Q417="BAJA(1)",1,IF(Q417="MEDIA(2)",2,IF(Q417="ALTA(3)",3,3))))+(IF(R417="BAJA(1)",1,IF(R417="MEDIA(2)",2,IF(R417="ALTA(3)",3,3))))</f>
        <v/>
      </c>
      <c r="T417" s="10">
        <f>+IF(S417&lt;6,"BAJA",IF(S417&lt;8,"MEDIA","ALTA"))</f>
        <v/>
      </c>
      <c r="U417" s="10" t="inlineStr">
        <is>
          <t>-</t>
        </is>
      </c>
      <c r="V417" s="24" t="n">
        <v>45674</v>
      </c>
      <c r="W417" s="19" t="inlineStr">
        <is>
          <t>N/A</t>
        </is>
      </c>
      <c r="X417" s="10">
        <f>+IFERROR(IF(VLOOKUP(Tabla2[[#This Row],[ID]],'EVALUACION DE RIESGO'!A:A,1,FALSE)=Tabla2[[#This Row],[ID]],"SI","NO"),"NO")</f>
        <v/>
      </c>
      <c r="AD417">
        <f>IF(AND(Y417="",AA417=""),"",IF(OR(LEFT(AA417,2)="L0",LEFT(AA417,2)="L1",Y417="No Iniciado"),"CRÍTICO - Incumplimiento Normativo SEPS",IF(AND(OR(LEFT(AA417,2)="L4",LEFT(AA417,2)="L5"),AND(AC417&lt;&gt;"",AC417&lt;&gt;"N/A")),"CONFORME - Control Efectivo ISO 27001","OBSERVACIÓN - Revisar Controles")))</f>
        <v/>
      </c>
    </row>
    <row r="418">
      <c r="A418" s="99" t="inlineStr">
        <is>
          <t>39-GOP</t>
        </is>
      </c>
      <c r="B418" s="10" t="inlineStr">
        <is>
          <t>APOYO</t>
        </is>
      </c>
      <c r="C418" s="10" t="inlineStr">
        <is>
          <t xml:space="preserve">Gestión de Operaciones </t>
        </is>
      </c>
      <c r="D418" s="10" t="inlineStr">
        <is>
          <t>GOP</t>
        </is>
      </c>
      <c r="E418" s="10" t="inlineStr">
        <is>
          <t>Cuadres y Conciliaciones</t>
        </is>
      </c>
      <c r="F418" s="10" t="inlineStr">
        <is>
          <t>-</t>
        </is>
      </c>
      <c r="G418" s="10" t="inlineStr">
        <is>
          <t>Cuadre de transacciones de la Red Facilito</t>
        </is>
      </c>
      <c r="H418" s="10" t="inlineStr">
        <is>
          <t>Registro de Transacciones de Red Facilito</t>
        </is>
      </c>
      <c r="I418" s="10" t="inlineStr">
        <is>
          <t>Reporte de transacciones que contiene usuario, servicio, tipo movimiento, producto, numero de transacciones7</t>
        </is>
      </c>
      <c r="J418" s="10" t="inlineStr">
        <is>
          <t>Jefe de Soporte y Cuadres</t>
        </is>
      </c>
      <c r="K418" s="10" t="inlineStr">
        <is>
          <t>Asistente Operativo</t>
        </is>
      </c>
      <c r="L418" s="10" t="inlineStr">
        <is>
          <t>UBICACIÓN DIGITAL-EQUIPO DEL CUSTODIO</t>
        </is>
      </c>
      <c r="M418" s="10" t="inlineStr">
        <is>
          <t>DISCOS DUROS, SERVIDORES, DISCOS O MEDIOS PORTÁTILES, CINTAS O MEDIOS DE VIDEO Y AUDIO, ETC.</t>
        </is>
      </c>
      <c r="N418" s="10" t="inlineStr">
        <is>
          <t>PRIMARIOS</t>
        </is>
      </c>
      <c r="O418" s="10" t="inlineStr">
        <is>
          <t>INFORMACIÓN DE TERCEROS</t>
        </is>
      </c>
      <c r="P418" s="10" t="inlineStr">
        <is>
          <t>USO INTERNO(2)</t>
        </is>
      </c>
      <c r="Q418" s="10" t="inlineStr">
        <is>
          <t>BAJA(1)</t>
        </is>
      </c>
      <c r="R418" s="10" t="inlineStr">
        <is>
          <t>BAJA(1)</t>
        </is>
      </c>
      <c r="S418" s="10">
        <f>+(IF(P418="PUBLICA(1)",1,IF(P418="USO INTERNO(2)",2,IF(P418="RESTRINGIDO(3)",3,3))))+(IF(Q418="BAJA(1)",1,IF(Q418="MEDIA(2)",2,IF(Q418="ALTA(3)",3,3))))+(IF(R418="BAJA(1)",1,IF(R418="MEDIA(2)",2,IF(R418="ALTA(3)",3,3))))</f>
        <v/>
      </c>
      <c r="T418" s="10">
        <f>+IF(S418&lt;6,"BAJA",IF(S418&lt;8,"MEDIA","ALTA"))</f>
        <v/>
      </c>
      <c r="U418" s="10" t="inlineStr">
        <is>
          <t>-</t>
        </is>
      </c>
      <c r="V418" s="24" t="n">
        <v>45674</v>
      </c>
      <c r="W418" s="19" t="inlineStr">
        <is>
          <t>N/A</t>
        </is>
      </c>
      <c r="X418" s="10">
        <f>+IFERROR(IF(VLOOKUP(Tabla2[[#This Row],[ID]],'EVALUACION DE RIESGO'!A:A,1,FALSE)=Tabla2[[#This Row],[ID]],"SI","NO"),"NO")</f>
        <v/>
      </c>
      <c r="AD418">
        <f>IF(AND(Y418="",AA418=""),"",IF(OR(LEFT(AA418,2)="L0",LEFT(AA418,2)="L1",Y418="No Iniciado"),"CRÍTICO - Incumplimiento Normativo SEPS",IF(AND(OR(LEFT(AA418,2)="L4",LEFT(AA418,2)="L5"),AND(AC418&lt;&gt;"",AC418&lt;&gt;"N/A")),"CONFORME - Control Efectivo ISO 27001","OBSERVACIÓN - Revisar Controles")))</f>
        <v/>
      </c>
    </row>
    <row r="419">
      <c r="A419" s="99" t="inlineStr">
        <is>
          <t>40-GOP</t>
        </is>
      </c>
      <c r="B419" s="10" t="inlineStr">
        <is>
          <t>APOYO</t>
        </is>
      </c>
      <c r="C419" s="10" t="inlineStr">
        <is>
          <t xml:space="preserve">Gestión de Operaciones </t>
        </is>
      </c>
      <c r="D419" s="10" t="inlineStr">
        <is>
          <t>GOP</t>
        </is>
      </c>
      <c r="E419" s="10" t="inlineStr">
        <is>
          <t>Cuadres y Conciliaciones</t>
        </is>
      </c>
      <c r="F419" s="10" t="inlineStr">
        <is>
          <t>-</t>
        </is>
      </c>
      <c r="G419" s="10" t="inlineStr">
        <is>
          <t>Cuadre de transacciones de la Red Facilito</t>
        </is>
      </c>
      <c r="H419" s="10" t="inlineStr">
        <is>
          <t>Formulario de Cuadre de Red Facilito / Reporte de comisiones de Red Facilito</t>
        </is>
      </c>
      <c r="I419" s="10" t="inlineStr">
        <is>
          <t xml:space="preserve">Formulario donde se consolida las transacciones del sistema financiero y red facilito </t>
        </is>
      </c>
      <c r="J419" s="10" t="inlineStr">
        <is>
          <t>Jefe de Soporte y Cuadres</t>
        </is>
      </c>
      <c r="K419" s="10" t="inlineStr">
        <is>
          <t>Asistente Operativo</t>
        </is>
      </c>
      <c r="L419" s="10" t="inlineStr">
        <is>
          <t>UBICACIÓN DIGITAL-EQUIPO DEL CUSTODIO</t>
        </is>
      </c>
      <c r="M419" s="10" t="inlineStr">
        <is>
          <t>DISCOS DUROS, SERVIDORES, DISCOS O MEDIOS PORTÁTILES, CINTAS O MEDIOS DE VIDEO Y AUDIO, ETC.</t>
        </is>
      </c>
      <c r="N419" s="10" t="inlineStr">
        <is>
          <t>PRIMARIOS</t>
        </is>
      </c>
      <c r="O419" s="10" t="inlineStr">
        <is>
          <t>DOCUMENTOS TÉCNICOS</t>
        </is>
      </c>
      <c r="P419" s="10" t="inlineStr">
        <is>
          <t>RESTRINGIDO(3)</t>
        </is>
      </c>
      <c r="Q419" s="10" t="inlineStr">
        <is>
          <t>MEDIA(2)</t>
        </is>
      </c>
      <c r="R419" s="10" t="inlineStr">
        <is>
          <t>MEDIA(2)</t>
        </is>
      </c>
      <c r="S419" s="10">
        <f>+(IF(P419="PUBLICA(1)",1,IF(P419="USO INTERNO(2)",2,IF(P419="RESTRINGIDO(3)",3,3))))+(IF(Q419="BAJA(1)",1,IF(Q419="MEDIA(2)",2,IF(Q419="ALTA(3)",3,3))))+(IF(R419="BAJA(1)",1,IF(R419="MEDIA(2)",2,IF(R419="ALTA(3)",3,3))))</f>
        <v/>
      </c>
      <c r="T419" s="10">
        <f>+IF(S419&lt;6,"BAJA",IF(S419&lt;8,"MEDIA","ALTA"))</f>
        <v/>
      </c>
      <c r="U419" s="10" t="inlineStr">
        <is>
          <t>-</t>
        </is>
      </c>
      <c r="V419" s="24" t="n">
        <v>45674</v>
      </c>
      <c r="W419" s="19" t="inlineStr">
        <is>
          <t>N/A</t>
        </is>
      </c>
      <c r="X419" s="10">
        <f>+IFERROR(IF(VLOOKUP(Tabla2[[#This Row],[ID]],'EVALUACION DE RIESGO'!A:A,1,FALSE)=Tabla2[[#This Row],[ID]],"SI","NO"),"NO")</f>
        <v/>
      </c>
      <c r="AD419">
        <f>IF(AND(Y419="",AA419=""),"",IF(OR(LEFT(AA419,2)="L0",LEFT(AA419,2)="L1",Y419="No Iniciado"),"CRÍTICO - Incumplimiento Normativo SEPS",IF(AND(OR(LEFT(AA419,2)="L4",LEFT(AA419,2)="L5"),AND(AC419&lt;&gt;"",AC419&lt;&gt;"N/A")),"CONFORME - Control Efectivo ISO 27001","OBSERVACIÓN - Revisar Controles")))</f>
        <v/>
      </c>
    </row>
    <row r="420">
      <c r="A420" s="99" t="inlineStr">
        <is>
          <t>41-GOP</t>
        </is>
      </c>
      <c r="B420" s="10" t="inlineStr">
        <is>
          <t>APOYO</t>
        </is>
      </c>
      <c r="C420" s="10" t="inlineStr">
        <is>
          <t xml:space="preserve">Gestión de Operaciones </t>
        </is>
      </c>
      <c r="D420" s="10" t="inlineStr">
        <is>
          <t>GOP</t>
        </is>
      </c>
      <c r="E420" s="10" t="inlineStr">
        <is>
          <t>Cuadres y Conciliaciones</t>
        </is>
      </c>
      <c r="F420" s="10" t="inlineStr">
        <is>
          <t>-</t>
        </is>
      </c>
      <c r="G420" s="10" t="inlineStr">
        <is>
          <t>Cuadre de transacciones de la Red Facilito</t>
        </is>
      </c>
      <c r="H420" s="10" t="inlineStr">
        <is>
          <t>Comprobante de transferencia de fondeo de Red Facilito</t>
        </is>
      </c>
      <c r="I420" s="10" t="inlineStr">
        <is>
          <t>Comprobante gestionado por el área de Tesorería</t>
        </is>
      </c>
      <c r="J420" s="10" t="inlineStr">
        <is>
          <t>Jefe de Soporte y Cuadres</t>
        </is>
      </c>
      <c r="K420" s="10" t="inlineStr">
        <is>
          <t>Asistente Operativo</t>
        </is>
      </c>
      <c r="L420" s="10" t="inlineStr">
        <is>
          <t>UBICACIÓN DIGITAL-EQUIPO DEL CUSTODIO</t>
        </is>
      </c>
      <c r="M420" s="10" t="inlineStr">
        <is>
          <t>DISCOS DUROS, SERVIDORES, DISCOS O MEDIOS PORTÁTILES, CINTAS O MEDIOS DE VIDEO Y AUDIO, ETC.</t>
        </is>
      </c>
      <c r="N420" s="10" t="inlineStr">
        <is>
          <t>PRIMARIOS</t>
        </is>
      </c>
      <c r="O420" s="10" t="inlineStr">
        <is>
          <t>DOCUMENTOS HABILITANTES</t>
        </is>
      </c>
      <c r="P420" s="10" t="inlineStr">
        <is>
          <t>USO INTERNO(2)</t>
        </is>
      </c>
      <c r="Q420" s="10" t="inlineStr">
        <is>
          <t>BAJA(1)</t>
        </is>
      </c>
      <c r="R420" s="10" t="inlineStr">
        <is>
          <t>BAJA(1)</t>
        </is>
      </c>
      <c r="S420" s="10">
        <f>+(IF(P420="PUBLICA(1)",1,IF(P420="USO INTERNO(2)",2,IF(P420="RESTRINGIDO(3)",3,3))))+(IF(Q420="BAJA(1)",1,IF(Q420="MEDIA(2)",2,IF(Q420="ALTA(3)",3,3))))+(IF(R420="BAJA(1)",1,IF(R420="MEDIA(2)",2,IF(R420="ALTA(3)",3,3))))</f>
        <v/>
      </c>
      <c r="T420" s="10">
        <f>+IF(S420&lt;6,"BAJA",IF(S420&lt;8,"MEDIA","ALTA"))</f>
        <v/>
      </c>
      <c r="U420" s="10" t="inlineStr">
        <is>
          <t>-</t>
        </is>
      </c>
      <c r="V420" s="24" t="n">
        <v>45674</v>
      </c>
      <c r="W420" s="19" t="inlineStr">
        <is>
          <t>N/A</t>
        </is>
      </c>
      <c r="X420" s="10">
        <f>+IFERROR(IF(VLOOKUP(Tabla2[[#This Row],[ID]],'EVALUACION DE RIESGO'!A:A,1,FALSE)=Tabla2[[#This Row],[ID]],"SI","NO"),"NO")</f>
        <v/>
      </c>
      <c r="AD420">
        <f>IF(AND(Y420="",AA420=""),"",IF(OR(LEFT(AA420,2)="L0",LEFT(AA420,2)="L1",Y420="No Iniciado"),"CRÍTICO - Incumplimiento Normativo SEPS",IF(AND(OR(LEFT(AA420,2)="L4",LEFT(AA420,2)="L5"),AND(AC420&lt;&gt;"",AC420&lt;&gt;"N/A")),"CONFORME - Control Efectivo ISO 27001","OBSERVACIÓN - Revisar Controles")))</f>
        <v/>
      </c>
    </row>
    <row r="421">
      <c r="A421" s="99" t="inlineStr">
        <is>
          <t>42-GOP</t>
        </is>
      </c>
      <c r="B421" s="10" t="inlineStr">
        <is>
          <t>APOYO</t>
        </is>
      </c>
      <c r="C421" s="10" t="inlineStr">
        <is>
          <t xml:space="preserve">Gestión de Operaciones </t>
        </is>
      </c>
      <c r="D421" s="10" t="inlineStr">
        <is>
          <t>GOP</t>
        </is>
      </c>
      <c r="E421" s="10" t="inlineStr">
        <is>
          <t>Cuadres y Conciliaciones</t>
        </is>
      </c>
      <c r="F421" s="10" t="inlineStr">
        <is>
          <t>-</t>
        </is>
      </c>
      <c r="G421" s="10" t="inlineStr">
        <is>
          <t>Cuadre de transacciones  Puntomático-SUPA</t>
        </is>
      </c>
      <c r="H421" s="10" t="inlineStr">
        <is>
          <t>Registro de Transacciones de Puntomático / Formulario de cuadre de Puntomático</t>
        </is>
      </c>
      <c r="I421" s="10" t="inlineStr">
        <is>
          <t>Reporte de transacciones que cuadra el reporte del proveedor vs el core financiero, contiene información de la transacción, fecha, usuario, montos, oficina, tipo de transacción</t>
        </is>
      </c>
      <c r="J421" s="10" t="inlineStr">
        <is>
          <t>Jefe de Soporte y Cuadres</t>
        </is>
      </c>
      <c r="K421" s="10" t="inlineStr">
        <is>
          <t>Asistente Operativo</t>
        </is>
      </c>
      <c r="L421" s="10" t="inlineStr">
        <is>
          <t>UBICACIÓN DIGITAL-EQUIPO DEL CUSTODIO</t>
        </is>
      </c>
      <c r="M421" s="10" t="inlineStr">
        <is>
          <t>DISCOS DUROS, SERVIDORES, DISCOS O MEDIOS PORTÁTILES, CINTAS O MEDIOS DE VIDEO Y AUDIO, ETC.</t>
        </is>
      </c>
      <c r="N421" s="10" t="inlineStr">
        <is>
          <t>PRIMARIOS</t>
        </is>
      </c>
      <c r="O421" s="10" t="inlineStr">
        <is>
          <t>DOCUMENTOS TÉCNICOS</t>
        </is>
      </c>
      <c r="P421" s="10" t="inlineStr">
        <is>
          <t>USO INTERNO(2)</t>
        </is>
      </c>
      <c r="Q421" s="10" t="inlineStr">
        <is>
          <t>BAJA(1)</t>
        </is>
      </c>
      <c r="R421" s="10" t="inlineStr">
        <is>
          <t>BAJA(1)</t>
        </is>
      </c>
      <c r="S421" s="10">
        <f>+(IF(P421="PUBLICA(1)",1,IF(P421="USO INTERNO(2)",2,IF(P421="RESTRINGIDO(3)",3,3))))+(IF(Q421="BAJA(1)",1,IF(Q421="MEDIA(2)",2,IF(Q421="ALTA(3)",3,3))))+(IF(R421="BAJA(1)",1,IF(R421="MEDIA(2)",2,IF(R421="ALTA(3)",3,3))))</f>
        <v/>
      </c>
      <c r="T421" s="10">
        <f>+IF(S421&lt;6,"BAJA",IF(S421&lt;8,"MEDIA","ALTA"))</f>
        <v/>
      </c>
      <c r="U421" s="10" t="inlineStr">
        <is>
          <t>-</t>
        </is>
      </c>
      <c r="V421" s="24" t="n">
        <v>45674</v>
      </c>
      <c r="W421" s="19" t="inlineStr">
        <is>
          <t>N/A</t>
        </is>
      </c>
      <c r="X421" s="10">
        <f>+IFERROR(IF(VLOOKUP(Tabla2[[#This Row],[ID]],'EVALUACION DE RIESGO'!A:A,1,FALSE)=Tabla2[[#This Row],[ID]],"SI","NO"),"NO")</f>
        <v/>
      </c>
      <c r="AD421">
        <f>IF(AND(Y421="",AA421=""),"",IF(OR(LEFT(AA421,2)="L0",LEFT(AA421,2)="L1",Y421="No Iniciado"),"CRÍTICO - Incumplimiento Normativo SEPS",IF(AND(OR(LEFT(AA421,2)="L4",LEFT(AA421,2)="L5"),AND(AC421&lt;&gt;"",AC421&lt;&gt;"N/A")),"CONFORME - Control Efectivo ISO 27001","OBSERVACIÓN - Revisar Controles")))</f>
        <v/>
      </c>
    </row>
    <row r="422">
      <c r="A422" s="99" t="inlineStr">
        <is>
          <t>43-GOP</t>
        </is>
      </c>
      <c r="B422" s="10" t="inlineStr">
        <is>
          <t>APOYO</t>
        </is>
      </c>
      <c r="C422" s="10" t="inlineStr">
        <is>
          <t xml:space="preserve">Gestión de Operaciones </t>
        </is>
      </c>
      <c r="D422" s="10" t="inlineStr">
        <is>
          <t>GOP</t>
        </is>
      </c>
      <c r="E422" s="10" t="inlineStr">
        <is>
          <t>Cuadres y Conciliaciones</t>
        </is>
      </c>
      <c r="F422" s="10" t="inlineStr">
        <is>
          <t>-</t>
        </is>
      </c>
      <c r="G422" s="10" t="inlineStr">
        <is>
          <t>Cuadre de Cheques</t>
        </is>
      </c>
      <c r="H422" s="10" t="inlineStr">
        <is>
          <t>Prueba departamental</t>
        </is>
      </c>
      <c r="I422" s="10" t="inlineStr">
        <is>
          <t>Reporte de transacciones que cuadra el reporte del proveedor vs el core financiero, contiene información de fecha, hora, lote, oficina, institución financiera, deposito, nro cheque, cuenta y valor</t>
        </is>
      </c>
      <c r="J422" s="10" t="inlineStr">
        <is>
          <t>Jefe de Soporte y Cuadres</t>
        </is>
      </c>
      <c r="K422" s="10" t="inlineStr">
        <is>
          <t>Asistente Operativo</t>
        </is>
      </c>
      <c r="L422" s="10" t="inlineStr">
        <is>
          <t>UBICACIÓN DIGITAL-EQUIPO DEL CUSTODIO</t>
        </is>
      </c>
      <c r="M422" s="10" t="inlineStr">
        <is>
          <t>DISCOS DUROS, SERVIDORES, DISCOS O MEDIOS PORTÁTILES, CINTAS O MEDIOS DE VIDEO Y AUDIO, ETC.</t>
        </is>
      </c>
      <c r="N422" s="10" t="inlineStr">
        <is>
          <t>PRIMARIOS</t>
        </is>
      </c>
      <c r="O422" s="10" t="inlineStr">
        <is>
          <t>DOCUMENTOS TÉCNICOS</t>
        </is>
      </c>
      <c r="P422" s="10" t="inlineStr">
        <is>
          <t>USO INTERNO(2)</t>
        </is>
      </c>
      <c r="Q422" s="10" t="inlineStr">
        <is>
          <t>BAJA(1)</t>
        </is>
      </c>
      <c r="R422" s="10" t="inlineStr">
        <is>
          <t>MEDIA(2)</t>
        </is>
      </c>
      <c r="S422" s="10">
        <f>+(IF(P422="PUBLICA(1)",1,IF(P422="USO INTERNO(2)",2,IF(P422="RESTRINGIDO(3)",3,3))))+(IF(Q422="BAJA(1)",1,IF(Q422="MEDIA(2)",2,IF(Q422="ALTA(3)",3,3))))+(IF(R422="BAJA(1)",1,IF(R422="MEDIA(2)",2,IF(R422="ALTA(3)",3,3))))</f>
        <v/>
      </c>
      <c r="T422" s="10">
        <f>+IF(S422&lt;6,"BAJA",IF(S422&lt;8,"MEDIA","ALTA"))</f>
        <v/>
      </c>
      <c r="U422" s="10" t="inlineStr">
        <is>
          <t>-</t>
        </is>
      </c>
      <c r="V422" s="24" t="n">
        <v>45674</v>
      </c>
      <c r="W422" s="19" t="inlineStr">
        <is>
          <t>N/A</t>
        </is>
      </c>
      <c r="X422" s="10">
        <f>+IFERROR(IF(VLOOKUP(Tabla2[[#This Row],[ID]],'EVALUACION DE RIESGO'!A:A,1,FALSE)=Tabla2[[#This Row],[ID]],"SI","NO"),"NO")</f>
        <v/>
      </c>
      <c r="AD422">
        <f>IF(AND(Y422="",AA422=""),"",IF(OR(LEFT(AA422,2)="L0",LEFT(AA422,2)="L1",Y422="No Iniciado"),"CRÍTICO - Incumplimiento Normativo SEPS",IF(AND(OR(LEFT(AA422,2)="L4",LEFT(AA422,2)="L5"),AND(AC422&lt;&gt;"",AC422&lt;&gt;"N/A")),"CONFORME - Control Efectivo ISO 27001","OBSERVACIÓN - Revisar Controles")))</f>
        <v/>
      </c>
    </row>
    <row r="423">
      <c r="A423" s="99" t="inlineStr">
        <is>
          <t>44-GOP</t>
        </is>
      </c>
      <c r="B423" s="10" t="inlineStr">
        <is>
          <t>APOYO</t>
        </is>
      </c>
      <c r="C423" s="10" t="inlineStr">
        <is>
          <t xml:space="preserve">Gestión de Operaciones </t>
        </is>
      </c>
      <c r="D423" s="10" t="inlineStr">
        <is>
          <t>GOP</t>
        </is>
      </c>
      <c r="E423" s="10" t="inlineStr">
        <is>
          <t>Cuadres y Conciliaciones</t>
        </is>
      </c>
      <c r="F423" s="10" t="inlineStr">
        <is>
          <t>-</t>
        </is>
      </c>
      <c r="G423" s="10" t="inlineStr">
        <is>
          <t>Cuadre de Cheques</t>
        </is>
      </c>
      <c r="H423" s="10" t="inlineStr">
        <is>
          <t>Solicitud de ajuste Contable</t>
        </is>
      </c>
      <c r="I423" s="10" t="inlineStr">
        <is>
          <t>Solicitud de ajuste enviado tipo memorando que contiene, departamento,, solicitante, dirigido a , fecha de solicitud, detalle de la solicitud registrada por el asistente operativo</t>
        </is>
      </c>
      <c r="J423" s="10" t="inlineStr">
        <is>
          <t>Jefe de Soporte y Cuadres</t>
        </is>
      </c>
      <c r="K423" s="10" t="inlineStr">
        <is>
          <t>Asistente Operativo</t>
        </is>
      </c>
      <c r="L423" s="10" t="inlineStr">
        <is>
          <t>UBICACIÓN DIGITAL-EQUIPO DEL CUSTODIO</t>
        </is>
      </c>
      <c r="M423" s="10" t="inlineStr">
        <is>
          <t>DISCOS DUROS, SERVIDORES, DISCOS O MEDIOS PORTÁTILES, CINTAS O MEDIOS DE VIDEO Y AUDIO, ETC.</t>
        </is>
      </c>
      <c r="N423" s="10" t="inlineStr">
        <is>
          <t>PRIMARIOS</t>
        </is>
      </c>
      <c r="O423" s="10" t="inlineStr">
        <is>
          <t>DOCUMENTOS TÉCNICOS</t>
        </is>
      </c>
      <c r="P423" s="10" t="inlineStr">
        <is>
          <t>USO INTERNO(2)</t>
        </is>
      </c>
      <c r="Q423" s="10" t="inlineStr">
        <is>
          <t>BAJA(1)</t>
        </is>
      </c>
      <c r="R423" s="10" t="inlineStr">
        <is>
          <t>MEDIA(2)</t>
        </is>
      </c>
      <c r="S423" s="10">
        <f>+(IF(P423="PUBLICA(1)",1,IF(P423="USO INTERNO(2)",2,IF(P423="RESTRINGIDO(3)",3,3))))+(IF(Q423="BAJA(1)",1,IF(Q423="MEDIA(2)",2,IF(Q423="ALTA(3)",3,3))))+(IF(R423="BAJA(1)",1,IF(R423="MEDIA(2)",2,IF(R423="ALTA(3)",3,3))))</f>
        <v/>
      </c>
      <c r="T423" s="10">
        <f>+IF(S423&lt;6,"BAJA",IF(S423&lt;8,"MEDIA","ALTA"))</f>
        <v/>
      </c>
      <c r="U423" s="10" t="inlineStr">
        <is>
          <t>-</t>
        </is>
      </c>
      <c r="V423" s="24" t="n">
        <v>45674</v>
      </c>
      <c r="W423" s="19" t="inlineStr">
        <is>
          <t>N/A</t>
        </is>
      </c>
      <c r="X423" s="10">
        <f>+IFERROR(IF(VLOOKUP(Tabla2[[#This Row],[ID]],'EVALUACION DE RIESGO'!A:A,1,FALSE)=Tabla2[[#This Row],[ID]],"SI","NO"),"NO")</f>
        <v/>
      </c>
      <c r="AD423">
        <f>IF(AND(Y423="",AA423=""),"",IF(OR(LEFT(AA423,2)="L0",LEFT(AA423,2)="L1",Y423="No Iniciado"),"CRÍTICO - Incumplimiento Normativo SEPS",IF(AND(OR(LEFT(AA423,2)="L4",LEFT(AA423,2)="L5"),AND(AC423&lt;&gt;"",AC423&lt;&gt;"N/A")),"CONFORME - Control Efectivo ISO 27001","OBSERVACIÓN - Revisar Controles")))</f>
        <v/>
      </c>
    </row>
    <row r="424">
      <c r="A424" s="99" t="inlineStr">
        <is>
          <t>45-GOP</t>
        </is>
      </c>
      <c r="B424" s="10" t="inlineStr">
        <is>
          <t>APOYO</t>
        </is>
      </c>
      <c r="C424" s="10" t="inlineStr">
        <is>
          <t xml:space="preserve">Gestión de Operaciones </t>
        </is>
      </c>
      <c r="D424" s="10" t="inlineStr">
        <is>
          <t>GOP</t>
        </is>
      </c>
      <c r="E424" s="10" t="inlineStr">
        <is>
          <t>Cuadres y Conciliaciones</t>
        </is>
      </c>
      <c r="F424" s="10" t="inlineStr">
        <is>
          <t>-</t>
        </is>
      </c>
      <c r="G424" s="10" t="inlineStr">
        <is>
          <t>Cuadre de Cheques</t>
        </is>
      </c>
      <c r="H424" s="10" t="inlineStr">
        <is>
          <t>Bitácora de Seguimiento de ajustes contables</t>
        </is>
      </c>
      <c r="I424" s="10" t="inlineStr">
        <is>
          <t xml:space="preserve">Registro de históricos de ajustes contables </t>
        </is>
      </c>
      <c r="J424" s="10" t="inlineStr">
        <is>
          <t>Jefe de Soporte y Cuadres</t>
        </is>
      </c>
      <c r="K424" s="10" t="inlineStr">
        <is>
          <t>JEFE DE INFRAESTRUCTURA OPERACIONAL</t>
        </is>
      </c>
      <c r="L424" s="10" t="inlineStr">
        <is>
          <t>UBICACIÓN DIGITAL-EQUIPO DEL CUSTODIO</t>
        </is>
      </c>
      <c r="M424" s="10" t="inlineStr">
        <is>
          <t>DISCOS DUROS, SERVIDORES, DISCOS O MEDIOS PORTÁTILES, CINTAS O MEDIOS DE VIDEO Y AUDIO, ETC.</t>
        </is>
      </c>
      <c r="N424" s="10" t="inlineStr">
        <is>
          <t>PRIMARIOS</t>
        </is>
      </c>
      <c r="O424" s="10" t="inlineStr">
        <is>
          <t>DOCUMENTOS TÉCNICOS</t>
        </is>
      </c>
      <c r="P424" s="10" t="inlineStr">
        <is>
          <t>USO INTERNO(2)</t>
        </is>
      </c>
      <c r="Q424" s="10" t="inlineStr">
        <is>
          <t>BAJA(1)</t>
        </is>
      </c>
      <c r="R424" s="10" t="inlineStr">
        <is>
          <t>BAJA(1)</t>
        </is>
      </c>
      <c r="S424" s="10">
        <f>+(IF(P424="PUBLICA(1)",1,IF(P424="USO INTERNO(2)",2,IF(P424="RESTRINGIDO(3)",3,3))))+(IF(Q424="BAJA(1)",1,IF(Q424="MEDIA(2)",2,IF(Q424="ALTA(3)",3,3))))+(IF(R424="BAJA(1)",1,IF(R424="MEDIA(2)",2,IF(R424="ALTA(3)",3,3))))</f>
        <v/>
      </c>
      <c r="T424" s="10">
        <f>+IF(S424&lt;6,"BAJA",IF(S424&lt;8,"MEDIA","ALTA"))</f>
        <v/>
      </c>
      <c r="U424" s="10" t="inlineStr">
        <is>
          <t>-</t>
        </is>
      </c>
      <c r="V424" s="24" t="n">
        <v>45674</v>
      </c>
      <c r="W424" s="19" t="inlineStr">
        <is>
          <t>N/A</t>
        </is>
      </c>
      <c r="X424" s="10">
        <f>+IFERROR(IF(VLOOKUP(Tabla2[[#This Row],[ID]],'EVALUACION DE RIESGO'!A:A,1,FALSE)=Tabla2[[#This Row],[ID]],"SI","NO"),"NO")</f>
        <v/>
      </c>
      <c r="AD424">
        <f>IF(AND(Y424="",AA424=""),"",IF(OR(LEFT(AA424,2)="L0",LEFT(AA424,2)="L1",Y424="No Iniciado"),"CRÍTICO - Incumplimiento Normativo SEPS",IF(AND(OR(LEFT(AA424,2)="L4",LEFT(AA424,2)="L5"),AND(AC424&lt;&gt;"",AC424&lt;&gt;"N/A")),"CONFORME - Control Efectivo ISO 27001","OBSERVACIÓN - Revisar Controles")))</f>
        <v/>
      </c>
    </row>
    <row r="425">
      <c r="A425" s="99" t="inlineStr">
        <is>
          <t>46-GOP</t>
        </is>
      </c>
      <c r="B425" s="10" t="inlineStr">
        <is>
          <t>APOYO</t>
        </is>
      </c>
      <c r="C425" s="10" t="inlineStr">
        <is>
          <t xml:space="preserve">Gestión de Operaciones </t>
        </is>
      </c>
      <c r="D425" s="10" t="inlineStr">
        <is>
          <t>GOP</t>
        </is>
      </c>
      <c r="E425" s="10" t="inlineStr">
        <is>
          <t>Cuadres y Conciliaciones</t>
        </is>
      </c>
      <c r="F425" s="10" t="inlineStr">
        <is>
          <t>-</t>
        </is>
      </c>
      <c r="G425" s="10" t="inlineStr">
        <is>
          <t>Titularización de cartera VIS-VIP</t>
        </is>
      </c>
      <c r="H425" s="10" t="inlineStr">
        <is>
          <t>Reportes diarios de cartera titularizada</t>
        </is>
      </c>
      <c r="I425" s="10" t="inlineStr">
        <is>
          <t>Archivos de verificación de provisión de interés, cancelaciones, Cargo contable, cartera vencida, liquidación traspaso, paso por vencer a vencido, reajustes, reclasificación por plazo, retornos de capital, saldo, tabla de amortización cabecera, tabla amortización detalle, tasa ponderada</t>
        </is>
      </c>
      <c r="J425" s="10" t="inlineStr">
        <is>
          <t>Jefe de Soporte y Cuadres</t>
        </is>
      </c>
      <c r="K425" s="10" t="inlineStr">
        <is>
          <t>Asistente Operativo</t>
        </is>
      </c>
      <c r="L425" s="10" t="inlineStr">
        <is>
          <t>UBICACIÓN DIGITAL-EQUIPO DEL CUSTODIO</t>
        </is>
      </c>
      <c r="M425" s="10" t="inlineStr">
        <is>
          <t>DISCOS DUROS, SERVIDORES, DISCOS O MEDIOS PORTÁTILES, CINTAS O MEDIOS DE VIDEO Y AUDIO, ETC.</t>
        </is>
      </c>
      <c r="N425" s="10" t="inlineStr">
        <is>
          <t>PRIMARIOS</t>
        </is>
      </c>
      <c r="O425" s="10" t="inlineStr">
        <is>
          <t>DOCUMENTOS TÉCNICOS</t>
        </is>
      </c>
      <c r="P425" s="10" t="inlineStr">
        <is>
          <t>USO INTERNO(2)</t>
        </is>
      </c>
      <c r="Q425" s="10" t="inlineStr">
        <is>
          <t>BAJA(1)</t>
        </is>
      </c>
      <c r="R425" s="10" t="inlineStr">
        <is>
          <t>BAJA(1)</t>
        </is>
      </c>
      <c r="S425" s="10">
        <f>+(IF(P425="PUBLICA(1)",1,IF(P425="USO INTERNO(2)",2,IF(P425="RESTRINGIDO(3)",3,3))))+(IF(Q425="BAJA(1)",1,IF(Q425="MEDIA(2)",2,IF(Q425="ALTA(3)",3,3))))+(IF(R425="BAJA(1)",1,IF(R425="MEDIA(2)",2,IF(R425="ALTA(3)",3,3))))</f>
        <v/>
      </c>
      <c r="T425" s="10">
        <f>+IF(S425&lt;6,"BAJA",IF(S425&lt;8,"MEDIA","ALTA"))</f>
        <v/>
      </c>
      <c r="U425" s="10" t="inlineStr">
        <is>
          <t>-</t>
        </is>
      </c>
      <c r="V425" s="24" t="n">
        <v>45674</v>
      </c>
      <c r="W425" s="19" t="inlineStr">
        <is>
          <t>N/A</t>
        </is>
      </c>
      <c r="X425" s="10">
        <f>+IFERROR(IF(VLOOKUP(Tabla2[[#This Row],[ID]],'EVALUACION DE RIESGO'!A:A,1,FALSE)=Tabla2[[#This Row],[ID]],"SI","NO"),"NO")</f>
        <v/>
      </c>
      <c r="AD425">
        <f>IF(AND(Y425="",AA425=""),"",IF(OR(LEFT(AA425,2)="L0",LEFT(AA425,2)="L1",Y425="No Iniciado"),"CRÍTICO - Incumplimiento Normativo SEPS",IF(AND(OR(LEFT(AA425,2)="L4",LEFT(AA425,2)="L5"),AND(AC425&lt;&gt;"",AC425&lt;&gt;"N/A")),"CONFORME - Control Efectivo ISO 27001","OBSERVACIÓN - Revisar Controles")))</f>
        <v/>
      </c>
    </row>
    <row r="426">
      <c r="A426" s="99" t="inlineStr">
        <is>
          <t>47-GOP</t>
        </is>
      </c>
      <c r="B426" s="10" t="inlineStr">
        <is>
          <t>APOYO</t>
        </is>
      </c>
      <c r="C426" s="10" t="inlineStr">
        <is>
          <t xml:space="preserve">Gestión de Operaciones </t>
        </is>
      </c>
      <c r="D426" s="10" t="inlineStr">
        <is>
          <t>GOP</t>
        </is>
      </c>
      <c r="E426" s="10" t="inlineStr">
        <is>
          <t>Cuadres y Conciliaciones</t>
        </is>
      </c>
      <c r="F426" s="10" t="inlineStr">
        <is>
          <t>-</t>
        </is>
      </c>
      <c r="G426" s="10" t="inlineStr">
        <is>
          <t xml:space="preserve">Validación de Estructuras  </t>
        </is>
      </c>
      <c r="H426" s="10" t="inlineStr">
        <is>
          <t>Acuso de recibo de validación de estructuras</t>
        </is>
      </c>
      <c r="I426" s="10" t="inlineStr">
        <is>
          <t>WCARDENAS</t>
        </is>
      </c>
      <c r="J426" s="10" t="inlineStr">
        <is>
          <t>Jefe de Soporte y Cuadres</t>
        </is>
      </c>
      <c r="K426" s="10" t="inlineStr">
        <is>
          <t>Asistente Operativo</t>
        </is>
      </c>
      <c r="L426" s="10" t="inlineStr">
        <is>
          <t>UBICACIÓN DIGITAL-EQUIPO DEL CUSTODIO</t>
        </is>
      </c>
      <c r="M426" s="10" t="inlineStr">
        <is>
          <t>DISCOS DUROS, SERVIDORES, DISCOS O MEDIOS PORTÁTILES, CINTAS O MEDIOS DE VIDEO Y AUDIO, ETC.</t>
        </is>
      </c>
      <c r="N426" s="10" t="inlineStr">
        <is>
          <t>PRIMARIOS</t>
        </is>
      </c>
      <c r="O426" s="10" t="inlineStr">
        <is>
          <t>DOCUMENTOS HABILITANTES</t>
        </is>
      </c>
      <c r="P426" s="10" t="inlineStr">
        <is>
          <t>USO INTERNO(2)</t>
        </is>
      </c>
      <c r="Q426" s="10" t="inlineStr">
        <is>
          <t>MEDIA(2)</t>
        </is>
      </c>
      <c r="R426" s="10" t="inlineStr">
        <is>
          <t>ALTA(3)</t>
        </is>
      </c>
      <c r="S426" s="10">
        <f>+(IF(P426="PUBLICA(1)",1,IF(P426="USO INTERNO(2)",2,IF(P426="RESTRINGIDO(3)",3,3))))+(IF(Q426="BAJA(1)",1,IF(Q426="MEDIA(2)",2,IF(Q426="ALTA(3)",3,3))))+(IF(R426="BAJA(1)",1,IF(R426="MEDIA(2)",2,IF(R426="ALTA(3)",3,3))))</f>
        <v/>
      </c>
      <c r="T426" s="10">
        <f>+IF(S426&lt;6,"BAJA",IF(S426&lt;8,"MEDIA","ALTA"))</f>
        <v/>
      </c>
      <c r="U426" s="10" t="inlineStr">
        <is>
          <t>-</t>
        </is>
      </c>
      <c r="V426" s="24" t="n">
        <v>45674</v>
      </c>
      <c r="W426" s="19" t="inlineStr">
        <is>
          <t>N/A</t>
        </is>
      </c>
      <c r="X426" s="10">
        <f>+IFERROR(IF(VLOOKUP(Tabla2[[#This Row],[ID]],'EVALUACION DE RIESGO'!A:A,1,FALSE)=Tabla2[[#This Row],[ID]],"SI","NO"),"NO")</f>
        <v/>
      </c>
      <c r="AD426">
        <f>IF(AND(Y426="",AA426=""),"",IF(OR(LEFT(AA426,2)="L0",LEFT(AA426,2)="L1",Y426="No Iniciado"),"CRÍTICO - Incumplimiento Normativo SEPS",IF(AND(OR(LEFT(AA426,2)="L4",LEFT(AA426,2)="L5"),AND(AC426&lt;&gt;"",AC426&lt;&gt;"N/A")),"CONFORME - Control Efectivo ISO 27001","OBSERVACIÓN - Revisar Controles")))</f>
        <v/>
      </c>
    </row>
    <row r="427">
      <c r="A427" s="99" t="inlineStr">
        <is>
          <t>48-GOP</t>
        </is>
      </c>
      <c r="B427" s="10" t="inlineStr">
        <is>
          <t>APOYO</t>
        </is>
      </c>
      <c r="C427" s="10" t="inlineStr">
        <is>
          <t xml:space="preserve">Gestión de Operaciones </t>
        </is>
      </c>
      <c r="D427" s="10" t="inlineStr">
        <is>
          <t>GOP</t>
        </is>
      </c>
      <c r="E427" s="10" t="inlineStr">
        <is>
          <t>Cuadres y Conciliaciones</t>
        </is>
      </c>
      <c r="F427" s="10" t="inlineStr">
        <is>
          <t>-</t>
        </is>
      </c>
      <c r="G427" s="10" t="inlineStr">
        <is>
          <t xml:space="preserve">Validación de Estructuras  </t>
        </is>
      </c>
      <c r="H427" s="10" t="inlineStr">
        <is>
          <t>Bitácora de Validación de estructuras</t>
        </is>
      </c>
      <c r="I427" s="10" t="inlineStr">
        <is>
          <t>WCARDENAS</t>
        </is>
      </c>
      <c r="J427" s="10" t="inlineStr">
        <is>
          <t>Jefe de Soporte y Cuadres</t>
        </is>
      </c>
      <c r="K427" s="10" t="inlineStr">
        <is>
          <t>JEFE DE INFRAESTRUCTURA OPERACIONAL</t>
        </is>
      </c>
      <c r="L427" s="10" t="inlineStr">
        <is>
          <t>UBICACIÓN DIGITAL-EQUIPO DEL CUSTODIO</t>
        </is>
      </c>
      <c r="M427" s="10" t="inlineStr">
        <is>
          <t>DISCOS DUROS, SERVIDORES, DISCOS O MEDIOS PORTÁTILES, CINTAS O MEDIOS DE VIDEO Y AUDIO, ETC.</t>
        </is>
      </c>
      <c r="N427" s="10" t="inlineStr">
        <is>
          <t>PRIMARIOS</t>
        </is>
      </c>
      <c r="O427" s="10" t="inlineStr">
        <is>
          <t>DOCUMENTOS TÉCNICOS</t>
        </is>
      </c>
      <c r="P427" s="10" t="inlineStr">
        <is>
          <t>USO INTERNO(2)</t>
        </is>
      </c>
      <c r="Q427" s="10" t="inlineStr">
        <is>
          <t>MEDIA(2)</t>
        </is>
      </c>
      <c r="R427" s="10" t="inlineStr">
        <is>
          <t>MEDIA(2)</t>
        </is>
      </c>
      <c r="S427" s="10">
        <f>+(IF(P427="PUBLICA(1)",1,IF(P427="USO INTERNO(2)",2,IF(P427="RESTRINGIDO(3)",3,3))))+(IF(Q427="BAJA(1)",1,IF(Q427="MEDIA(2)",2,IF(Q427="ALTA(3)",3,3))))+(IF(R427="BAJA(1)",1,IF(R427="MEDIA(2)",2,IF(R427="ALTA(3)",3,3))))</f>
        <v/>
      </c>
      <c r="T427" s="10">
        <f>+IF(S427&lt;6,"BAJA",IF(S427&lt;8,"MEDIA","ALTA"))</f>
        <v/>
      </c>
      <c r="U427" s="10" t="inlineStr">
        <is>
          <t>-</t>
        </is>
      </c>
      <c r="V427" s="24" t="n">
        <v>45674</v>
      </c>
      <c r="W427" s="19" t="inlineStr">
        <is>
          <t>N/A</t>
        </is>
      </c>
      <c r="X427" s="10">
        <f>+IFERROR(IF(VLOOKUP(Tabla2[[#This Row],[ID]],'EVALUACION DE RIESGO'!A:A,1,FALSE)=Tabla2[[#This Row],[ID]],"SI","NO"),"NO")</f>
        <v/>
      </c>
      <c r="AD427">
        <f>IF(AND(Y427="",AA427=""),"",IF(OR(LEFT(AA427,2)="L0",LEFT(AA427,2)="L1",Y427="No Iniciado"),"CRÍTICO - Incumplimiento Normativo SEPS",IF(AND(OR(LEFT(AA427,2)="L4",LEFT(AA427,2)="L5"),AND(AC427&lt;&gt;"",AC427&lt;&gt;"N/A")),"CONFORME - Control Efectivo ISO 27001","OBSERVACIÓN - Revisar Controles")))</f>
        <v/>
      </c>
    </row>
    <row r="428">
      <c r="A428" s="99" t="inlineStr">
        <is>
          <t>49-GOP</t>
        </is>
      </c>
      <c r="B428" s="10" t="inlineStr">
        <is>
          <t>APOYO</t>
        </is>
      </c>
      <c r="C428" s="10" t="inlineStr">
        <is>
          <t xml:space="preserve">Gestión de Operaciones </t>
        </is>
      </c>
      <c r="D428" s="10" t="inlineStr">
        <is>
          <t>GOP</t>
        </is>
      </c>
      <c r="E428" s="10" t="inlineStr">
        <is>
          <t>Gestión del Front Operativo</t>
        </is>
      </c>
      <c r="F428" s="10" t="inlineStr">
        <is>
          <t xml:space="preserve">Bóveda y Cajas </t>
        </is>
      </c>
      <c r="G428" s="10" t="inlineStr">
        <is>
          <t xml:space="preserve">Apertura de bóvedas y Cajas </t>
        </is>
      </c>
      <c r="H428" s="10" t="inlineStr">
        <is>
          <t>Control de ingreso al área de Cajas.</t>
        </is>
      </c>
      <c r="I428" s="10" t="inlineStr">
        <is>
          <t>Bitácora de control de accesos de cajeros y personas que ingresan al área</t>
        </is>
      </c>
      <c r="J428" s="10" t="inlineStr">
        <is>
          <t>Jefe del Front Operativo</t>
        </is>
      </c>
      <c r="K428" s="10" t="inlineStr">
        <is>
          <t>Supervisor Operativo</t>
        </is>
      </c>
      <c r="L428" s="10" t="inlineStr">
        <is>
          <t>DOCUMENTOS FISICOS-ARCHIVOS DE LA OFICINA</t>
        </is>
      </c>
      <c r="M428" s="10" t="inlineStr">
        <is>
          <t>ARCHIVOS INSTITUCIONALES-FÍSICOS</t>
        </is>
      </c>
      <c r="N428" s="10" t="inlineStr">
        <is>
          <t>PRIMARIOS</t>
        </is>
      </c>
      <c r="O428" s="10" t="inlineStr">
        <is>
          <t>DOCUMENTOS HABILITANTES</t>
        </is>
      </c>
      <c r="P428" s="10" t="inlineStr">
        <is>
          <t>USO INTERNO(2)</t>
        </is>
      </c>
      <c r="Q428" s="10" t="inlineStr">
        <is>
          <t>MEDIA(2)</t>
        </is>
      </c>
      <c r="R428" s="10" t="inlineStr">
        <is>
          <t>BAJA(1)</t>
        </is>
      </c>
      <c r="S428" s="10">
        <f>+(IF(P428="PUBLICA(1)",1,IF(P428="USO INTERNO(2)",2,IF(P428="RESTRINGIDO(3)",3,3))))+(IF(Q428="BAJA(1)",1,IF(Q428="MEDIA(2)",2,IF(Q428="ALTA(3)",3,3))))+(IF(R428="BAJA(1)",1,IF(R428="MEDIA(2)",2,IF(R428="ALTA(3)",3,3))))</f>
        <v/>
      </c>
      <c r="T428" s="10">
        <f>+IF(S428&lt;6,"BAJA",IF(S428&lt;8,"MEDIA","ALTA"))</f>
        <v/>
      </c>
      <c r="U428" s="10" t="inlineStr">
        <is>
          <t>-</t>
        </is>
      </c>
      <c r="V428" s="24" t="n">
        <v>45674</v>
      </c>
      <c r="W428" s="19" t="inlineStr">
        <is>
          <t>N/A</t>
        </is>
      </c>
      <c r="X428" s="10">
        <f>+IFERROR(IF(VLOOKUP(Tabla2[[#This Row],[ID]],'EVALUACION DE RIESGO'!A:A,1,FALSE)=Tabla2[[#This Row],[ID]],"SI","NO"),"NO")</f>
        <v/>
      </c>
      <c r="AD428">
        <f>IF(AND(Y428="",AA428=""),"",IF(OR(LEFT(AA428,2)="L0",LEFT(AA428,2)="L1",Y428="No Iniciado"),"CRÍTICO - Incumplimiento Normativo SEPS",IF(AND(OR(LEFT(AA428,2)="L4",LEFT(AA428,2)="L5"),AND(AC428&lt;&gt;"",AC428&lt;&gt;"N/A")),"CONFORME - Control Efectivo ISO 27001","OBSERVACIÓN - Revisar Controles")))</f>
        <v/>
      </c>
    </row>
    <row r="429">
      <c r="A429" s="99" t="inlineStr">
        <is>
          <t>50-GOP</t>
        </is>
      </c>
      <c r="B429" s="10" t="inlineStr">
        <is>
          <t>APOYO</t>
        </is>
      </c>
      <c r="C429" s="10" t="inlineStr">
        <is>
          <t xml:space="preserve">Gestión de Operaciones </t>
        </is>
      </c>
      <c r="D429" s="10" t="inlineStr">
        <is>
          <t>GOP</t>
        </is>
      </c>
      <c r="E429" s="10" t="inlineStr">
        <is>
          <t>Gestión del Front Operativo</t>
        </is>
      </c>
      <c r="F429" s="10" t="inlineStr">
        <is>
          <t xml:space="preserve">Bóveda y Cajas </t>
        </is>
      </c>
      <c r="G429" s="10" t="inlineStr">
        <is>
          <t xml:space="preserve">Apertura de bóvedas y Cajas </t>
        </is>
      </c>
      <c r="H429" s="10" t="inlineStr">
        <is>
          <t>Comprobante de entrega y/o transferencia de fondos.</t>
        </is>
      </c>
      <c r="I429" s="10" t="inlineStr">
        <is>
          <t>Documento del sistema que se imprime, tiene el detalle de los usuarios que entregan reciben y el monto</t>
        </is>
      </c>
      <c r="J429" s="10" t="inlineStr">
        <is>
          <t>Jefe del Front Operativo</t>
        </is>
      </c>
      <c r="K429" s="10" t="inlineStr">
        <is>
          <t>Supervisor Operativo</t>
        </is>
      </c>
      <c r="L429" s="10" t="inlineStr">
        <is>
          <t>ARCHIVOS INSTITUCIONALES-FÍSICOS</t>
        </is>
      </c>
      <c r="M429" s="10" t="inlineStr">
        <is>
          <t>ARCHIVOS INSTITUCIONALES-FÍSICOS</t>
        </is>
      </c>
      <c r="N429" s="10" t="inlineStr">
        <is>
          <t>PRIMARIOS</t>
        </is>
      </c>
      <c r="O429" s="10" t="inlineStr">
        <is>
          <t>DOCUMENTOS TÉCNICOS</t>
        </is>
      </c>
      <c r="P429" s="10" t="inlineStr">
        <is>
          <t>USO INTERNO(2)</t>
        </is>
      </c>
      <c r="Q429" s="10" t="inlineStr">
        <is>
          <t>MEDIA(2)</t>
        </is>
      </c>
      <c r="R429" s="10" t="inlineStr">
        <is>
          <t>BAJA(1)</t>
        </is>
      </c>
      <c r="S429" s="10">
        <f>+(IF(P429="PUBLICA(1)",1,IF(P429="USO INTERNO(2)",2,IF(P429="RESTRINGIDO(3)",3,3))))+(IF(Q429="BAJA(1)",1,IF(Q429="MEDIA(2)",2,IF(Q429="ALTA(3)",3,3))))+(IF(R429="BAJA(1)",1,IF(R429="MEDIA(2)",2,IF(R429="ALTA(3)",3,3))))</f>
        <v/>
      </c>
      <c r="T429" s="10">
        <f>+IF(S429&lt;6,"BAJA",IF(S429&lt;8,"MEDIA","ALTA"))</f>
        <v/>
      </c>
      <c r="U429" s="10" t="inlineStr">
        <is>
          <t>-</t>
        </is>
      </c>
      <c r="V429" s="24" t="n">
        <v>45674</v>
      </c>
      <c r="W429" s="19" t="inlineStr">
        <is>
          <t>N/A</t>
        </is>
      </c>
      <c r="X429" s="10">
        <f>+IFERROR(IF(VLOOKUP(Tabla2[[#This Row],[ID]],'EVALUACION DE RIESGO'!A:A,1,FALSE)=Tabla2[[#This Row],[ID]],"SI","NO"),"NO")</f>
        <v/>
      </c>
      <c r="AD429">
        <f>IF(AND(Y429="",AA429=""),"",IF(OR(LEFT(AA429,2)="L0",LEFT(AA429,2)="L1",Y429="No Iniciado"),"CRÍTICO - Incumplimiento Normativo SEPS",IF(AND(OR(LEFT(AA429,2)="L4",LEFT(AA429,2)="L5"),AND(AC429&lt;&gt;"",AC429&lt;&gt;"N/A")),"CONFORME - Control Efectivo ISO 27001","OBSERVACIÓN - Revisar Controles")))</f>
        <v/>
      </c>
    </row>
    <row r="430">
      <c r="A430" s="99" t="inlineStr">
        <is>
          <t>51-GOP</t>
        </is>
      </c>
      <c r="B430" s="10" t="inlineStr">
        <is>
          <t>APOYO</t>
        </is>
      </c>
      <c r="C430" s="10" t="inlineStr">
        <is>
          <t xml:space="preserve">Gestión de Operaciones </t>
        </is>
      </c>
      <c r="D430" s="10" t="inlineStr">
        <is>
          <t>GOP</t>
        </is>
      </c>
      <c r="E430" s="10" t="inlineStr">
        <is>
          <t>Gestión del Front Operativo</t>
        </is>
      </c>
      <c r="F430" s="10" t="inlineStr">
        <is>
          <t xml:space="preserve">Bóveda y Cajas </t>
        </is>
      </c>
      <c r="G430" s="10" t="inlineStr">
        <is>
          <t xml:space="preserve">Apertura de bóvedas y Cajas </t>
        </is>
      </c>
      <c r="H430" s="10" t="inlineStr">
        <is>
          <t>Control de libretas de ahorros.</t>
        </is>
      </c>
      <c r="I430" s="10" t="inlineStr">
        <is>
          <t>Bitácora donde hay un control del Supervisor Operativa y el Cajero. Con los socios no existen documentos porque se validan con la huella dactilar</t>
        </is>
      </c>
      <c r="J430" s="10" t="inlineStr">
        <is>
          <t>Jefe del Front Operativo</t>
        </is>
      </c>
      <c r="K430" s="10" t="inlineStr">
        <is>
          <t>Supervisor Operativo</t>
        </is>
      </c>
      <c r="L430" s="10" t="inlineStr">
        <is>
          <t>ARCHIVOS INSTITUCIONALES-FÍSICOS</t>
        </is>
      </c>
      <c r="M430" s="10" t="inlineStr">
        <is>
          <t>ARCHIVOS INSTITUCIONALES-FÍSICOS</t>
        </is>
      </c>
      <c r="N430" s="10" t="inlineStr">
        <is>
          <t>PRIMARIOS</t>
        </is>
      </c>
      <c r="O430" s="10" t="inlineStr">
        <is>
          <t>DOCUMENTOS TÉCNICOS</t>
        </is>
      </c>
      <c r="P430" s="10" t="inlineStr">
        <is>
          <t>USO INTERNO(2)</t>
        </is>
      </c>
      <c r="Q430" s="10" t="inlineStr">
        <is>
          <t>MEDIA(2)</t>
        </is>
      </c>
      <c r="R430" s="10" t="inlineStr">
        <is>
          <t>BAJA(1)</t>
        </is>
      </c>
      <c r="S430" s="10">
        <f>+(IF(P430="PUBLICA(1)",1,IF(P430="USO INTERNO(2)",2,IF(P430="RESTRINGIDO(3)",3,3))))+(IF(Q430="BAJA(1)",1,IF(Q430="MEDIA(2)",2,IF(Q430="ALTA(3)",3,3))))+(IF(R430="BAJA(1)",1,IF(R430="MEDIA(2)",2,IF(R430="ALTA(3)",3,3))))</f>
        <v/>
      </c>
      <c r="T430" s="10">
        <f>+IF(S430&lt;6,"BAJA",IF(S430&lt;8,"MEDIA","ALTA"))</f>
        <v/>
      </c>
      <c r="U430" s="10" t="inlineStr">
        <is>
          <t>-</t>
        </is>
      </c>
      <c r="V430" s="24" t="n">
        <v>45674</v>
      </c>
      <c r="W430" s="19" t="inlineStr">
        <is>
          <t>N/A</t>
        </is>
      </c>
      <c r="X430" s="10">
        <f>+IFERROR(IF(VLOOKUP(Tabla2[[#This Row],[ID]],'EVALUACION DE RIESGO'!A:A,1,FALSE)=Tabla2[[#This Row],[ID]],"SI","NO"),"NO")</f>
        <v/>
      </c>
      <c r="AD430">
        <f>IF(AND(Y430="",AA430=""),"",IF(OR(LEFT(AA430,2)="L0",LEFT(AA430,2)="L1",Y430="No Iniciado"),"CRÍTICO - Incumplimiento Normativo SEPS",IF(AND(OR(LEFT(AA430,2)="L4",LEFT(AA430,2)="L5"),AND(AC430&lt;&gt;"",AC430&lt;&gt;"N/A")),"CONFORME - Control Efectivo ISO 27001","OBSERVACIÓN - Revisar Controles")))</f>
        <v/>
      </c>
    </row>
    <row r="431">
      <c r="A431" s="99" t="inlineStr">
        <is>
          <t>52-GOP</t>
        </is>
      </c>
      <c r="B431" s="10" t="inlineStr">
        <is>
          <t>APOYO</t>
        </is>
      </c>
      <c r="C431" s="10" t="inlineStr">
        <is>
          <t xml:space="preserve">Gestión de Operaciones </t>
        </is>
      </c>
      <c r="D431" s="10" t="inlineStr">
        <is>
          <t>GOP</t>
        </is>
      </c>
      <c r="E431" s="10" t="inlineStr">
        <is>
          <t>Gestión del Front Operativo</t>
        </is>
      </c>
      <c r="F431" s="10" t="inlineStr">
        <is>
          <t xml:space="preserve">Bóveda y Cajas </t>
        </is>
      </c>
      <c r="G431" s="10" t="inlineStr">
        <is>
          <t>Movimiento de cajas y bóvedas (incrementos y decrementos)</t>
        </is>
      </c>
      <c r="H431" s="10" t="inlineStr">
        <is>
          <t xml:space="preserve">Solicitud de fondo de bóveda. </t>
        </is>
      </c>
      <c r="I431" s="10" t="inlineStr">
        <is>
          <t>Documento que firma el Supervisor Operativo y el Jefe de oficina para realizar el requerimiento a Tesorería</t>
        </is>
      </c>
      <c r="J431" s="10" t="inlineStr">
        <is>
          <t>Jefe del Front Operativo</t>
        </is>
      </c>
      <c r="K431" s="10" t="inlineStr">
        <is>
          <t>Supervisor Operativo</t>
        </is>
      </c>
      <c r="L431" s="10" t="inlineStr">
        <is>
          <t>UBICACIÓN DIGITAL-CORE FINANCIERO</t>
        </is>
      </c>
      <c r="M431" s="10" t="inlineStr">
        <is>
          <t>SISTEMAS DE INFORMACIÓN CORPORATIVOS</t>
        </is>
      </c>
      <c r="N431" s="10" t="inlineStr">
        <is>
          <t>PRIMARIOS</t>
        </is>
      </c>
      <c r="O431" s="10" t="inlineStr">
        <is>
          <t>DOCUMENTOS HABILITANTES</t>
        </is>
      </c>
      <c r="P431" s="10" t="inlineStr">
        <is>
          <t>USO INTERNO(2)</t>
        </is>
      </c>
      <c r="Q431" s="10" t="inlineStr">
        <is>
          <t>BAJA(1)</t>
        </is>
      </c>
      <c r="R431" s="10" t="inlineStr">
        <is>
          <t>BAJA(1)</t>
        </is>
      </c>
      <c r="S431" s="10">
        <f>+(IF(P431="PUBLICA(1)",1,IF(P431="USO INTERNO(2)",2,IF(P431="RESTRINGIDO(3)",3,3))))+(IF(Q431="BAJA(1)",1,IF(Q431="MEDIA(2)",2,IF(Q431="ALTA(3)",3,3))))+(IF(R431="BAJA(1)",1,IF(R431="MEDIA(2)",2,IF(R431="ALTA(3)",3,3))))</f>
        <v/>
      </c>
      <c r="T431" s="10">
        <f>+IF(S431&lt;6,"BAJA",IF(S431&lt;8,"MEDIA","ALTA"))</f>
        <v/>
      </c>
      <c r="U431" s="10" t="inlineStr">
        <is>
          <t>-</t>
        </is>
      </c>
      <c r="V431" s="24" t="n">
        <v>45674</v>
      </c>
      <c r="W431" s="19" t="inlineStr">
        <is>
          <t>N/A</t>
        </is>
      </c>
      <c r="X431" s="10">
        <f>+IFERROR(IF(VLOOKUP(Tabla2[[#This Row],[ID]],'EVALUACION DE RIESGO'!A:A,1,FALSE)=Tabla2[[#This Row],[ID]],"SI","NO"),"NO")</f>
        <v/>
      </c>
      <c r="AD431">
        <f>IF(AND(Y431="",AA431=""),"",IF(OR(LEFT(AA431,2)="L0",LEFT(AA431,2)="L1",Y431="No Iniciado"),"CRÍTICO - Incumplimiento Normativo SEPS",IF(AND(OR(LEFT(AA431,2)="L4",LEFT(AA431,2)="L5"),AND(AC431&lt;&gt;"",AC431&lt;&gt;"N/A")),"CONFORME - Control Efectivo ISO 27001","OBSERVACIÓN - Revisar Controles")))</f>
        <v/>
      </c>
    </row>
    <row r="432">
      <c r="A432" s="99" t="inlineStr">
        <is>
          <t>53-GOP</t>
        </is>
      </c>
      <c r="B432" s="10" t="inlineStr">
        <is>
          <t>APOYO</t>
        </is>
      </c>
      <c r="C432" s="10" t="inlineStr">
        <is>
          <t xml:space="preserve">Gestión de Operaciones </t>
        </is>
      </c>
      <c r="D432" s="10" t="inlineStr">
        <is>
          <t>GOP</t>
        </is>
      </c>
      <c r="E432" s="10" t="inlineStr">
        <is>
          <t>Gestión del Front Operativo</t>
        </is>
      </c>
      <c r="F432" s="10" t="inlineStr">
        <is>
          <t xml:space="preserve">Bóveda y Cajas </t>
        </is>
      </c>
      <c r="G432" s="10" t="inlineStr">
        <is>
          <t>Movimiento de cajas y bóvedas (incrementos y decrementos)</t>
        </is>
      </c>
      <c r="H432" s="10" t="inlineStr">
        <is>
          <t>Registro de entrega recepción de libretas y llaves</t>
        </is>
      </c>
      <c r="I432" s="10" t="inlineStr">
        <is>
          <t>Bitácora de registro, cuando el Sup Operativo entrega las libretas al inicio del día y recibe al fin del día, de igual forma con las llaves</t>
        </is>
      </c>
      <c r="J432" s="10" t="inlineStr">
        <is>
          <t>Jefe del Front Operativo</t>
        </is>
      </c>
      <c r="K432" s="10" t="inlineStr">
        <is>
          <t>Supervisor Operativo</t>
        </is>
      </c>
      <c r="L432" s="10" t="inlineStr">
        <is>
          <t>ARCHIVOS INSTITUCIONALES-FÍSICOS</t>
        </is>
      </c>
      <c r="M432" s="10" t="inlineStr">
        <is>
          <t>ARCHIVOS INSTITUCIONALES-FÍSICOS</t>
        </is>
      </c>
      <c r="N432" s="10" t="inlineStr">
        <is>
          <t>PRIMARIOS</t>
        </is>
      </c>
      <c r="O432" s="10" t="inlineStr">
        <is>
          <t>DOCUMENTOS TÉCNICOS</t>
        </is>
      </c>
      <c r="P432" s="10" t="inlineStr">
        <is>
          <t>USO INTERNO(2)</t>
        </is>
      </c>
      <c r="Q432" s="10" t="inlineStr">
        <is>
          <t>BAJA(1)</t>
        </is>
      </c>
      <c r="R432" s="10" t="inlineStr">
        <is>
          <t>BAJA(1)</t>
        </is>
      </c>
      <c r="S432" s="10">
        <f>+(IF(P432="PUBLICA(1)",1,IF(P432="USO INTERNO(2)",2,IF(P432="RESTRINGIDO(3)",3,3))))+(IF(Q432="BAJA(1)",1,IF(Q432="MEDIA(2)",2,IF(Q432="ALTA(3)",3,3))))+(IF(R432="BAJA(1)",1,IF(R432="MEDIA(2)",2,IF(R432="ALTA(3)",3,3))))</f>
        <v/>
      </c>
      <c r="T432" s="10">
        <f>+IF(S432&lt;6,"BAJA",IF(S432&lt;8,"MEDIA","ALTA"))</f>
        <v/>
      </c>
      <c r="U432" s="10" t="inlineStr">
        <is>
          <t>-</t>
        </is>
      </c>
      <c r="V432" s="24" t="n">
        <v>45674</v>
      </c>
      <c r="W432" s="19" t="inlineStr">
        <is>
          <t>N/A</t>
        </is>
      </c>
      <c r="X432" s="10">
        <f>+IFERROR(IF(VLOOKUP(Tabla2[[#This Row],[ID]],'EVALUACION DE RIESGO'!A:A,1,FALSE)=Tabla2[[#This Row],[ID]],"SI","NO"),"NO")</f>
        <v/>
      </c>
      <c r="AD432">
        <f>IF(AND(Y432="",AA432=""),"",IF(OR(LEFT(AA432,2)="L0",LEFT(AA432,2)="L1",Y432="No Iniciado"),"CRÍTICO - Incumplimiento Normativo SEPS",IF(AND(OR(LEFT(AA432,2)="L4",LEFT(AA432,2)="L5"),AND(AC432&lt;&gt;"",AC432&lt;&gt;"N/A")),"CONFORME - Control Efectivo ISO 27001","OBSERVACIÓN - Revisar Controles")))</f>
        <v/>
      </c>
    </row>
    <row r="433">
      <c r="A433" s="99" t="inlineStr">
        <is>
          <t>54-GOP</t>
        </is>
      </c>
      <c r="B433" s="10" t="inlineStr">
        <is>
          <t>APOYO</t>
        </is>
      </c>
      <c r="C433" s="10" t="inlineStr">
        <is>
          <t xml:space="preserve">Gestión de Operaciones </t>
        </is>
      </c>
      <c r="D433" s="10" t="inlineStr">
        <is>
          <t>GOP</t>
        </is>
      </c>
      <c r="E433" s="10" t="inlineStr">
        <is>
          <t>Gestión del Front Operativo</t>
        </is>
      </c>
      <c r="F433" s="10" t="inlineStr">
        <is>
          <t xml:space="preserve">Bóveda y Cajas </t>
        </is>
      </c>
      <c r="G433" s="10" t="inlineStr">
        <is>
          <t>Movimiento de cajas y bóvedas (incrementos y decrementos)</t>
        </is>
      </c>
      <c r="H433" s="10" t="inlineStr">
        <is>
          <t>Reporte de Totales de Centrales.</t>
        </is>
      </c>
      <c r="I433" s="10" t="inlineStr">
        <is>
          <t>Planilla de fin del día, con el detalle de transacciones por usuarios y detalle de montos por bóveda</t>
        </is>
      </c>
      <c r="J433" s="10" t="inlineStr">
        <is>
          <t>Jefe del Front Operativo</t>
        </is>
      </c>
      <c r="K433" s="10" t="inlineStr">
        <is>
          <t>Supervisor Operativo</t>
        </is>
      </c>
      <c r="L433" s="10" t="inlineStr">
        <is>
          <t>DISCOS DUROS, SERVIDORES, DISCOS O MEDIOS PORTÁTILES, CINTAS O MEDIOS DE VIDEO Y AUDIO, ETC.</t>
        </is>
      </c>
      <c r="M433" s="10" t="inlineStr">
        <is>
          <t>DISCOS DUROS, SERVIDORES, DISCOS O MEDIOS PORTÁTILES, CINTAS O MEDIOS DE VIDEO Y AUDIO, ETC.</t>
        </is>
      </c>
      <c r="N433" s="10" t="inlineStr">
        <is>
          <t>PRIMARIOS</t>
        </is>
      </c>
      <c r="O433" s="10" t="inlineStr">
        <is>
          <t>DOCUMENTOS TÉCNICOS</t>
        </is>
      </c>
      <c r="P433" s="10" t="inlineStr">
        <is>
          <t>USO INTERNO(2)</t>
        </is>
      </c>
      <c r="Q433" s="10" t="inlineStr">
        <is>
          <t>MEDIA(2)</t>
        </is>
      </c>
      <c r="R433" s="10" t="inlineStr">
        <is>
          <t>MEDIA(2)</t>
        </is>
      </c>
      <c r="S433" s="10">
        <f>+(IF(P433="PUBLICA(1)",1,IF(P433="USO INTERNO(2)",2,IF(P433="RESTRINGIDO(3)",3,3))))+(IF(Q433="BAJA(1)",1,IF(Q433="MEDIA(2)",2,IF(Q433="ALTA(3)",3,3))))+(IF(R433="BAJA(1)",1,IF(R433="MEDIA(2)",2,IF(R433="ALTA(3)",3,3))))</f>
        <v/>
      </c>
      <c r="T433" s="10">
        <f>+IF(S433&lt;6,"BAJA",IF(S433&lt;8,"MEDIA","ALTA"))</f>
        <v/>
      </c>
      <c r="U433" s="10" t="inlineStr">
        <is>
          <t>-</t>
        </is>
      </c>
      <c r="V433" s="24" t="n">
        <v>45674</v>
      </c>
      <c r="W433" s="19" t="inlineStr">
        <is>
          <t>N/A</t>
        </is>
      </c>
      <c r="X433" s="10">
        <f>+IFERROR(IF(VLOOKUP(Tabla2[[#This Row],[ID]],'EVALUACION DE RIESGO'!A:A,1,FALSE)=Tabla2[[#This Row],[ID]],"SI","NO"),"NO")</f>
        <v/>
      </c>
      <c r="AD433">
        <f>IF(AND(Y433="",AA433=""),"",IF(OR(LEFT(AA433,2)="L0",LEFT(AA433,2)="L1",Y433="No Iniciado"),"CRÍTICO - Incumplimiento Normativo SEPS",IF(AND(OR(LEFT(AA433,2)="L4",LEFT(AA433,2)="L5"),AND(AC433&lt;&gt;"",AC433&lt;&gt;"N/A")),"CONFORME - Control Efectivo ISO 27001","OBSERVACIÓN - Revisar Controles")))</f>
        <v/>
      </c>
    </row>
    <row r="434">
      <c r="A434" s="99" t="inlineStr">
        <is>
          <t>55-GOP</t>
        </is>
      </c>
      <c r="B434" s="10" t="inlineStr">
        <is>
          <t>APOYO</t>
        </is>
      </c>
      <c r="C434" s="10" t="inlineStr">
        <is>
          <t xml:space="preserve">Gestión de Operaciones </t>
        </is>
      </c>
      <c r="D434" s="10" t="inlineStr">
        <is>
          <t>GOP</t>
        </is>
      </c>
      <c r="E434" s="10" t="inlineStr">
        <is>
          <t>Gestión del Front Operativo</t>
        </is>
      </c>
      <c r="F434" s="10" t="inlineStr">
        <is>
          <t xml:space="preserve">Bóveda y Cajas </t>
        </is>
      </c>
      <c r="G434" s="10" t="inlineStr">
        <is>
          <t>Movimiento de cajas y bóvedas (incrementos y decrementos)</t>
        </is>
      </c>
      <c r="H434" s="10" t="inlineStr">
        <is>
          <t>Recibo de remisión.</t>
        </is>
      </c>
      <c r="I434" s="10" t="inlineStr">
        <is>
          <t>Guías de remisión cuando de hace envío o recepción de efectivo, detalla la fecha, datos del remitente, detalle del efectivo, firmas de responsables</t>
        </is>
      </c>
      <c r="J434" s="10" t="inlineStr">
        <is>
          <t>Jefe del Front Operativo</t>
        </is>
      </c>
      <c r="K434" s="10" t="inlineStr">
        <is>
          <t>Supervisor Operativo</t>
        </is>
      </c>
      <c r="L434" s="10" t="inlineStr">
        <is>
          <t>UBICACIÓN FISICA - ARCHIVO DEL ÁREA</t>
        </is>
      </c>
      <c r="M434" s="10" t="inlineStr">
        <is>
          <t>ARCHIVOS INSTITUCIONALES-FÍSICOS</t>
        </is>
      </c>
      <c r="N434" s="10" t="inlineStr">
        <is>
          <t>PRIMARIOS</t>
        </is>
      </c>
      <c r="O434" s="10" t="inlineStr">
        <is>
          <t>DOCUMENTOS TÉCNICOS</t>
        </is>
      </c>
      <c r="P434" s="10" t="inlineStr">
        <is>
          <t>USO INTERNO(2)</t>
        </is>
      </c>
      <c r="Q434" s="10" t="inlineStr">
        <is>
          <t>BAJA(1)</t>
        </is>
      </c>
      <c r="R434" s="10" t="inlineStr">
        <is>
          <t>MEDIA(2)</t>
        </is>
      </c>
      <c r="S434" s="10">
        <f>+(IF(P434="PUBLICA(1)",1,IF(P434="USO INTERNO(2)",2,IF(P434="RESTRINGIDO(3)",3,3))))+(IF(Q434="BAJA(1)",1,IF(Q434="MEDIA(2)",2,IF(Q434="ALTA(3)",3,3))))+(IF(R434="BAJA(1)",1,IF(R434="MEDIA(2)",2,IF(R434="ALTA(3)",3,3))))</f>
        <v/>
      </c>
      <c r="T434" s="10">
        <f>+IF(S434&lt;6,"BAJA",IF(S434&lt;8,"MEDIA","ALTA"))</f>
        <v/>
      </c>
      <c r="U434" s="10" t="inlineStr">
        <is>
          <t>-</t>
        </is>
      </c>
      <c r="V434" s="24" t="n">
        <v>45674</v>
      </c>
      <c r="W434" s="19" t="inlineStr">
        <is>
          <t>N/A</t>
        </is>
      </c>
      <c r="X434" s="10">
        <f>+IFERROR(IF(VLOOKUP(Tabla2[[#This Row],[ID]],'EVALUACION DE RIESGO'!A:A,1,FALSE)=Tabla2[[#This Row],[ID]],"SI","NO"),"NO")</f>
        <v/>
      </c>
      <c r="AD434">
        <f>IF(AND(Y434="",AA434=""),"",IF(OR(LEFT(AA434,2)="L0",LEFT(AA434,2)="L1",Y434="No Iniciado"),"CRÍTICO - Incumplimiento Normativo SEPS",IF(AND(OR(LEFT(AA434,2)="L4",LEFT(AA434,2)="L5"),AND(AC434&lt;&gt;"",AC434&lt;&gt;"N/A")),"CONFORME - Control Efectivo ISO 27001","OBSERVACIÓN - Revisar Controles")))</f>
        <v/>
      </c>
    </row>
    <row r="435">
      <c r="A435" s="99" t="inlineStr">
        <is>
          <t>56-GOP</t>
        </is>
      </c>
      <c r="B435" s="10" t="inlineStr">
        <is>
          <t>APOYO</t>
        </is>
      </c>
      <c r="C435" s="10" t="inlineStr">
        <is>
          <t xml:space="preserve">Gestión de Operaciones </t>
        </is>
      </c>
      <c r="D435" s="10" t="inlineStr">
        <is>
          <t>GOP</t>
        </is>
      </c>
      <c r="E435" s="10" t="inlineStr">
        <is>
          <t>Gestión del Front Operativo</t>
        </is>
      </c>
      <c r="F435" s="10" t="inlineStr">
        <is>
          <t xml:space="preserve">Bóveda y Cajas </t>
        </is>
      </c>
      <c r="G435" s="10" t="inlineStr">
        <is>
          <t xml:space="preserve">Fondeo mediante el Centro de Acopio          </t>
        </is>
      </c>
      <c r="H435" s="10" t="inlineStr">
        <is>
          <t>Registro de ingresos y egresos del centro de acopio</t>
        </is>
      </c>
      <c r="I435" s="10" t="inlineStr">
        <is>
          <t>Registro contable que se realiza en el sistema automático del movimiento de efectivo entre oficinas</t>
        </is>
      </c>
      <c r="J435" s="10" t="inlineStr">
        <is>
          <t>Jefe del Front Operativo</t>
        </is>
      </c>
      <c r="K435" s="10" t="inlineStr">
        <is>
          <t>CORE FINANCIERO</t>
        </is>
      </c>
      <c r="L435" s="10" t="inlineStr">
        <is>
          <t>UBICACIÓN DIGITAL-CORE FINANCIERO</t>
        </is>
      </c>
      <c r="M435" s="10" t="inlineStr">
        <is>
          <t>SISTEMAS DE INFORMACIÓN CORPORATIVOS</t>
        </is>
      </c>
      <c r="N435" s="10" t="inlineStr">
        <is>
          <t>PRIMARIOS</t>
        </is>
      </c>
      <c r="O435" s="10" t="inlineStr">
        <is>
          <t>DOCUMENTOS HABILITANTES</t>
        </is>
      </c>
      <c r="P435" s="10" t="inlineStr">
        <is>
          <t>RESTRINGIDO(3)</t>
        </is>
      </c>
      <c r="Q435" s="10" t="inlineStr">
        <is>
          <t>BAJA(1)</t>
        </is>
      </c>
      <c r="R435" s="10" t="inlineStr">
        <is>
          <t>MEDIA(2)</t>
        </is>
      </c>
      <c r="S435" s="10">
        <f>+(IF(P435="PUBLICA(1)",1,IF(P435="USO INTERNO(2)",2,IF(P435="RESTRINGIDO(3)",3,3))))+(IF(Q435="BAJA(1)",1,IF(Q435="MEDIA(2)",2,IF(Q435="ALTA(3)",3,3))))+(IF(R435="BAJA(1)",1,IF(R435="MEDIA(2)",2,IF(R435="ALTA(3)",3,3))))</f>
        <v/>
      </c>
      <c r="T435" s="10">
        <f>+IF(S435&lt;6,"BAJA",IF(S435&lt;8,"MEDIA","ALTA"))</f>
        <v/>
      </c>
      <c r="U435" s="10" t="inlineStr">
        <is>
          <t>-</t>
        </is>
      </c>
      <c r="V435" s="24" t="n">
        <v>45674</v>
      </c>
      <c r="W435" s="19" t="inlineStr">
        <is>
          <t>N/A</t>
        </is>
      </c>
      <c r="X435" s="10">
        <f>+IFERROR(IF(VLOOKUP(Tabla2[[#This Row],[ID]],'EVALUACION DE RIESGO'!A:A,1,FALSE)=Tabla2[[#This Row],[ID]],"SI","NO"),"NO")</f>
        <v/>
      </c>
      <c r="AD435">
        <f>IF(AND(Y435="",AA435=""),"",IF(OR(LEFT(AA435,2)="L0",LEFT(AA435,2)="L1",Y435="No Iniciado"),"CRÍTICO - Incumplimiento Normativo SEPS",IF(AND(OR(LEFT(AA435,2)="L4",LEFT(AA435,2)="L5"),AND(AC435&lt;&gt;"",AC435&lt;&gt;"N/A")),"CONFORME - Control Efectivo ISO 27001","OBSERVACIÓN - Revisar Controles")))</f>
        <v/>
      </c>
    </row>
    <row r="436">
      <c r="A436" s="99" t="inlineStr">
        <is>
          <t>57-GOP</t>
        </is>
      </c>
      <c r="B436" s="10" t="inlineStr">
        <is>
          <t>APOYO</t>
        </is>
      </c>
      <c r="C436" s="10" t="inlineStr">
        <is>
          <t xml:space="preserve">Gestión de Operaciones </t>
        </is>
      </c>
      <c r="D436" s="10" t="inlineStr">
        <is>
          <t>GOP</t>
        </is>
      </c>
      <c r="E436" s="10" t="inlineStr">
        <is>
          <t>Gestión del Front Operativo</t>
        </is>
      </c>
      <c r="F436" s="10" t="inlineStr">
        <is>
          <t xml:space="preserve">Transacciones en Ventanillas </t>
        </is>
      </c>
      <c r="G436" s="10" t="inlineStr">
        <is>
          <t xml:space="preserve">Depósito en efectivo o cheques </t>
        </is>
      </c>
      <c r="H436" s="10" t="inlineStr">
        <is>
          <t>Papeleta de depósito</t>
        </is>
      </c>
      <c r="I436" s="10" t="inlineStr">
        <is>
          <t>Papeleta donde se ingresa la información del depósito</t>
        </is>
      </c>
      <c r="J436" s="10" t="inlineStr">
        <is>
          <t>Jefe del Front Operativo</t>
        </is>
      </c>
      <c r="K436" s="10" t="inlineStr">
        <is>
          <t>CAJERO</t>
        </is>
      </c>
      <c r="L436" s="10" t="inlineStr">
        <is>
          <t>DOCUMENTOS FISICOS-ARCHIVOS DE LA OFICINA</t>
        </is>
      </c>
      <c r="M436" s="10" t="inlineStr">
        <is>
          <t>DOCUMENTO DE ARCHIVO-FÍSICO</t>
        </is>
      </c>
      <c r="N436" s="10" t="inlineStr">
        <is>
          <t>PRIMARIOS</t>
        </is>
      </c>
      <c r="O436" s="10" t="inlineStr">
        <is>
          <t>DOCUMENTOS HABILITANTES</t>
        </is>
      </c>
      <c r="P436" s="10" t="inlineStr">
        <is>
          <t>USO INTERNO(2)</t>
        </is>
      </c>
      <c r="Q436" s="10" t="inlineStr">
        <is>
          <t>MEDIA(2)</t>
        </is>
      </c>
      <c r="R436" s="10" t="inlineStr">
        <is>
          <t>ALTA(3)</t>
        </is>
      </c>
      <c r="S436" s="10">
        <f>+(IF(P436="PUBLICA(1)",1,IF(P436="USO INTERNO(2)",2,IF(P436="RESTRINGIDO(3)",3,3))))+(IF(Q436="BAJA(1)",1,IF(Q436="MEDIA(2)",2,IF(Q436="ALTA(3)",3,3))))+(IF(R436="BAJA(1)",1,IF(R436="MEDIA(2)",2,IF(R436="ALTA(3)",3,3))))</f>
        <v/>
      </c>
      <c r="T436" s="10">
        <f>+IF(S436&lt;6,"BAJA",IF(S436&lt;8,"MEDIA","ALTA"))</f>
        <v/>
      </c>
      <c r="U436" s="10" t="inlineStr">
        <is>
          <t>-</t>
        </is>
      </c>
      <c r="V436" s="24" t="n">
        <v>45674</v>
      </c>
      <c r="W436" s="19" t="inlineStr">
        <is>
          <t>N/A</t>
        </is>
      </c>
      <c r="X436" s="10">
        <f>+IFERROR(IF(VLOOKUP(Tabla2[[#This Row],[ID]],'EVALUACION DE RIESGO'!A:A,1,FALSE)=Tabla2[[#This Row],[ID]],"SI","NO"),"NO")</f>
        <v/>
      </c>
      <c r="AD436">
        <f>IF(AND(Y436="",AA436=""),"",IF(OR(LEFT(AA436,2)="L0",LEFT(AA436,2)="L1",Y436="No Iniciado"),"CRÍTICO - Incumplimiento Normativo SEPS",IF(AND(OR(LEFT(AA436,2)="L4",LEFT(AA436,2)="L5"),AND(AC436&lt;&gt;"",AC436&lt;&gt;"N/A")),"CONFORME - Control Efectivo ISO 27001","OBSERVACIÓN - Revisar Controles")))</f>
        <v/>
      </c>
    </row>
    <row r="437" ht="30.6" customHeight="1" s="106">
      <c r="A437" s="99" t="inlineStr">
        <is>
          <t>58-GOP</t>
        </is>
      </c>
      <c r="B437" s="10" t="inlineStr">
        <is>
          <t>APOYO</t>
        </is>
      </c>
      <c r="C437" s="10" t="inlineStr">
        <is>
          <t xml:space="preserve">Gestión de Operaciones </t>
        </is>
      </c>
      <c r="D437" s="10" t="inlineStr">
        <is>
          <t>GOP</t>
        </is>
      </c>
      <c r="E437" s="10" t="inlineStr">
        <is>
          <t>Gestión del Front Operativo</t>
        </is>
      </c>
      <c r="F437" s="10" t="inlineStr">
        <is>
          <t xml:space="preserve">Transacciones en Ventanillas </t>
        </is>
      </c>
      <c r="G437" s="10" t="inlineStr">
        <is>
          <t xml:space="preserve">Depósito en efectivo o cheques </t>
        </is>
      </c>
      <c r="H437" s="17" t="inlineStr">
        <is>
          <t>Cheques / Depósito</t>
        </is>
      </c>
      <c r="I437" s="17" t="inlineStr">
        <is>
          <t>Documento contable de valor que utiliza una persona para retirar dinero de la cuenta de quien lo emite</t>
        </is>
      </c>
      <c r="J437" s="10" t="inlineStr">
        <is>
          <t>Jefe del Front Operativo</t>
        </is>
      </c>
      <c r="K437" s="10" t="inlineStr">
        <is>
          <t>SUPERVISOR OPERATIVO</t>
        </is>
      </c>
      <c r="L437" s="10" t="inlineStr">
        <is>
          <t>DOCUMENTOS FISICOS-ARCHIVOS DE LA OFICINA</t>
        </is>
      </c>
      <c r="M437" s="10" t="inlineStr">
        <is>
          <t>DOCUMENTO DE ARCHIVO-FÍSICO</t>
        </is>
      </c>
      <c r="N437" s="10" t="inlineStr">
        <is>
          <t>PRIMARIOS</t>
        </is>
      </c>
      <c r="O437" s="10" t="inlineStr">
        <is>
          <t>DOCUMENTOS HABILITANTES</t>
        </is>
      </c>
      <c r="P437" s="10" t="inlineStr">
        <is>
          <t>RESTRINGIDO(3)</t>
        </is>
      </c>
      <c r="Q437" s="10" t="inlineStr">
        <is>
          <t>ALTA(3)</t>
        </is>
      </c>
      <c r="R437" s="10" t="inlineStr">
        <is>
          <t>ALTA(3)</t>
        </is>
      </c>
      <c r="S437" s="10">
        <f>+(IF(P437="PUBLICA(1)",1,IF(P437="USO INTERNO(2)",2,IF(P437="RESTRINGIDO(3)",3,3))))+(IF(Q437="BAJA(1)",1,IF(Q437="MEDIA(2)",2,IF(Q437="ALTA(3)",3,3))))+(IF(R437="BAJA(1)",1,IF(R437="MEDIA(2)",2,IF(R437="ALTA(3)",3,3))))</f>
        <v/>
      </c>
      <c r="T437" s="10">
        <f>+IF(S437&lt;6,"BAJA",IF(S437&lt;8,"MEDIA","ALTA"))</f>
        <v/>
      </c>
      <c r="U437" s="10" t="inlineStr">
        <is>
          <t>-</t>
        </is>
      </c>
      <c r="V437" s="24" t="n">
        <v>45674</v>
      </c>
      <c r="W437" s="19" t="inlineStr">
        <is>
          <t>N/A</t>
        </is>
      </c>
      <c r="X437" s="10">
        <f>+IFERROR(IF(VLOOKUP(Tabla2[[#This Row],[ID]],'EVALUACION DE RIESGO'!A:A,1,FALSE)=Tabla2[[#This Row],[ID]],"SI","NO"),"NO")</f>
        <v/>
      </c>
      <c r="AD437">
        <f>IF(AND(Y437="",AA437=""),"",IF(OR(LEFT(AA437,2)="L0",LEFT(AA437,2)="L1",Y437="No Iniciado"),"CRÍTICO - Incumplimiento Normativo SEPS",IF(AND(OR(LEFT(AA437,2)="L4",LEFT(AA437,2)="L5"),AND(AC437&lt;&gt;"",AC437&lt;&gt;"N/A")),"CONFORME - Control Efectivo ISO 27001","OBSERVACIÓN - Revisar Controles")))</f>
        <v/>
      </c>
    </row>
    <row r="438">
      <c r="A438" s="99" t="inlineStr">
        <is>
          <t>59-GOP</t>
        </is>
      </c>
      <c r="B438" s="10" t="inlineStr">
        <is>
          <t>APOYO</t>
        </is>
      </c>
      <c r="C438" s="10" t="inlineStr">
        <is>
          <t xml:space="preserve">Gestión de Operaciones </t>
        </is>
      </c>
      <c r="D438" s="10" t="inlineStr">
        <is>
          <t>GOP</t>
        </is>
      </c>
      <c r="E438" s="10" t="inlineStr">
        <is>
          <t>Gestión del Front Operativo</t>
        </is>
      </c>
      <c r="F438" s="10" t="inlineStr">
        <is>
          <t xml:space="preserve">Transacciones en Ventanillas </t>
        </is>
      </c>
      <c r="G438" s="10" t="inlineStr">
        <is>
          <t xml:space="preserve">Depósito en efectivo o cheques </t>
        </is>
      </c>
      <c r="H438" s="10" t="inlineStr">
        <is>
          <t>Control diario de cheques</t>
        </is>
      </c>
      <c r="I438" s="10" t="inlineStr">
        <is>
          <t>Formulario físico de control que lleva el cajero de los cheques que se depositan</t>
        </is>
      </c>
      <c r="J438" s="10" t="inlineStr">
        <is>
          <t>Jefe del Front Operativo</t>
        </is>
      </c>
      <c r="K438" s="10" t="inlineStr">
        <is>
          <t>SUPERVISOR OPERATIVO</t>
        </is>
      </c>
      <c r="L438" s="10" t="inlineStr">
        <is>
          <t>DOCUMENTOS FISICOS-ARCHIVOS DE LA OFICINA</t>
        </is>
      </c>
      <c r="M438" s="10" t="inlineStr">
        <is>
          <t>DOCUMENTO DE ARCHIVO-FÍSICO</t>
        </is>
      </c>
      <c r="N438" s="10" t="inlineStr">
        <is>
          <t>PRIMARIOS</t>
        </is>
      </c>
      <c r="O438" s="10" t="inlineStr">
        <is>
          <t>DOCUMENTOS HABILITANTES</t>
        </is>
      </c>
      <c r="P438" s="10" t="inlineStr">
        <is>
          <t>RESTRINGIDO(3)</t>
        </is>
      </c>
      <c r="Q438" s="10" t="inlineStr">
        <is>
          <t>MEDIA(2)</t>
        </is>
      </c>
      <c r="R438" s="10" t="inlineStr">
        <is>
          <t>MEDIA(2)</t>
        </is>
      </c>
      <c r="S438" s="10">
        <f>+(IF(P438="PUBLICA(1)",1,IF(P438="USO INTERNO(2)",2,IF(P438="RESTRINGIDO(3)",3,3))))+(IF(Q438="BAJA(1)",1,IF(Q438="MEDIA(2)",2,IF(Q438="ALTA(3)",3,3))))+(IF(R438="BAJA(1)",1,IF(R438="MEDIA(2)",2,IF(R438="ALTA(3)",3,3))))</f>
        <v/>
      </c>
      <c r="T438" s="10">
        <f>+IF(S438&lt;6,"BAJA",IF(S438&lt;8,"MEDIA","ALTA"))</f>
        <v/>
      </c>
      <c r="U438" s="10" t="inlineStr">
        <is>
          <t>-</t>
        </is>
      </c>
      <c r="V438" s="24" t="n">
        <v>45674</v>
      </c>
      <c r="W438" s="19" t="inlineStr">
        <is>
          <t>N/A</t>
        </is>
      </c>
      <c r="X438" s="10">
        <f>+IFERROR(IF(VLOOKUP(Tabla2[[#This Row],[ID]],'EVALUACION DE RIESGO'!A:A,1,FALSE)=Tabla2[[#This Row],[ID]],"SI","NO"),"NO")</f>
        <v/>
      </c>
      <c r="AD438">
        <f>IF(AND(Y438="",AA438=""),"",IF(OR(LEFT(AA438,2)="L0",LEFT(AA438,2)="L1",Y438="No Iniciado"),"CRÍTICO - Incumplimiento Normativo SEPS",IF(AND(OR(LEFT(AA438,2)="L4",LEFT(AA438,2)="L5"),AND(AC438&lt;&gt;"",AC438&lt;&gt;"N/A")),"CONFORME - Control Efectivo ISO 27001","OBSERVACIÓN - Revisar Controles")))</f>
        <v/>
      </c>
    </row>
    <row r="439">
      <c r="A439" s="99" t="inlineStr">
        <is>
          <t>60-GOP</t>
        </is>
      </c>
      <c r="B439" s="10" t="inlineStr">
        <is>
          <t>APOYO</t>
        </is>
      </c>
      <c r="C439" s="10" t="inlineStr">
        <is>
          <t xml:space="preserve">Gestión de Operaciones </t>
        </is>
      </c>
      <c r="D439" s="10" t="inlineStr">
        <is>
          <t>GOP</t>
        </is>
      </c>
      <c r="E439" s="10" t="inlineStr">
        <is>
          <t>Gestión del Front Operativo</t>
        </is>
      </c>
      <c r="F439" s="10" t="inlineStr">
        <is>
          <t xml:space="preserve">Transacciones en Ventanillas </t>
        </is>
      </c>
      <c r="G439" s="10" t="inlineStr">
        <is>
          <t xml:space="preserve">Depósito en efectivo o cheques </t>
        </is>
      </c>
      <c r="H439" s="10" t="inlineStr">
        <is>
          <t>Formulario de licitud de fondos y justificación de ser el caso</t>
        </is>
      </c>
      <c r="I439" s="10" t="inlineStr">
        <is>
          <t xml:space="preserve">Formulario de licitud de fondos cuando los depósitos son iguales o superiores a los montos determinados por la UAFE (Unidad de Análisis Financiero y Económico) </t>
        </is>
      </c>
      <c r="J439" s="10" t="inlineStr">
        <is>
          <t>Jefe del Front Operativo</t>
        </is>
      </c>
      <c r="K439" s="10" t="inlineStr">
        <is>
          <t>SUPERVISOR OPERATIVO</t>
        </is>
      </c>
      <c r="L439" s="10" t="inlineStr">
        <is>
          <t>DOCUMENTOS FISICOS-ARCHIVOS DE LA OFICINA</t>
        </is>
      </c>
      <c r="M439" s="10" t="inlineStr">
        <is>
          <t>DOCUMENTO DE ARCHIVO-FÍSICO</t>
        </is>
      </c>
      <c r="N439" s="10" t="inlineStr">
        <is>
          <t>PRIMARIOS</t>
        </is>
      </c>
      <c r="O439" s="10" t="inlineStr">
        <is>
          <t>DOCUMENTOS HABILITANTES</t>
        </is>
      </c>
      <c r="P439" s="10" t="inlineStr">
        <is>
          <t>USO INTERNO(2)</t>
        </is>
      </c>
      <c r="Q439" s="10" t="inlineStr">
        <is>
          <t>MEDIA(2)</t>
        </is>
      </c>
      <c r="R439" s="10" t="inlineStr">
        <is>
          <t>MEDIA(2)</t>
        </is>
      </c>
      <c r="S439" s="10">
        <f>+(IF(P439="PUBLICA(1)",1,IF(P439="USO INTERNO(2)",2,IF(P439="RESTRINGIDO(3)",3,3))))+(IF(Q439="BAJA(1)",1,IF(Q439="MEDIA(2)",2,IF(Q439="ALTA(3)",3,3))))+(IF(R439="BAJA(1)",1,IF(R439="MEDIA(2)",2,IF(R439="ALTA(3)",3,3))))</f>
        <v/>
      </c>
      <c r="T439" s="10">
        <f>+IF(S439&lt;6,"BAJA",IF(S439&lt;8,"MEDIA","ALTA"))</f>
        <v/>
      </c>
      <c r="U439" s="10" t="inlineStr">
        <is>
          <t>-</t>
        </is>
      </c>
      <c r="V439" s="24" t="n">
        <v>45674</v>
      </c>
      <c r="W439" s="19" t="inlineStr">
        <is>
          <t>N/A</t>
        </is>
      </c>
      <c r="X439" s="10">
        <f>+IFERROR(IF(VLOOKUP(Tabla2[[#This Row],[ID]],'EVALUACION DE RIESGO'!A:A,1,FALSE)=Tabla2[[#This Row],[ID]],"SI","NO"),"NO")</f>
        <v/>
      </c>
      <c r="AD439">
        <f>IF(AND(Y439="",AA439=""),"",IF(OR(LEFT(AA439,2)="L0",LEFT(AA439,2)="L1",Y439="No Iniciado"),"CRÍTICO - Incumplimiento Normativo SEPS",IF(AND(OR(LEFT(AA439,2)="L4",LEFT(AA439,2)="L5"),AND(AC439&lt;&gt;"",AC439&lt;&gt;"N/A")),"CONFORME - Control Efectivo ISO 27001","OBSERVACIÓN - Revisar Controles")))</f>
        <v/>
      </c>
    </row>
    <row r="440">
      <c r="A440" s="99" t="inlineStr">
        <is>
          <t>61-GOP</t>
        </is>
      </c>
      <c r="B440" s="10" t="inlineStr">
        <is>
          <t>APOYO</t>
        </is>
      </c>
      <c r="C440" s="10" t="inlineStr">
        <is>
          <t xml:space="preserve">Gestión de Operaciones </t>
        </is>
      </c>
      <c r="D440" s="10" t="inlineStr">
        <is>
          <t>GOP</t>
        </is>
      </c>
      <c r="E440" s="10" t="inlineStr">
        <is>
          <t>Gestión del Front Operativo</t>
        </is>
      </c>
      <c r="F440" s="10" t="inlineStr">
        <is>
          <t xml:space="preserve">Transacciones en Ventanillas </t>
        </is>
      </c>
      <c r="G440" s="10" t="inlineStr">
        <is>
          <t xml:space="preserve">Depósito en efectivo o cheques </t>
        </is>
      </c>
      <c r="H440" s="10" t="inlineStr">
        <is>
          <t>Libreta de Ahorros del socio / Depósito</t>
        </is>
      </c>
      <c r="I440" s="10" t="inlineStr">
        <is>
          <t>Documento donde se ingresa la información del depósito</t>
        </is>
      </c>
      <c r="J440" s="10" t="inlineStr">
        <is>
          <t>Jefe del Front Operativo</t>
        </is>
      </c>
      <c r="K440" s="10" t="inlineStr">
        <is>
          <t>SOCIO</t>
        </is>
      </c>
      <c r="L440" s="10" t="inlineStr">
        <is>
          <t>DOCUMENTOS FISICOS-ARCHIVOS DE LA OFICINA</t>
        </is>
      </c>
      <c r="M440" s="10" t="inlineStr">
        <is>
          <t>DOCUMENTO DE ARCHIVO-FÍSICO</t>
        </is>
      </c>
      <c r="N440" s="10" t="inlineStr">
        <is>
          <t>PRIMARIOS</t>
        </is>
      </c>
      <c r="O440" s="10" t="inlineStr">
        <is>
          <t>DOCUMENTOS HABILITANTES</t>
        </is>
      </c>
      <c r="P440" s="10" t="inlineStr">
        <is>
          <t>USO INTERNO(2)</t>
        </is>
      </c>
      <c r="Q440" s="10" t="inlineStr">
        <is>
          <t>MEDIA(2)</t>
        </is>
      </c>
      <c r="R440" s="10" t="inlineStr">
        <is>
          <t>MEDIA(2)</t>
        </is>
      </c>
      <c r="S440" s="10">
        <f>+(IF(P440="PUBLICA(1)",1,IF(P440="USO INTERNO(2)",2,IF(P440="RESTRINGIDO(3)",3,3))))+(IF(Q440="BAJA(1)",1,IF(Q440="MEDIA(2)",2,IF(Q440="ALTA(3)",3,3))))+(IF(R440="BAJA(1)",1,IF(R440="MEDIA(2)",2,IF(R440="ALTA(3)",3,3))))</f>
        <v/>
      </c>
      <c r="T440" s="10">
        <f>+IF(S440&lt;6,"BAJA",IF(S440&lt;8,"MEDIA","ALTA"))</f>
        <v/>
      </c>
      <c r="U440" s="10" t="inlineStr">
        <is>
          <t>-</t>
        </is>
      </c>
      <c r="V440" s="24" t="n">
        <v>45674</v>
      </c>
      <c r="W440" s="19" t="inlineStr">
        <is>
          <t>N/A</t>
        </is>
      </c>
      <c r="X440" s="10">
        <f>+IFERROR(IF(VLOOKUP(Tabla2[[#This Row],[ID]],'EVALUACION DE RIESGO'!A:A,1,FALSE)=Tabla2[[#This Row],[ID]],"SI","NO"),"NO")</f>
        <v/>
      </c>
      <c r="AD440">
        <f>IF(AND(Y440="",AA440=""),"",IF(OR(LEFT(AA440,2)="L0",LEFT(AA440,2)="L1",Y440="No Iniciado"),"CRÍTICO - Incumplimiento Normativo SEPS",IF(AND(OR(LEFT(AA440,2)="L4",LEFT(AA440,2)="L5"),AND(AC440&lt;&gt;"",AC440&lt;&gt;"N/A")),"CONFORME - Control Efectivo ISO 27001","OBSERVACIÓN - Revisar Controles")))</f>
        <v/>
      </c>
    </row>
    <row r="441">
      <c r="A441" s="99" t="inlineStr">
        <is>
          <t>62-GOP</t>
        </is>
      </c>
      <c r="B441" s="10" t="inlineStr">
        <is>
          <t>APOYO</t>
        </is>
      </c>
      <c r="C441" s="10" t="inlineStr">
        <is>
          <t xml:space="preserve">Gestión de Operaciones </t>
        </is>
      </c>
      <c r="D441" s="10" t="inlineStr">
        <is>
          <t>GOP</t>
        </is>
      </c>
      <c r="E441" s="10" t="inlineStr">
        <is>
          <t>Gestión del Front Operativo</t>
        </is>
      </c>
      <c r="F441" s="10" t="inlineStr">
        <is>
          <t xml:space="preserve">Transacciones en Ventanillas </t>
        </is>
      </c>
      <c r="G441" s="10" t="inlineStr">
        <is>
          <t xml:space="preserve">Depósito en efectivo o cheques </t>
        </is>
      </c>
      <c r="H441" s="10" t="inlineStr">
        <is>
          <t>Control de billetes de alta denominación</t>
        </is>
      </c>
      <c r="I441" s="10" t="inlineStr">
        <is>
          <t>Formulario que firma el socio cuando deposita billetes de altas denominaciones de acuerdo a la normativa</t>
        </is>
      </c>
      <c r="J441" s="10" t="inlineStr">
        <is>
          <t>Jefe del Front Operativo</t>
        </is>
      </c>
      <c r="K441" s="10" t="inlineStr">
        <is>
          <t>SUPERVISOR OPERATIVO</t>
        </is>
      </c>
      <c r="L441" s="10" t="inlineStr">
        <is>
          <t>DOCUMENTOS FISICOS-ARCHIVOS DE LA OFICINA</t>
        </is>
      </c>
      <c r="M441" s="10" t="inlineStr">
        <is>
          <t>DOCUMENTO DE ARCHIVO-FÍSICO</t>
        </is>
      </c>
      <c r="N441" s="10" t="inlineStr">
        <is>
          <t>PRIMARIOS</t>
        </is>
      </c>
      <c r="O441" s="10" t="inlineStr">
        <is>
          <t>DOCUMENTOS HABILITANTES</t>
        </is>
      </c>
      <c r="P441" s="10" t="inlineStr">
        <is>
          <t>USO INTERNO(2)</t>
        </is>
      </c>
      <c r="Q441" s="10" t="inlineStr">
        <is>
          <t>MEDIA(2)</t>
        </is>
      </c>
      <c r="R441" s="10" t="inlineStr">
        <is>
          <t>BAJA(1)</t>
        </is>
      </c>
      <c r="S441" s="10">
        <f>+(IF(P441="PUBLICA(1)",1,IF(P441="USO INTERNO(2)",2,IF(P441="RESTRINGIDO(3)",3,3))))+(IF(Q441="BAJA(1)",1,IF(Q441="MEDIA(2)",2,IF(Q441="ALTA(3)",3,3))))+(IF(R441="BAJA(1)",1,IF(R441="MEDIA(2)",2,IF(R441="ALTA(3)",3,3))))</f>
        <v/>
      </c>
      <c r="T441" s="10">
        <f>+IF(S441&lt;6,"BAJA",IF(S441&lt;8,"MEDIA","ALTA"))</f>
        <v/>
      </c>
      <c r="U441" s="10" t="inlineStr">
        <is>
          <t>-</t>
        </is>
      </c>
      <c r="V441" s="24" t="n">
        <v>45674</v>
      </c>
      <c r="W441" s="19" t="inlineStr">
        <is>
          <t>N/A</t>
        </is>
      </c>
      <c r="X441" s="10">
        <f>+IFERROR(IF(VLOOKUP(Tabla2[[#This Row],[ID]],'EVALUACION DE RIESGO'!A:A,1,FALSE)=Tabla2[[#This Row],[ID]],"SI","NO"),"NO")</f>
        <v/>
      </c>
      <c r="AD441">
        <f>IF(AND(Y441="",AA441=""),"",IF(OR(LEFT(AA441,2)="L0",LEFT(AA441,2)="L1",Y441="No Iniciado"),"CRÍTICO - Incumplimiento Normativo SEPS",IF(AND(OR(LEFT(AA441,2)="L4",LEFT(AA441,2)="L5"),AND(AC441&lt;&gt;"",AC441&lt;&gt;"N/A")),"CONFORME - Control Efectivo ISO 27001","OBSERVACIÓN - Revisar Controles")))</f>
        <v/>
      </c>
    </row>
    <row r="442">
      <c r="A442" s="99" t="inlineStr">
        <is>
          <t>63-GOP</t>
        </is>
      </c>
      <c r="B442" s="10" t="inlineStr">
        <is>
          <t>APOYO</t>
        </is>
      </c>
      <c r="C442" s="10" t="inlineStr">
        <is>
          <t xml:space="preserve">Gestión de Operaciones </t>
        </is>
      </c>
      <c r="D442" s="10" t="inlineStr">
        <is>
          <t>GOP</t>
        </is>
      </c>
      <c r="E442" s="10" t="inlineStr">
        <is>
          <t>Gestión del Front Operativo</t>
        </is>
      </c>
      <c r="F442" s="10" t="inlineStr">
        <is>
          <t xml:space="preserve">Transacciones en Ventanillas </t>
        </is>
      </c>
      <c r="G442" s="10" t="inlineStr">
        <is>
          <t xml:space="preserve">Retiro en efectivo </t>
        </is>
      </c>
      <c r="H442" s="10" t="inlineStr">
        <is>
          <t>Papeleta de retiro</t>
        </is>
      </c>
      <c r="I442" s="10" t="inlineStr">
        <is>
          <t>Papeleta con los datos del retiro</t>
        </is>
      </c>
      <c r="J442" s="10" t="inlineStr">
        <is>
          <t>Jefe del Front Operativo</t>
        </is>
      </c>
      <c r="K442" s="10" t="inlineStr">
        <is>
          <t>SUPERVISOR OPERATIVO</t>
        </is>
      </c>
      <c r="L442" s="10" t="inlineStr">
        <is>
          <t>DOCUMENTOS FISICOS-ARCHIVOS DE LA OFICINA</t>
        </is>
      </c>
      <c r="M442" s="10" t="inlineStr">
        <is>
          <t>DOCUMENTO DE ARCHIVO-FÍSICO</t>
        </is>
      </c>
      <c r="N442" s="10" t="inlineStr">
        <is>
          <t>PRIMARIOS</t>
        </is>
      </c>
      <c r="O442" s="10" t="inlineStr">
        <is>
          <t>DOCUMENTOS HABILITANTES</t>
        </is>
      </c>
      <c r="P442" s="10" t="inlineStr">
        <is>
          <t>USO INTERNO(2)</t>
        </is>
      </c>
      <c r="Q442" s="10" t="inlineStr">
        <is>
          <t>MEDIA(2)</t>
        </is>
      </c>
      <c r="R442" s="10" t="inlineStr">
        <is>
          <t>ALTA(3)</t>
        </is>
      </c>
      <c r="S442" s="10">
        <f>+(IF(P442="PUBLICA(1)",1,IF(P442="USO INTERNO(2)",2,IF(P442="RESTRINGIDO(3)",3,3))))+(IF(Q442="BAJA(1)",1,IF(Q442="MEDIA(2)",2,IF(Q442="ALTA(3)",3,3))))+(IF(R442="BAJA(1)",1,IF(R442="MEDIA(2)",2,IF(R442="ALTA(3)",3,3))))</f>
        <v/>
      </c>
      <c r="T442" s="10">
        <f>+IF(S442&lt;6,"BAJA",IF(S442&lt;8,"MEDIA","ALTA"))</f>
        <v/>
      </c>
      <c r="U442" s="10" t="inlineStr">
        <is>
          <t>-</t>
        </is>
      </c>
      <c r="V442" s="24" t="n">
        <v>45674</v>
      </c>
      <c r="W442" s="19" t="inlineStr">
        <is>
          <t>N/A</t>
        </is>
      </c>
      <c r="X442" s="10">
        <f>+IFERROR(IF(VLOOKUP(Tabla2[[#This Row],[ID]],'EVALUACION DE RIESGO'!A:A,1,FALSE)=Tabla2[[#This Row],[ID]],"SI","NO"),"NO")</f>
        <v/>
      </c>
      <c r="AD442">
        <f>IF(AND(Y442="",AA442=""),"",IF(OR(LEFT(AA442,2)="L0",LEFT(AA442,2)="L1",Y442="No Iniciado"),"CRÍTICO - Incumplimiento Normativo SEPS",IF(AND(OR(LEFT(AA442,2)="L4",LEFT(AA442,2)="L5"),AND(AC442&lt;&gt;"",AC442&lt;&gt;"N/A")),"CONFORME - Control Efectivo ISO 27001","OBSERVACIÓN - Revisar Controles")))</f>
        <v/>
      </c>
    </row>
    <row r="443">
      <c r="A443" s="99" t="inlineStr">
        <is>
          <t>64-GOP</t>
        </is>
      </c>
      <c r="B443" s="10" t="inlineStr">
        <is>
          <t>APOYO</t>
        </is>
      </c>
      <c r="C443" s="10" t="inlineStr">
        <is>
          <t xml:space="preserve">Gestión de Operaciones </t>
        </is>
      </c>
      <c r="D443" s="10" t="inlineStr">
        <is>
          <t>GOP</t>
        </is>
      </c>
      <c r="E443" s="10" t="inlineStr">
        <is>
          <t>Gestión del Front Operativo</t>
        </is>
      </c>
      <c r="F443" s="10" t="inlineStr">
        <is>
          <t xml:space="preserve">Transacciones en Ventanillas </t>
        </is>
      </c>
      <c r="G443" s="10" t="inlineStr">
        <is>
          <t xml:space="preserve">Canje de libretas </t>
        </is>
      </c>
      <c r="H443" s="10" t="inlineStr">
        <is>
          <t>Control de canje de libretas</t>
        </is>
      </c>
      <c r="I443" s="10" t="inlineStr">
        <is>
          <t>Formulario de control de canje para terceros registrado en cajas / Contiene fechas, nro libreta, sello, bro cliente, nombre, parentesco, cédula, firma del socio</t>
        </is>
      </c>
      <c r="J443" s="10" t="inlineStr">
        <is>
          <t>Jefe del Front Operativo</t>
        </is>
      </c>
      <c r="K443" s="10" t="inlineStr">
        <is>
          <t>Supervisor Operativo</t>
        </is>
      </c>
      <c r="L443" s="10" t="inlineStr">
        <is>
          <t>DOCUMENTOS FISICOS-ARCHIVOS DE LA OFICINA</t>
        </is>
      </c>
      <c r="M443" s="10" t="inlineStr">
        <is>
          <t>DOCUMENTO DE ARCHIVO-FÍSICO</t>
        </is>
      </c>
      <c r="N443" s="10" t="inlineStr">
        <is>
          <t>PRIMARIOS</t>
        </is>
      </c>
      <c r="O443" s="10" t="inlineStr">
        <is>
          <t>DOCUMENTOS TÉCNICOS</t>
        </is>
      </c>
      <c r="P443" s="10" t="inlineStr">
        <is>
          <t>USO INTERNO(2)</t>
        </is>
      </c>
      <c r="Q443" s="10" t="inlineStr">
        <is>
          <t>BAJA(1)</t>
        </is>
      </c>
      <c r="R443" s="10" t="inlineStr">
        <is>
          <t>BAJA(1)</t>
        </is>
      </c>
      <c r="S443" s="10">
        <f>+(IF(P443="PUBLICA(1)",1,IF(P443="USO INTERNO(2)",2,IF(P443="RESTRINGIDO(3)",3,3))))+(IF(Q443="BAJA(1)",1,IF(Q443="MEDIA(2)",2,IF(Q443="ALTA(3)",3,3))))+(IF(R443="BAJA(1)",1,IF(R443="MEDIA(2)",2,IF(R443="ALTA(3)",3,3))))</f>
        <v/>
      </c>
      <c r="T443" s="10">
        <f>+IF(S443&lt;6,"BAJA",IF(S443&lt;8,"MEDIA","ALTA"))</f>
        <v/>
      </c>
      <c r="U443" s="10" t="inlineStr">
        <is>
          <t>-</t>
        </is>
      </c>
      <c r="V443" s="24" t="n">
        <v>45674</v>
      </c>
      <c r="W443" s="19" t="inlineStr">
        <is>
          <t>N/A</t>
        </is>
      </c>
      <c r="X443" s="10">
        <f>+IFERROR(IF(VLOOKUP(Tabla2[[#This Row],[ID]],'EVALUACION DE RIESGO'!A:A,1,FALSE)=Tabla2[[#This Row],[ID]],"SI","NO"),"NO")</f>
        <v/>
      </c>
      <c r="AD443">
        <f>IF(AND(Y443="",AA443=""),"",IF(OR(LEFT(AA443,2)="L0",LEFT(AA443,2)="L1",Y443="No Iniciado"),"CRÍTICO - Incumplimiento Normativo SEPS",IF(AND(OR(LEFT(AA443,2)="L4",LEFT(AA443,2)="L5"),AND(AC443&lt;&gt;"",AC443&lt;&gt;"N/A")),"CONFORME - Control Efectivo ISO 27001","OBSERVACIÓN - Revisar Controles")))</f>
        <v/>
      </c>
    </row>
    <row r="444">
      <c r="A444" s="99" t="inlineStr">
        <is>
          <t>65-GOP</t>
        </is>
      </c>
      <c r="B444" s="10" t="inlineStr">
        <is>
          <t>APOYO</t>
        </is>
      </c>
      <c r="C444" s="10" t="inlineStr">
        <is>
          <t xml:space="preserve">Gestión de Operaciones </t>
        </is>
      </c>
      <c r="D444" s="10" t="inlineStr">
        <is>
          <t>GOP</t>
        </is>
      </c>
      <c r="E444" s="10" t="inlineStr">
        <is>
          <t>Gestión del Front Operativo</t>
        </is>
      </c>
      <c r="F444" s="10" t="inlineStr">
        <is>
          <t xml:space="preserve">Transacciones en Ventanillas </t>
        </is>
      </c>
      <c r="G444" s="10" t="inlineStr">
        <is>
          <t xml:space="preserve">Abonos de préstamos </t>
        </is>
      </c>
      <c r="H444" s="10" t="inlineStr">
        <is>
          <t>Copia de comprobante de ingreso y egreso a caja</t>
        </is>
      </c>
      <c r="I444" s="10" t="inlineStr">
        <is>
          <t>Comprobante que se imprime al momento de pagar un crédito con información detallada del pago, cliente monto</t>
        </is>
      </c>
      <c r="J444" s="10" t="inlineStr">
        <is>
          <t>Jefe del Front Operativo</t>
        </is>
      </c>
      <c r="K444" s="10" t="inlineStr">
        <is>
          <t>Supervisor Operativo</t>
        </is>
      </c>
      <c r="L444" s="10" t="inlineStr">
        <is>
          <t>DOCUMENTOS FISICOS-ARCHIVOS DE LA OFICINA</t>
        </is>
      </c>
      <c r="M444" s="10" t="inlineStr">
        <is>
          <t>DOCUMENTO DE ARCHIVO-FÍSICO</t>
        </is>
      </c>
      <c r="N444" s="10" t="inlineStr">
        <is>
          <t>PRIMARIOS</t>
        </is>
      </c>
      <c r="O444" s="10" t="inlineStr">
        <is>
          <t>COMUNICACIÓN INTERNA</t>
        </is>
      </c>
      <c r="P444" s="10" t="inlineStr">
        <is>
          <t>USO INTERNO(2)</t>
        </is>
      </c>
      <c r="Q444" s="10" t="inlineStr">
        <is>
          <t>MEDIA(2)</t>
        </is>
      </c>
      <c r="R444" s="10" t="inlineStr">
        <is>
          <t>BAJA(1)</t>
        </is>
      </c>
      <c r="S444" s="10">
        <f>+(IF(P444="PUBLICA(1)",1,IF(P444="USO INTERNO(2)",2,IF(P444="RESTRINGIDO(3)",3,3))))+(IF(Q444="BAJA(1)",1,IF(Q444="MEDIA(2)",2,IF(Q444="ALTA(3)",3,3))))+(IF(R444="BAJA(1)",1,IF(R444="MEDIA(2)",2,IF(R444="ALTA(3)",3,3))))</f>
        <v/>
      </c>
      <c r="T444" s="10">
        <f>+IF(S444&lt;6,"BAJA",IF(S444&lt;8,"MEDIA","ALTA"))</f>
        <v/>
      </c>
      <c r="U444" s="10" t="inlineStr">
        <is>
          <t>-</t>
        </is>
      </c>
      <c r="V444" s="24" t="n">
        <v>45674</v>
      </c>
      <c r="W444" s="19" t="inlineStr">
        <is>
          <t>N/A</t>
        </is>
      </c>
      <c r="X444" s="10">
        <f>+IFERROR(IF(VLOOKUP(Tabla2[[#This Row],[ID]],'EVALUACION DE RIESGO'!A:A,1,FALSE)=Tabla2[[#This Row],[ID]],"SI","NO"),"NO")</f>
        <v/>
      </c>
      <c r="AD444">
        <f>IF(AND(Y444="",AA444=""),"",IF(OR(LEFT(AA444,2)="L0",LEFT(AA444,2)="L1",Y444="No Iniciado"),"CRÍTICO - Incumplimiento Normativo SEPS",IF(AND(OR(LEFT(AA444,2)="L4",LEFT(AA444,2)="L5"),AND(AC444&lt;&gt;"",AC444&lt;&gt;"N/A")),"CONFORME - Control Efectivo ISO 27001","OBSERVACIÓN - Revisar Controles")))</f>
        <v/>
      </c>
    </row>
    <row r="445">
      <c r="A445" s="99" t="inlineStr">
        <is>
          <t>66-GOP</t>
        </is>
      </c>
      <c r="B445" s="10" t="inlineStr">
        <is>
          <t>APOYO</t>
        </is>
      </c>
      <c r="C445" s="10" t="inlineStr">
        <is>
          <t xml:space="preserve">Gestión de Operaciones </t>
        </is>
      </c>
      <c r="D445" s="10" t="inlineStr">
        <is>
          <t>GOP</t>
        </is>
      </c>
      <c r="E445" s="10" t="inlineStr">
        <is>
          <t>Gestión del Front Operativo</t>
        </is>
      </c>
      <c r="F445" s="10" t="inlineStr">
        <is>
          <t xml:space="preserve">Transacciones en Ventanillas </t>
        </is>
      </c>
      <c r="G445" s="10" t="inlineStr">
        <is>
          <t xml:space="preserve">Cobro de servicios, registro de otros ingresos y otros egresos </t>
        </is>
      </c>
      <c r="H445" s="10" t="inlineStr">
        <is>
          <t>Registro digital de transacciones de cobro</t>
        </is>
      </c>
      <c r="I445" s="10" t="inlineStr">
        <is>
          <t>Registro que se almacena en el Core Financiero del ingreso de caja por el pago del servicio</t>
        </is>
      </c>
      <c r="J445" s="10" t="inlineStr">
        <is>
          <t>Jefe del Front Operativo</t>
        </is>
      </c>
      <c r="K445" s="10" t="inlineStr">
        <is>
          <t>Supervisor Operativo</t>
        </is>
      </c>
      <c r="L445" s="10" t="inlineStr">
        <is>
          <t>UBICACIÓN DIGITAL-CORE FINANCIERO</t>
        </is>
      </c>
      <c r="M445" s="10" t="inlineStr">
        <is>
          <t>DOCUMENTO DE ARCHIVO-ELECTRÓNICO</t>
        </is>
      </c>
      <c r="N445" s="10" t="inlineStr">
        <is>
          <t>PRIMARIOS</t>
        </is>
      </c>
      <c r="O445" s="10" t="inlineStr">
        <is>
          <t>COMUNICACIÓN INTERNA</t>
        </is>
      </c>
      <c r="P445" s="10" t="inlineStr">
        <is>
          <t>USO INTERNO(2)</t>
        </is>
      </c>
      <c r="Q445" s="10" t="inlineStr">
        <is>
          <t>BAJA(1)</t>
        </is>
      </c>
      <c r="R445" s="10" t="inlineStr">
        <is>
          <t>BAJA(1)</t>
        </is>
      </c>
      <c r="S445" s="10">
        <f>+(IF(P445="PUBLICA(1)",1,IF(P445="USO INTERNO(2)",2,IF(P445="RESTRINGIDO(3)",3,3))))+(IF(Q445="BAJA(1)",1,IF(Q445="MEDIA(2)",2,IF(Q445="ALTA(3)",3,3))))+(IF(R445="BAJA(1)",1,IF(R445="MEDIA(2)",2,IF(R445="ALTA(3)",3,3))))</f>
        <v/>
      </c>
      <c r="T445" s="10">
        <f>+IF(S445&lt;6,"BAJA",IF(S445&lt;8,"MEDIA","ALTA"))</f>
        <v/>
      </c>
      <c r="U445" s="10" t="inlineStr">
        <is>
          <t>-</t>
        </is>
      </c>
      <c r="V445" s="24" t="n">
        <v>45674</v>
      </c>
      <c r="W445" s="19" t="inlineStr">
        <is>
          <t>N/A</t>
        </is>
      </c>
      <c r="X445" s="10">
        <f>+IFERROR(IF(VLOOKUP(Tabla2[[#This Row],[ID]],'EVALUACION DE RIESGO'!A:A,1,FALSE)=Tabla2[[#This Row],[ID]],"SI","NO"),"NO")</f>
        <v/>
      </c>
      <c r="AD445">
        <f>IF(AND(Y445="",AA445=""),"",IF(OR(LEFT(AA445,2)="L0",LEFT(AA445,2)="L1",Y445="No Iniciado"),"CRÍTICO - Incumplimiento Normativo SEPS",IF(AND(OR(LEFT(AA445,2)="L4",LEFT(AA445,2)="L5"),AND(AC445&lt;&gt;"",AC445&lt;&gt;"N/A")),"CONFORME - Control Efectivo ISO 27001","OBSERVACIÓN - Revisar Controles")))</f>
        <v/>
      </c>
    </row>
    <row r="446" ht="30.6" customHeight="1" s="106">
      <c r="A446" s="99" t="inlineStr">
        <is>
          <t>67-GOP</t>
        </is>
      </c>
      <c r="B446" s="10" t="inlineStr">
        <is>
          <t>APOYO</t>
        </is>
      </c>
      <c r="C446" s="10" t="inlineStr">
        <is>
          <t xml:space="preserve">Gestión de Operaciones </t>
        </is>
      </c>
      <c r="D446" s="10" t="inlineStr">
        <is>
          <t>GOP</t>
        </is>
      </c>
      <c r="E446" s="10" t="inlineStr">
        <is>
          <t>Gestión del Front Operativo</t>
        </is>
      </c>
      <c r="F446" s="10" t="inlineStr">
        <is>
          <t xml:space="preserve">Transacciones en Ventanillas </t>
        </is>
      </c>
      <c r="G446" s="10" t="inlineStr">
        <is>
          <t xml:space="preserve">Cobro de servicios, registro de otros ingresos y otros egresos </t>
        </is>
      </c>
      <c r="H446" s="17" t="inlineStr">
        <is>
          <t>Comprobante de ingreso y egreso de caja</t>
        </is>
      </c>
      <c r="I446" s="17" t="inlineStr">
        <is>
          <t>Registro de ingreso y egreso que se imprime después de la recaudación con información del servicio y valor</t>
        </is>
      </c>
      <c r="J446" s="10" t="inlineStr">
        <is>
          <t>Jefe del Front Operativo</t>
        </is>
      </c>
      <c r="K446" s="10" t="inlineStr">
        <is>
          <t>Supervisor Operativo</t>
        </is>
      </c>
      <c r="L446" s="10" t="inlineStr">
        <is>
          <t>DOCUMENTOS FISICOS-ARCHIVOS DE LA OFICINA</t>
        </is>
      </c>
      <c r="M446" s="10" t="inlineStr">
        <is>
          <t>DOCUMENTO DE ARCHIVO-FÍSICO</t>
        </is>
      </c>
      <c r="N446" s="10" t="inlineStr">
        <is>
          <t>PRIMARIOS</t>
        </is>
      </c>
      <c r="O446" s="10" t="inlineStr">
        <is>
          <t>DOCUMENTOS HABILITANTES</t>
        </is>
      </c>
      <c r="P446" s="10" t="inlineStr">
        <is>
          <t>RESTRINGIDO(3)</t>
        </is>
      </c>
      <c r="Q446" s="10" t="inlineStr">
        <is>
          <t>ALTA(3)</t>
        </is>
      </c>
      <c r="R446" s="10" t="inlineStr">
        <is>
          <t>MEDIA(2)</t>
        </is>
      </c>
      <c r="S446" s="10">
        <f>+(IF(P446="PUBLICA(1)",1,IF(P446="USO INTERNO(2)",2,IF(P446="RESTRINGIDO(3)",3,3))))+(IF(Q446="BAJA(1)",1,IF(Q446="MEDIA(2)",2,IF(Q446="ALTA(3)",3,3))))+(IF(R446="BAJA(1)",1,IF(R446="MEDIA(2)",2,IF(R446="ALTA(3)",3,3))))</f>
        <v/>
      </c>
      <c r="T446" s="10">
        <f>+IF(S446&lt;6,"BAJA",IF(S446&lt;8,"MEDIA","ALTA"))</f>
        <v/>
      </c>
      <c r="U446" s="10" t="inlineStr">
        <is>
          <t>-</t>
        </is>
      </c>
      <c r="V446" s="24" t="n">
        <v>45674</v>
      </c>
      <c r="W446" s="19" t="inlineStr">
        <is>
          <t>N/A</t>
        </is>
      </c>
      <c r="X446" s="10">
        <f>+IFERROR(IF(VLOOKUP(Tabla2[[#This Row],[ID]],'EVALUACION DE RIESGO'!A:A,1,FALSE)=Tabla2[[#This Row],[ID]],"SI","NO"),"NO")</f>
        <v/>
      </c>
      <c r="AD446">
        <f>IF(AND(Y446="",AA446=""),"",IF(OR(LEFT(AA446,2)="L0",LEFT(AA446,2)="L1",Y446="No Iniciado"),"CRÍTICO - Incumplimiento Normativo SEPS",IF(AND(OR(LEFT(AA446,2)="L4",LEFT(AA446,2)="L5"),AND(AC446&lt;&gt;"",AC446&lt;&gt;"N/A")),"CONFORME - Control Efectivo ISO 27001","OBSERVACIÓN - Revisar Controles")))</f>
        <v/>
      </c>
    </row>
    <row r="447">
      <c r="A447" s="99" t="inlineStr">
        <is>
          <t>68-GOP</t>
        </is>
      </c>
      <c r="B447" s="10" t="inlineStr">
        <is>
          <t>APOYO</t>
        </is>
      </c>
      <c r="C447" s="10" t="inlineStr">
        <is>
          <t xml:space="preserve">Gestión de Operaciones </t>
        </is>
      </c>
      <c r="D447" s="10" t="inlineStr">
        <is>
          <t>GOP</t>
        </is>
      </c>
      <c r="E447" s="10" t="inlineStr">
        <is>
          <t>Gestión del Front Operativo</t>
        </is>
      </c>
      <c r="F447" s="10" t="inlineStr">
        <is>
          <t xml:space="preserve">Transacciones en Ventanillas </t>
        </is>
      </c>
      <c r="G447" s="10" t="inlineStr">
        <is>
          <t>Entrega de valores por cierre de cuentas</t>
        </is>
      </c>
      <c r="H447" s="10" t="inlineStr">
        <is>
          <t>Libreta de Ahorros del socio</t>
        </is>
      </c>
      <c r="I447" s="10" t="inlineStr">
        <is>
          <t>Libreta de ahorros</t>
        </is>
      </c>
      <c r="J447" s="10" t="inlineStr">
        <is>
          <t>Jefe del Front Operativo</t>
        </is>
      </c>
      <c r="K447" s="10" t="inlineStr">
        <is>
          <t>SOCIO</t>
        </is>
      </c>
      <c r="L447" s="10" t="inlineStr">
        <is>
          <t>N/A</t>
        </is>
      </c>
      <c r="M447" s="10" t="inlineStr">
        <is>
          <t>N/A</t>
        </is>
      </c>
      <c r="N447" s="10" t="inlineStr">
        <is>
          <t>PRIMARIOS</t>
        </is>
      </c>
      <c r="O447" s="10" t="inlineStr">
        <is>
          <t>DOCUMENTOS HABILITANTES</t>
        </is>
      </c>
      <c r="P447" s="10" t="inlineStr">
        <is>
          <t>RESTRINGIDO(3)</t>
        </is>
      </c>
      <c r="Q447" s="10" t="inlineStr">
        <is>
          <t>BAJA(1)</t>
        </is>
      </c>
      <c r="R447" s="10" t="inlineStr">
        <is>
          <t>BAJA(1)</t>
        </is>
      </c>
      <c r="S447" s="10">
        <f>+(IF(P447="PUBLICA(1)",1,IF(P447="USO INTERNO(2)",2,IF(P447="RESTRINGIDO(3)",3,3))))+(IF(Q447="BAJA(1)",1,IF(Q447="MEDIA(2)",2,IF(Q447="ALTA(3)",3,3))))+(IF(R447="BAJA(1)",1,IF(R447="MEDIA(2)",2,IF(R447="ALTA(3)",3,3))))</f>
        <v/>
      </c>
      <c r="T447" s="10">
        <f>+IF(S447&lt;6,"BAJA",IF(S447&lt;8,"MEDIA","ALTA"))</f>
        <v/>
      </c>
      <c r="U447" s="10" t="inlineStr">
        <is>
          <t>-</t>
        </is>
      </c>
      <c r="V447" s="24" t="n">
        <v>45674</v>
      </c>
      <c r="W447" s="19" t="inlineStr">
        <is>
          <t>N/A</t>
        </is>
      </c>
      <c r="X447" s="10">
        <f>+IFERROR(IF(VLOOKUP(Tabla2[[#This Row],[ID]],'EVALUACION DE RIESGO'!A:A,1,FALSE)=Tabla2[[#This Row],[ID]],"SI","NO"),"NO")</f>
        <v/>
      </c>
      <c r="AD447">
        <f>IF(AND(Y447="",AA447=""),"",IF(OR(LEFT(AA447,2)="L0",LEFT(AA447,2)="L1",Y447="No Iniciado"),"CRÍTICO - Incumplimiento Normativo SEPS",IF(AND(OR(LEFT(AA447,2)="L4",LEFT(AA447,2)="L5"),AND(AC447&lt;&gt;"",AC447&lt;&gt;"N/A")),"CONFORME - Control Efectivo ISO 27001","OBSERVACIÓN - Revisar Controles")))</f>
        <v/>
      </c>
    </row>
    <row r="448">
      <c r="A448" s="99" t="inlineStr">
        <is>
          <t>69-GOP</t>
        </is>
      </c>
      <c r="B448" s="10" t="inlineStr">
        <is>
          <t>APOYO</t>
        </is>
      </c>
      <c r="C448" s="10" t="inlineStr">
        <is>
          <t xml:space="preserve">Gestión de Operaciones </t>
        </is>
      </c>
      <c r="D448" s="10" t="inlineStr">
        <is>
          <t>GOP</t>
        </is>
      </c>
      <c r="E448" s="10" t="inlineStr">
        <is>
          <t>Gestión del Front Operativo</t>
        </is>
      </c>
      <c r="F448" s="10" t="inlineStr">
        <is>
          <t xml:space="preserve">Transacciones en Ventanillas </t>
        </is>
      </c>
      <c r="G448" s="10" t="inlineStr">
        <is>
          <t>Entrega de valores por cierre de cuentas</t>
        </is>
      </c>
      <c r="H448" s="10" t="inlineStr">
        <is>
          <t>Solicitud de cierre de cuenta</t>
        </is>
      </c>
      <c r="I448" s="10" t="inlineStr">
        <is>
          <t>Solicitud de cierre de cuenta</t>
        </is>
      </c>
      <c r="J448" s="10" t="inlineStr">
        <is>
          <t>Jefe del Front Operativo</t>
        </is>
      </c>
      <c r="K448" s="10" t="inlineStr">
        <is>
          <t>SUPERVISOR OPERATIVO</t>
        </is>
      </c>
      <c r="L448" s="10" t="inlineStr">
        <is>
          <t>DOCUMENTOS FISICOS-ARCHIVOS DE LA OFICINA</t>
        </is>
      </c>
      <c r="M448" s="10" t="inlineStr">
        <is>
          <t>DOCUMENTO DE ARCHIVO-FÍSICO</t>
        </is>
      </c>
      <c r="N448" s="10" t="inlineStr">
        <is>
          <t>PRIMARIOS</t>
        </is>
      </c>
      <c r="O448" s="10" t="inlineStr">
        <is>
          <t>DOCUMENTOS HABILITANTES</t>
        </is>
      </c>
      <c r="P448" s="10" t="inlineStr">
        <is>
          <t>USO INTERNO(2)</t>
        </is>
      </c>
      <c r="Q448" s="10" t="inlineStr">
        <is>
          <t>MEDIA(2)</t>
        </is>
      </c>
      <c r="R448" s="10" t="inlineStr">
        <is>
          <t>BAJA(1)</t>
        </is>
      </c>
      <c r="S448" s="10">
        <f>+(IF(P448="PUBLICA(1)",1,IF(P448="USO INTERNO(2)",2,IF(P448="RESTRINGIDO(3)",3,3))))+(IF(Q448="BAJA(1)",1,IF(Q448="MEDIA(2)",2,IF(Q448="ALTA(3)",3,3))))+(IF(R448="BAJA(1)",1,IF(R448="MEDIA(2)",2,IF(R448="ALTA(3)",3,3))))</f>
        <v/>
      </c>
      <c r="T448" s="10">
        <f>+IF(S448&lt;6,"BAJA",IF(S448&lt;8,"MEDIA","ALTA"))</f>
        <v/>
      </c>
      <c r="U448" s="10" t="inlineStr">
        <is>
          <t>-</t>
        </is>
      </c>
      <c r="V448" s="24" t="n">
        <v>45674</v>
      </c>
      <c r="W448" s="19" t="inlineStr">
        <is>
          <t>N/A</t>
        </is>
      </c>
      <c r="X448" s="10">
        <f>+IFERROR(IF(VLOOKUP(Tabla2[[#This Row],[ID]],'EVALUACION DE RIESGO'!A:A,1,FALSE)=Tabla2[[#This Row],[ID]],"SI","NO"),"NO")</f>
        <v/>
      </c>
      <c r="AD448">
        <f>IF(AND(Y448="",AA448=""),"",IF(OR(LEFT(AA448,2)="L0",LEFT(AA448,2)="L1",Y448="No Iniciado"),"CRÍTICO - Incumplimiento Normativo SEPS",IF(AND(OR(LEFT(AA448,2)="L4",LEFT(AA448,2)="L5"),AND(AC448&lt;&gt;"",AC448&lt;&gt;"N/A")),"CONFORME - Control Efectivo ISO 27001","OBSERVACIÓN - Revisar Controles")))</f>
        <v/>
      </c>
    </row>
    <row r="449">
      <c r="A449" s="99" t="inlineStr">
        <is>
          <t>70-GOP</t>
        </is>
      </c>
      <c r="B449" s="10" t="inlineStr">
        <is>
          <t>APOYO</t>
        </is>
      </c>
      <c r="C449" s="10" t="inlineStr">
        <is>
          <t xml:space="preserve">Gestión de Operaciones </t>
        </is>
      </c>
      <c r="D449" s="10" t="inlineStr">
        <is>
          <t>GOP</t>
        </is>
      </c>
      <c r="E449" s="10" t="inlineStr">
        <is>
          <t>Gestión del Front Operativo</t>
        </is>
      </c>
      <c r="F449" s="10" t="inlineStr">
        <is>
          <t xml:space="preserve">Transacciones en Ventanillas </t>
        </is>
      </c>
      <c r="G449" s="10" t="inlineStr">
        <is>
          <t>Entrega de valores por cierre de cuentas</t>
        </is>
      </c>
      <c r="H449" s="10" t="inlineStr">
        <is>
          <t>Comprobantes de ingreso y egreso de cajas original</t>
        </is>
      </c>
      <c r="I449" s="10" t="inlineStr">
        <is>
          <t>Comprobantes original de ingreso y egresos de cajas</t>
        </is>
      </c>
      <c r="J449" s="10" t="inlineStr">
        <is>
          <t>Jefe del Front Operativo</t>
        </is>
      </c>
      <c r="K449" s="10" t="inlineStr">
        <is>
          <t>SUPERVISOR OPERATIVO</t>
        </is>
      </c>
      <c r="L449" s="10" t="inlineStr">
        <is>
          <t>DOCUMENTOS FISICOS-ARCHIVOS DE LA OFICINA</t>
        </is>
      </c>
      <c r="M449" s="10" t="inlineStr">
        <is>
          <t>DOCUMENTO DE ARCHIVO-FÍSICO</t>
        </is>
      </c>
      <c r="N449" s="10" t="inlineStr">
        <is>
          <t>PRIMARIOS</t>
        </is>
      </c>
      <c r="O449" s="10" t="inlineStr">
        <is>
          <t>DOCUMENTOS HABILITANTES</t>
        </is>
      </c>
      <c r="P449" s="10" t="inlineStr">
        <is>
          <t>RESTRINGIDO(3)</t>
        </is>
      </c>
      <c r="Q449" s="10" t="inlineStr">
        <is>
          <t>MEDIA(2)</t>
        </is>
      </c>
      <c r="R449" s="10" t="inlineStr">
        <is>
          <t>MEDIA(2)</t>
        </is>
      </c>
      <c r="S449" s="10">
        <f>+(IF(P449="PUBLICA(1)",1,IF(P449="USO INTERNO(2)",2,IF(P449="RESTRINGIDO(3)",3,3))))+(IF(Q449="BAJA(1)",1,IF(Q449="MEDIA(2)",2,IF(Q449="ALTA(3)",3,3))))+(IF(R449="BAJA(1)",1,IF(R449="MEDIA(2)",2,IF(R449="ALTA(3)",3,3))))</f>
        <v/>
      </c>
      <c r="T449" s="10">
        <f>+IF(S449&lt;6,"BAJA",IF(S449&lt;8,"MEDIA","ALTA"))</f>
        <v/>
      </c>
      <c r="U449" s="10" t="inlineStr">
        <is>
          <t>-</t>
        </is>
      </c>
      <c r="V449" s="24" t="n">
        <v>45674</v>
      </c>
      <c r="W449" s="19" t="inlineStr">
        <is>
          <t>N/A</t>
        </is>
      </c>
      <c r="X449" s="10">
        <f>+IFERROR(IF(VLOOKUP(Tabla2[[#This Row],[ID]],'EVALUACION DE RIESGO'!A:A,1,FALSE)=Tabla2[[#This Row],[ID]],"SI","NO"),"NO")</f>
        <v/>
      </c>
      <c r="AD449">
        <f>IF(AND(Y449="",AA449=""),"",IF(OR(LEFT(AA449,2)="L0",LEFT(AA449,2)="L1",Y449="No Iniciado"),"CRÍTICO - Incumplimiento Normativo SEPS",IF(AND(OR(LEFT(AA449,2)="L4",LEFT(AA449,2)="L5"),AND(AC449&lt;&gt;"",AC449&lt;&gt;"N/A")),"CONFORME - Control Efectivo ISO 27001","OBSERVACIÓN - Revisar Controles")))</f>
        <v/>
      </c>
    </row>
    <row r="450">
      <c r="A450" s="99" t="inlineStr">
        <is>
          <t>71-GOP</t>
        </is>
      </c>
      <c r="B450" s="10" t="inlineStr">
        <is>
          <t>APOYO</t>
        </is>
      </c>
      <c r="C450" s="10" t="inlineStr">
        <is>
          <t xml:space="preserve">Gestión de Operaciones </t>
        </is>
      </c>
      <c r="D450" s="10" t="inlineStr">
        <is>
          <t>GOP</t>
        </is>
      </c>
      <c r="E450" s="10" t="inlineStr">
        <is>
          <t>Gestión del Front Operativo</t>
        </is>
      </c>
      <c r="F450" s="10" t="inlineStr">
        <is>
          <t xml:space="preserve">Transacciones en Ventanillas </t>
        </is>
      </c>
      <c r="G450" s="10" t="inlineStr">
        <is>
          <t>Entrega de valores por cierre de cuentas</t>
        </is>
      </c>
      <c r="H450" s="10" t="inlineStr">
        <is>
          <t>Libreta de Ahorros del socio</t>
        </is>
      </c>
      <c r="I450" s="10" t="inlineStr">
        <is>
          <t>Libreta de ahorros</t>
        </is>
      </c>
      <c r="J450" s="10" t="inlineStr">
        <is>
          <t>Jefe del Front Operativo</t>
        </is>
      </c>
      <c r="K450" s="10" t="inlineStr">
        <is>
          <t>SOCIO</t>
        </is>
      </c>
      <c r="L450" s="10" t="inlineStr">
        <is>
          <t>N/A</t>
        </is>
      </c>
      <c r="M450" s="10" t="inlineStr">
        <is>
          <t>N/A</t>
        </is>
      </c>
      <c r="N450" s="10" t="inlineStr">
        <is>
          <t>PRIMARIOS</t>
        </is>
      </c>
      <c r="O450" s="10" t="inlineStr">
        <is>
          <t>DOCUMENTOS HABILITANTES</t>
        </is>
      </c>
      <c r="P450" s="10" t="inlineStr">
        <is>
          <t>RESTRINGIDO(3)</t>
        </is>
      </c>
      <c r="Q450" s="10" t="inlineStr">
        <is>
          <t>MEDIA(2)</t>
        </is>
      </c>
      <c r="R450" s="10" t="inlineStr">
        <is>
          <t>BAJA(1)</t>
        </is>
      </c>
      <c r="S450" s="10">
        <f>+(IF(P450="PUBLICA(1)",1,IF(P450="USO INTERNO(2)",2,IF(P450="RESTRINGIDO(3)",3,3))))+(IF(Q450="BAJA(1)",1,IF(Q450="MEDIA(2)",2,IF(Q450="ALTA(3)",3,3))))+(IF(R450="BAJA(1)",1,IF(R450="MEDIA(2)",2,IF(R450="ALTA(3)",3,3))))</f>
        <v/>
      </c>
      <c r="T450" s="10">
        <f>+IF(S450&lt;6,"BAJA",IF(S450&lt;8,"MEDIA","ALTA"))</f>
        <v/>
      </c>
      <c r="U450" s="10" t="inlineStr">
        <is>
          <t>-</t>
        </is>
      </c>
      <c r="V450" s="24" t="n">
        <v>45674</v>
      </c>
      <c r="W450" s="19" t="inlineStr">
        <is>
          <t>N/A</t>
        </is>
      </c>
      <c r="X450" s="10">
        <f>+IFERROR(IF(VLOOKUP(Tabla2[[#This Row],[ID]],'EVALUACION DE RIESGO'!A:A,1,FALSE)=Tabla2[[#This Row],[ID]],"SI","NO"),"NO")</f>
        <v/>
      </c>
      <c r="AD450">
        <f>IF(AND(Y450="",AA450=""),"",IF(OR(LEFT(AA450,2)="L0",LEFT(AA450,2)="L1",Y450="No Iniciado"),"CRÍTICO - Incumplimiento Normativo SEPS",IF(AND(OR(LEFT(AA450,2)="L4",LEFT(AA450,2)="L5"),AND(AC450&lt;&gt;"",AC450&lt;&gt;"N/A")),"CONFORME - Control Efectivo ISO 27001","OBSERVACIÓN - Revisar Controles")))</f>
        <v/>
      </c>
    </row>
    <row r="451">
      <c r="A451" s="99" t="inlineStr">
        <is>
          <t>72-GOP</t>
        </is>
      </c>
      <c r="B451" s="10" t="inlineStr">
        <is>
          <t>APOYO</t>
        </is>
      </c>
      <c r="C451" s="10" t="inlineStr">
        <is>
          <t xml:space="preserve">Gestión de Operaciones </t>
        </is>
      </c>
      <c r="D451" s="10" t="inlineStr">
        <is>
          <t>GOP</t>
        </is>
      </c>
      <c r="E451" s="10" t="inlineStr">
        <is>
          <t>Gestión del Front Operativo</t>
        </is>
      </c>
      <c r="F451" s="10" t="inlineStr">
        <is>
          <t xml:space="preserve">Transacciones en Ventanillas </t>
        </is>
      </c>
      <c r="G451" s="10" t="inlineStr">
        <is>
          <t>Entrega de valores por cierre de cuentas</t>
        </is>
      </c>
      <c r="H451" s="10" t="inlineStr">
        <is>
          <t>Formularios de cierre de cuentas</t>
        </is>
      </c>
      <c r="I451" s="10" t="inlineStr">
        <is>
          <t>Formulario que genera atención al cliente para el cierre de la cuenta</t>
        </is>
      </c>
      <c r="J451" s="10" t="inlineStr">
        <is>
          <t>Jefe del Front Operativo</t>
        </is>
      </c>
      <c r="K451" s="10" t="inlineStr">
        <is>
          <t>SUPERVISOR OPERATIVO</t>
        </is>
      </c>
      <c r="L451" s="10" t="inlineStr">
        <is>
          <t>DOCUMENTOS FISICOS-ARCHIVOS DE LA OFICINA</t>
        </is>
      </c>
      <c r="M451" s="10" t="inlineStr">
        <is>
          <t>DOCUMENTO DE ARCHIVO-FÍSICO</t>
        </is>
      </c>
      <c r="N451" s="10" t="inlineStr">
        <is>
          <t>PRIMARIOS</t>
        </is>
      </c>
      <c r="O451" s="10" t="inlineStr">
        <is>
          <t>DOCUMENTOS HABILITANTES</t>
        </is>
      </c>
      <c r="P451" s="10" t="inlineStr">
        <is>
          <t>USO INTERNO(2)</t>
        </is>
      </c>
      <c r="Q451" s="10" t="inlineStr">
        <is>
          <t>MEDIA(2)</t>
        </is>
      </c>
      <c r="R451" s="10" t="inlineStr">
        <is>
          <t>MEDIA(2)</t>
        </is>
      </c>
      <c r="S451" s="10">
        <f>+(IF(P451="PUBLICA(1)",1,IF(P451="USO INTERNO(2)",2,IF(P451="RESTRINGIDO(3)",3,3))))+(IF(Q451="BAJA(1)",1,IF(Q451="MEDIA(2)",2,IF(Q451="ALTA(3)",3,3))))+(IF(R451="BAJA(1)",1,IF(R451="MEDIA(2)",2,IF(R451="ALTA(3)",3,3))))</f>
        <v/>
      </c>
      <c r="T451" s="10">
        <f>+IF(S451&lt;6,"BAJA",IF(S451&lt;8,"MEDIA","ALTA"))</f>
        <v/>
      </c>
      <c r="U451" s="10" t="inlineStr">
        <is>
          <t>-</t>
        </is>
      </c>
      <c r="V451" s="24" t="n">
        <v>45674</v>
      </c>
      <c r="W451" s="19" t="inlineStr">
        <is>
          <t>N/A</t>
        </is>
      </c>
      <c r="X451" s="10">
        <f>+IFERROR(IF(VLOOKUP(Tabla2[[#This Row],[ID]],'EVALUACION DE RIESGO'!A:A,1,FALSE)=Tabla2[[#This Row],[ID]],"SI","NO"),"NO")</f>
        <v/>
      </c>
      <c r="AD451">
        <f>IF(AND(Y451="",AA451=""),"",IF(OR(LEFT(AA451,2)="L0",LEFT(AA451,2)="L1",Y451="No Iniciado"),"CRÍTICO - Incumplimiento Normativo SEPS",IF(AND(OR(LEFT(AA451,2)="L4",LEFT(AA451,2)="L5"),AND(AC451&lt;&gt;"",AC451&lt;&gt;"N/A")),"CONFORME - Control Efectivo ISO 27001","OBSERVACIÓN - Revisar Controles")))</f>
        <v/>
      </c>
    </row>
    <row r="452">
      <c r="A452" s="99" t="inlineStr">
        <is>
          <t>73-GOP</t>
        </is>
      </c>
      <c r="B452" s="10" t="inlineStr">
        <is>
          <t>APOYO</t>
        </is>
      </c>
      <c r="C452" s="10" t="inlineStr">
        <is>
          <t xml:space="preserve">Gestión de Operaciones </t>
        </is>
      </c>
      <c r="D452" s="10" t="inlineStr">
        <is>
          <t>GOP</t>
        </is>
      </c>
      <c r="E452" s="10" t="inlineStr">
        <is>
          <t>Gestión del Front Operativo</t>
        </is>
      </c>
      <c r="F452" s="10" t="inlineStr">
        <is>
          <t xml:space="preserve">Transacciones en Ventanillas </t>
        </is>
      </c>
      <c r="G452" s="10" t="inlineStr">
        <is>
          <t xml:space="preserve">Cierre de caja </t>
        </is>
      </c>
      <c r="H452" s="10" t="inlineStr">
        <is>
          <t>Planilla de cuadre general</t>
        </is>
      </c>
      <c r="I452" s="10" t="inlineStr">
        <is>
          <t xml:space="preserve">Planilla que se imprime con e detalle de movimiento realizado en cajas, detalle de totales en bóvedas y atm, se imprime y se firma digitalmente por cada Supervisor </t>
        </is>
      </c>
      <c r="J452" s="10" t="inlineStr">
        <is>
          <t>Jefe del Front Operativo</t>
        </is>
      </c>
      <c r="K452" s="10" t="inlineStr">
        <is>
          <t>Supervisor Operativo</t>
        </is>
      </c>
      <c r="L452" s="10" t="inlineStr">
        <is>
          <t>DOCUMENTOS FISICOS-ARCHIVOS DE LA OFICINA</t>
        </is>
      </c>
      <c r="M452" s="10" t="inlineStr">
        <is>
          <t>DOCUMENTO DE ARCHIVO-FÍSICO</t>
        </is>
      </c>
      <c r="N452" s="10" t="inlineStr">
        <is>
          <t>PRIMARIOS</t>
        </is>
      </c>
      <c r="O452" s="10" t="inlineStr">
        <is>
          <t>DOCUMENTOS TÉCNICOS</t>
        </is>
      </c>
      <c r="P452" s="10" t="inlineStr">
        <is>
          <t>RESTRINGIDO(3)</t>
        </is>
      </c>
      <c r="Q452" s="10" t="inlineStr">
        <is>
          <t>MEDIA(2)</t>
        </is>
      </c>
      <c r="R452" s="10" t="inlineStr">
        <is>
          <t>MEDIA(2)</t>
        </is>
      </c>
      <c r="S452" s="10">
        <f>+(IF(P452="PUBLICA(1)",1,IF(P452="USO INTERNO(2)",2,IF(P452="RESTRINGIDO(3)",3,3))))+(IF(Q452="BAJA(1)",1,IF(Q452="MEDIA(2)",2,IF(Q452="ALTA(3)",3,3))))+(IF(R452="BAJA(1)",1,IF(R452="MEDIA(2)",2,IF(R452="ALTA(3)",3,3))))</f>
        <v/>
      </c>
      <c r="T452" s="10">
        <f>+IF(S452&lt;6,"BAJA",IF(S452&lt;8,"MEDIA","ALTA"))</f>
        <v/>
      </c>
      <c r="U452" s="10" t="inlineStr">
        <is>
          <t>-</t>
        </is>
      </c>
      <c r="V452" s="24" t="n">
        <v>45674</v>
      </c>
      <c r="W452" s="19" t="inlineStr">
        <is>
          <t>N/A</t>
        </is>
      </c>
      <c r="X452" s="10">
        <f>+IFERROR(IF(VLOOKUP(Tabla2[[#This Row],[ID]],'EVALUACION DE RIESGO'!A:A,1,FALSE)=Tabla2[[#This Row],[ID]],"SI","NO"),"NO")</f>
        <v/>
      </c>
      <c r="AD452">
        <f>IF(AND(Y452="",AA452=""),"",IF(OR(LEFT(AA452,2)="L0",LEFT(AA452,2)="L1",Y452="No Iniciado"),"CRÍTICO - Incumplimiento Normativo SEPS",IF(AND(OR(LEFT(AA452,2)="L4",LEFT(AA452,2)="L5"),AND(AC452&lt;&gt;"",AC452&lt;&gt;"N/A")),"CONFORME - Control Efectivo ISO 27001","OBSERVACIÓN - Revisar Controles")))</f>
        <v/>
      </c>
    </row>
    <row r="453">
      <c r="A453" s="99" t="inlineStr">
        <is>
          <t>74-GOP</t>
        </is>
      </c>
      <c r="B453" s="10" t="inlineStr">
        <is>
          <t>APOYO</t>
        </is>
      </c>
      <c r="C453" s="10" t="inlineStr">
        <is>
          <t xml:space="preserve">Gestión de Operaciones </t>
        </is>
      </c>
      <c r="D453" s="10" t="inlineStr">
        <is>
          <t>GOP</t>
        </is>
      </c>
      <c r="E453" s="10" t="inlineStr">
        <is>
          <t>Gestión del Front Operativo</t>
        </is>
      </c>
      <c r="F453" s="10" t="inlineStr">
        <is>
          <t xml:space="preserve">Transacciones en Ventanillas </t>
        </is>
      </c>
      <c r="G453" s="10" t="inlineStr">
        <is>
          <t xml:space="preserve">Cierre de caja </t>
        </is>
      </c>
      <c r="H453" s="10" t="inlineStr">
        <is>
          <t>Registro de Sobrantes y Faltantes</t>
        </is>
      </c>
      <c r="I453" s="10" t="inlineStr">
        <is>
          <t>Registro de valores sobrantes y faltantes de caja adjunto a la planilla de cuadre general</t>
        </is>
      </c>
      <c r="J453" s="10" t="inlineStr">
        <is>
          <t>Jefe del Front Operativo</t>
        </is>
      </c>
      <c r="K453" s="10" t="inlineStr">
        <is>
          <t>Supervisor Operativo</t>
        </is>
      </c>
      <c r="L453" s="10" t="inlineStr">
        <is>
          <t>DOCUMENTOS FISICOS-ARCHIVOS DE LA OFICINA</t>
        </is>
      </c>
      <c r="M453" s="10" t="inlineStr">
        <is>
          <t>DOCUMENTO DE ARCHIVO-FÍSICO</t>
        </is>
      </c>
      <c r="N453" s="10" t="inlineStr">
        <is>
          <t>PRIMARIOS</t>
        </is>
      </c>
      <c r="O453" s="10" t="inlineStr">
        <is>
          <t>COMUNICACIÓN INTERNA</t>
        </is>
      </c>
      <c r="P453" s="10" t="inlineStr">
        <is>
          <t>USO INTERNO(2)</t>
        </is>
      </c>
      <c r="Q453" s="10" t="inlineStr">
        <is>
          <t>MEDIA(2)</t>
        </is>
      </c>
      <c r="R453" s="10" t="inlineStr">
        <is>
          <t>MEDIA(2)</t>
        </is>
      </c>
      <c r="S453" s="10">
        <f>+(IF(P453="PUBLICA(1)",1,IF(P453="USO INTERNO(2)",2,IF(P453="RESTRINGIDO(3)",3,3))))+(IF(Q453="BAJA(1)",1,IF(Q453="MEDIA(2)",2,IF(Q453="ALTA(3)",3,3))))+(IF(R453="BAJA(1)",1,IF(R453="MEDIA(2)",2,IF(R453="ALTA(3)",3,3))))</f>
        <v/>
      </c>
      <c r="T453" s="10">
        <f>+IF(S453&lt;6,"BAJA",IF(S453&lt;8,"MEDIA","ALTA"))</f>
        <v/>
      </c>
      <c r="U453" s="10" t="inlineStr">
        <is>
          <t>-</t>
        </is>
      </c>
      <c r="V453" s="24" t="n">
        <v>45674</v>
      </c>
      <c r="W453" s="19" t="inlineStr">
        <is>
          <t>N/A</t>
        </is>
      </c>
      <c r="X453" s="10">
        <f>+IFERROR(IF(VLOOKUP(Tabla2[[#This Row],[ID]],'EVALUACION DE RIESGO'!A:A,1,FALSE)=Tabla2[[#This Row],[ID]],"SI","NO"),"NO")</f>
        <v/>
      </c>
      <c r="AD453">
        <f>IF(AND(Y453="",AA453=""),"",IF(OR(LEFT(AA453,2)="L0",LEFT(AA453,2)="L1",Y453="No Iniciado"),"CRÍTICO - Incumplimiento Normativo SEPS",IF(AND(OR(LEFT(AA453,2)="L4",LEFT(AA453,2)="L5"),AND(AC453&lt;&gt;"",AC453&lt;&gt;"N/A")),"CONFORME - Control Efectivo ISO 27001","OBSERVACIÓN - Revisar Controles")))</f>
        <v/>
      </c>
    </row>
    <row r="454" ht="12" customHeight="1" s="106">
      <c r="A454" s="99" t="inlineStr">
        <is>
          <t>75-GOP</t>
        </is>
      </c>
      <c r="B454" s="10" t="inlineStr">
        <is>
          <t>APOYO</t>
        </is>
      </c>
      <c r="C454" s="10" t="inlineStr">
        <is>
          <t xml:space="preserve">Gestión de Operaciones </t>
        </is>
      </c>
      <c r="D454" s="10" t="inlineStr">
        <is>
          <t>GOP</t>
        </is>
      </c>
      <c r="E454" s="10" t="inlineStr">
        <is>
          <t>Gestión del Front Operativo</t>
        </is>
      </c>
      <c r="F454" s="10" t="inlineStr">
        <is>
          <t xml:space="preserve">Transacciones en Ventanillas </t>
        </is>
      </c>
      <c r="G454" s="10" t="inlineStr">
        <is>
          <t xml:space="preserve">Cierre de caja </t>
        </is>
      </c>
      <c r="H454" s="17" t="inlineStr">
        <is>
          <t>Cheques</t>
        </is>
      </c>
      <c r="I454" s="17" t="inlineStr">
        <is>
          <t>Cheque</t>
        </is>
      </c>
      <c r="J454" s="10" t="inlineStr">
        <is>
          <t>Jefe del Front Operativo</t>
        </is>
      </c>
      <c r="K454" s="10" t="inlineStr">
        <is>
          <t>Supervisor Operativo</t>
        </is>
      </c>
      <c r="L454" s="10" t="inlineStr">
        <is>
          <t>DOCUMENTOS FISICOS-ARCHIVOS DE LA OFICINA</t>
        </is>
      </c>
      <c r="M454" s="10" t="inlineStr">
        <is>
          <t>DOCUMENTO DE ARCHIVO-FÍSICO</t>
        </is>
      </c>
      <c r="N454" s="10" t="inlineStr">
        <is>
          <t>PRIMARIOS</t>
        </is>
      </c>
      <c r="O454" s="10" t="inlineStr">
        <is>
          <t>DOCUMENTOS HABILITANTES</t>
        </is>
      </c>
      <c r="P454" s="10" t="inlineStr">
        <is>
          <t>USO INTERNO(2)</t>
        </is>
      </c>
      <c r="Q454" s="10" t="inlineStr">
        <is>
          <t>ALTA(3)</t>
        </is>
      </c>
      <c r="R454" s="10" t="inlineStr">
        <is>
          <t>ALTA(3)</t>
        </is>
      </c>
      <c r="S454" s="10">
        <f>+(IF(P454="PUBLICA(1)",1,IF(P454="USO INTERNO(2)",2,IF(P454="RESTRINGIDO(3)",3,3))))+(IF(Q454="BAJA(1)",1,IF(Q454="MEDIA(2)",2,IF(Q454="ALTA(3)",3,3))))+(IF(R454="BAJA(1)",1,IF(R454="MEDIA(2)",2,IF(R454="ALTA(3)",3,3))))</f>
        <v/>
      </c>
      <c r="T454" s="10">
        <f>+IF(S454&lt;6,"BAJA",IF(S454&lt;8,"MEDIA","ALTA"))</f>
        <v/>
      </c>
      <c r="U454" s="10" t="inlineStr">
        <is>
          <t>-</t>
        </is>
      </c>
      <c r="V454" s="24" t="n">
        <v>45674</v>
      </c>
      <c r="W454" s="19" t="inlineStr">
        <is>
          <t>N/A</t>
        </is>
      </c>
      <c r="X454" s="10">
        <f>+IFERROR(IF(VLOOKUP(Tabla2[[#This Row],[ID]],'EVALUACION DE RIESGO'!A:A,1,FALSE)=Tabla2[[#This Row],[ID]],"SI","NO"),"NO")</f>
        <v/>
      </c>
      <c r="AD454">
        <f>IF(AND(Y454="",AA454=""),"",IF(OR(LEFT(AA454,2)="L0",LEFT(AA454,2)="L1",Y454="No Iniciado"),"CRÍTICO - Incumplimiento Normativo SEPS",IF(AND(OR(LEFT(AA454,2)="L4",LEFT(AA454,2)="L5"),AND(AC454&lt;&gt;"",AC454&lt;&gt;"N/A")),"CONFORME - Control Efectivo ISO 27001","OBSERVACIÓN - Revisar Controles")))</f>
        <v/>
      </c>
    </row>
    <row r="455">
      <c r="A455" s="99" t="inlineStr">
        <is>
          <t>76-GOP</t>
        </is>
      </c>
      <c r="B455" s="10" t="inlineStr">
        <is>
          <t>APOYO</t>
        </is>
      </c>
      <c r="C455" s="10" t="inlineStr">
        <is>
          <t xml:space="preserve">Gestión de Operaciones </t>
        </is>
      </c>
      <c r="D455" s="10" t="inlineStr">
        <is>
          <t>GOP</t>
        </is>
      </c>
      <c r="E455" s="10" t="inlineStr">
        <is>
          <t>Gestión del Front Operativo</t>
        </is>
      </c>
      <c r="F455" s="10" t="inlineStr">
        <is>
          <t xml:space="preserve">Transacciones en Ventanillas </t>
        </is>
      </c>
      <c r="G455" s="10" t="inlineStr">
        <is>
          <t xml:space="preserve">Cierre de caja </t>
        </is>
      </c>
      <c r="H455" s="10" t="inlineStr">
        <is>
          <t>Formulario de faltantes y sobrantes</t>
        </is>
      </c>
      <c r="I455" s="10" t="inlineStr">
        <is>
          <t>Formulario donde se detallan las actividades que realiza el cajero antes de registrar el faltante/sobrante en el sistema, contiene oficina, ventanilla, total faltante sobrante, de talle de las actividades,</t>
        </is>
      </c>
      <c r="J455" s="10" t="inlineStr">
        <is>
          <t>Jefe del Front Operativo</t>
        </is>
      </c>
      <c r="K455" s="10" t="inlineStr">
        <is>
          <t>Supervisor Operativo</t>
        </is>
      </c>
      <c r="L455" s="10" t="inlineStr">
        <is>
          <t>DOCUMENTOS FISICOS-ARCHIVOS DE LA OFICINA</t>
        </is>
      </c>
      <c r="M455" s="10" t="inlineStr">
        <is>
          <t>DOCUMENTO DE ARCHIVO-FÍSICO</t>
        </is>
      </c>
      <c r="N455" s="10" t="inlineStr">
        <is>
          <t>PRIMARIOS</t>
        </is>
      </c>
      <c r="O455" s="10" t="inlineStr">
        <is>
          <t>COMUNICACIÓN INTERNA</t>
        </is>
      </c>
      <c r="P455" s="10" t="inlineStr">
        <is>
          <t>USO INTERNO(2)</t>
        </is>
      </c>
      <c r="Q455" s="10" t="inlineStr">
        <is>
          <t>MEDIA(2)</t>
        </is>
      </c>
      <c r="R455" s="10" t="inlineStr">
        <is>
          <t>MEDIA(2)</t>
        </is>
      </c>
      <c r="S455" s="10">
        <f>+(IF(P455="PUBLICA(1)",1,IF(P455="USO INTERNO(2)",2,IF(P455="RESTRINGIDO(3)",3,3))))+(IF(Q455="BAJA(1)",1,IF(Q455="MEDIA(2)",2,IF(Q455="ALTA(3)",3,3))))+(IF(R455="BAJA(1)",1,IF(R455="MEDIA(2)",2,IF(R455="ALTA(3)",3,3))))</f>
        <v/>
      </c>
      <c r="T455" s="10">
        <f>+IF(S455&lt;6,"BAJA",IF(S455&lt;8,"MEDIA","ALTA"))</f>
        <v/>
      </c>
      <c r="U455" s="10" t="inlineStr">
        <is>
          <t>-</t>
        </is>
      </c>
      <c r="V455" s="24" t="n">
        <v>45674</v>
      </c>
      <c r="W455" s="19" t="inlineStr">
        <is>
          <t>N/A</t>
        </is>
      </c>
      <c r="X455" s="10">
        <f>+IFERROR(IF(VLOOKUP(Tabla2[[#This Row],[ID]],'EVALUACION DE RIESGO'!A:A,1,FALSE)=Tabla2[[#This Row],[ID]],"SI","NO"),"NO")</f>
        <v/>
      </c>
      <c r="AD455">
        <f>IF(AND(Y455="",AA455=""),"",IF(OR(LEFT(AA455,2)="L0",LEFT(AA455,2)="L1",Y455="No Iniciado"),"CRÍTICO - Incumplimiento Normativo SEPS",IF(AND(OR(LEFT(AA455,2)="L4",LEFT(AA455,2)="L5"),AND(AC455&lt;&gt;"",AC455&lt;&gt;"N/A")),"CONFORME - Control Efectivo ISO 27001","OBSERVACIÓN - Revisar Controles")))</f>
        <v/>
      </c>
    </row>
    <row r="456">
      <c r="A456" s="99" t="inlineStr">
        <is>
          <t>77-GOP</t>
        </is>
      </c>
      <c r="B456" s="10" t="inlineStr">
        <is>
          <t>APOYO</t>
        </is>
      </c>
      <c r="C456" s="10" t="inlineStr">
        <is>
          <t xml:space="preserve">Gestión de Operaciones </t>
        </is>
      </c>
      <c r="D456" s="10" t="inlineStr">
        <is>
          <t>GOP</t>
        </is>
      </c>
      <c r="E456" s="10" t="inlineStr">
        <is>
          <t>Gestión del Front Operativo</t>
        </is>
      </c>
      <c r="F456" s="10" t="inlineStr">
        <is>
          <t xml:space="preserve">Transacciones Operativas </t>
        </is>
      </c>
      <c r="G456" s="10" t="inlineStr">
        <is>
          <t>Transferencias interbancarias</t>
        </is>
      </c>
      <c r="H456" s="10" t="inlineStr">
        <is>
          <t>Solicitud de transferencia interbancaria</t>
        </is>
      </c>
      <c r="I456" s="10" t="inlineStr">
        <is>
          <t>Solicitud de transferencia de valores legalizada con el socio o cliente</t>
        </is>
      </c>
      <c r="J456" s="10" t="inlineStr">
        <is>
          <t>Jefe del Front Operativo</t>
        </is>
      </c>
      <c r="K456" s="10" t="inlineStr">
        <is>
          <t>SUPERVISOR OPERATIVO</t>
        </is>
      </c>
      <c r="L456" s="10" t="inlineStr">
        <is>
          <t>DOCUMENTOS FISICOS-ARCHIVOS DE LA OFICINA</t>
        </is>
      </c>
      <c r="M456" s="10" t="inlineStr">
        <is>
          <t>DOCUMENTO DE ARCHIVO-FÍSICO</t>
        </is>
      </c>
      <c r="N456" s="10" t="inlineStr">
        <is>
          <t>PRIMARIOS</t>
        </is>
      </c>
      <c r="O456" s="10" t="inlineStr">
        <is>
          <t>DOCUMENTOS HABILITANTES</t>
        </is>
      </c>
      <c r="P456" s="10" t="inlineStr">
        <is>
          <t>USO INTERNO(2)</t>
        </is>
      </c>
      <c r="Q456" s="10" t="inlineStr">
        <is>
          <t>MEDIA(2)</t>
        </is>
      </c>
      <c r="R456" s="10" t="inlineStr">
        <is>
          <t>MEDIA(2)</t>
        </is>
      </c>
      <c r="S456" s="10">
        <f>+(IF(P456="PUBLICA(1)",1,IF(P456="USO INTERNO(2)",2,IF(P456="RESTRINGIDO(3)",3,3))))+(IF(Q456="BAJA(1)",1,IF(Q456="MEDIA(2)",2,IF(Q456="ALTA(3)",3,3))))+(IF(R456="BAJA(1)",1,IF(R456="MEDIA(2)",2,IF(R456="ALTA(3)",3,3))))</f>
        <v/>
      </c>
      <c r="T456" s="10">
        <f>+IF(S456&lt;6,"BAJA",IF(S456&lt;8,"MEDIA","ALTA"))</f>
        <v/>
      </c>
      <c r="U456" s="10" t="inlineStr">
        <is>
          <t>-</t>
        </is>
      </c>
      <c r="V456" s="24" t="n">
        <v>45674</v>
      </c>
      <c r="W456" s="19" t="inlineStr">
        <is>
          <t>N/A</t>
        </is>
      </c>
      <c r="X456" s="10">
        <f>+IFERROR(IF(VLOOKUP(Tabla2[[#This Row],[ID]],'EVALUACION DE RIESGO'!A:A,1,FALSE)=Tabla2[[#This Row],[ID]],"SI","NO"),"NO")</f>
        <v/>
      </c>
      <c r="AD456">
        <f>IF(AND(Y456="",AA456=""),"",IF(OR(LEFT(AA456,2)="L0",LEFT(AA456,2)="L1",Y456="No Iniciado"),"CRÍTICO - Incumplimiento Normativo SEPS",IF(AND(OR(LEFT(AA456,2)="L4",LEFT(AA456,2)="L5"),AND(AC456&lt;&gt;"",AC456&lt;&gt;"N/A")),"CONFORME - Control Efectivo ISO 27001","OBSERVACIÓN - Revisar Controles")))</f>
        <v/>
      </c>
    </row>
    <row r="457">
      <c r="A457" s="99" t="inlineStr">
        <is>
          <t>78-GOP</t>
        </is>
      </c>
      <c r="B457" s="10" t="inlineStr">
        <is>
          <t>APOYO</t>
        </is>
      </c>
      <c r="C457" s="10" t="inlineStr">
        <is>
          <t xml:space="preserve">Gestión de Operaciones </t>
        </is>
      </c>
      <c r="D457" s="10" t="inlineStr">
        <is>
          <t>GOP</t>
        </is>
      </c>
      <c r="E457" s="10" t="inlineStr">
        <is>
          <t>Gestión del Front Operativo</t>
        </is>
      </c>
      <c r="F457" s="10" t="inlineStr">
        <is>
          <t xml:space="preserve">Transacciones Operativas </t>
        </is>
      </c>
      <c r="G457" s="10" t="inlineStr">
        <is>
          <t>Transferencias interbancarias</t>
        </is>
      </c>
      <c r="H457" s="10" t="inlineStr">
        <is>
          <t>Documento que identifica el banco</t>
        </is>
      </c>
      <c r="I457" s="10" t="inlineStr">
        <is>
          <t>Información de relación del cliente o socio con la institución financiera a la que se va realizar la transferencia</t>
        </is>
      </c>
      <c r="J457" s="10" t="inlineStr">
        <is>
          <t>Jefe del Front Operativo</t>
        </is>
      </c>
      <c r="K457" s="10" t="inlineStr">
        <is>
          <t>SUPERVISOR OPERATIVO</t>
        </is>
      </c>
      <c r="L457" s="10" t="inlineStr">
        <is>
          <t>DOCUMENTOS FISICOS-ARCHIVOS DE LA OFICINA</t>
        </is>
      </c>
      <c r="M457" s="10" t="inlineStr">
        <is>
          <t>DOCUMENTO DE ARCHIVO-FÍSICO</t>
        </is>
      </c>
      <c r="N457" s="10" t="inlineStr">
        <is>
          <t>PRIMARIOS</t>
        </is>
      </c>
      <c r="O457" s="10" t="inlineStr">
        <is>
          <t>DOCUMENTOS HABILITANTES</t>
        </is>
      </c>
      <c r="P457" s="10" t="inlineStr">
        <is>
          <t>RESTRINGIDO(3)</t>
        </is>
      </c>
      <c r="Q457" s="10" t="inlineStr">
        <is>
          <t>MEDIA(2)</t>
        </is>
      </c>
      <c r="R457" s="10" t="inlineStr">
        <is>
          <t>BAJA(1)</t>
        </is>
      </c>
      <c r="S457" s="10">
        <f>+(IF(P457="PUBLICA(1)",1,IF(P457="USO INTERNO(2)",2,IF(P457="RESTRINGIDO(3)",3,3))))+(IF(Q457="BAJA(1)",1,IF(Q457="MEDIA(2)",2,IF(Q457="ALTA(3)",3,3))))+(IF(R457="BAJA(1)",1,IF(R457="MEDIA(2)",2,IF(R457="ALTA(3)",3,3))))</f>
        <v/>
      </c>
      <c r="T457" s="10">
        <f>+IF(S457&lt;6,"BAJA",IF(S457&lt;8,"MEDIA","ALTA"))</f>
        <v/>
      </c>
      <c r="U457" s="10" t="inlineStr">
        <is>
          <t>-</t>
        </is>
      </c>
      <c r="V457" s="24" t="n">
        <v>45674</v>
      </c>
      <c r="W457" s="19" t="inlineStr">
        <is>
          <t>N/A</t>
        </is>
      </c>
      <c r="X457" s="10">
        <f>+IFERROR(IF(VLOOKUP(Tabla2[[#This Row],[ID]],'EVALUACION DE RIESGO'!A:A,1,FALSE)=Tabla2[[#This Row],[ID]],"SI","NO"),"NO")</f>
        <v/>
      </c>
      <c r="AD457">
        <f>IF(AND(Y457="",AA457=""),"",IF(OR(LEFT(AA457,2)="L0",LEFT(AA457,2)="L1",Y457="No Iniciado"),"CRÍTICO - Incumplimiento Normativo SEPS",IF(AND(OR(LEFT(AA457,2)="L4",LEFT(AA457,2)="L5"),AND(AC457&lt;&gt;"",AC457&lt;&gt;"N/A")),"CONFORME - Control Efectivo ISO 27001","OBSERVACIÓN - Revisar Controles")))</f>
        <v/>
      </c>
    </row>
    <row r="458">
      <c r="A458" s="99" t="inlineStr">
        <is>
          <t>79-GOP</t>
        </is>
      </c>
      <c r="B458" s="10" t="inlineStr">
        <is>
          <t>APOYO</t>
        </is>
      </c>
      <c r="C458" s="10" t="inlineStr">
        <is>
          <t xml:space="preserve">Gestión de Operaciones </t>
        </is>
      </c>
      <c r="D458" s="10" t="inlineStr">
        <is>
          <t>GOP</t>
        </is>
      </c>
      <c r="E458" s="10" t="inlineStr">
        <is>
          <t>Gestión del Front Operativo</t>
        </is>
      </c>
      <c r="F458" s="10" t="inlineStr">
        <is>
          <t xml:space="preserve">Transacciones Operativas </t>
        </is>
      </c>
      <c r="G458" s="10" t="inlineStr">
        <is>
          <t>Transferencias interbancarias</t>
        </is>
      </c>
      <c r="H458" s="10" t="inlineStr">
        <is>
          <t>Documentación de excepción de huella dactilar</t>
        </is>
      </c>
      <c r="I458" s="10" t="inlineStr">
        <is>
          <t>Autorización que se realiza en el sistema</t>
        </is>
      </c>
      <c r="J458" s="10" t="inlineStr">
        <is>
          <t>Jefe del Front Operativo</t>
        </is>
      </c>
      <c r="K458" s="10" t="inlineStr">
        <is>
          <t>GERENTE DE TI</t>
        </is>
      </c>
      <c r="L458" s="10" t="inlineStr">
        <is>
          <t>UBICACIÓN DIGITAL-CORE FINANCIERO</t>
        </is>
      </c>
      <c r="M458" s="10" t="inlineStr">
        <is>
          <t>DOCUMENTO DE ARCHIVO-ELECTRÓNICO</t>
        </is>
      </c>
      <c r="N458" s="10" t="inlineStr">
        <is>
          <t>PRIMARIOS</t>
        </is>
      </c>
      <c r="O458" s="10" t="inlineStr">
        <is>
          <t>DOCUMENTOS HABILITANTES</t>
        </is>
      </c>
      <c r="P458" s="10" t="inlineStr">
        <is>
          <t>USO INTERNO(2)</t>
        </is>
      </c>
      <c r="Q458" s="10" t="inlineStr">
        <is>
          <t>BAJA(1)</t>
        </is>
      </c>
      <c r="R458" s="10" t="inlineStr">
        <is>
          <t>BAJA(1)</t>
        </is>
      </c>
      <c r="S458" s="10">
        <f>+(IF(P458="PUBLICA(1)",1,IF(P458="USO INTERNO(2)",2,IF(P458="RESTRINGIDO(3)",3,3))))+(IF(Q458="BAJA(1)",1,IF(Q458="MEDIA(2)",2,IF(Q458="ALTA(3)",3,3))))+(IF(R458="BAJA(1)",1,IF(R458="MEDIA(2)",2,IF(R458="ALTA(3)",3,3))))</f>
        <v/>
      </c>
      <c r="T458" s="10">
        <f>+IF(S458&lt;6,"BAJA",IF(S458&lt;8,"MEDIA","ALTA"))</f>
        <v/>
      </c>
      <c r="U458" s="10" t="inlineStr">
        <is>
          <t>-</t>
        </is>
      </c>
      <c r="V458" s="24" t="n">
        <v>45674</v>
      </c>
      <c r="W458" s="19" t="inlineStr">
        <is>
          <t>N/A</t>
        </is>
      </c>
      <c r="X458" s="10">
        <f>+IFERROR(IF(VLOOKUP(Tabla2[[#This Row],[ID]],'EVALUACION DE RIESGO'!A:A,1,FALSE)=Tabla2[[#This Row],[ID]],"SI","NO"),"NO")</f>
        <v/>
      </c>
      <c r="AD458">
        <f>IF(AND(Y458="",AA458=""),"",IF(OR(LEFT(AA458,2)="L0",LEFT(AA458,2)="L1",Y458="No Iniciado"),"CRÍTICO - Incumplimiento Normativo SEPS",IF(AND(OR(LEFT(AA458,2)="L4",LEFT(AA458,2)="L5"),AND(AC458&lt;&gt;"",AC458&lt;&gt;"N/A")),"CONFORME - Control Efectivo ISO 27001","OBSERVACIÓN - Revisar Controles")))</f>
        <v/>
      </c>
    </row>
    <row r="459">
      <c r="A459" s="99" t="inlineStr">
        <is>
          <t>80-GOP</t>
        </is>
      </c>
      <c r="B459" s="10" t="inlineStr">
        <is>
          <t>APOYO</t>
        </is>
      </c>
      <c r="C459" s="10" t="inlineStr">
        <is>
          <t xml:space="preserve">Gestión de Operaciones </t>
        </is>
      </c>
      <c r="D459" s="10" t="inlineStr">
        <is>
          <t>GOP</t>
        </is>
      </c>
      <c r="E459" s="10" t="inlineStr">
        <is>
          <t>Gestión del Front Operativo</t>
        </is>
      </c>
      <c r="F459" s="10" t="inlineStr">
        <is>
          <t xml:space="preserve">Transacciones Operativas </t>
        </is>
      </c>
      <c r="G459" s="10" t="inlineStr">
        <is>
          <t>Transferencias interbancarias</t>
        </is>
      </c>
      <c r="H459" s="10" t="inlineStr">
        <is>
          <t>Registro de excepción de transferencias y emisión de cheques</t>
        </is>
      </c>
      <c r="I459" s="10" t="inlineStr">
        <is>
          <t xml:space="preserve">Documento donde se coloca el monto y el motivo por el cual se excepciona la huella </t>
        </is>
      </c>
      <c r="J459" s="10" t="inlineStr">
        <is>
          <t>Jefe del Front Operativo</t>
        </is>
      </c>
      <c r="K459" s="10" t="inlineStr">
        <is>
          <t>SUPERVISOR OPERATIVO</t>
        </is>
      </c>
      <c r="L459" s="10" t="inlineStr">
        <is>
          <t>DOCUMENTOS FISICOS-ARCHIVOS DE LA OFICINA</t>
        </is>
      </c>
      <c r="M459" s="10" t="inlineStr">
        <is>
          <t>DOCUMENTO DE ARCHIVO-FÍSICO</t>
        </is>
      </c>
      <c r="N459" s="10" t="inlineStr">
        <is>
          <t>PRIMARIOS</t>
        </is>
      </c>
      <c r="O459" s="10" t="inlineStr">
        <is>
          <t>DOCUMENTOS HABILITANTES</t>
        </is>
      </c>
      <c r="P459" s="10" t="inlineStr">
        <is>
          <t>USO INTERNO(2)</t>
        </is>
      </c>
      <c r="Q459" s="10" t="inlineStr">
        <is>
          <t>MEDIA(2)</t>
        </is>
      </c>
      <c r="R459" s="10" t="inlineStr">
        <is>
          <t>BAJA(1)</t>
        </is>
      </c>
      <c r="S459" s="10">
        <f>+(IF(P459="PUBLICA(1)",1,IF(P459="USO INTERNO(2)",2,IF(P459="RESTRINGIDO(3)",3,3))))+(IF(Q459="BAJA(1)",1,IF(Q459="MEDIA(2)",2,IF(Q459="ALTA(3)",3,3))))+(IF(R459="BAJA(1)",1,IF(R459="MEDIA(2)",2,IF(R459="ALTA(3)",3,3))))</f>
        <v/>
      </c>
      <c r="T459" s="10">
        <f>+IF(S459&lt;6,"BAJA",IF(S459&lt;8,"MEDIA","ALTA"))</f>
        <v/>
      </c>
      <c r="U459" s="10" t="inlineStr">
        <is>
          <t>-</t>
        </is>
      </c>
      <c r="V459" s="24" t="n">
        <v>45674</v>
      </c>
      <c r="W459" s="19" t="inlineStr">
        <is>
          <t>N/A</t>
        </is>
      </c>
      <c r="X459" s="10">
        <f>+IFERROR(IF(VLOOKUP(Tabla2[[#This Row],[ID]],'EVALUACION DE RIESGO'!A:A,1,FALSE)=Tabla2[[#This Row],[ID]],"SI","NO"),"NO")</f>
        <v/>
      </c>
      <c r="AD459">
        <f>IF(AND(Y459="",AA459=""),"",IF(OR(LEFT(AA459,2)="L0",LEFT(AA459,2)="L1",Y459="No Iniciado"),"CRÍTICO - Incumplimiento Normativo SEPS",IF(AND(OR(LEFT(AA459,2)="L4",LEFT(AA459,2)="L5"),AND(AC459&lt;&gt;"",AC459&lt;&gt;"N/A")),"CONFORME - Control Efectivo ISO 27001","OBSERVACIÓN - Revisar Controles")))</f>
        <v/>
      </c>
    </row>
    <row r="460">
      <c r="A460" s="99" t="inlineStr">
        <is>
          <t>81-GOP</t>
        </is>
      </c>
      <c r="B460" s="10" t="inlineStr">
        <is>
          <t>APOYO</t>
        </is>
      </c>
      <c r="C460" s="10" t="inlineStr">
        <is>
          <t xml:space="preserve">Gestión de Operaciones </t>
        </is>
      </c>
      <c r="D460" s="10" t="inlineStr">
        <is>
          <t>GOP</t>
        </is>
      </c>
      <c r="E460" s="10" t="inlineStr">
        <is>
          <t>Gestión del Front Operativo</t>
        </is>
      </c>
      <c r="F460" s="10" t="inlineStr">
        <is>
          <t xml:space="preserve">Transacciones Operativas </t>
        </is>
      </c>
      <c r="G460" s="10" t="inlineStr">
        <is>
          <t xml:space="preserve">Retiro en cheque </t>
        </is>
      </c>
      <c r="H460" s="10" t="inlineStr">
        <is>
          <t>Solicitud  de retiro en cheque</t>
        </is>
      </c>
      <c r="I460" s="10" t="inlineStr">
        <is>
          <t>Solicitud del socio para que se genere un cheque y se debite de su cuenta</t>
        </is>
      </c>
      <c r="J460" s="10" t="inlineStr">
        <is>
          <t>Jefe del Front Operativo</t>
        </is>
      </c>
      <c r="K460" s="10" t="inlineStr">
        <is>
          <t>SUPERVISOR OPERATIVO</t>
        </is>
      </c>
      <c r="L460" s="10" t="inlineStr">
        <is>
          <t>DOCUMENTOS FISICOS-ARCHIVOS DE LA OFICINA</t>
        </is>
      </c>
      <c r="M460" s="10" t="inlineStr">
        <is>
          <t>DOCUMENTO DE ARCHIVO-FÍSICO</t>
        </is>
      </c>
      <c r="N460" s="10" t="inlineStr">
        <is>
          <t>PRIMARIOS</t>
        </is>
      </c>
      <c r="O460" s="10" t="inlineStr">
        <is>
          <t>COMUNICACIÓN INTERNA</t>
        </is>
      </c>
      <c r="P460" s="10" t="inlineStr">
        <is>
          <t>RESTRINGIDO(3)</t>
        </is>
      </c>
      <c r="Q460" s="10" t="inlineStr">
        <is>
          <t>MEDIA(2)</t>
        </is>
      </c>
      <c r="R460" s="10" t="inlineStr">
        <is>
          <t>BAJA(1)</t>
        </is>
      </c>
      <c r="S460" s="10">
        <f>+(IF(P460="PUBLICA(1)",1,IF(P460="USO INTERNO(2)",2,IF(P460="RESTRINGIDO(3)",3,3))))+(IF(Q460="BAJA(1)",1,IF(Q460="MEDIA(2)",2,IF(Q460="ALTA(3)",3,3))))+(IF(R460="BAJA(1)",1,IF(R460="MEDIA(2)",2,IF(R460="ALTA(3)",3,3))))</f>
        <v/>
      </c>
      <c r="T460" s="10">
        <f>+IF(S460&lt;6,"BAJA",IF(S460&lt;8,"MEDIA","ALTA"))</f>
        <v/>
      </c>
      <c r="U460" s="10" t="inlineStr">
        <is>
          <t>-</t>
        </is>
      </c>
      <c r="V460" s="24" t="n">
        <v>45674</v>
      </c>
      <c r="W460" s="19" t="inlineStr">
        <is>
          <t>N/A</t>
        </is>
      </c>
      <c r="X460" s="10">
        <f>+IFERROR(IF(VLOOKUP(Tabla2[[#This Row],[ID]],'EVALUACION DE RIESGO'!A:A,1,FALSE)=Tabla2[[#This Row],[ID]],"SI","NO"),"NO")</f>
        <v/>
      </c>
      <c r="AD460">
        <f>IF(AND(Y460="",AA460=""),"",IF(OR(LEFT(AA460,2)="L0",LEFT(AA460,2)="L1",Y460="No Iniciado"),"CRÍTICO - Incumplimiento Normativo SEPS",IF(AND(OR(LEFT(AA460,2)="L4",LEFT(AA460,2)="L5"),AND(AC460&lt;&gt;"",AC460&lt;&gt;"N/A")),"CONFORME - Control Efectivo ISO 27001","OBSERVACIÓN - Revisar Controles")))</f>
        <v/>
      </c>
    </row>
    <row r="461">
      <c r="A461" s="99" t="inlineStr">
        <is>
          <t>82-GOP</t>
        </is>
      </c>
      <c r="B461" s="10" t="inlineStr">
        <is>
          <t>APOYO</t>
        </is>
      </c>
      <c r="C461" s="10" t="inlineStr">
        <is>
          <t xml:space="preserve">Gestión de Operaciones </t>
        </is>
      </c>
      <c r="D461" s="10" t="inlineStr">
        <is>
          <t>GOP</t>
        </is>
      </c>
      <c r="E461" s="10" t="inlineStr">
        <is>
          <t>Gestión del Front Operativo</t>
        </is>
      </c>
      <c r="F461" s="10" t="inlineStr">
        <is>
          <t xml:space="preserve">Transacciones Operativas </t>
        </is>
      </c>
      <c r="G461" s="10" t="inlineStr">
        <is>
          <t xml:space="preserve">Retiro en cheque </t>
        </is>
      </c>
      <c r="H461" s="10" t="inlineStr">
        <is>
          <t>Formulario de retiro de cheque</t>
        </is>
      </c>
      <c r="I461" s="10" t="inlineStr">
        <is>
          <t>Formulario de retiro de cheque que llena el supervisor operativo</t>
        </is>
      </c>
      <c r="J461" s="10" t="inlineStr">
        <is>
          <t>Jefe del Front Operativo</t>
        </is>
      </c>
      <c r="K461" s="10" t="inlineStr">
        <is>
          <t>SUPERVISOR OPERATIVO</t>
        </is>
      </c>
      <c r="L461" s="10" t="inlineStr">
        <is>
          <t>DOCUMENTOS FISICOS-ARCHIVOS DE LA OFICINA</t>
        </is>
      </c>
      <c r="M461" s="10" t="inlineStr">
        <is>
          <t>DOCUMENTO DE ARCHIVO-FÍSICO</t>
        </is>
      </c>
      <c r="N461" s="10" t="inlineStr">
        <is>
          <t>PRIMARIOS</t>
        </is>
      </c>
      <c r="O461" s="10" t="inlineStr">
        <is>
          <t>DOCUMENTOS HABILITANTES</t>
        </is>
      </c>
      <c r="P461" s="10" t="inlineStr">
        <is>
          <t>RESTRINGIDO(3)</t>
        </is>
      </c>
      <c r="Q461" s="10" t="inlineStr">
        <is>
          <t>MEDIA(2)</t>
        </is>
      </c>
      <c r="R461" s="10" t="inlineStr">
        <is>
          <t>MEDIA(2)</t>
        </is>
      </c>
      <c r="S461" s="10">
        <f>+(IF(P461="PUBLICA(1)",1,IF(P461="USO INTERNO(2)",2,IF(P461="RESTRINGIDO(3)",3,3))))+(IF(Q461="BAJA(1)",1,IF(Q461="MEDIA(2)",2,IF(Q461="ALTA(3)",3,3))))+(IF(R461="BAJA(1)",1,IF(R461="MEDIA(2)",2,IF(R461="ALTA(3)",3,3))))</f>
        <v/>
      </c>
      <c r="T461" s="10">
        <f>+IF(S461&lt;6,"BAJA",IF(S461&lt;8,"MEDIA","ALTA"))</f>
        <v/>
      </c>
      <c r="U461" s="10" t="inlineStr">
        <is>
          <t>-</t>
        </is>
      </c>
      <c r="V461" s="24" t="n">
        <v>45674</v>
      </c>
      <c r="W461" s="19" t="inlineStr">
        <is>
          <t>N/A</t>
        </is>
      </c>
      <c r="X461" s="10">
        <f>+IFERROR(IF(VLOOKUP(Tabla2[[#This Row],[ID]],'EVALUACION DE RIESGO'!A:A,1,FALSE)=Tabla2[[#This Row],[ID]],"SI","NO"),"NO")</f>
        <v/>
      </c>
      <c r="AD461">
        <f>IF(AND(Y461="",AA461=""),"",IF(OR(LEFT(AA461,2)="L0",LEFT(AA461,2)="L1",Y461="No Iniciado"),"CRÍTICO - Incumplimiento Normativo SEPS",IF(AND(OR(LEFT(AA461,2)="L4",LEFT(AA461,2)="L5"),AND(AC461&lt;&gt;"",AC461&lt;&gt;"N/A")),"CONFORME - Control Efectivo ISO 27001","OBSERVACIÓN - Revisar Controles")))</f>
        <v/>
      </c>
    </row>
    <row r="462">
      <c r="A462" s="99" t="inlineStr">
        <is>
          <t>83-GOP</t>
        </is>
      </c>
      <c r="B462" s="10" t="inlineStr">
        <is>
          <t>APOYO</t>
        </is>
      </c>
      <c r="C462" s="10" t="inlineStr">
        <is>
          <t xml:space="preserve">Gestión de Operaciones </t>
        </is>
      </c>
      <c r="D462" s="10" t="inlineStr">
        <is>
          <t>GOP</t>
        </is>
      </c>
      <c r="E462" s="10" t="inlineStr">
        <is>
          <t>Gestión del Front Operativo</t>
        </is>
      </c>
      <c r="F462" s="10" t="inlineStr">
        <is>
          <t xml:space="preserve">Transacciones Operativas </t>
        </is>
      </c>
      <c r="G462" s="10" t="inlineStr">
        <is>
          <t xml:space="preserve">Retiro en cheque </t>
        </is>
      </c>
      <c r="H462" s="10" t="inlineStr">
        <is>
          <t>Solicitud de emisión de cheques</t>
        </is>
      </c>
      <c r="I462" s="10" t="inlineStr">
        <is>
          <t>Solicitud de emisión de cheques mediante el débito de la cuenta de ahorro</t>
        </is>
      </c>
      <c r="J462" s="10" t="inlineStr">
        <is>
          <t>Jefe del Front Operativo</t>
        </is>
      </c>
      <c r="K462" s="10" t="inlineStr">
        <is>
          <t>SUPERVISOR OPERATIVO</t>
        </is>
      </c>
      <c r="L462" s="10" t="inlineStr">
        <is>
          <t>DOCUMENTOS FISICOS-ARCHIVOS DE LA OFICINA</t>
        </is>
      </c>
      <c r="M462" s="10" t="inlineStr">
        <is>
          <t>DOCUMENTO DE ARCHIVO-FÍSICO</t>
        </is>
      </c>
      <c r="N462" s="10" t="inlineStr">
        <is>
          <t>PRIMARIOS</t>
        </is>
      </c>
      <c r="O462" s="10" t="inlineStr">
        <is>
          <t>COMUNICACIÓN INTERNA</t>
        </is>
      </c>
      <c r="P462" s="10" t="inlineStr">
        <is>
          <t>USO INTERNO(2)</t>
        </is>
      </c>
      <c r="Q462" s="10" t="inlineStr">
        <is>
          <t>BAJA(1)</t>
        </is>
      </c>
      <c r="R462" s="10" t="inlineStr">
        <is>
          <t>MEDIA(2)</t>
        </is>
      </c>
      <c r="S462" s="10">
        <f>+(IF(P462="PUBLICA(1)",1,IF(P462="USO INTERNO(2)",2,IF(P462="RESTRINGIDO(3)",3,3))))+(IF(Q462="BAJA(1)",1,IF(Q462="MEDIA(2)",2,IF(Q462="ALTA(3)",3,3))))+(IF(R462="BAJA(1)",1,IF(R462="MEDIA(2)",2,IF(R462="ALTA(3)",3,3))))</f>
        <v/>
      </c>
      <c r="T462" s="10">
        <f>+IF(S462&lt;6,"BAJA",IF(S462&lt;8,"MEDIA","ALTA"))</f>
        <v/>
      </c>
      <c r="U462" s="10" t="inlineStr">
        <is>
          <t>-</t>
        </is>
      </c>
      <c r="V462" s="24" t="n">
        <v>45674</v>
      </c>
      <c r="W462" s="19" t="inlineStr">
        <is>
          <t>N/A</t>
        </is>
      </c>
      <c r="X462" s="10">
        <f>+IFERROR(IF(VLOOKUP(Tabla2[[#This Row],[ID]],'EVALUACION DE RIESGO'!A:A,1,FALSE)=Tabla2[[#This Row],[ID]],"SI","NO"),"NO")</f>
        <v/>
      </c>
      <c r="AD462">
        <f>IF(AND(Y462="",AA462=""),"",IF(OR(LEFT(AA462,2)="L0",LEFT(AA462,2)="L1",Y462="No Iniciado"),"CRÍTICO - Incumplimiento Normativo SEPS",IF(AND(OR(LEFT(AA462,2)="L4",LEFT(AA462,2)="L5"),AND(AC462&lt;&gt;"",AC462&lt;&gt;"N/A")),"CONFORME - Control Efectivo ISO 27001","OBSERVACIÓN - Revisar Controles")))</f>
        <v/>
      </c>
    </row>
    <row r="463">
      <c r="A463" s="99" t="inlineStr">
        <is>
          <t>84-GOP</t>
        </is>
      </c>
      <c r="B463" s="10" t="inlineStr">
        <is>
          <t>APOYO</t>
        </is>
      </c>
      <c r="C463" s="10" t="inlineStr">
        <is>
          <t xml:space="preserve">Gestión de Operaciones </t>
        </is>
      </c>
      <c r="D463" s="10" t="inlineStr">
        <is>
          <t>GOP</t>
        </is>
      </c>
      <c r="E463" s="10" t="inlineStr">
        <is>
          <t>Gestión del Front Operativo</t>
        </is>
      </c>
      <c r="F463" s="10" t="inlineStr">
        <is>
          <t xml:space="preserve">Transacciones Operativas </t>
        </is>
      </c>
      <c r="G463" s="10" t="inlineStr">
        <is>
          <t xml:space="preserve">Retiro en cheque </t>
        </is>
      </c>
      <c r="H463" s="10" t="inlineStr">
        <is>
          <t>Documentación de excepción de huella dactilar / Retiro</t>
        </is>
      </c>
      <c r="I463" s="10" t="inlineStr">
        <is>
          <t>Autorización que se realiza en el sistema</t>
        </is>
      </c>
      <c r="J463" s="10" t="inlineStr">
        <is>
          <t>Jefe del Front Operativo</t>
        </is>
      </c>
      <c r="K463" s="10" t="inlineStr">
        <is>
          <t>GERENTE DE TI</t>
        </is>
      </c>
      <c r="L463" s="10" t="inlineStr">
        <is>
          <t>UBICACIÓN DIGITAL-CORE FINANCIERO</t>
        </is>
      </c>
      <c r="M463" s="10" t="inlineStr">
        <is>
          <t>DISCOS DUROS, SERVIDORES, DISCOS O MEDIOS PORTÁTILES, CINTAS O MEDIOS DE VIDEO Y AUDIO, ETC.</t>
        </is>
      </c>
      <c r="N463" s="10" t="inlineStr">
        <is>
          <t>PRIMARIOS</t>
        </is>
      </c>
      <c r="O463" s="10" t="inlineStr">
        <is>
          <t>DOCUMENTOS HABILITANTES</t>
        </is>
      </c>
      <c r="P463" s="10" t="inlineStr">
        <is>
          <t>USO INTERNO(2)</t>
        </is>
      </c>
      <c r="Q463" s="10" t="inlineStr">
        <is>
          <t>BAJA(1)</t>
        </is>
      </c>
      <c r="R463" s="10" t="inlineStr">
        <is>
          <t>BAJA(1)</t>
        </is>
      </c>
      <c r="S463" s="10">
        <f>+(IF(P463="PUBLICA(1)",1,IF(P463="USO INTERNO(2)",2,IF(P463="RESTRINGIDO(3)",3,3))))+(IF(Q463="BAJA(1)",1,IF(Q463="MEDIA(2)",2,IF(Q463="ALTA(3)",3,3))))+(IF(R463="BAJA(1)",1,IF(R463="MEDIA(2)",2,IF(R463="ALTA(3)",3,3))))</f>
        <v/>
      </c>
      <c r="T463" s="10">
        <f>+IF(S463&lt;6,"BAJA",IF(S463&lt;8,"MEDIA","ALTA"))</f>
        <v/>
      </c>
      <c r="U463" s="10" t="inlineStr">
        <is>
          <t>-</t>
        </is>
      </c>
      <c r="V463" s="24" t="n">
        <v>45674</v>
      </c>
      <c r="W463" s="19" t="inlineStr">
        <is>
          <t>N/A</t>
        </is>
      </c>
      <c r="X463" s="10">
        <f>+IFERROR(IF(VLOOKUP(Tabla2[[#This Row],[ID]],'EVALUACION DE RIESGO'!A:A,1,FALSE)=Tabla2[[#This Row],[ID]],"SI","NO"),"NO")</f>
        <v/>
      </c>
      <c r="AD463">
        <f>IF(AND(Y463="",AA463=""),"",IF(OR(LEFT(AA463,2)="L0",LEFT(AA463,2)="L1",Y463="No Iniciado"),"CRÍTICO - Incumplimiento Normativo SEPS",IF(AND(OR(LEFT(AA463,2)="L4",LEFT(AA463,2)="L5"),AND(AC463&lt;&gt;"",AC463&lt;&gt;"N/A")),"CONFORME - Control Efectivo ISO 27001","OBSERVACIÓN - Revisar Controles")))</f>
        <v/>
      </c>
    </row>
    <row r="464">
      <c r="A464" s="99" t="inlineStr">
        <is>
          <t>85-GOP</t>
        </is>
      </c>
      <c r="B464" s="10" t="inlineStr">
        <is>
          <t>APOYO</t>
        </is>
      </c>
      <c r="C464" s="10" t="inlineStr">
        <is>
          <t xml:space="preserve">Gestión de Operaciones </t>
        </is>
      </c>
      <c r="D464" s="10" t="inlineStr">
        <is>
          <t>GOP</t>
        </is>
      </c>
      <c r="E464" s="10" t="inlineStr">
        <is>
          <t>Gestión del Front Operativo</t>
        </is>
      </c>
      <c r="F464" s="10" t="inlineStr">
        <is>
          <t xml:space="preserve">Transacciones Operativas </t>
        </is>
      </c>
      <c r="G464" s="10" t="inlineStr">
        <is>
          <t xml:space="preserve">Retiro en cheque </t>
        </is>
      </c>
      <c r="H464" s="10" t="inlineStr">
        <is>
          <t>Registro de excepción de transferencias y emisión de cheques / Retiro</t>
        </is>
      </c>
      <c r="I464" s="10" t="inlineStr">
        <is>
          <t xml:space="preserve">Documento donde se coloca el monto y el motivo por el cual se excepciona la huella </t>
        </is>
      </c>
      <c r="J464" s="10" t="inlineStr">
        <is>
          <t>Jefe del Front Operativo</t>
        </is>
      </c>
      <c r="K464" s="10" t="inlineStr">
        <is>
          <t>SUPERVISOR OPERATIVO</t>
        </is>
      </c>
      <c r="L464" s="10" t="inlineStr">
        <is>
          <t>DOCUMENTOS FISICOS-ARCHIVOS DE LA OFICINA</t>
        </is>
      </c>
      <c r="M464" s="10" t="inlineStr">
        <is>
          <t>DOCUMENTO DE ARCHIVO-FÍSICO</t>
        </is>
      </c>
      <c r="N464" s="10" t="inlineStr">
        <is>
          <t>PRIMARIOS</t>
        </is>
      </c>
      <c r="O464" s="10" t="inlineStr">
        <is>
          <t>DOCUMENTOS HABILITANTES</t>
        </is>
      </c>
      <c r="P464" s="10" t="inlineStr">
        <is>
          <t>USO INTERNO(2)</t>
        </is>
      </c>
      <c r="Q464" s="10" t="inlineStr">
        <is>
          <t>BAJA(1)</t>
        </is>
      </c>
      <c r="R464" s="10" t="inlineStr">
        <is>
          <t>BAJA(1)</t>
        </is>
      </c>
      <c r="S464" s="10">
        <f>+(IF(P464="PUBLICA(1)",1,IF(P464="USO INTERNO(2)",2,IF(P464="RESTRINGIDO(3)",3,3))))+(IF(Q464="BAJA(1)",1,IF(Q464="MEDIA(2)",2,IF(Q464="ALTA(3)",3,3))))+(IF(R464="BAJA(1)",1,IF(R464="MEDIA(2)",2,IF(R464="ALTA(3)",3,3))))</f>
        <v/>
      </c>
      <c r="T464" s="10">
        <f>+IF(S464&lt;6,"BAJA",IF(S464&lt;8,"MEDIA","ALTA"))</f>
        <v/>
      </c>
      <c r="U464" s="10" t="inlineStr">
        <is>
          <t>-</t>
        </is>
      </c>
      <c r="V464" s="24" t="n">
        <v>45674</v>
      </c>
      <c r="W464" s="19" t="inlineStr">
        <is>
          <t>N/A</t>
        </is>
      </c>
      <c r="X464" s="10">
        <f>+IFERROR(IF(VLOOKUP(Tabla2[[#This Row],[ID]],'EVALUACION DE RIESGO'!A:A,1,FALSE)=Tabla2[[#This Row],[ID]],"SI","NO"),"NO")</f>
        <v/>
      </c>
      <c r="AD464">
        <f>IF(AND(Y464="",AA464=""),"",IF(OR(LEFT(AA464,2)="L0",LEFT(AA464,2)="L1",Y464="No Iniciado"),"CRÍTICO - Incumplimiento Normativo SEPS",IF(AND(OR(LEFT(AA464,2)="L4",LEFT(AA464,2)="L5"),AND(AC464&lt;&gt;"",AC464&lt;&gt;"N/A")),"CONFORME - Control Efectivo ISO 27001","OBSERVACIÓN - Revisar Controles")))</f>
        <v/>
      </c>
    </row>
    <row r="465" ht="30.6" customHeight="1" s="106">
      <c r="A465" s="99" t="inlineStr">
        <is>
          <t>86-GOP</t>
        </is>
      </c>
      <c r="B465" s="10" t="inlineStr">
        <is>
          <t>APOYO</t>
        </is>
      </c>
      <c r="C465" s="10" t="inlineStr">
        <is>
          <t xml:space="preserve">Gestión de Operaciones </t>
        </is>
      </c>
      <c r="D465" s="10" t="inlineStr">
        <is>
          <t>GOP</t>
        </is>
      </c>
      <c r="E465" s="10" t="inlineStr">
        <is>
          <t>Gestión del Front Operativo</t>
        </is>
      </c>
      <c r="F465" s="10" t="inlineStr">
        <is>
          <t xml:space="preserve">Transacciones Operativas </t>
        </is>
      </c>
      <c r="G465" s="10" t="inlineStr">
        <is>
          <t xml:space="preserve">Retiro en cheque </t>
        </is>
      </c>
      <c r="H465" s="17" t="inlineStr">
        <is>
          <t>Cheques / Retiro</t>
        </is>
      </c>
      <c r="I465" s="17" t="inlineStr">
        <is>
          <t xml:space="preserve"> Documento contable que entrega el supervisor operativo al socio luego de la autorización del retiro por las áreas correspondientes</t>
        </is>
      </c>
      <c r="J465" s="10" t="inlineStr">
        <is>
          <t>Jefe del Front Operativo</t>
        </is>
      </c>
      <c r="K465" s="10" t="inlineStr">
        <is>
          <t>SUPERVISOR OPERATIVO</t>
        </is>
      </c>
      <c r="L465" s="10" t="inlineStr">
        <is>
          <t>DOCUMENTOS FISICOS-ARCHIVOS DE LA OFICINA</t>
        </is>
      </c>
      <c r="M465" s="10" t="inlineStr">
        <is>
          <t>DOCUMENTO DE ARCHIVO-FÍSICO</t>
        </is>
      </c>
      <c r="N465" s="10" t="inlineStr">
        <is>
          <t>PRIMARIOS</t>
        </is>
      </c>
      <c r="O465" s="10" t="inlineStr">
        <is>
          <t>DOCUMENTOS HABILITANTES</t>
        </is>
      </c>
      <c r="P465" s="10" t="inlineStr">
        <is>
          <t>RESTRINGIDO(3)</t>
        </is>
      </c>
      <c r="Q465" s="10" t="inlineStr">
        <is>
          <t>ALTA(3)</t>
        </is>
      </c>
      <c r="R465" s="10" t="inlineStr">
        <is>
          <t>MEDIA(2)</t>
        </is>
      </c>
      <c r="S465" s="10">
        <f>+(IF(P465="PUBLICA(1)",1,IF(P465="USO INTERNO(2)",2,IF(P465="RESTRINGIDO(3)",3,3))))+(IF(Q465="BAJA(1)",1,IF(Q465="MEDIA(2)",2,IF(Q465="ALTA(3)",3,3))))+(IF(R465="BAJA(1)",1,IF(R465="MEDIA(2)",2,IF(R465="ALTA(3)",3,3))))</f>
        <v/>
      </c>
      <c r="T465" s="10">
        <f>+IF(S465&lt;6,"BAJA",IF(S465&lt;8,"MEDIA","ALTA"))</f>
        <v/>
      </c>
      <c r="U465" s="10" t="inlineStr">
        <is>
          <t>-</t>
        </is>
      </c>
      <c r="V465" s="24" t="n">
        <v>45674</v>
      </c>
      <c r="W465" s="19" t="inlineStr">
        <is>
          <t>N/A</t>
        </is>
      </c>
      <c r="X465" s="10">
        <f>+IFERROR(IF(VLOOKUP(Tabla2[[#This Row],[ID]],'EVALUACION DE RIESGO'!A:A,1,FALSE)=Tabla2[[#This Row],[ID]],"SI","NO"),"NO")</f>
        <v/>
      </c>
      <c r="AD465">
        <f>IF(AND(Y465="",AA465=""),"",IF(OR(LEFT(AA465,2)="L0",LEFT(AA465,2)="L1",Y465="No Iniciado"),"CRÍTICO - Incumplimiento Normativo SEPS",IF(AND(OR(LEFT(AA465,2)="L4",LEFT(AA465,2)="L5"),AND(AC465&lt;&gt;"",AC465&lt;&gt;"N/A")),"CONFORME - Control Efectivo ISO 27001","OBSERVACIÓN - Revisar Controles")))</f>
        <v/>
      </c>
    </row>
    <row r="466">
      <c r="A466" s="99" t="inlineStr">
        <is>
          <t>87-GOP</t>
        </is>
      </c>
      <c r="B466" s="10" t="inlineStr">
        <is>
          <t>APOYO</t>
        </is>
      </c>
      <c r="C466" s="10" t="inlineStr">
        <is>
          <t xml:space="preserve">Gestión de Operaciones </t>
        </is>
      </c>
      <c r="D466" s="10" t="inlineStr">
        <is>
          <t>GOP</t>
        </is>
      </c>
      <c r="E466" s="10" t="inlineStr">
        <is>
          <t>Gestión del Front Operativo</t>
        </is>
      </c>
      <c r="F466" s="10" t="inlineStr">
        <is>
          <t xml:space="preserve">Transacciones Operativas </t>
        </is>
      </c>
      <c r="G466" s="10" t="inlineStr">
        <is>
          <t xml:space="preserve">Cámara de compensación de cheques </t>
        </is>
      </c>
      <c r="H466" s="10" t="inlineStr">
        <is>
          <t>Cheques compensados</t>
        </is>
      </c>
      <c r="I466" s="10" t="inlineStr">
        <is>
          <t xml:space="preserve">Detalle de cheques compensados obtenidos del sistema Financoop, detalla toda la información del cheque y valores </t>
        </is>
      </c>
      <c r="J466" s="10" t="inlineStr">
        <is>
          <t>Jefe del Front Operativo</t>
        </is>
      </c>
      <c r="K466" s="10" t="inlineStr">
        <is>
          <t>Supervisor Operativo</t>
        </is>
      </c>
      <c r="L466" s="10" t="inlineStr">
        <is>
          <t>DOCUMENTOS FISICOS-ARCHIVOS DE LA OFICINA</t>
        </is>
      </c>
      <c r="M466" s="10" t="inlineStr">
        <is>
          <t>DOCUMENTO DE ARCHIVO-FÍSICO</t>
        </is>
      </c>
      <c r="N466" s="10" t="inlineStr">
        <is>
          <t>PRIMARIOS</t>
        </is>
      </c>
      <c r="O466" s="10" t="inlineStr">
        <is>
          <t>COMUNICACIÓN INTERNA</t>
        </is>
      </c>
      <c r="P466" s="10" t="inlineStr">
        <is>
          <t>RESTRINGIDO(3)</t>
        </is>
      </c>
      <c r="Q466" s="10" t="inlineStr">
        <is>
          <t>MEDIA(2)</t>
        </is>
      </c>
      <c r="R466" s="10" t="inlineStr">
        <is>
          <t>MEDIA(2)</t>
        </is>
      </c>
      <c r="S466" s="10">
        <f>+(IF(P466="PUBLICA(1)",1,IF(P466="USO INTERNO(2)",2,IF(P466="RESTRINGIDO(3)",3,3))))+(IF(Q466="BAJA(1)",1,IF(Q466="MEDIA(2)",2,IF(Q466="ALTA(3)",3,3))))+(IF(R466="BAJA(1)",1,IF(R466="MEDIA(2)",2,IF(R466="ALTA(3)",3,3))))</f>
        <v/>
      </c>
      <c r="T466" s="10">
        <f>+IF(S466&lt;6,"BAJA",IF(S466&lt;8,"MEDIA","ALTA"))</f>
        <v/>
      </c>
      <c r="U466" s="10" t="inlineStr">
        <is>
          <t>-</t>
        </is>
      </c>
      <c r="V466" s="24" t="n">
        <v>45674</v>
      </c>
      <c r="W466" s="19" t="inlineStr">
        <is>
          <t>N/A</t>
        </is>
      </c>
      <c r="X466" s="10">
        <f>+IFERROR(IF(VLOOKUP(Tabla2[[#This Row],[ID]],'EVALUACION DE RIESGO'!A:A,1,FALSE)=Tabla2[[#This Row],[ID]],"SI","NO"),"NO")</f>
        <v/>
      </c>
      <c r="AD466">
        <f>IF(AND(Y466="",AA466=""),"",IF(OR(LEFT(AA466,2)="L0",LEFT(AA466,2)="L1",Y466="No Iniciado"),"CRÍTICO - Incumplimiento Normativo SEPS",IF(AND(OR(LEFT(AA466,2)="L4",LEFT(AA466,2)="L5"),AND(AC466&lt;&gt;"",AC466&lt;&gt;"N/A")),"CONFORME - Control Efectivo ISO 27001","OBSERVACIÓN - Revisar Controles")))</f>
        <v/>
      </c>
    </row>
    <row r="467">
      <c r="A467" s="99" t="inlineStr">
        <is>
          <t>88-GOP</t>
        </is>
      </c>
      <c r="B467" s="10" t="inlineStr">
        <is>
          <t>APOYO</t>
        </is>
      </c>
      <c r="C467" s="10" t="inlineStr">
        <is>
          <t xml:space="preserve">Gestión de Operaciones </t>
        </is>
      </c>
      <c r="D467" s="10" t="inlineStr">
        <is>
          <t>GOP</t>
        </is>
      </c>
      <c r="E467" s="10" t="inlineStr">
        <is>
          <t>Gestión del Front Operativo</t>
        </is>
      </c>
      <c r="F467" s="10" t="inlineStr">
        <is>
          <t xml:space="preserve">Transacciones Operativas </t>
        </is>
      </c>
      <c r="G467" s="10" t="inlineStr">
        <is>
          <t>Arqueos de cajas y bóvedas</t>
        </is>
      </c>
      <c r="H467" s="10" t="inlineStr">
        <is>
          <t>Control de ingreso al área de Cajas.</t>
        </is>
      </c>
      <c r="I467" s="10" t="inlineStr">
        <is>
          <t>Bitácora de ingreso al área de cajas que contiene actividad, nombres, fecha y hora, firma</t>
        </is>
      </c>
      <c r="J467" s="10" t="inlineStr">
        <is>
          <t>Jefe del Front Operativo</t>
        </is>
      </c>
      <c r="K467" s="10" t="inlineStr">
        <is>
          <t>Supervisor Operativo</t>
        </is>
      </c>
      <c r="L467" s="10" t="inlineStr">
        <is>
          <t>UBICACIÓN DIGITAL-EQUIPO DEL CUSTODIO</t>
        </is>
      </c>
      <c r="M467" s="10" t="inlineStr">
        <is>
          <t>DISCOS DUROS, SERVIDORES, DISCOS O MEDIOS PORTÁTILES, CINTAS O MEDIOS DE VIDEO Y AUDIO, ETC.</t>
        </is>
      </c>
      <c r="N467" s="10" t="inlineStr">
        <is>
          <t>PRIMARIOS</t>
        </is>
      </c>
      <c r="O467" s="10" t="inlineStr">
        <is>
          <t>COMUNICACIÓN INTERNA</t>
        </is>
      </c>
      <c r="P467" s="10" t="inlineStr">
        <is>
          <t>USO INTERNO(2)</t>
        </is>
      </c>
      <c r="Q467" s="10" t="inlineStr">
        <is>
          <t>BAJA(1)</t>
        </is>
      </c>
      <c r="R467" s="10" t="inlineStr">
        <is>
          <t>MEDIA(2)</t>
        </is>
      </c>
      <c r="S467" s="10">
        <f>+(IF(P467="PUBLICA(1)",1,IF(P467="USO INTERNO(2)",2,IF(P467="RESTRINGIDO(3)",3,3))))+(IF(Q467="BAJA(1)",1,IF(Q467="MEDIA(2)",2,IF(Q467="ALTA(3)",3,3))))+(IF(R467="BAJA(1)",1,IF(R467="MEDIA(2)",2,IF(R467="ALTA(3)",3,3))))</f>
        <v/>
      </c>
      <c r="T467" s="10">
        <f>+IF(S467&lt;6,"BAJA",IF(S467&lt;8,"MEDIA","ALTA"))</f>
        <v/>
      </c>
      <c r="U467" s="10" t="inlineStr">
        <is>
          <t>-</t>
        </is>
      </c>
      <c r="V467" s="24" t="n">
        <v>45674</v>
      </c>
      <c r="W467" s="19" t="inlineStr">
        <is>
          <t>N/A</t>
        </is>
      </c>
      <c r="X467" s="10">
        <f>+IFERROR(IF(VLOOKUP(Tabla2[[#This Row],[ID]],'EVALUACION DE RIESGO'!A:A,1,FALSE)=Tabla2[[#This Row],[ID]],"SI","NO"),"NO")</f>
        <v/>
      </c>
      <c r="AD467">
        <f>IF(AND(Y467="",AA467=""),"",IF(OR(LEFT(AA467,2)="L0",LEFT(AA467,2)="L1",Y467="No Iniciado"),"CRÍTICO - Incumplimiento Normativo SEPS",IF(AND(OR(LEFT(AA467,2)="L4",LEFT(AA467,2)="L5"),AND(AC467&lt;&gt;"",AC467&lt;&gt;"N/A")),"CONFORME - Control Efectivo ISO 27001","OBSERVACIÓN - Revisar Controles")))</f>
        <v/>
      </c>
    </row>
    <row r="468">
      <c r="A468" s="99" t="inlineStr">
        <is>
          <t>89-GOP</t>
        </is>
      </c>
      <c r="B468" s="10" t="inlineStr">
        <is>
          <t>APOYO</t>
        </is>
      </c>
      <c r="C468" s="10" t="inlineStr">
        <is>
          <t xml:space="preserve">Gestión de Operaciones </t>
        </is>
      </c>
      <c r="D468" s="10" t="inlineStr">
        <is>
          <t>GOP</t>
        </is>
      </c>
      <c r="E468" s="10" t="inlineStr">
        <is>
          <t>Gestión del Front Operativo</t>
        </is>
      </c>
      <c r="F468" s="10" t="inlineStr">
        <is>
          <t xml:space="preserve">Transacciones Operativas </t>
        </is>
      </c>
      <c r="G468" s="10" t="inlineStr">
        <is>
          <t>Arqueos de cajas y bóvedas</t>
        </is>
      </c>
      <c r="H468" s="10" t="inlineStr">
        <is>
          <t>Reporte de arqueo de caja</t>
        </is>
      </c>
      <c r="I468" s="10" t="inlineStr">
        <is>
          <t>Reporte automático que se obtiene del sistema FIT, se imprime y se firma por el supervisor operativo y cajero</t>
        </is>
      </c>
      <c r="J468" s="10" t="inlineStr">
        <is>
          <t>Jefe del Front Operativo</t>
        </is>
      </c>
      <c r="K468" s="10" t="inlineStr">
        <is>
          <t>Supervisor Operativo</t>
        </is>
      </c>
      <c r="L468" s="10" t="inlineStr">
        <is>
          <t>DOCUMENTOS FISICOS-ARCHIVOS DE LA OFICINA</t>
        </is>
      </c>
      <c r="M468" s="10" t="inlineStr">
        <is>
          <t>DOCUMENTO DE ARCHIVO-FÍSICO</t>
        </is>
      </c>
      <c r="N468" s="10" t="inlineStr">
        <is>
          <t>PRIMARIOS</t>
        </is>
      </c>
      <c r="O468" s="10" t="inlineStr">
        <is>
          <t>DOCUMENTOS TÉCNICOS</t>
        </is>
      </c>
      <c r="P468" s="10" t="inlineStr">
        <is>
          <t>RESTRINGIDO(3)</t>
        </is>
      </c>
      <c r="Q468" s="10" t="inlineStr">
        <is>
          <t>MEDIA(2)</t>
        </is>
      </c>
      <c r="R468" s="10" t="inlineStr">
        <is>
          <t>MEDIA(2)</t>
        </is>
      </c>
      <c r="S468" s="10">
        <f>+(IF(P468="PUBLICA(1)",1,IF(P468="USO INTERNO(2)",2,IF(P468="RESTRINGIDO(3)",3,3))))+(IF(Q468="BAJA(1)",1,IF(Q468="MEDIA(2)",2,IF(Q468="ALTA(3)",3,3))))+(IF(R468="BAJA(1)",1,IF(R468="MEDIA(2)",2,IF(R468="ALTA(3)",3,3))))</f>
        <v/>
      </c>
      <c r="T468" s="10">
        <f>+IF(S468&lt;6,"BAJA",IF(S468&lt;8,"MEDIA","ALTA"))</f>
        <v/>
      </c>
      <c r="U468" s="10" t="inlineStr">
        <is>
          <t>-</t>
        </is>
      </c>
      <c r="V468" s="24" t="n">
        <v>45674</v>
      </c>
      <c r="W468" s="19" t="inlineStr">
        <is>
          <t>N/A</t>
        </is>
      </c>
      <c r="X468" s="10">
        <f>+IFERROR(IF(VLOOKUP(Tabla2[[#This Row],[ID]],'EVALUACION DE RIESGO'!A:A,1,FALSE)=Tabla2[[#This Row],[ID]],"SI","NO"),"NO")</f>
        <v/>
      </c>
      <c r="AD468">
        <f>IF(AND(Y468="",AA468=""),"",IF(OR(LEFT(AA468,2)="L0",LEFT(AA468,2)="L1",Y468="No Iniciado"),"CRÍTICO - Incumplimiento Normativo SEPS",IF(AND(OR(LEFT(AA468,2)="L4",LEFT(AA468,2)="L5"),AND(AC468&lt;&gt;"",AC468&lt;&gt;"N/A")),"CONFORME - Control Efectivo ISO 27001","OBSERVACIÓN - Revisar Controles")))</f>
        <v/>
      </c>
    </row>
    <row r="469">
      <c r="A469" s="99" t="inlineStr">
        <is>
          <t>90-GOP</t>
        </is>
      </c>
      <c r="B469" s="10" t="inlineStr">
        <is>
          <t>APOYO</t>
        </is>
      </c>
      <c r="C469" s="10" t="inlineStr">
        <is>
          <t xml:space="preserve">Gestión de Operaciones </t>
        </is>
      </c>
      <c r="D469" s="10" t="inlineStr">
        <is>
          <t>GOP</t>
        </is>
      </c>
      <c r="E469" s="10" t="inlineStr">
        <is>
          <t>Gestión del Front Operativo</t>
        </is>
      </c>
      <c r="F469" s="10" t="inlineStr">
        <is>
          <t xml:space="preserve">Transacciones Operativas </t>
        </is>
      </c>
      <c r="G469" s="10" t="inlineStr">
        <is>
          <t>Arqueos de cajas y bóvedas</t>
        </is>
      </c>
      <c r="H469" s="10" t="inlineStr">
        <is>
          <t>Matriz de registro de Arqueo de Valores de Bóveda</t>
        </is>
      </c>
      <c r="I469" s="10" t="inlineStr">
        <is>
          <t>Registro interno para dar seguimiento de arqueos realizados que contiene fechas, oficina, registro de cumplimiento</t>
        </is>
      </c>
      <c r="J469" s="10" t="inlineStr">
        <is>
          <t>Jefe del Front Operativo</t>
        </is>
      </c>
      <c r="K469" s="10" t="inlineStr">
        <is>
          <t>Supervisor Operativo</t>
        </is>
      </c>
      <c r="L469" s="10" t="inlineStr">
        <is>
          <t>UBICACIÓN DIGITAL-EQUIPO DEL CUSTODIO</t>
        </is>
      </c>
      <c r="M469" s="10" t="inlineStr">
        <is>
          <t>DISCOS DUROS, SERVIDORES, DISCOS O MEDIOS PORTÁTILES, CINTAS O MEDIOS DE VIDEO Y AUDIO, ETC.</t>
        </is>
      </c>
      <c r="N469" s="10" t="inlineStr">
        <is>
          <t>PRIMARIOS</t>
        </is>
      </c>
      <c r="O469" s="10" t="inlineStr">
        <is>
          <t>DOCUMENTOS TÉCNICOS</t>
        </is>
      </c>
      <c r="P469" s="10" t="inlineStr">
        <is>
          <t>USO INTERNO(2)</t>
        </is>
      </c>
      <c r="Q469" s="10" t="inlineStr">
        <is>
          <t>MEDIA(2)</t>
        </is>
      </c>
      <c r="R469" s="10" t="inlineStr">
        <is>
          <t>MEDIA(2)</t>
        </is>
      </c>
      <c r="S469" s="10">
        <f>+(IF(P469="PUBLICA(1)",1,IF(P469="USO INTERNO(2)",2,IF(P469="RESTRINGIDO(3)",3,3))))+(IF(Q469="BAJA(1)",1,IF(Q469="MEDIA(2)",2,IF(Q469="ALTA(3)",3,3))))+(IF(R469="BAJA(1)",1,IF(R469="MEDIA(2)",2,IF(R469="ALTA(3)",3,3))))</f>
        <v/>
      </c>
      <c r="T469" s="10">
        <f>+IF(S469&lt;6,"BAJA",IF(S469&lt;8,"MEDIA","ALTA"))</f>
        <v/>
      </c>
      <c r="U469" s="10" t="inlineStr">
        <is>
          <t>-</t>
        </is>
      </c>
      <c r="V469" s="24" t="n">
        <v>45674</v>
      </c>
      <c r="W469" s="19" t="inlineStr">
        <is>
          <t>N/A</t>
        </is>
      </c>
      <c r="X469" s="10">
        <f>+IFERROR(IF(VLOOKUP(Tabla2[[#This Row],[ID]],'EVALUACION DE RIESGO'!A:A,1,FALSE)=Tabla2[[#This Row],[ID]],"SI","NO"),"NO")</f>
        <v/>
      </c>
      <c r="AD469">
        <f>IF(AND(Y469="",AA469=""),"",IF(OR(LEFT(AA469,2)="L0",LEFT(AA469,2)="L1",Y469="No Iniciado"),"CRÍTICO - Incumplimiento Normativo SEPS",IF(AND(OR(LEFT(AA469,2)="L4",LEFT(AA469,2)="L5"),AND(AC469&lt;&gt;"",AC469&lt;&gt;"N/A")),"CONFORME - Control Efectivo ISO 27001","OBSERVACIÓN - Revisar Controles")))</f>
        <v/>
      </c>
    </row>
    <row r="470">
      <c r="A470" s="99" t="inlineStr">
        <is>
          <t>91-GOP</t>
        </is>
      </c>
      <c r="B470" s="10" t="inlineStr">
        <is>
          <t>APOYO</t>
        </is>
      </c>
      <c r="C470" s="10" t="inlineStr">
        <is>
          <t xml:space="preserve">Gestión de Operaciones </t>
        </is>
      </c>
      <c r="D470" s="10" t="inlineStr">
        <is>
          <t>GOP</t>
        </is>
      </c>
      <c r="E470" s="10" t="inlineStr">
        <is>
          <t>Gestión del Front Operativo</t>
        </is>
      </c>
      <c r="F470" s="10" t="inlineStr">
        <is>
          <t xml:space="preserve">Transacciones Operativas </t>
        </is>
      </c>
      <c r="G470" s="10" t="inlineStr">
        <is>
          <t xml:space="preserve">Reverso de transacciones en cajas </t>
        </is>
      </c>
      <c r="H470" s="10" t="inlineStr">
        <is>
          <t>Formulario de reversos en cajas</t>
        </is>
      </c>
      <c r="I470" s="10" t="inlineStr">
        <is>
          <t>Formulario e registro que lleva el supervisor operativo que contiene fecha, tipo de transacción, cuenta reversada, valor de reverso, motivo, solicitado por, firma de autorización</t>
        </is>
      </c>
      <c r="J470" s="10" t="inlineStr">
        <is>
          <t>Jefe del Front Operativo</t>
        </is>
      </c>
      <c r="K470" s="10" t="inlineStr">
        <is>
          <t>Supervisor Operativo</t>
        </is>
      </c>
      <c r="L470" s="10" t="inlineStr">
        <is>
          <t>DOCUMENTOS FISICOS-ARCHIVOS DE LA OFICINA</t>
        </is>
      </c>
      <c r="M470" s="10" t="inlineStr">
        <is>
          <t>DOCUMENTO DE ARCHIVO-FÍSICO</t>
        </is>
      </c>
      <c r="N470" s="10" t="inlineStr">
        <is>
          <t>PRIMARIOS</t>
        </is>
      </c>
      <c r="O470" s="10" t="inlineStr">
        <is>
          <t>COMUNICACIÓN INTERNA</t>
        </is>
      </c>
      <c r="P470" s="10" t="inlineStr">
        <is>
          <t>RESTRINGIDO(3)</t>
        </is>
      </c>
      <c r="Q470" s="10" t="inlineStr">
        <is>
          <t>BAJA(1)</t>
        </is>
      </c>
      <c r="R470" s="10" t="inlineStr">
        <is>
          <t>BAJA(1)</t>
        </is>
      </c>
      <c r="S470" s="10">
        <f>+(IF(P470="PUBLICA(1)",1,IF(P470="USO INTERNO(2)",2,IF(P470="RESTRINGIDO(3)",3,3))))+(IF(Q470="BAJA(1)",1,IF(Q470="MEDIA(2)",2,IF(Q470="ALTA(3)",3,3))))+(IF(R470="BAJA(1)",1,IF(R470="MEDIA(2)",2,IF(R470="ALTA(3)",3,3))))</f>
        <v/>
      </c>
      <c r="T470" s="10">
        <f>+IF(S470&lt;6,"BAJA",IF(S470&lt;8,"MEDIA","ALTA"))</f>
        <v/>
      </c>
      <c r="U470" s="10" t="inlineStr">
        <is>
          <t>-</t>
        </is>
      </c>
      <c r="V470" s="24" t="n">
        <v>45674</v>
      </c>
      <c r="W470" s="19" t="inlineStr">
        <is>
          <t>N/A</t>
        </is>
      </c>
      <c r="X470" s="10">
        <f>+IFERROR(IF(VLOOKUP(Tabla2[[#This Row],[ID]],'EVALUACION DE RIESGO'!A:A,1,FALSE)=Tabla2[[#This Row],[ID]],"SI","NO"),"NO")</f>
        <v/>
      </c>
      <c r="AD470">
        <f>IF(AND(Y470="",AA470=""),"",IF(OR(LEFT(AA470,2)="L0",LEFT(AA470,2)="L1",Y470="No Iniciado"),"CRÍTICO - Incumplimiento Normativo SEPS",IF(AND(OR(LEFT(AA470,2)="L4",LEFT(AA470,2)="L5"),AND(AC470&lt;&gt;"",AC470&lt;&gt;"N/A")),"CONFORME - Control Efectivo ISO 27001","OBSERVACIÓN - Revisar Controles")))</f>
        <v/>
      </c>
    </row>
    <row r="471">
      <c r="A471" s="99" t="inlineStr">
        <is>
          <t>92-GOP</t>
        </is>
      </c>
      <c r="B471" s="10" t="inlineStr">
        <is>
          <t>APOYO</t>
        </is>
      </c>
      <c r="C471" s="10" t="inlineStr">
        <is>
          <t xml:space="preserve">Gestión de Operaciones </t>
        </is>
      </c>
      <c r="D471" s="10" t="inlineStr">
        <is>
          <t>GOP</t>
        </is>
      </c>
      <c r="E471" s="10" t="inlineStr">
        <is>
          <t>Gestión del Front Operativo</t>
        </is>
      </c>
      <c r="F471" s="10" t="inlineStr">
        <is>
          <t xml:space="preserve">Transacciones Operativas </t>
        </is>
      </c>
      <c r="G471" s="10" t="inlineStr">
        <is>
          <t>Retención de especies para verificación</t>
        </is>
      </c>
      <c r="H471" s="10" t="inlineStr">
        <is>
          <t>Formulario de especies monetarias falsificadas</t>
        </is>
      </c>
      <c r="I471" s="10" t="inlineStr">
        <is>
          <t>Formulario que exporta el sistema fit que contiene datos generales del tenedor información de la cooperativa, firmas de responsabilidad</t>
        </is>
      </c>
      <c r="J471" s="10" t="inlineStr">
        <is>
          <t>Jefe del Front Operativo</t>
        </is>
      </c>
      <c r="K471" s="10" t="inlineStr">
        <is>
          <t>Supervisor Operativo</t>
        </is>
      </c>
      <c r="L471" s="10" t="inlineStr">
        <is>
          <t>UBICACIÓN DIGITAL-EQUIPO DEL CUSTODIO</t>
        </is>
      </c>
      <c r="M471" s="10" t="inlineStr">
        <is>
          <t>DISCOS DUROS, SERVIDORES, DISCOS O MEDIOS PORTÁTILES, CINTAS O MEDIOS DE VIDEO Y AUDIO, ETC.</t>
        </is>
      </c>
      <c r="N471" s="10" t="inlineStr">
        <is>
          <t>PRIMARIOS</t>
        </is>
      </c>
      <c r="O471" s="10" t="inlineStr">
        <is>
          <t>DOCUMENTOS TÉCNICOS</t>
        </is>
      </c>
      <c r="P471" s="10" t="inlineStr">
        <is>
          <t>USO INTERNO(2)</t>
        </is>
      </c>
      <c r="Q471" s="10" t="inlineStr">
        <is>
          <t>MEDIA(2)</t>
        </is>
      </c>
      <c r="R471" s="10" t="inlineStr">
        <is>
          <t>BAJA(1)</t>
        </is>
      </c>
      <c r="S471" s="10">
        <f>+(IF(P471="PUBLICA(1)",1,IF(P471="USO INTERNO(2)",2,IF(P471="RESTRINGIDO(3)",3,3))))+(IF(Q471="BAJA(1)",1,IF(Q471="MEDIA(2)",2,IF(Q471="ALTA(3)",3,3))))+(IF(R471="BAJA(1)",1,IF(R471="MEDIA(2)",2,IF(R471="ALTA(3)",3,3))))</f>
        <v/>
      </c>
      <c r="T471" s="10">
        <f>+IF(S471&lt;6,"BAJA",IF(S471&lt;8,"MEDIA","ALTA"))</f>
        <v/>
      </c>
      <c r="U471" s="10" t="inlineStr">
        <is>
          <t>-</t>
        </is>
      </c>
      <c r="V471" s="24" t="n">
        <v>45674</v>
      </c>
      <c r="W471" s="19" t="inlineStr">
        <is>
          <t>N/A</t>
        </is>
      </c>
      <c r="X471" s="10">
        <f>+IFERROR(IF(VLOOKUP(Tabla2[[#This Row],[ID]],'EVALUACION DE RIESGO'!A:A,1,FALSE)=Tabla2[[#This Row],[ID]],"SI","NO"),"NO")</f>
        <v/>
      </c>
      <c r="AD471">
        <f>IF(AND(Y471="",AA471=""),"",IF(OR(LEFT(AA471,2)="L0",LEFT(AA471,2)="L1",Y471="No Iniciado"),"CRÍTICO - Incumplimiento Normativo SEPS",IF(AND(OR(LEFT(AA471,2)="L4",LEFT(AA471,2)="L5"),AND(AC471&lt;&gt;"",AC471&lt;&gt;"N/A")),"CONFORME - Control Efectivo ISO 27001","OBSERVACIÓN - Revisar Controles")))</f>
        <v/>
      </c>
    </row>
    <row r="472">
      <c r="A472" s="99" t="inlineStr">
        <is>
          <t>93-GOP</t>
        </is>
      </c>
      <c r="B472" s="10" t="inlineStr">
        <is>
          <t>APOYO</t>
        </is>
      </c>
      <c r="C472" s="10" t="inlineStr">
        <is>
          <t xml:space="preserve">Gestión de Operaciones </t>
        </is>
      </c>
      <c r="D472" s="10" t="inlineStr">
        <is>
          <t>GOP</t>
        </is>
      </c>
      <c r="E472" s="10" t="inlineStr">
        <is>
          <t>Gestión del Front Operativo</t>
        </is>
      </c>
      <c r="F472" s="10" t="inlineStr">
        <is>
          <t xml:space="preserve">Transacciones Operativas </t>
        </is>
      </c>
      <c r="G472" s="10" t="inlineStr">
        <is>
          <t>Evaluación de riesgo de lavado de activos</t>
        </is>
      </c>
      <c r="H472" s="10" t="inlineStr">
        <is>
          <t>Documentos de justificación de transacciones</t>
        </is>
      </c>
      <c r="I472" s="10" t="inlineStr">
        <is>
          <t>Documento de justificación, como contrato de compra venta, certificación de inversión, tabla de amortización</t>
        </is>
      </c>
      <c r="J472" s="10" t="inlineStr">
        <is>
          <t>Jefe del Front Operativo</t>
        </is>
      </c>
      <c r="K472" s="10" t="inlineStr">
        <is>
          <t>Supervisor Operativo</t>
        </is>
      </c>
      <c r="L472" s="10" t="inlineStr">
        <is>
          <t>DOCUMENTOS FISICOS-ARCHIVOS DE LA OFICINA</t>
        </is>
      </c>
      <c r="M472" s="10" t="inlineStr">
        <is>
          <t>DOCUMENTO DE ARCHIVO-FÍSICO</t>
        </is>
      </c>
      <c r="N472" s="10" t="inlineStr">
        <is>
          <t>PRIMARIOS</t>
        </is>
      </c>
      <c r="O472" s="10" t="inlineStr">
        <is>
          <t>COMUNICACIÓN INTERNA</t>
        </is>
      </c>
      <c r="P472" s="10" t="inlineStr">
        <is>
          <t>USO INTERNO(2)</t>
        </is>
      </c>
      <c r="Q472" s="10" t="inlineStr">
        <is>
          <t>MEDIA(2)</t>
        </is>
      </c>
      <c r="R472" s="10" t="inlineStr">
        <is>
          <t>MEDIA(2)</t>
        </is>
      </c>
      <c r="S472" s="10">
        <f>+(IF(P472="PUBLICA(1)",1,IF(P472="USO INTERNO(2)",2,IF(P472="RESTRINGIDO(3)",3,3))))+(IF(Q472="BAJA(1)",1,IF(Q472="MEDIA(2)",2,IF(Q472="ALTA(3)",3,3))))+(IF(R472="BAJA(1)",1,IF(R472="MEDIA(2)",2,IF(R472="ALTA(3)",3,3))))</f>
        <v/>
      </c>
      <c r="T472" s="10">
        <f>+IF(S472&lt;6,"BAJA",IF(S472&lt;8,"MEDIA","ALTA"))</f>
        <v/>
      </c>
      <c r="U472" s="10" t="inlineStr">
        <is>
          <t>-</t>
        </is>
      </c>
      <c r="V472" s="24" t="n">
        <v>45674</v>
      </c>
      <c r="W472" s="19" t="inlineStr">
        <is>
          <t>N/A</t>
        </is>
      </c>
      <c r="X472" s="10">
        <f>+IFERROR(IF(VLOOKUP(Tabla2[[#This Row],[ID]],'EVALUACION DE RIESGO'!A:A,1,FALSE)=Tabla2[[#This Row],[ID]],"SI","NO"),"NO")</f>
        <v/>
      </c>
      <c r="AD472">
        <f>IF(AND(Y472="",AA472=""),"",IF(OR(LEFT(AA472,2)="L0",LEFT(AA472,2)="L1",Y472="No Iniciado"),"CRÍTICO - Incumplimiento Normativo SEPS",IF(AND(OR(LEFT(AA472,2)="L4",LEFT(AA472,2)="L5"),AND(AC472&lt;&gt;"",AC472&lt;&gt;"N/A")),"CONFORME - Control Efectivo ISO 27001","OBSERVACIÓN - Revisar Controles")))</f>
        <v/>
      </c>
    </row>
    <row r="473">
      <c r="A473" s="99" t="inlineStr">
        <is>
          <t>94-GOP</t>
        </is>
      </c>
      <c r="B473" s="10" t="inlineStr">
        <is>
          <t>APOYO</t>
        </is>
      </c>
      <c r="C473" s="10" t="inlineStr">
        <is>
          <t xml:space="preserve">Gestión de Operaciones </t>
        </is>
      </c>
      <c r="D473" s="10" t="inlineStr">
        <is>
          <t>GOP</t>
        </is>
      </c>
      <c r="E473" s="10" t="inlineStr">
        <is>
          <t>Gestión del Front Operativo</t>
        </is>
      </c>
      <c r="F473" s="10" t="inlineStr">
        <is>
          <t xml:space="preserve">Transacciones Operativas </t>
        </is>
      </c>
      <c r="G473" s="10" t="inlineStr">
        <is>
          <t xml:space="preserve">Custodia de libretas de ahorro </t>
        </is>
      </c>
      <c r="H473" s="10" t="inlineStr">
        <is>
          <t>Requerimiento de libretas de ahorro</t>
        </is>
      </c>
      <c r="I473" s="10" t="inlineStr">
        <is>
          <t xml:space="preserve">Requerimiento enviado por correo electrónico </t>
        </is>
      </c>
      <c r="J473" s="10" t="inlineStr">
        <is>
          <t>Jefe del Front Operativo</t>
        </is>
      </c>
      <c r="K473" s="10" t="inlineStr">
        <is>
          <t>Supervisor Operativo</t>
        </is>
      </c>
      <c r="L473" s="10" t="inlineStr">
        <is>
          <t>UBICACIÓN DIGITAL-EQUIPO DEL CUSTODIO</t>
        </is>
      </c>
      <c r="M473" s="10" t="inlineStr">
        <is>
          <t>DISCOS DUROS, SERVIDORES, DISCOS O MEDIOS PORTÁTILES, CINTAS O MEDIOS DE VIDEO Y AUDIO, ETC.</t>
        </is>
      </c>
      <c r="N473" s="10" t="inlineStr">
        <is>
          <t>PRIMARIOS</t>
        </is>
      </c>
      <c r="O473" s="10" t="inlineStr">
        <is>
          <t>COMUNICACIÓN INTERNA</t>
        </is>
      </c>
      <c r="P473" s="10" t="inlineStr">
        <is>
          <t>RESTRINGIDO(3)</t>
        </is>
      </c>
      <c r="Q473" s="10" t="inlineStr">
        <is>
          <t>BAJA(1)</t>
        </is>
      </c>
      <c r="R473" s="10" t="inlineStr">
        <is>
          <t>BAJA(1)</t>
        </is>
      </c>
      <c r="S473" s="10">
        <f>+(IF(P473="PUBLICA(1)",1,IF(P473="USO INTERNO(2)",2,IF(P473="RESTRINGIDO(3)",3,3))))+(IF(Q473="BAJA(1)",1,IF(Q473="MEDIA(2)",2,IF(Q473="ALTA(3)",3,3))))+(IF(R473="BAJA(1)",1,IF(R473="MEDIA(2)",2,IF(R473="ALTA(3)",3,3))))</f>
        <v/>
      </c>
      <c r="T473" s="10">
        <f>+IF(S473&lt;6,"BAJA",IF(S473&lt;8,"MEDIA","ALTA"))</f>
        <v/>
      </c>
      <c r="U473" s="10" t="inlineStr">
        <is>
          <t>-</t>
        </is>
      </c>
      <c r="V473" s="24" t="n">
        <v>45674</v>
      </c>
      <c r="W473" s="19" t="inlineStr">
        <is>
          <t>N/A</t>
        </is>
      </c>
      <c r="X473" s="10">
        <f>+IFERROR(IF(VLOOKUP(Tabla2[[#This Row],[ID]],'EVALUACION DE RIESGO'!A:A,1,FALSE)=Tabla2[[#This Row],[ID]],"SI","NO"),"NO")</f>
        <v/>
      </c>
      <c r="AD473">
        <f>IF(AND(Y473="",AA473=""),"",IF(OR(LEFT(AA473,2)="L0",LEFT(AA473,2)="L1",Y473="No Iniciado"),"CRÍTICO - Incumplimiento Normativo SEPS",IF(AND(OR(LEFT(AA473,2)="L4",LEFT(AA473,2)="L5"),AND(AC473&lt;&gt;"",AC473&lt;&gt;"N/A")),"CONFORME - Control Efectivo ISO 27001","OBSERVACIÓN - Revisar Controles")))</f>
        <v/>
      </c>
    </row>
    <row r="474">
      <c r="A474" s="99" t="inlineStr">
        <is>
          <t>95-GOP</t>
        </is>
      </c>
      <c r="B474" s="10" t="inlineStr">
        <is>
          <t>APOYO</t>
        </is>
      </c>
      <c r="C474" s="10" t="inlineStr">
        <is>
          <t xml:space="preserve">Gestión de Operaciones </t>
        </is>
      </c>
      <c r="D474" s="10" t="inlineStr">
        <is>
          <t>GOP</t>
        </is>
      </c>
      <c r="E474" s="10" t="inlineStr">
        <is>
          <t>Gestión del Front Operativo</t>
        </is>
      </c>
      <c r="F474" s="10" t="inlineStr">
        <is>
          <t xml:space="preserve">Transacciones Operativas </t>
        </is>
      </c>
      <c r="G474" s="10" t="inlineStr">
        <is>
          <t xml:space="preserve">Custodia de libretas de ahorro </t>
        </is>
      </c>
      <c r="H474" s="10" t="inlineStr">
        <is>
          <t>Acta entrega recepción de libretas de ahorro</t>
        </is>
      </c>
      <c r="I474" s="10" t="inlineStr">
        <is>
          <t>Acta entrega que contiene datos del emisor y receptor, detalle de información física entregada</t>
        </is>
      </c>
      <c r="J474" s="10" t="inlineStr">
        <is>
          <t>Jefe del Front Operativo</t>
        </is>
      </c>
      <c r="K474" s="10" t="inlineStr">
        <is>
          <t>Supervisor Operativo</t>
        </is>
      </c>
      <c r="L474" s="10" t="inlineStr">
        <is>
          <t>DOCUMENTOS FISICOS-ARCHIVOS DE LA OFICINA</t>
        </is>
      </c>
      <c r="M474" s="10" t="inlineStr">
        <is>
          <t>DOCUMENTO DE ARCHIVO-FÍSICO</t>
        </is>
      </c>
      <c r="N474" s="10" t="inlineStr">
        <is>
          <t>PRIMARIOS</t>
        </is>
      </c>
      <c r="O474" s="10" t="inlineStr">
        <is>
          <t>DOCUMENTOS TÉCNICOS</t>
        </is>
      </c>
      <c r="P474" s="10" t="inlineStr">
        <is>
          <t>USO INTERNO(2)</t>
        </is>
      </c>
      <c r="Q474" s="10" t="inlineStr">
        <is>
          <t>MEDIA(2)</t>
        </is>
      </c>
      <c r="R474" s="10" t="inlineStr">
        <is>
          <t>MEDIA(2)</t>
        </is>
      </c>
      <c r="S474" s="10">
        <f>+(IF(P474="PUBLICA(1)",1,IF(P474="USO INTERNO(2)",2,IF(P474="RESTRINGIDO(3)",3,3))))+(IF(Q474="BAJA(1)",1,IF(Q474="MEDIA(2)",2,IF(Q474="ALTA(3)",3,3))))+(IF(R474="BAJA(1)",1,IF(R474="MEDIA(2)",2,IF(R474="ALTA(3)",3,3))))</f>
        <v/>
      </c>
      <c r="T474" s="10">
        <f>+IF(S474&lt;6,"BAJA",IF(S474&lt;8,"MEDIA","ALTA"))</f>
        <v/>
      </c>
      <c r="U474" s="10" t="inlineStr">
        <is>
          <t>-</t>
        </is>
      </c>
      <c r="V474" s="24" t="n">
        <v>45674</v>
      </c>
      <c r="W474" s="19" t="inlineStr">
        <is>
          <t>N/A</t>
        </is>
      </c>
      <c r="X474" s="10">
        <f>+IFERROR(IF(VLOOKUP(Tabla2[[#This Row],[ID]],'EVALUACION DE RIESGO'!A:A,1,FALSE)=Tabla2[[#This Row],[ID]],"SI","NO"),"NO")</f>
        <v/>
      </c>
      <c r="AD474">
        <f>IF(AND(Y474="",AA474=""),"",IF(OR(LEFT(AA474,2)="L0",LEFT(AA474,2)="L1",Y474="No Iniciado"),"CRÍTICO - Incumplimiento Normativo SEPS",IF(AND(OR(LEFT(AA474,2)="L4",LEFT(AA474,2)="L5"),AND(AC474&lt;&gt;"",AC474&lt;&gt;"N/A")),"CONFORME - Control Efectivo ISO 27001","OBSERVACIÓN - Revisar Controles")))</f>
        <v/>
      </c>
    </row>
    <row r="475">
      <c r="A475" s="99" t="inlineStr">
        <is>
          <t>96-GOP</t>
        </is>
      </c>
      <c r="B475" s="10" t="inlineStr">
        <is>
          <t>APOYO</t>
        </is>
      </c>
      <c r="C475" s="10" t="inlineStr">
        <is>
          <t xml:space="preserve">Gestión de Operaciones </t>
        </is>
      </c>
      <c r="D475" s="10" t="inlineStr">
        <is>
          <t>GOP</t>
        </is>
      </c>
      <c r="E475" s="10" t="inlineStr">
        <is>
          <t xml:space="preserve">Canales Electrónicos </t>
        </is>
      </c>
      <c r="F475" s="10" t="inlineStr">
        <is>
          <t xml:space="preserve">Gestión de Cajeros Automático </t>
        </is>
      </c>
      <c r="G475" s="10" t="inlineStr">
        <is>
          <t>Cuadre inicial de cajeros automáticos y fondeo o disminución de efectivo</t>
        </is>
      </c>
      <c r="H475" s="10" t="inlineStr">
        <is>
          <t>Formulario de cuadre físico de cajero automático Formulario de cuadre transaccional del cajero automático Bitácora de verificación de cajero automático Tirillas del cajero inicial y final Acta de movimiento del cajero automático</t>
        </is>
      </c>
      <c r="I475" s="10" t="inlineStr">
        <is>
          <t>Cuadre de banred, cuadre de depósitos, cuadre de cartera, cuadre de transacciones propias, cuadre de otros atm vanred</t>
        </is>
      </c>
      <c r="J475" s="10" t="inlineStr">
        <is>
          <t xml:space="preserve">Jefe de Soporte y Cuadres </t>
        </is>
      </c>
      <c r="K475" s="10" t="inlineStr">
        <is>
          <t>Asistente Operativo</t>
        </is>
      </c>
      <c r="L475" s="10" t="inlineStr">
        <is>
          <t>UBICACIÓN DIGITAL-EQUIPO DEL CUSTODIO</t>
        </is>
      </c>
      <c r="M475" s="10" t="inlineStr">
        <is>
          <t>DISCOS DUROS, SERVIDORES, DISCOS O MEDIOS PORTÁTILES, CINTAS O MEDIOS DE VIDEO Y AUDIO, ETC.</t>
        </is>
      </c>
      <c r="N475" s="10" t="inlineStr">
        <is>
          <t>PRIMARIOS</t>
        </is>
      </c>
      <c r="O475" s="10" t="inlineStr">
        <is>
          <t>DOCUMENTOS TÉCNICOS</t>
        </is>
      </c>
      <c r="P475" s="10" t="inlineStr">
        <is>
          <t>RESTRINGIDO(3)</t>
        </is>
      </c>
      <c r="Q475" s="10" t="inlineStr">
        <is>
          <t>BAJA(1)</t>
        </is>
      </c>
      <c r="R475" s="10" t="inlineStr">
        <is>
          <t>MEDIA(2)</t>
        </is>
      </c>
      <c r="S475" s="10">
        <f>+(IF(P475="PUBLICA(1)",1,IF(P475="USO INTERNO(2)",2,IF(P475="RESTRINGIDO(3)",3,3))))+(IF(Q475="BAJA(1)",1,IF(Q475="MEDIA(2)",2,IF(Q475="ALTA(3)",3,3))))+(IF(R475="BAJA(1)",1,IF(R475="MEDIA(2)",2,IF(R475="ALTA(3)",3,3))))</f>
        <v/>
      </c>
      <c r="T475" s="10">
        <f>+IF(S475&lt;6,"BAJA",IF(S475&lt;8,"MEDIA","ALTA"))</f>
        <v/>
      </c>
      <c r="U475" s="10" t="inlineStr">
        <is>
          <t>-</t>
        </is>
      </c>
      <c r="V475" s="24" t="n">
        <v>45674</v>
      </c>
      <c r="W475" s="19" t="inlineStr">
        <is>
          <t>N/A</t>
        </is>
      </c>
      <c r="X475" s="10">
        <f>+IFERROR(IF(VLOOKUP(Tabla2[[#This Row],[ID]],'EVALUACION DE RIESGO'!A:A,1,FALSE)=Tabla2[[#This Row],[ID]],"SI","NO"),"NO")</f>
        <v/>
      </c>
      <c r="AD475">
        <f>IF(AND(Y475="",AA475=""),"",IF(OR(LEFT(AA475,2)="L0",LEFT(AA475,2)="L1",Y475="No Iniciado"),"CRÍTICO - Incumplimiento Normativo SEPS",IF(AND(OR(LEFT(AA475,2)="L4",LEFT(AA475,2)="L5"),AND(AC475&lt;&gt;"",AC475&lt;&gt;"N/A")),"CONFORME - Control Efectivo ISO 27001","OBSERVACIÓN - Revisar Controles")))</f>
        <v/>
      </c>
    </row>
    <row r="476">
      <c r="A476" s="99" t="inlineStr">
        <is>
          <t>97-GOP</t>
        </is>
      </c>
      <c r="B476" s="10" t="inlineStr">
        <is>
          <t>APOYO</t>
        </is>
      </c>
      <c r="C476" s="10" t="inlineStr">
        <is>
          <t xml:space="preserve">Gestión de Operaciones </t>
        </is>
      </c>
      <c r="D476" s="10" t="inlineStr">
        <is>
          <t>GOP</t>
        </is>
      </c>
      <c r="E476" s="10" t="inlineStr">
        <is>
          <t xml:space="preserve">Canales Electrónicos </t>
        </is>
      </c>
      <c r="F476" s="10" t="inlineStr">
        <is>
          <t xml:space="preserve">Gestión de Cajeros Automático </t>
        </is>
      </c>
      <c r="G476" s="10" t="inlineStr">
        <is>
          <t>Cuadre inicial de cajeros automáticos y fondeo o disminución de efectivo</t>
        </is>
      </c>
      <c r="H476" s="10" t="inlineStr">
        <is>
          <t>Matriz resumen del cuadre</t>
        </is>
      </c>
      <c r="I476" s="10" t="inlineStr">
        <is>
          <t>Cuadre resumen de todos los cuadres (consolidado)</t>
        </is>
      </c>
      <c r="J476" s="10" t="inlineStr">
        <is>
          <t xml:space="preserve">Jefe de Soporte y Cuadres </t>
        </is>
      </c>
      <c r="K476" s="10" t="inlineStr">
        <is>
          <t>Asistente Operativo</t>
        </is>
      </c>
      <c r="L476" s="10" t="inlineStr">
        <is>
          <t>UBICACIÓN DIGITAL-EQUIPO DEL CUSTODIO</t>
        </is>
      </c>
      <c r="M476" s="10" t="inlineStr">
        <is>
          <t>DISCOS DUROS, SERVIDORES, DISCOS O MEDIOS PORTÁTILES, CINTAS O MEDIOS DE VIDEO Y AUDIO, ETC.</t>
        </is>
      </c>
      <c r="N476" s="10" t="inlineStr">
        <is>
          <t>PRIMARIOS</t>
        </is>
      </c>
      <c r="O476" s="10" t="inlineStr">
        <is>
          <t>DOCUMENTOS TÉCNICOS</t>
        </is>
      </c>
      <c r="P476" s="10" t="inlineStr">
        <is>
          <t>RESTRINGIDO(3)</t>
        </is>
      </c>
      <c r="Q476" s="10" t="inlineStr">
        <is>
          <t>MEDIA(2)</t>
        </is>
      </c>
      <c r="R476" s="10" t="inlineStr">
        <is>
          <t>BAJA(1)</t>
        </is>
      </c>
      <c r="S476" s="10">
        <f>+(IF(P476="PUBLICA(1)",1,IF(P476="USO INTERNO(2)",2,IF(P476="RESTRINGIDO(3)",3,3))))+(IF(Q476="BAJA(1)",1,IF(Q476="MEDIA(2)",2,IF(Q476="ALTA(3)",3,3))))+(IF(R476="BAJA(1)",1,IF(R476="MEDIA(2)",2,IF(R476="ALTA(3)",3,3))))</f>
        <v/>
      </c>
      <c r="T476" s="10">
        <f>+IF(S476&lt;6,"BAJA",IF(S476&lt;8,"MEDIA","ALTA"))</f>
        <v/>
      </c>
      <c r="U476" s="10" t="inlineStr">
        <is>
          <t>-</t>
        </is>
      </c>
      <c r="V476" s="24" t="n">
        <v>45674</v>
      </c>
      <c r="W476" s="19" t="inlineStr">
        <is>
          <t>N/A</t>
        </is>
      </c>
      <c r="X476" s="10">
        <f>+IFERROR(IF(VLOOKUP(Tabla2[[#This Row],[ID]],'EVALUACION DE RIESGO'!A:A,1,FALSE)=Tabla2[[#This Row],[ID]],"SI","NO"),"NO")</f>
        <v/>
      </c>
      <c r="AD476">
        <f>IF(AND(Y476="",AA476=""),"",IF(OR(LEFT(AA476,2)="L0",LEFT(AA476,2)="L1",Y476="No Iniciado"),"CRÍTICO - Incumplimiento Normativo SEPS",IF(AND(OR(LEFT(AA476,2)="L4",LEFT(AA476,2)="L5"),AND(AC476&lt;&gt;"",AC476&lt;&gt;"N/A")),"CONFORME - Control Efectivo ISO 27001","OBSERVACIÓN - Revisar Controles")))</f>
        <v/>
      </c>
    </row>
    <row r="477">
      <c r="A477" s="99" t="inlineStr">
        <is>
          <t>98-GOP</t>
        </is>
      </c>
      <c r="B477" s="10" t="inlineStr">
        <is>
          <t>APOYO</t>
        </is>
      </c>
      <c r="C477" s="10" t="inlineStr">
        <is>
          <t xml:space="preserve">Gestión de Operaciones </t>
        </is>
      </c>
      <c r="D477" s="10" t="inlineStr">
        <is>
          <t>GOP</t>
        </is>
      </c>
      <c r="E477" s="10" t="inlineStr">
        <is>
          <t xml:space="preserve">Canales Electrónicos </t>
        </is>
      </c>
      <c r="F477" s="10" t="inlineStr">
        <is>
          <t xml:space="preserve">Gestión de Cajeros Automático </t>
        </is>
      </c>
      <c r="G477" s="10" t="inlineStr">
        <is>
          <t xml:space="preserve">Fondeo de efectivo en cajeros isla </t>
        </is>
      </c>
      <c r="H477" s="10" t="inlineStr">
        <is>
          <t>Formulario de cuadre de cajero automático  Bitácora de verificación de cajero automático Tirillas del cajero inicial y final Formulario de cuadre transaccional del cajero automático</t>
        </is>
      </c>
      <c r="I477" s="10" t="inlineStr">
        <is>
          <t>Formulario de cuadre de cajero automático  Bitácora de verificación de cajero automático Tirillas del cajero inicial y final Formulario de cuadre transaccional del cajero automático</t>
        </is>
      </c>
      <c r="J477" s="10" t="inlineStr">
        <is>
          <t xml:space="preserve">Jefe de Soporte y Cuadres </t>
        </is>
      </c>
      <c r="K477" s="10" t="inlineStr">
        <is>
          <t>Supervisor Operativo</t>
        </is>
      </c>
      <c r="L477" s="10" t="inlineStr">
        <is>
          <t>DOCUMENTOS FISICOS-ARCHIVOS DE LA OFICINA</t>
        </is>
      </c>
      <c r="M477" s="10" t="inlineStr">
        <is>
          <t>DOCUMENTO DE ARCHIVO-FÍSICO</t>
        </is>
      </c>
      <c r="N477" s="10" t="inlineStr">
        <is>
          <t>PRIMARIOS</t>
        </is>
      </c>
      <c r="O477" s="10" t="inlineStr">
        <is>
          <t>DOCUMENTOS TÉCNICOS</t>
        </is>
      </c>
      <c r="P477" s="10" t="inlineStr">
        <is>
          <t>RESTRINGIDO(3)</t>
        </is>
      </c>
      <c r="Q477" s="10" t="inlineStr">
        <is>
          <t>MEDIA(2)</t>
        </is>
      </c>
      <c r="R477" s="10" t="inlineStr">
        <is>
          <t>BAJA(1)</t>
        </is>
      </c>
      <c r="S477" s="10">
        <f>+(IF(P477="PUBLICA(1)",1,IF(P477="USO INTERNO(2)",2,IF(P477="RESTRINGIDO(3)",3,3))))+(IF(Q477="BAJA(1)",1,IF(Q477="MEDIA(2)",2,IF(Q477="ALTA(3)",3,3))))+(IF(R477="BAJA(1)",1,IF(R477="MEDIA(2)",2,IF(R477="ALTA(3)",3,3))))</f>
        <v/>
      </c>
      <c r="T477" s="10">
        <f>+IF(S477&lt;6,"BAJA",IF(S477&lt;8,"MEDIA","ALTA"))</f>
        <v/>
      </c>
      <c r="U477" s="10" t="inlineStr">
        <is>
          <t>-</t>
        </is>
      </c>
      <c r="V477" s="24" t="n">
        <v>45674</v>
      </c>
      <c r="W477" s="19" t="inlineStr">
        <is>
          <t>N/A</t>
        </is>
      </c>
      <c r="X477" s="10">
        <f>+IFERROR(IF(VLOOKUP(Tabla2[[#This Row],[ID]],'EVALUACION DE RIESGO'!A:A,1,FALSE)=Tabla2[[#This Row],[ID]],"SI","NO"),"NO")</f>
        <v/>
      </c>
      <c r="AD477">
        <f>IF(AND(Y477="",AA477=""),"",IF(OR(LEFT(AA477,2)="L0",LEFT(AA477,2)="L1",Y477="No Iniciado"),"CRÍTICO - Incumplimiento Normativo SEPS",IF(AND(OR(LEFT(AA477,2)="L4",LEFT(AA477,2)="L5"),AND(AC477&lt;&gt;"",AC477&lt;&gt;"N/A")),"CONFORME - Control Efectivo ISO 27001","OBSERVACIÓN - Revisar Controles")))</f>
        <v/>
      </c>
    </row>
    <row r="478">
      <c r="A478" s="99" t="inlineStr">
        <is>
          <t>99-GOP</t>
        </is>
      </c>
      <c r="B478" s="10" t="inlineStr">
        <is>
          <t>APOYO</t>
        </is>
      </c>
      <c r="C478" s="10" t="inlineStr">
        <is>
          <t xml:space="preserve">Gestión de Operaciones </t>
        </is>
      </c>
      <c r="D478" s="10" t="inlineStr">
        <is>
          <t>GOP</t>
        </is>
      </c>
      <c r="E478" s="10" t="inlineStr">
        <is>
          <t xml:space="preserve">Canales Electrónicos </t>
        </is>
      </c>
      <c r="F478" s="10" t="inlineStr">
        <is>
          <t xml:space="preserve">Gestión de Cajeros Automático </t>
        </is>
      </c>
      <c r="G478" s="10" t="inlineStr">
        <is>
          <t>Reclamos de transacciones de cajero automático</t>
        </is>
      </c>
      <c r="H478" s="10" t="inlineStr">
        <is>
          <t>Solicitud de reclamo</t>
        </is>
      </c>
      <c r="I478" s="10" t="inlineStr">
        <is>
          <t>Formulario ingresado en la herramienta de atención al cliente QUEJAS Y RECLAMOS, detalla todos los datos de la transacción y gestión del reclamo</t>
        </is>
      </c>
      <c r="J478" s="10" t="inlineStr">
        <is>
          <t xml:space="preserve">Jefe de Soporte y Cuadres </t>
        </is>
      </c>
      <c r="K478" s="10" t="inlineStr">
        <is>
          <t>Asistente Operativo</t>
        </is>
      </c>
      <c r="L478" s="10" t="inlineStr">
        <is>
          <t>DOCUMENTOS FISICOS-ARCHIVOS DE LA OFICINA</t>
        </is>
      </c>
      <c r="M478" s="10" t="inlineStr">
        <is>
          <t>DOCUMENTO DE ARCHIVO-FÍSICO</t>
        </is>
      </c>
      <c r="N478" s="10" t="inlineStr">
        <is>
          <t>PRIMARIOS</t>
        </is>
      </c>
      <c r="O478" s="10" t="inlineStr">
        <is>
          <t>DOCUMENTOS TÉCNICOS</t>
        </is>
      </c>
      <c r="P478" s="10" t="inlineStr">
        <is>
          <t>USO INTERNO(2)</t>
        </is>
      </c>
      <c r="Q478" s="10" t="inlineStr">
        <is>
          <t>MEDIA(2)</t>
        </is>
      </c>
      <c r="R478" s="10" t="inlineStr">
        <is>
          <t>MEDIA(2)</t>
        </is>
      </c>
      <c r="S478" s="10">
        <f>+(IF(P478="PUBLICA(1)",1,IF(P478="USO INTERNO(2)",2,IF(P478="RESTRINGIDO(3)",3,3))))+(IF(Q478="BAJA(1)",1,IF(Q478="MEDIA(2)",2,IF(Q478="ALTA(3)",3,3))))+(IF(R478="BAJA(1)",1,IF(R478="MEDIA(2)",2,IF(R478="ALTA(3)",3,3))))</f>
        <v/>
      </c>
      <c r="T478" s="10">
        <f>+IF(S478&lt;6,"BAJA",IF(S478&lt;8,"MEDIA","ALTA"))</f>
        <v/>
      </c>
      <c r="U478" s="10" t="inlineStr">
        <is>
          <t>-</t>
        </is>
      </c>
      <c r="V478" s="24" t="n">
        <v>45674</v>
      </c>
      <c r="W478" s="19" t="inlineStr">
        <is>
          <t>N/A</t>
        </is>
      </c>
      <c r="X478" s="10">
        <f>+IFERROR(IF(VLOOKUP(Tabla2[[#This Row],[ID]],'EVALUACION DE RIESGO'!A:A,1,FALSE)=Tabla2[[#This Row],[ID]],"SI","NO"),"NO")</f>
        <v/>
      </c>
      <c r="AD478">
        <f>IF(AND(Y478="",AA478=""),"",IF(OR(LEFT(AA478,2)="L0",LEFT(AA478,2)="L1",Y478="No Iniciado"),"CRÍTICO - Incumplimiento Normativo SEPS",IF(AND(OR(LEFT(AA478,2)="L4",LEFT(AA478,2)="L5"),AND(AC478&lt;&gt;"",AC478&lt;&gt;"N/A")),"CONFORME - Control Efectivo ISO 27001","OBSERVACIÓN - Revisar Controles")))</f>
        <v/>
      </c>
    </row>
    <row r="479">
      <c r="A479" s="99" t="inlineStr">
        <is>
          <t>100-GOP</t>
        </is>
      </c>
      <c r="B479" s="10" t="inlineStr">
        <is>
          <t>APOYO</t>
        </is>
      </c>
      <c r="C479" s="10" t="inlineStr">
        <is>
          <t xml:space="preserve">Gestión de Operaciones </t>
        </is>
      </c>
      <c r="D479" s="10" t="inlineStr">
        <is>
          <t>GOP</t>
        </is>
      </c>
      <c r="E479" s="10" t="inlineStr">
        <is>
          <t xml:space="preserve">Canales Electrónicos </t>
        </is>
      </c>
      <c r="F479" s="10" t="inlineStr">
        <is>
          <t xml:space="preserve">Gestión de Cajeros Automático </t>
        </is>
      </c>
      <c r="G479" s="10" t="inlineStr">
        <is>
          <t>Atención de reclamos registrados en la cámara de Banred</t>
        </is>
      </c>
      <c r="H479" s="10" t="inlineStr">
        <is>
          <t>Notificación de transacción compensada</t>
        </is>
      </c>
      <c r="I479" s="10" t="inlineStr">
        <is>
          <t>Correo de notificación enviada de banred con el detalle de las transacciones compensadas / Número de documento, valor,  fecha máxima de atención.</t>
        </is>
      </c>
      <c r="J479" s="10" t="inlineStr">
        <is>
          <t xml:space="preserve">Jefe de Soporte y Cuadres </t>
        </is>
      </c>
      <c r="K479" s="10" t="inlineStr">
        <is>
          <t>Asistente Operativo</t>
        </is>
      </c>
      <c r="L479" s="10" t="inlineStr">
        <is>
          <t>UBICACIÓN DIGITAL-EQUIPO DEL CUSTODIO</t>
        </is>
      </c>
      <c r="M479" s="10" t="inlineStr">
        <is>
          <t>DISCOS DUROS, SERVIDORES, DISCOS O MEDIOS PORTÁTILES, CINTAS O MEDIOS DE VIDEO Y AUDIO, ETC.</t>
        </is>
      </c>
      <c r="N479" s="10" t="inlineStr">
        <is>
          <t>PRIMARIOS</t>
        </is>
      </c>
      <c r="O479" s="10" t="inlineStr">
        <is>
          <t>COMUNICACIÓN INTERNA</t>
        </is>
      </c>
      <c r="P479" s="10" t="inlineStr">
        <is>
          <t>USO INTERNO(2)</t>
        </is>
      </c>
      <c r="Q479" s="10" t="inlineStr">
        <is>
          <t>BAJA(1)</t>
        </is>
      </c>
      <c r="R479" s="10" t="inlineStr">
        <is>
          <t>MEDIA(2)</t>
        </is>
      </c>
      <c r="S479" s="10">
        <f>+(IF(P479="PUBLICA(1)",1,IF(P479="USO INTERNO(2)",2,IF(P479="RESTRINGIDO(3)",3,3))))+(IF(Q479="BAJA(1)",1,IF(Q479="MEDIA(2)",2,IF(Q479="ALTA(3)",3,3))))+(IF(R479="BAJA(1)",1,IF(R479="MEDIA(2)",2,IF(R479="ALTA(3)",3,3))))</f>
        <v/>
      </c>
      <c r="T479" s="10">
        <f>+IF(S479&lt;6,"BAJA",IF(S479&lt;8,"MEDIA","ALTA"))</f>
        <v/>
      </c>
      <c r="U479" s="10" t="inlineStr">
        <is>
          <t>-</t>
        </is>
      </c>
      <c r="V479" s="24" t="n">
        <v>45674</v>
      </c>
      <c r="W479" s="19" t="inlineStr">
        <is>
          <t>N/A</t>
        </is>
      </c>
      <c r="X479" s="10">
        <f>+IFERROR(IF(VLOOKUP(Tabla2[[#This Row],[ID]],'EVALUACION DE RIESGO'!A:A,1,FALSE)=Tabla2[[#This Row],[ID]],"SI","NO"),"NO")</f>
        <v/>
      </c>
      <c r="AD479">
        <f>IF(AND(Y479="",AA479=""),"",IF(OR(LEFT(AA479,2)="L0",LEFT(AA479,2)="L1",Y479="No Iniciado"),"CRÍTICO - Incumplimiento Normativo SEPS",IF(AND(OR(LEFT(AA479,2)="L4",LEFT(AA479,2)="L5"),AND(AC479&lt;&gt;"",AC479&lt;&gt;"N/A")),"CONFORME - Control Efectivo ISO 27001","OBSERVACIÓN - Revisar Controles")))</f>
        <v/>
      </c>
    </row>
    <row r="480">
      <c r="A480" s="99" t="inlineStr">
        <is>
          <t>101-GOP</t>
        </is>
      </c>
      <c r="B480" s="10" t="inlineStr">
        <is>
          <t>APOYO</t>
        </is>
      </c>
      <c r="C480" s="10" t="inlineStr">
        <is>
          <t xml:space="preserve">Gestión de Operaciones </t>
        </is>
      </c>
      <c r="D480" s="10" t="inlineStr">
        <is>
          <t>GOP</t>
        </is>
      </c>
      <c r="E480" s="10" t="inlineStr">
        <is>
          <t xml:space="preserve">Canales Electrónicos </t>
        </is>
      </c>
      <c r="F480" s="10" t="inlineStr">
        <is>
          <t xml:space="preserve">Gestión de Cajeros Automático </t>
        </is>
      </c>
      <c r="G480" s="10" t="inlineStr">
        <is>
          <t>Atención de reclamos registrados en la cámara de Banred</t>
        </is>
      </c>
      <c r="H480" s="10" t="inlineStr">
        <is>
          <t>Registro de la cámara de reclamos</t>
        </is>
      </c>
      <c r="I480" s="10" t="inlineStr">
        <is>
          <t>Correo de notificación enviada de banred con el detalle de las transacciones compensadas / Número de documento, valor,  fecha máxima de atención.</t>
        </is>
      </c>
      <c r="J480" s="10" t="inlineStr">
        <is>
          <t xml:space="preserve">Jefe de Soporte y Cuadres </t>
        </is>
      </c>
      <c r="K480" s="10" t="inlineStr">
        <is>
          <t>Asistente Operativo</t>
        </is>
      </c>
      <c r="L480" s="10" t="inlineStr">
        <is>
          <t>N/A</t>
        </is>
      </c>
      <c r="M480" s="10" t="inlineStr">
        <is>
          <t>DOCUMENTO DE ARCHIVO-ELECTRÓNICO</t>
        </is>
      </c>
      <c r="N480" s="10" t="inlineStr">
        <is>
          <t>PRIMARIOS</t>
        </is>
      </c>
      <c r="O480" s="10" t="inlineStr">
        <is>
          <t>COMUNICACIÓN INTERNA</t>
        </is>
      </c>
      <c r="P480" s="10" t="inlineStr">
        <is>
          <t>USO INTERNO(2)</t>
        </is>
      </c>
      <c r="Q480" s="10" t="inlineStr">
        <is>
          <t>BAJA(1)</t>
        </is>
      </c>
      <c r="R480" s="10" t="inlineStr">
        <is>
          <t>MEDIA(2)</t>
        </is>
      </c>
      <c r="S480" s="10">
        <f>+(IF(P480="PUBLICA(1)",1,IF(P480="USO INTERNO(2)",2,IF(P480="RESTRINGIDO(3)",3,3))))+(IF(Q480="BAJA(1)",1,IF(Q480="MEDIA(2)",2,IF(Q480="ALTA(3)",3,3))))+(IF(R480="BAJA(1)",1,IF(R480="MEDIA(2)",2,IF(R480="ALTA(3)",3,3))))</f>
        <v/>
      </c>
      <c r="T480" s="10">
        <f>+IF(S480&lt;6,"BAJA",IF(S480&lt;8,"MEDIA","ALTA"))</f>
        <v/>
      </c>
      <c r="U480" s="10" t="inlineStr">
        <is>
          <t>-</t>
        </is>
      </c>
      <c r="V480" s="24" t="n">
        <v>45674</v>
      </c>
      <c r="W480" s="19" t="inlineStr">
        <is>
          <t>N/A</t>
        </is>
      </c>
      <c r="X480" s="10">
        <f>+IFERROR(IF(VLOOKUP(Tabla2[[#This Row],[ID]],'EVALUACION DE RIESGO'!A:A,1,FALSE)=Tabla2[[#This Row],[ID]],"SI","NO"),"NO")</f>
        <v/>
      </c>
      <c r="AD480">
        <f>IF(AND(Y480="",AA480=""),"",IF(OR(LEFT(AA480,2)="L0",LEFT(AA480,2)="L1",Y480="No Iniciado"),"CRÍTICO - Incumplimiento Normativo SEPS",IF(AND(OR(LEFT(AA480,2)="L4",LEFT(AA480,2)="L5"),AND(AC480&lt;&gt;"",AC480&lt;&gt;"N/A")),"CONFORME - Control Efectivo ISO 27001","OBSERVACIÓN - Revisar Controles")))</f>
        <v/>
      </c>
    </row>
    <row r="481">
      <c r="A481" s="99" t="inlineStr">
        <is>
          <t>102-GOP</t>
        </is>
      </c>
      <c r="B481" s="10" t="inlineStr">
        <is>
          <t>APOYO</t>
        </is>
      </c>
      <c r="C481" s="10" t="inlineStr">
        <is>
          <t xml:space="preserve">Gestión de Operaciones </t>
        </is>
      </c>
      <c r="D481" s="10" t="inlineStr">
        <is>
          <t>GOP</t>
        </is>
      </c>
      <c r="E481" s="10" t="inlineStr">
        <is>
          <t xml:space="preserve">Canales Electrónicos </t>
        </is>
      </c>
      <c r="F481" s="10" t="inlineStr">
        <is>
          <t xml:space="preserve">Gestión de Cajeros Automático </t>
        </is>
      </c>
      <c r="G481" s="10" t="inlineStr">
        <is>
          <t>Atención de reclamos registrados en la cámara de Banred</t>
        </is>
      </c>
      <c r="H481" s="10" t="inlineStr">
        <is>
          <t>Matriz de sobrantes y reclamos</t>
        </is>
      </c>
      <c r="I481" s="10" t="inlineStr">
        <is>
          <t>Registro de los despachos en reclamos y sobrantes</t>
        </is>
      </c>
      <c r="J481" s="10" t="inlineStr">
        <is>
          <t xml:space="preserve">Jefe de Soporte y Cuadres </t>
        </is>
      </c>
      <c r="K481" s="10" t="inlineStr">
        <is>
          <t>Asistente Operativo</t>
        </is>
      </c>
      <c r="L481" s="10" t="inlineStr">
        <is>
          <t>UBICACIÓN DIGITAL-EQUIPO DEL CUSTODIO</t>
        </is>
      </c>
      <c r="M481" s="10" t="inlineStr">
        <is>
          <t>DISCOS DUROS, SERVIDORES, DISCOS O MEDIOS PORTÁTILES, CINTAS O MEDIOS DE VIDEO Y AUDIO, ETC.</t>
        </is>
      </c>
      <c r="N481" s="10" t="inlineStr">
        <is>
          <t>PRIMARIOS</t>
        </is>
      </c>
      <c r="O481" s="10" t="inlineStr">
        <is>
          <t>DOCUMENTOS TÉCNICOS</t>
        </is>
      </c>
      <c r="P481" s="10" t="inlineStr">
        <is>
          <t>USO INTERNO(2)</t>
        </is>
      </c>
      <c r="Q481" s="10" t="inlineStr">
        <is>
          <t>BAJA(1)</t>
        </is>
      </c>
      <c r="R481" s="10" t="inlineStr">
        <is>
          <t>MEDIA(2)</t>
        </is>
      </c>
      <c r="S481" s="10">
        <f>+(IF(P481="PUBLICA(1)",1,IF(P481="USO INTERNO(2)",2,IF(P481="RESTRINGIDO(3)",3,3))))+(IF(Q481="BAJA(1)",1,IF(Q481="MEDIA(2)",2,IF(Q481="ALTA(3)",3,3))))+(IF(R481="BAJA(1)",1,IF(R481="MEDIA(2)",2,IF(R481="ALTA(3)",3,3))))</f>
        <v/>
      </c>
      <c r="T481" s="10">
        <f>+IF(S481&lt;6,"BAJA",IF(S481&lt;8,"MEDIA","ALTA"))</f>
        <v/>
      </c>
      <c r="U481" s="10" t="inlineStr">
        <is>
          <t>-</t>
        </is>
      </c>
      <c r="V481" s="24" t="n">
        <v>45674</v>
      </c>
      <c r="W481" s="19" t="inlineStr">
        <is>
          <t>N/A</t>
        </is>
      </c>
      <c r="X481" s="10">
        <f>+IFERROR(IF(VLOOKUP(Tabla2[[#This Row],[ID]],'EVALUACION DE RIESGO'!A:A,1,FALSE)=Tabla2[[#This Row],[ID]],"SI","NO"),"NO")</f>
        <v/>
      </c>
      <c r="AD481">
        <f>IF(AND(Y481="",AA481=""),"",IF(OR(LEFT(AA481,2)="L0",LEFT(AA481,2)="L1",Y481="No Iniciado"),"CRÍTICO - Incumplimiento Normativo SEPS",IF(AND(OR(LEFT(AA481,2)="L4",LEFT(AA481,2)="L5"),AND(AC481&lt;&gt;"",AC481&lt;&gt;"N/A")),"CONFORME - Control Efectivo ISO 27001","OBSERVACIÓN - Revisar Controles")))</f>
        <v/>
      </c>
    </row>
    <row r="482">
      <c r="A482" s="99" t="inlineStr">
        <is>
          <t>103-GOP</t>
        </is>
      </c>
      <c r="B482" s="10" t="inlineStr">
        <is>
          <t>APOYO</t>
        </is>
      </c>
      <c r="C482" s="10" t="inlineStr">
        <is>
          <t xml:space="preserve">Gestión de Operaciones </t>
        </is>
      </c>
      <c r="D482" s="10" t="inlineStr">
        <is>
          <t>GOP</t>
        </is>
      </c>
      <c r="E482" s="10" t="inlineStr">
        <is>
          <t xml:space="preserve">Canales Electrónicos </t>
        </is>
      </c>
      <c r="F482" s="10" t="inlineStr">
        <is>
          <t xml:space="preserve">Gestión de Cajeros Automático </t>
        </is>
      </c>
      <c r="G482" s="10" t="inlineStr">
        <is>
          <t>Atención de reclamos por depósitos retraídos en cajeros automáticos</t>
        </is>
      </c>
      <c r="H482" s="10" t="inlineStr">
        <is>
          <t>Nota de crédito</t>
        </is>
      </c>
      <c r="I482" s="10" t="inlineStr">
        <is>
          <t>Nota del crédito o débito que se realiza al socio con información de cuenta y valor</t>
        </is>
      </c>
      <c r="J482" s="10" t="inlineStr">
        <is>
          <t xml:space="preserve">Jefe de Soporte y Cuadres </t>
        </is>
      </c>
      <c r="K482" s="10" t="inlineStr">
        <is>
          <t>Asistente Operativo</t>
        </is>
      </c>
      <c r="L482" s="10" t="inlineStr">
        <is>
          <t>UBICACIÓN DIGITAL-CORE FINANCIERO</t>
        </is>
      </c>
      <c r="M482" s="10" t="inlineStr">
        <is>
          <t>DOCUMENTO DE ARCHIVO-FÍSICO</t>
        </is>
      </c>
      <c r="N482" s="10" t="inlineStr">
        <is>
          <t>PRIMARIOS</t>
        </is>
      </c>
      <c r="O482" s="10" t="inlineStr">
        <is>
          <t>INFORMACIÓN DE SOCIOS Y CLIENTES</t>
        </is>
      </c>
      <c r="P482" s="10" t="inlineStr">
        <is>
          <t>USO INTERNO(2)</t>
        </is>
      </c>
      <c r="Q482" s="10" t="inlineStr">
        <is>
          <t>MEDIA(2)</t>
        </is>
      </c>
      <c r="R482" s="10" t="inlineStr">
        <is>
          <t>BAJA(1)</t>
        </is>
      </c>
      <c r="S482" s="10">
        <f>+(IF(P482="PUBLICA(1)",1,IF(P482="USO INTERNO(2)",2,IF(P482="RESTRINGIDO(3)",3,3))))+(IF(Q482="BAJA(1)",1,IF(Q482="MEDIA(2)",2,IF(Q482="ALTA(3)",3,3))))+(IF(R482="BAJA(1)",1,IF(R482="MEDIA(2)",2,IF(R482="ALTA(3)",3,3))))</f>
        <v/>
      </c>
      <c r="T482" s="10">
        <f>+IF(S482&lt;6,"BAJA",IF(S482&lt;8,"MEDIA","ALTA"))</f>
        <v/>
      </c>
      <c r="U482" s="10" t="inlineStr">
        <is>
          <t>-</t>
        </is>
      </c>
      <c r="V482" s="24" t="n">
        <v>45674</v>
      </c>
      <c r="W482" s="19" t="inlineStr">
        <is>
          <t>N/A</t>
        </is>
      </c>
      <c r="X482" s="10">
        <f>+IFERROR(IF(VLOOKUP(Tabla2[[#This Row],[ID]],'EVALUACION DE RIESGO'!A:A,1,FALSE)=Tabla2[[#This Row],[ID]],"SI","NO"),"NO")</f>
        <v/>
      </c>
      <c r="AD482">
        <f>IF(AND(Y482="",AA482=""),"",IF(OR(LEFT(AA482,2)="L0",LEFT(AA482,2)="L1",Y482="No Iniciado"),"CRÍTICO - Incumplimiento Normativo SEPS",IF(AND(OR(LEFT(AA482,2)="L4",LEFT(AA482,2)="L5"),AND(AC482&lt;&gt;"",AC482&lt;&gt;"N/A")),"CONFORME - Control Efectivo ISO 27001","OBSERVACIÓN - Revisar Controles")))</f>
        <v/>
      </c>
    </row>
    <row r="483">
      <c r="A483" s="99" t="inlineStr">
        <is>
          <t>104-GOP</t>
        </is>
      </c>
      <c r="B483" s="10" t="inlineStr">
        <is>
          <t>APOYO</t>
        </is>
      </c>
      <c r="C483" s="10" t="inlineStr">
        <is>
          <t xml:space="preserve">Gestión de Operaciones </t>
        </is>
      </c>
      <c r="D483" s="10" t="inlineStr">
        <is>
          <t>GOP</t>
        </is>
      </c>
      <c r="E483" s="10" t="inlineStr">
        <is>
          <t xml:space="preserve">Canales Electrónicos </t>
        </is>
      </c>
      <c r="F483" s="10" t="inlineStr">
        <is>
          <t xml:space="preserve">Gestión de Cajeros Automático </t>
        </is>
      </c>
      <c r="G483" s="10" t="inlineStr">
        <is>
          <t>Atención de reclamos por depósitos retraídos en cajeros automáticos</t>
        </is>
      </c>
      <c r="H483" s="10" t="inlineStr">
        <is>
          <t>Matriz de Sobrantes y reclamos entregados</t>
        </is>
      </c>
      <c r="I483" s="10" t="inlineStr">
        <is>
          <t>Registro de sobrantes y reclamos entregados por número e reclamo, cuentas, nombre, valor, fechas transacción, despacho</t>
        </is>
      </c>
      <c r="J483" s="10" t="inlineStr">
        <is>
          <t xml:space="preserve">Jefe de Soporte y Cuadres </t>
        </is>
      </c>
      <c r="K483" s="10" t="inlineStr">
        <is>
          <t>Asistente Operativo</t>
        </is>
      </c>
      <c r="L483" s="10" t="inlineStr">
        <is>
          <t>UBICACIÓN DIGITAL-EQUIPO DEL CUSTODIO</t>
        </is>
      </c>
      <c r="M483" s="10" t="inlineStr">
        <is>
          <t>DISCOS DUROS, SERVIDORES, DISCOS O MEDIOS PORTÁTILES, CINTAS O MEDIOS DE VIDEO Y AUDIO, ETC.</t>
        </is>
      </c>
      <c r="N483" s="10" t="inlineStr">
        <is>
          <t>PRIMARIOS</t>
        </is>
      </c>
      <c r="O483" s="10" t="inlineStr">
        <is>
          <t>DOCUMENTOS TÉCNICOS</t>
        </is>
      </c>
      <c r="P483" s="10" t="inlineStr">
        <is>
          <t>USO INTERNO(2)</t>
        </is>
      </c>
      <c r="Q483" s="10" t="inlineStr">
        <is>
          <t>MEDIA(2)</t>
        </is>
      </c>
      <c r="R483" s="10" t="inlineStr">
        <is>
          <t>MEDIA(2)</t>
        </is>
      </c>
      <c r="S483" s="10">
        <f>+(IF(P483="PUBLICA(1)",1,IF(P483="USO INTERNO(2)",2,IF(P483="RESTRINGIDO(3)",3,3))))+(IF(Q483="BAJA(1)",1,IF(Q483="MEDIA(2)",2,IF(Q483="ALTA(3)",3,3))))+(IF(R483="BAJA(1)",1,IF(R483="MEDIA(2)",2,IF(R483="ALTA(3)",3,3))))</f>
        <v/>
      </c>
      <c r="T483" s="10">
        <f>+IF(S483&lt;6,"BAJA",IF(S483&lt;8,"MEDIA","ALTA"))</f>
        <v/>
      </c>
      <c r="U483" s="10" t="inlineStr">
        <is>
          <t>-</t>
        </is>
      </c>
      <c r="V483" s="24" t="n">
        <v>45674</v>
      </c>
      <c r="W483" s="19" t="inlineStr">
        <is>
          <t>N/A</t>
        </is>
      </c>
      <c r="X483" s="10">
        <f>+IFERROR(IF(VLOOKUP(Tabla2[[#This Row],[ID]],'EVALUACION DE RIESGO'!A:A,1,FALSE)=Tabla2[[#This Row],[ID]],"SI","NO"),"NO")</f>
        <v/>
      </c>
      <c r="AD483">
        <f>IF(AND(Y483="",AA483=""),"",IF(OR(LEFT(AA483,2)="L0",LEFT(AA483,2)="L1",Y483="No Iniciado"),"CRÍTICO - Incumplimiento Normativo SEPS",IF(AND(OR(LEFT(AA483,2)="L4",LEFT(AA483,2)="L5"),AND(AC483&lt;&gt;"",AC483&lt;&gt;"N/A")),"CONFORME - Control Efectivo ISO 27001","OBSERVACIÓN - Revisar Controles")))</f>
        <v/>
      </c>
    </row>
    <row r="484">
      <c r="A484" s="99" t="inlineStr">
        <is>
          <t>105-GOP</t>
        </is>
      </c>
      <c r="B484" s="10" t="inlineStr">
        <is>
          <t>APOYO</t>
        </is>
      </c>
      <c r="C484" s="10" t="inlineStr">
        <is>
          <t xml:space="preserve">Gestión de Operaciones </t>
        </is>
      </c>
      <c r="D484" s="10" t="inlineStr">
        <is>
          <t>GOP</t>
        </is>
      </c>
      <c r="E484" s="10" t="inlineStr">
        <is>
          <t xml:space="preserve">Canales Electrónicos </t>
        </is>
      </c>
      <c r="F484" s="10" t="inlineStr">
        <is>
          <t xml:space="preserve">Gestión de Cajeros Automático </t>
        </is>
      </c>
      <c r="G484" s="10" t="inlineStr">
        <is>
          <t>Depósitos por confirmar</t>
        </is>
      </c>
      <c r="H484" s="10" t="inlineStr">
        <is>
          <t>Notificación de depósito por confirmar</t>
        </is>
      </c>
      <c r="I484" s="10" t="inlineStr">
        <is>
          <t>Notificación receptada por correo electrónico del depósito que está por confirmar</t>
        </is>
      </c>
      <c r="J484" s="10" t="inlineStr">
        <is>
          <t xml:space="preserve">Jefe de Soporte y Cuadres </t>
        </is>
      </c>
      <c r="K484" s="10" t="inlineStr">
        <is>
          <t>Asistente Operativo</t>
        </is>
      </c>
      <c r="L484" s="10" t="inlineStr">
        <is>
          <t>UBICACIÓN DIGITAL-CORE FINANCIERO</t>
        </is>
      </c>
      <c r="M484" s="10" t="inlineStr">
        <is>
          <t>DOCUMENTO DE ARCHIVO-FÍSICO</t>
        </is>
      </c>
      <c r="N484" s="10" t="inlineStr">
        <is>
          <t>PRIMARIOS</t>
        </is>
      </c>
      <c r="O484" s="10" t="inlineStr">
        <is>
          <t>COMUNICACIÓN INTERNA</t>
        </is>
      </c>
      <c r="P484" s="10" t="inlineStr">
        <is>
          <t>USO INTERNO(2)</t>
        </is>
      </c>
      <c r="Q484" s="10" t="inlineStr">
        <is>
          <t>BAJA(1)</t>
        </is>
      </c>
      <c r="R484" s="10" t="inlineStr">
        <is>
          <t>BAJA(1)</t>
        </is>
      </c>
      <c r="S484" s="10">
        <f>+(IF(P484="PUBLICA(1)",1,IF(P484="USO INTERNO(2)",2,IF(P484="RESTRINGIDO(3)",3,3))))+(IF(Q484="BAJA(1)",1,IF(Q484="MEDIA(2)",2,IF(Q484="ALTA(3)",3,3))))+(IF(R484="BAJA(1)",1,IF(R484="MEDIA(2)",2,IF(R484="ALTA(3)",3,3))))</f>
        <v/>
      </c>
      <c r="T484" s="10">
        <f>+IF(S484&lt;6,"BAJA",IF(S484&lt;8,"MEDIA","ALTA"))</f>
        <v/>
      </c>
      <c r="U484" s="10" t="inlineStr">
        <is>
          <t>-</t>
        </is>
      </c>
      <c r="V484" s="24" t="n">
        <v>45674</v>
      </c>
      <c r="W484" s="19" t="inlineStr">
        <is>
          <t>N/A</t>
        </is>
      </c>
      <c r="X484" s="10">
        <f>+IFERROR(IF(VLOOKUP(Tabla2[[#This Row],[ID]],'EVALUACION DE RIESGO'!A:A,1,FALSE)=Tabla2[[#This Row],[ID]],"SI","NO"),"NO")</f>
        <v/>
      </c>
      <c r="AD484">
        <f>IF(AND(Y484="",AA484=""),"",IF(OR(LEFT(AA484,2)="L0",LEFT(AA484,2)="L1",Y484="No Iniciado"),"CRÍTICO - Incumplimiento Normativo SEPS",IF(AND(OR(LEFT(AA484,2)="L4",LEFT(AA484,2)="L5"),AND(AC484&lt;&gt;"",AC484&lt;&gt;"N/A")),"CONFORME - Control Efectivo ISO 27001","OBSERVACIÓN - Revisar Controles")))</f>
        <v/>
      </c>
    </row>
    <row r="485">
      <c r="A485" s="99" t="inlineStr">
        <is>
          <t>106-GOP</t>
        </is>
      </c>
      <c r="B485" s="10" t="inlineStr">
        <is>
          <t>APOYO</t>
        </is>
      </c>
      <c r="C485" s="10" t="inlineStr">
        <is>
          <t xml:space="preserve">Gestión de Operaciones </t>
        </is>
      </c>
      <c r="D485" s="10" t="inlineStr">
        <is>
          <t>GOP</t>
        </is>
      </c>
      <c r="E485" s="10" t="inlineStr">
        <is>
          <t xml:space="preserve">Canales Electrónicos </t>
        </is>
      </c>
      <c r="F485" s="10" t="inlineStr">
        <is>
          <t xml:space="preserve">Gestión de Cajeros Automático </t>
        </is>
      </c>
      <c r="G485" s="10" t="inlineStr">
        <is>
          <t>Depósitos por confirmar</t>
        </is>
      </c>
      <c r="H485" s="10" t="inlineStr">
        <is>
          <t>Nota de crédito</t>
        </is>
      </c>
      <c r="I485" s="10" t="inlineStr">
        <is>
          <t>Nota del crédito o débito que se realiza al socio con información de cuanta y valor</t>
        </is>
      </c>
      <c r="J485" s="10" t="inlineStr">
        <is>
          <t xml:space="preserve">Jefe de Soporte y Cuadres </t>
        </is>
      </c>
      <c r="K485" s="10" t="inlineStr">
        <is>
          <t>Asistente Operativo</t>
        </is>
      </c>
      <c r="L485" s="10" t="inlineStr">
        <is>
          <t>UBICACIÓN DIGITAL-CORE FINANCIERO</t>
        </is>
      </c>
      <c r="M485" s="10" t="inlineStr">
        <is>
          <t>DOCUMENTO DE ARCHIVO-FÍSICO</t>
        </is>
      </c>
      <c r="N485" s="10" t="inlineStr">
        <is>
          <t>PRIMARIOS</t>
        </is>
      </c>
      <c r="O485" s="10" t="inlineStr">
        <is>
          <t>INFORMACIÓN DE SOCIOS Y CLIENTES</t>
        </is>
      </c>
      <c r="P485" s="10" t="inlineStr">
        <is>
          <t>USO INTERNO(2)</t>
        </is>
      </c>
      <c r="Q485" s="10" t="inlineStr">
        <is>
          <t>MEDIA(2)</t>
        </is>
      </c>
      <c r="R485" s="10" t="inlineStr">
        <is>
          <t>MEDIA(2)</t>
        </is>
      </c>
      <c r="S485" s="10">
        <f>+(IF(P485="PUBLICA(1)",1,IF(P485="USO INTERNO(2)",2,IF(P485="RESTRINGIDO(3)",3,3))))+(IF(Q485="BAJA(1)",1,IF(Q485="MEDIA(2)",2,IF(Q485="ALTA(3)",3,3))))+(IF(R485="BAJA(1)",1,IF(R485="MEDIA(2)",2,IF(R485="ALTA(3)",3,3))))</f>
        <v/>
      </c>
      <c r="T485" s="10">
        <f>+IF(S485&lt;6,"BAJA",IF(S485&lt;8,"MEDIA","ALTA"))</f>
        <v/>
      </c>
      <c r="U485" s="10" t="inlineStr">
        <is>
          <t>-</t>
        </is>
      </c>
      <c r="V485" s="24" t="n">
        <v>45674</v>
      </c>
      <c r="W485" s="19" t="inlineStr">
        <is>
          <t>N/A</t>
        </is>
      </c>
      <c r="X485" s="10">
        <f>+IFERROR(IF(VLOOKUP(Tabla2[[#This Row],[ID]],'EVALUACION DE RIESGO'!A:A,1,FALSE)=Tabla2[[#This Row],[ID]],"SI","NO"),"NO")</f>
        <v/>
      </c>
      <c r="AD485">
        <f>IF(AND(Y485="",AA485=""),"",IF(OR(LEFT(AA485,2)="L0",LEFT(AA485,2)="L1",Y485="No Iniciado"),"CRÍTICO - Incumplimiento Normativo SEPS",IF(AND(OR(LEFT(AA485,2)="L4",LEFT(AA485,2)="L5"),AND(AC485&lt;&gt;"",AC485&lt;&gt;"N/A")),"CONFORME - Control Efectivo ISO 27001","OBSERVACIÓN - Revisar Controles")))</f>
        <v/>
      </c>
    </row>
    <row r="486">
      <c r="A486" s="99" t="inlineStr">
        <is>
          <t>107-GOP</t>
        </is>
      </c>
      <c r="B486" s="10" t="inlineStr">
        <is>
          <t>APOYO</t>
        </is>
      </c>
      <c r="C486" s="10" t="inlineStr">
        <is>
          <t xml:space="preserve">Gestión de Operaciones </t>
        </is>
      </c>
      <c r="D486" s="10" t="inlineStr">
        <is>
          <t>GOP</t>
        </is>
      </c>
      <c r="E486" s="10" t="inlineStr">
        <is>
          <t xml:space="preserve">Canales Electrónicos </t>
        </is>
      </c>
      <c r="F486" s="10" t="inlineStr">
        <is>
          <t xml:space="preserve">Gestión de Cajeros Automático </t>
        </is>
      </c>
      <c r="G486" s="10" t="inlineStr">
        <is>
          <t>Cuadre de ATMs</t>
        </is>
      </c>
      <c r="H486" s="10" t="inlineStr">
        <is>
          <t>Compensación de Banred</t>
        </is>
      </c>
      <c r="I486" s="10" t="inlineStr">
        <is>
          <t>Cuadre de compensación banred, donde la diferencia se acredita desde BCE</t>
        </is>
      </c>
      <c r="J486" s="10" t="inlineStr">
        <is>
          <t xml:space="preserve">Jefe de Soporte y Cuadres </t>
        </is>
      </c>
      <c r="K486" s="10" t="inlineStr">
        <is>
          <t>Asistente Operativo</t>
        </is>
      </c>
      <c r="L486" s="10" t="inlineStr">
        <is>
          <t>UBICACIÓN DIGITAL-EQUIPO DEL CUSTODIO</t>
        </is>
      </c>
      <c r="M486" s="10" t="inlineStr">
        <is>
          <t>DISCOS DUROS, SERVIDORES, DISCOS O MEDIOS PORTÁTILES, CINTAS O MEDIOS DE VIDEO Y AUDIO, ETC.</t>
        </is>
      </c>
      <c r="N486" s="10" t="inlineStr">
        <is>
          <t>PRIMARIOS</t>
        </is>
      </c>
      <c r="O486" s="10" t="inlineStr">
        <is>
          <t>DOCUMENTOS TÉCNICOS</t>
        </is>
      </c>
      <c r="P486" s="10" t="inlineStr">
        <is>
          <t>USO INTERNO(2)</t>
        </is>
      </c>
      <c r="Q486" s="10" t="inlineStr">
        <is>
          <t>MEDIA(2)</t>
        </is>
      </c>
      <c r="R486" s="10" t="inlineStr">
        <is>
          <t>MEDIA(2)</t>
        </is>
      </c>
      <c r="S486" s="10">
        <f>+(IF(P486="PUBLICA(1)",1,IF(P486="USO INTERNO(2)",2,IF(P486="RESTRINGIDO(3)",3,3))))+(IF(Q486="BAJA(1)",1,IF(Q486="MEDIA(2)",2,IF(Q486="ALTA(3)",3,3))))+(IF(R486="BAJA(1)",1,IF(R486="MEDIA(2)",2,IF(R486="ALTA(3)",3,3))))</f>
        <v/>
      </c>
      <c r="T486" s="10">
        <f>+IF(S486&lt;6,"BAJA",IF(S486&lt;8,"MEDIA","ALTA"))</f>
        <v/>
      </c>
      <c r="U486" s="10" t="inlineStr">
        <is>
          <t>-</t>
        </is>
      </c>
      <c r="V486" s="24" t="n">
        <v>45674</v>
      </c>
      <c r="W486" s="19" t="inlineStr">
        <is>
          <t>N/A</t>
        </is>
      </c>
      <c r="X486" s="10">
        <f>+IFERROR(IF(VLOOKUP(Tabla2[[#This Row],[ID]],'EVALUACION DE RIESGO'!A:A,1,FALSE)=Tabla2[[#This Row],[ID]],"SI","NO"),"NO")</f>
        <v/>
      </c>
      <c r="AD486">
        <f>IF(AND(Y486="",AA486=""),"",IF(OR(LEFT(AA486,2)="L0",LEFT(AA486,2)="L1",Y486="No Iniciado"),"CRÍTICO - Incumplimiento Normativo SEPS",IF(AND(OR(LEFT(AA486,2)="L4",LEFT(AA486,2)="L5"),AND(AC486&lt;&gt;"",AC486&lt;&gt;"N/A")),"CONFORME - Control Efectivo ISO 27001","OBSERVACIÓN - Revisar Controles")))</f>
        <v/>
      </c>
    </row>
    <row r="487">
      <c r="A487" s="99" t="inlineStr">
        <is>
          <t>108-GOP</t>
        </is>
      </c>
      <c r="B487" s="10" t="inlineStr">
        <is>
          <t>APOYO</t>
        </is>
      </c>
      <c r="C487" s="10" t="inlineStr">
        <is>
          <t xml:space="preserve">Gestión de Operaciones </t>
        </is>
      </c>
      <c r="D487" s="10" t="inlineStr">
        <is>
          <t>GOP</t>
        </is>
      </c>
      <c r="E487" s="10" t="inlineStr">
        <is>
          <t xml:space="preserve">Canales Electrónicos </t>
        </is>
      </c>
      <c r="F487" s="10" t="inlineStr">
        <is>
          <t xml:space="preserve">Gestión de Cajeros Automático </t>
        </is>
      </c>
      <c r="G487" s="10" t="inlineStr">
        <is>
          <t>Cuadre de ATMs</t>
        </is>
      </c>
      <c r="H487" s="10" t="inlineStr">
        <is>
          <t>Cuadre general de cajeros automáticos, por oficinas</t>
        </is>
      </c>
      <c r="I487" s="10" t="inlineStr">
        <is>
          <t>Cuadre de banred, cuadre de depósitos, cuadre de cartera, cuadre de transacciones propias, cuadre de otros atm vanred</t>
        </is>
      </c>
      <c r="J487" s="10" t="inlineStr">
        <is>
          <t xml:space="preserve">Jefe de Soporte y Cuadres </t>
        </is>
      </c>
      <c r="K487" s="10" t="inlineStr">
        <is>
          <t>Asistente Operativo</t>
        </is>
      </c>
      <c r="L487" s="10" t="inlineStr">
        <is>
          <t>UBICACIÓN DIGITAL-EQUIPO DEL CUSTODIO</t>
        </is>
      </c>
      <c r="M487" s="10" t="inlineStr">
        <is>
          <t>DISCOS DUROS, SERVIDORES, DISCOS O MEDIOS PORTÁTILES, CINTAS O MEDIOS DE VIDEO Y AUDIO, ETC.</t>
        </is>
      </c>
      <c r="N487" s="10" t="inlineStr">
        <is>
          <t>PRIMARIOS</t>
        </is>
      </c>
      <c r="O487" s="10" t="inlineStr">
        <is>
          <t>DOCUMENTOS TÉCNICOS</t>
        </is>
      </c>
      <c r="P487" s="10" t="inlineStr">
        <is>
          <t>USO INTERNO(2)</t>
        </is>
      </c>
      <c r="Q487" s="10" t="inlineStr">
        <is>
          <t>MEDIA(2)</t>
        </is>
      </c>
      <c r="R487" s="10" t="inlineStr">
        <is>
          <t>BAJA(1)</t>
        </is>
      </c>
      <c r="S487" s="10">
        <f>+(IF(P487="PUBLICA(1)",1,IF(P487="USO INTERNO(2)",2,IF(P487="RESTRINGIDO(3)",3,3))))+(IF(Q487="BAJA(1)",1,IF(Q487="MEDIA(2)",2,IF(Q487="ALTA(3)",3,3))))+(IF(R487="BAJA(1)",1,IF(R487="MEDIA(2)",2,IF(R487="ALTA(3)",3,3))))</f>
        <v/>
      </c>
      <c r="T487" s="10">
        <f>+IF(S487&lt;6,"BAJA",IF(S487&lt;8,"MEDIA","ALTA"))</f>
        <v/>
      </c>
      <c r="U487" s="10" t="inlineStr">
        <is>
          <t>-</t>
        </is>
      </c>
      <c r="V487" s="24" t="n">
        <v>45674</v>
      </c>
      <c r="W487" s="19" t="inlineStr">
        <is>
          <t>N/A</t>
        </is>
      </c>
      <c r="X487" s="10">
        <f>+IFERROR(IF(VLOOKUP(Tabla2[[#This Row],[ID]],'EVALUACION DE RIESGO'!A:A,1,FALSE)=Tabla2[[#This Row],[ID]],"SI","NO"),"NO")</f>
        <v/>
      </c>
      <c r="AD487">
        <f>IF(AND(Y487="",AA487=""),"",IF(OR(LEFT(AA487,2)="L0",LEFT(AA487,2)="L1",Y487="No Iniciado"),"CRÍTICO - Incumplimiento Normativo SEPS",IF(AND(OR(LEFT(AA487,2)="L4",LEFT(AA487,2)="L5"),AND(AC487&lt;&gt;"",AC487&lt;&gt;"N/A")),"CONFORME - Control Efectivo ISO 27001","OBSERVACIÓN - Revisar Controles")))</f>
        <v/>
      </c>
    </row>
    <row r="488">
      <c r="A488" s="99" t="inlineStr">
        <is>
          <t>109-GOP</t>
        </is>
      </c>
      <c r="B488" s="10" t="inlineStr">
        <is>
          <t>APOYO</t>
        </is>
      </c>
      <c r="C488" s="10" t="inlineStr">
        <is>
          <t xml:space="preserve">Gestión de Operaciones </t>
        </is>
      </c>
      <c r="D488" s="10" t="inlineStr">
        <is>
          <t>GOP</t>
        </is>
      </c>
      <c r="E488" s="10" t="inlineStr">
        <is>
          <t xml:space="preserve">Canales Electrónicos </t>
        </is>
      </c>
      <c r="F488" s="10" t="inlineStr">
        <is>
          <t xml:space="preserve">Gestión de tarjetas de débito </t>
        </is>
      </c>
      <c r="G488" s="10" t="inlineStr">
        <is>
          <t xml:space="preserve">Solicitud y entrega de tarjeta de débito      </t>
        </is>
      </c>
      <c r="H488" s="10" t="inlineStr">
        <is>
          <t>Solicitud de tarjeta de débito</t>
        </is>
      </c>
      <c r="I488" s="10" t="inlineStr">
        <is>
          <t>Solicitud obtenido del sistema de prosupply con información del cliente y detalle de la tarjeta de débito</t>
        </is>
      </c>
      <c r="J488" s="10" t="inlineStr">
        <is>
          <t xml:space="preserve">Jefe de Soporte y Cuadres </t>
        </is>
      </c>
      <c r="K488" s="10" t="inlineStr">
        <is>
          <t>Supervisor Operativo</t>
        </is>
      </c>
      <c r="L488" s="10" t="inlineStr">
        <is>
          <t>UBICACIÓN DIGITAL-EQUIPO DEL CUSTODIO</t>
        </is>
      </c>
      <c r="M488" s="10" t="inlineStr">
        <is>
          <t>DISCOS DUROS, SERVIDORES, DISCOS O MEDIOS PORTÁTILES, CINTAS O MEDIOS DE VIDEO Y AUDIO, ETC.</t>
        </is>
      </c>
      <c r="N488" s="10" t="inlineStr">
        <is>
          <t>PRIMARIOS</t>
        </is>
      </c>
      <c r="O488" s="10" t="inlineStr">
        <is>
          <t>INFORMACIÓN DE SOCIOS Y CLIENTES</t>
        </is>
      </c>
      <c r="P488" s="10" t="inlineStr">
        <is>
          <t>USO INTERNO(2)</t>
        </is>
      </c>
      <c r="Q488" s="10" t="inlineStr">
        <is>
          <t>BAJA(1)</t>
        </is>
      </c>
      <c r="R488" s="10" t="inlineStr">
        <is>
          <t>BAJA(1)</t>
        </is>
      </c>
      <c r="S488" s="10">
        <f>+(IF(P488="PUBLICA(1)",1,IF(P488="USO INTERNO(2)",2,IF(P488="RESTRINGIDO(3)",3,3))))+(IF(Q488="BAJA(1)",1,IF(Q488="MEDIA(2)",2,IF(Q488="ALTA(3)",3,3))))+(IF(R488="BAJA(1)",1,IF(R488="MEDIA(2)",2,IF(R488="ALTA(3)",3,3))))</f>
        <v/>
      </c>
      <c r="T488" s="10">
        <f>+IF(S488&lt;6,"BAJA",IF(S488&lt;8,"MEDIA","ALTA"))</f>
        <v/>
      </c>
      <c r="U488" s="10" t="inlineStr">
        <is>
          <t>-</t>
        </is>
      </c>
      <c r="V488" s="24" t="n">
        <v>45674</v>
      </c>
      <c r="W488" s="19" t="inlineStr">
        <is>
          <t>N/A</t>
        </is>
      </c>
      <c r="X488" s="10">
        <f>+IFERROR(IF(VLOOKUP(Tabla2[[#This Row],[ID]],'EVALUACION DE RIESGO'!A:A,1,FALSE)=Tabla2[[#This Row],[ID]],"SI","NO"),"NO")</f>
        <v/>
      </c>
      <c r="AD488">
        <f>IF(AND(Y488="",AA488=""),"",IF(OR(LEFT(AA488,2)="L0",LEFT(AA488,2)="L1",Y488="No Iniciado"),"CRÍTICO - Incumplimiento Normativo SEPS",IF(AND(OR(LEFT(AA488,2)="L4",LEFT(AA488,2)="L5"),AND(AC488&lt;&gt;"",AC488&lt;&gt;"N/A")),"CONFORME - Control Efectivo ISO 27001","OBSERVACIÓN - Revisar Controles")))</f>
        <v/>
      </c>
    </row>
    <row r="489">
      <c r="A489" s="99" t="inlineStr">
        <is>
          <t>110-GOP</t>
        </is>
      </c>
      <c r="B489" s="10" t="inlineStr">
        <is>
          <t>APOYO</t>
        </is>
      </c>
      <c r="C489" s="10" t="inlineStr">
        <is>
          <t xml:space="preserve">Gestión de Operaciones </t>
        </is>
      </c>
      <c r="D489" s="10" t="inlineStr">
        <is>
          <t>GOP</t>
        </is>
      </c>
      <c r="E489" s="10" t="inlineStr">
        <is>
          <t xml:space="preserve">Canales Electrónicos </t>
        </is>
      </c>
      <c r="F489" s="10" t="inlineStr">
        <is>
          <t xml:space="preserve">Gestión de tarjetas de débito </t>
        </is>
      </c>
      <c r="G489" s="10" t="inlineStr">
        <is>
          <t xml:space="preserve">Solicitud y entrega de tarjeta de débito      </t>
        </is>
      </c>
      <c r="H489" s="10" t="inlineStr">
        <is>
          <t>Contrato de la utilización de la tarjeta de débito</t>
        </is>
      </c>
      <c r="I489" s="10" t="inlineStr">
        <is>
          <t>Solicitud obtenido del sistema de prosupply con información del cliente y detalle de la tarjeta de débito</t>
        </is>
      </c>
      <c r="J489" s="10" t="inlineStr">
        <is>
          <t xml:space="preserve">Jefe de Soporte y Cuadres </t>
        </is>
      </c>
      <c r="K489" s="10" t="inlineStr">
        <is>
          <t>Asistente Operativo</t>
        </is>
      </c>
      <c r="L489" s="10" t="inlineStr">
        <is>
          <t>DOCUMENTOS FISICOS-ARCHIVOS DE LA OFICINA</t>
        </is>
      </c>
      <c r="M489" s="10" t="inlineStr">
        <is>
          <t>DOCUMENTO DE ARCHIVO-FÍSICO</t>
        </is>
      </c>
      <c r="N489" s="10" t="inlineStr">
        <is>
          <t>PRIMARIOS</t>
        </is>
      </c>
      <c r="O489" s="10" t="inlineStr">
        <is>
          <t>INFORMACIÓN DE SOCIOS Y CLIENTES</t>
        </is>
      </c>
      <c r="P489" s="10" t="inlineStr">
        <is>
          <t>USO INTERNO(2)</t>
        </is>
      </c>
      <c r="Q489" s="10" t="inlineStr">
        <is>
          <t>MEDIA(2)</t>
        </is>
      </c>
      <c r="R489" s="10" t="inlineStr">
        <is>
          <t>MEDIA(2)</t>
        </is>
      </c>
      <c r="S489" s="10">
        <f>+(IF(P489="PUBLICA(1)",1,IF(P489="USO INTERNO(2)",2,IF(P489="RESTRINGIDO(3)",3,3))))+(IF(Q489="BAJA(1)",1,IF(Q489="MEDIA(2)",2,IF(Q489="ALTA(3)",3,3))))+(IF(R489="BAJA(1)",1,IF(R489="MEDIA(2)",2,IF(R489="ALTA(3)",3,3))))</f>
        <v/>
      </c>
      <c r="T489" s="10">
        <f>+IF(S489&lt;6,"BAJA",IF(S489&lt;8,"MEDIA","ALTA"))</f>
        <v/>
      </c>
      <c r="U489" s="10" t="inlineStr">
        <is>
          <t>-</t>
        </is>
      </c>
      <c r="V489" s="24" t="n">
        <v>45674</v>
      </c>
      <c r="W489" s="19" t="inlineStr">
        <is>
          <t>N/A</t>
        </is>
      </c>
      <c r="X489" s="10">
        <f>+IFERROR(IF(VLOOKUP(Tabla2[[#This Row],[ID]],'EVALUACION DE RIESGO'!A:A,1,FALSE)=Tabla2[[#This Row],[ID]],"SI","NO"),"NO")</f>
        <v/>
      </c>
      <c r="AD489">
        <f>IF(AND(Y489="",AA489=""),"",IF(OR(LEFT(AA489,2)="L0",LEFT(AA489,2)="L1",Y489="No Iniciado"),"CRÍTICO - Incumplimiento Normativo SEPS",IF(AND(OR(LEFT(AA489,2)="L4",LEFT(AA489,2)="L5"),AND(AC489&lt;&gt;"",AC489&lt;&gt;"N/A")),"CONFORME - Control Efectivo ISO 27001","OBSERVACIÓN - Revisar Controles")))</f>
        <v/>
      </c>
    </row>
    <row r="490">
      <c r="A490" s="99" t="inlineStr">
        <is>
          <t>111-GOP</t>
        </is>
      </c>
      <c r="B490" s="10" t="inlineStr">
        <is>
          <t>APOYO</t>
        </is>
      </c>
      <c r="C490" s="10" t="inlineStr">
        <is>
          <t xml:space="preserve">Gestión de Operaciones </t>
        </is>
      </c>
      <c r="D490" s="10" t="inlineStr">
        <is>
          <t>GOP</t>
        </is>
      </c>
      <c r="E490" s="10" t="inlineStr">
        <is>
          <t xml:space="preserve">Canales Electrónicos </t>
        </is>
      </c>
      <c r="F490" s="10" t="inlineStr">
        <is>
          <t xml:space="preserve">Gestión de tarjetas de débito </t>
        </is>
      </c>
      <c r="G490" s="10" t="inlineStr">
        <is>
          <t xml:space="preserve">Solicitud y entrega de tarjeta de débito      </t>
        </is>
      </c>
      <c r="H490" s="10" t="inlineStr">
        <is>
          <t>Formulario de control de tarjeta de débito</t>
        </is>
      </c>
      <c r="I490" s="10" t="inlineStr">
        <is>
          <t>Solicitud obtenido del sistema de prosupply con información del cliente y detalle de la tarjeta de débito</t>
        </is>
      </c>
      <c r="J490" s="10" t="inlineStr">
        <is>
          <t xml:space="preserve">Jefe de Soporte y Cuadres </t>
        </is>
      </c>
      <c r="K490" s="10" t="inlineStr">
        <is>
          <t>Asistente Operativo</t>
        </is>
      </c>
      <c r="L490" s="10" t="inlineStr">
        <is>
          <t>DOCUMENTOS FISICOS-ARCHIVOS DE LA OFICINA</t>
        </is>
      </c>
      <c r="M490" s="10" t="inlineStr">
        <is>
          <t>DOCUMENTO DE ARCHIVO-FÍSICO</t>
        </is>
      </c>
      <c r="N490" s="10" t="inlineStr">
        <is>
          <t>PRIMARIOS</t>
        </is>
      </c>
      <c r="O490" s="10" t="inlineStr">
        <is>
          <t>INFORMACIÓN DE SOCIOS Y CLIENTES</t>
        </is>
      </c>
      <c r="P490" s="10" t="inlineStr">
        <is>
          <t>USO INTERNO(2)</t>
        </is>
      </c>
      <c r="Q490" s="10" t="inlineStr">
        <is>
          <t>BAJA(1)</t>
        </is>
      </c>
      <c r="R490" s="10" t="inlineStr">
        <is>
          <t>MEDIA(2)</t>
        </is>
      </c>
      <c r="S490" s="10">
        <f>+(IF(P490="PUBLICA(1)",1,IF(P490="USO INTERNO(2)",2,IF(P490="RESTRINGIDO(3)",3,3))))+(IF(Q490="BAJA(1)",1,IF(Q490="MEDIA(2)",2,IF(Q490="ALTA(3)",3,3))))+(IF(R490="BAJA(1)",1,IF(R490="MEDIA(2)",2,IF(R490="ALTA(3)",3,3))))</f>
        <v/>
      </c>
      <c r="T490" s="10">
        <f>+IF(S490&lt;6,"BAJA",IF(S490&lt;8,"MEDIA","ALTA"))</f>
        <v/>
      </c>
      <c r="U490" s="10" t="inlineStr">
        <is>
          <t>-</t>
        </is>
      </c>
      <c r="V490" s="24" t="n">
        <v>45674</v>
      </c>
      <c r="W490" s="19" t="inlineStr">
        <is>
          <t>N/A</t>
        </is>
      </c>
      <c r="X490" s="10">
        <f>+IFERROR(IF(VLOOKUP(Tabla2[[#This Row],[ID]],'EVALUACION DE RIESGO'!A:A,1,FALSE)=Tabla2[[#This Row],[ID]],"SI","NO"),"NO")</f>
        <v/>
      </c>
      <c r="AD490">
        <f>IF(AND(Y490="",AA490=""),"",IF(OR(LEFT(AA490,2)="L0",LEFT(AA490,2)="L1",Y490="No Iniciado"),"CRÍTICO - Incumplimiento Normativo SEPS",IF(AND(OR(LEFT(AA490,2)="L4",LEFT(AA490,2)="L5"),AND(AC490&lt;&gt;"",AC490&lt;&gt;"N/A")),"CONFORME - Control Efectivo ISO 27001","OBSERVACIÓN - Revisar Controles")))</f>
        <v/>
      </c>
    </row>
    <row r="491">
      <c r="A491" s="99" t="inlineStr">
        <is>
          <t>112-GOP</t>
        </is>
      </c>
      <c r="B491" s="10" t="inlineStr">
        <is>
          <t>APOYO</t>
        </is>
      </c>
      <c r="C491" s="10" t="inlineStr">
        <is>
          <t xml:space="preserve">Gestión de Operaciones </t>
        </is>
      </c>
      <c r="D491" s="10" t="inlineStr">
        <is>
          <t>GOP</t>
        </is>
      </c>
      <c r="E491" s="10" t="inlineStr">
        <is>
          <t xml:space="preserve">Canales Electrónicos </t>
        </is>
      </c>
      <c r="F491" s="10" t="inlineStr">
        <is>
          <t xml:space="preserve">Gestión de tarjetas de débito </t>
        </is>
      </c>
      <c r="G491" s="10" t="inlineStr">
        <is>
          <t xml:space="preserve">Generación de tarjetas de débito </t>
        </is>
      </c>
      <c r="H491" s="10" t="inlineStr">
        <is>
          <t>Tarjetas</t>
        </is>
      </c>
      <c r="I491" s="10" t="inlineStr">
        <is>
          <t>Tarjeta de débito física que es entregada a los clientes</t>
        </is>
      </c>
      <c r="J491" s="10" t="inlineStr">
        <is>
          <t xml:space="preserve">Jefe de Soporte y Cuadres </t>
        </is>
      </c>
      <c r="K491" s="10" t="inlineStr">
        <is>
          <t>Asesor de servicios</t>
        </is>
      </c>
      <c r="L491" s="10" t="inlineStr">
        <is>
          <t>DOCUMENTOS FISICOS-ARCHIVOS DE LA OFICINA</t>
        </is>
      </c>
      <c r="M491" s="10" t="inlineStr">
        <is>
          <t>DOCUMENTO DE ARCHIVO-FÍSICO</t>
        </is>
      </c>
      <c r="N491" s="10" t="inlineStr">
        <is>
          <t>PRIMARIOS</t>
        </is>
      </c>
      <c r="O491" s="10" t="inlineStr">
        <is>
          <t>INFORMACIÓN DE SOCIOS Y CLIENTES</t>
        </is>
      </c>
      <c r="P491" s="10" t="inlineStr">
        <is>
          <t>RESTRINGIDO(3)</t>
        </is>
      </c>
      <c r="Q491" s="10" t="inlineStr">
        <is>
          <t>MEDIA(2)</t>
        </is>
      </c>
      <c r="R491" s="10" t="inlineStr">
        <is>
          <t>MEDIA(2)</t>
        </is>
      </c>
      <c r="S491" s="10">
        <f>+(IF(P491="PUBLICA(1)",1,IF(P491="USO INTERNO(2)",2,IF(P491="RESTRINGIDO(3)",3,3))))+(IF(Q491="BAJA(1)",1,IF(Q491="MEDIA(2)",2,IF(Q491="ALTA(3)",3,3))))+(IF(R491="BAJA(1)",1,IF(R491="MEDIA(2)",2,IF(R491="ALTA(3)",3,3))))</f>
        <v/>
      </c>
      <c r="T491" s="10">
        <f>+IF(S491&lt;6,"BAJA",IF(S491&lt;8,"MEDIA","ALTA"))</f>
        <v/>
      </c>
      <c r="U491" s="10" t="inlineStr">
        <is>
          <t>-</t>
        </is>
      </c>
      <c r="V491" s="24" t="n">
        <v>45674</v>
      </c>
      <c r="W491" s="19" t="inlineStr">
        <is>
          <t>N/A</t>
        </is>
      </c>
      <c r="X491" s="10">
        <f>+IFERROR(IF(VLOOKUP(Tabla2[[#This Row],[ID]],'EVALUACION DE RIESGO'!A:A,1,FALSE)=Tabla2[[#This Row],[ID]],"SI","NO"),"NO")</f>
        <v/>
      </c>
      <c r="AD491">
        <f>IF(AND(Y491="",AA491=""),"",IF(OR(LEFT(AA491,2)="L0",LEFT(AA491,2)="L1",Y491="No Iniciado"),"CRÍTICO - Incumplimiento Normativo SEPS",IF(AND(OR(LEFT(AA491,2)="L4",LEFT(AA491,2)="L5"),AND(AC491&lt;&gt;"",AC491&lt;&gt;"N/A")),"CONFORME - Control Efectivo ISO 27001","OBSERVACIÓN - Revisar Controles")))</f>
        <v/>
      </c>
    </row>
    <row r="492">
      <c r="A492" s="99" t="inlineStr">
        <is>
          <t>113-GOP</t>
        </is>
      </c>
      <c r="B492" s="10" t="inlineStr">
        <is>
          <t>APOYO</t>
        </is>
      </c>
      <c r="C492" s="10" t="inlineStr">
        <is>
          <t xml:space="preserve">Gestión de Operaciones </t>
        </is>
      </c>
      <c r="D492" s="10" t="inlineStr">
        <is>
          <t>GOP</t>
        </is>
      </c>
      <c r="E492" s="10" t="inlineStr">
        <is>
          <t xml:space="preserve">Canales Electrónicos </t>
        </is>
      </c>
      <c r="F492" s="10" t="inlineStr">
        <is>
          <t xml:space="preserve">Gestión de tarjetas de débito </t>
        </is>
      </c>
      <c r="G492" s="10" t="inlineStr">
        <is>
          <t xml:space="preserve">Generación de tarjetas de débito </t>
        </is>
      </c>
      <c r="H492" s="10" t="inlineStr">
        <is>
          <t>Acta entrega recepción de tarjetas</t>
        </is>
      </c>
      <c r="I492" s="10" t="inlineStr">
        <is>
          <t>Acta de entrega de la tarjeta de débito con información del cliente y asesor</t>
        </is>
      </c>
      <c r="J492" s="10" t="inlineStr">
        <is>
          <t xml:space="preserve">Jefe de Soporte y Cuadres </t>
        </is>
      </c>
      <c r="K492" s="10" t="inlineStr">
        <is>
          <t>Asistente Operativo</t>
        </is>
      </c>
      <c r="L492" s="10" t="inlineStr">
        <is>
          <t>DOCUMENTOS FISICOS-ARCHIVOS DE LA OFICINA</t>
        </is>
      </c>
      <c r="M492" s="10" t="inlineStr">
        <is>
          <t>DOCUMENTO DE ARCHIVO-FÍSICO</t>
        </is>
      </c>
      <c r="N492" s="10" t="inlineStr">
        <is>
          <t>PRIMARIOS</t>
        </is>
      </c>
      <c r="O492" s="10" t="inlineStr">
        <is>
          <t>DOCUMENTOS HABILITANTES</t>
        </is>
      </c>
      <c r="P492" s="10" t="inlineStr">
        <is>
          <t>USO INTERNO(2)</t>
        </is>
      </c>
      <c r="Q492" s="10" t="inlineStr">
        <is>
          <t>MEDIA(2)</t>
        </is>
      </c>
      <c r="R492" s="10" t="inlineStr">
        <is>
          <t>MEDIA(2)</t>
        </is>
      </c>
      <c r="S492" s="10">
        <f>+(IF(P492="PUBLICA(1)",1,IF(P492="USO INTERNO(2)",2,IF(P492="RESTRINGIDO(3)",3,3))))+(IF(Q492="BAJA(1)",1,IF(Q492="MEDIA(2)",2,IF(Q492="ALTA(3)",3,3))))+(IF(R492="BAJA(1)",1,IF(R492="MEDIA(2)",2,IF(R492="ALTA(3)",3,3))))</f>
        <v/>
      </c>
      <c r="T492" s="10">
        <f>+IF(S492&lt;6,"BAJA",IF(S492&lt;8,"MEDIA","ALTA"))</f>
        <v/>
      </c>
      <c r="U492" s="10" t="inlineStr">
        <is>
          <t>-</t>
        </is>
      </c>
      <c r="V492" s="24" t="n">
        <v>45674</v>
      </c>
      <c r="W492" s="19" t="inlineStr">
        <is>
          <t>N/A</t>
        </is>
      </c>
      <c r="X492" s="10">
        <f>+IFERROR(IF(VLOOKUP(Tabla2[[#This Row],[ID]],'EVALUACION DE RIESGO'!A:A,1,FALSE)=Tabla2[[#This Row],[ID]],"SI","NO"),"NO")</f>
        <v/>
      </c>
      <c r="AD492">
        <f>IF(AND(Y492="",AA492=""),"",IF(OR(LEFT(AA492,2)="L0",LEFT(AA492,2)="L1",Y492="No Iniciado"),"CRÍTICO - Incumplimiento Normativo SEPS",IF(AND(OR(LEFT(AA492,2)="L4",LEFT(AA492,2)="L5"),AND(AC492&lt;&gt;"",AC492&lt;&gt;"N/A")),"CONFORME - Control Efectivo ISO 27001","OBSERVACIÓN - Revisar Controles")))</f>
        <v/>
      </c>
    </row>
    <row r="493">
      <c r="A493" s="99" t="inlineStr">
        <is>
          <t>114-GOP</t>
        </is>
      </c>
      <c r="B493" s="10" t="inlineStr">
        <is>
          <t>APOYO</t>
        </is>
      </c>
      <c r="C493" s="10" t="inlineStr">
        <is>
          <t xml:space="preserve">Gestión de Operaciones </t>
        </is>
      </c>
      <c r="D493" s="10" t="inlineStr">
        <is>
          <t>GOP</t>
        </is>
      </c>
      <c r="E493" s="10" t="inlineStr">
        <is>
          <t xml:space="preserve">Canales Electrónicos </t>
        </is>
      </c>
      <c r="F493" s="10" t="inlineStr">
        <is>
          <t xml:space="preserve">Gestión de tarjetas de débito </t>
        </is>
      </c>
      <c r="G493" s="10" t="inlineStr">
        <is>
          <t xml:space="preserve">Bloqueo, desbloqueo y anulación de tarjetas de débito    </t>
        </is>
      </c>
      <c r="H493" s="10" t="inlineStr">
        <is>
          <t>Solicitud de bloqueo y cierre de tarjeta de débito</t>
        </is>
      </c>
      <c r="I493" s="10" t="inlineStr">
        <is>
          <t>Archivo físico de solicitud de bloqueo del socio</t>
        </is>
      </c>
      <c r="J493" s="10" t="inlineStr">
        <is>
          <t xml:space="preserve">Jefe de Soporte y Cuadres </t>
        </is>
      </c>
      <c r="K493" s="10" t="inlineStr">
        <is>
          <t>Asistente Operativo</t>
        </is>
      </c>
      <c r="L493" s="10" t="inlineStr">
        <is>
          <t>DOCUMENTOS FISICOS-ARCHIVOS DE LA OFICINA</t>
        </is>
      </c>
      <c r="M493" s="10" t="inlineStr">
        <is>
          <t>DOCUMENTO DE ARCHIVO-FÍSICO</t>
        </is>
      </c>
      <c r="N493" s="10" t="inlineStr">
        <is>
          <t>PRIMARIOS</t>
        </is>
      </c>
      <c r="O493" s="10" t="inlineStr">
        <is>
          <t>DOCUMENTOS HABILITANTES</t>
        </is>
      </c>
      <c r="P493" s="10" t="inlineStr">
        <is>
          <t>USO INTERNO(2)</t>
        </is>
      </c>
      <c r="Q493" s="10" t="inlineStr">
        <is>
          <t>MEDIA(2)</t>
        </is>
      </c>
      <c r="R493" s="10" t="inlineStr">
        <is>
          <t>MEDIA(2)</t>
        </is>
      </c>
      <c r="S493" s="10">
        <f>+(IF(P493="PUBLICA(1)",1,IF(P493="USO INTERNO(2)",2,IF(P493="RESTRINGIDO(3)",3,3))))+(IF(Q493="BAJA(1)",1,IF(Q493="MEDIA(2)",2,IF(Q493="ALTA(3)",3,3))))+(IF(R493="BAJA(1)",1,IF(R493="MEDIA(2)",2,IF(R493="ALTA(3)",3,3))))</f>
        <v/>
      </c>
      <c r="T493" s="10">
        <f>+IF(S493&lt;6,"BAJA",IF(S493&lt;8,"MEDIA","ALTA"))</f>
        <v/>
      </c>
      <c r="U493" s="10" t="inlineStr">
        <is>
          <t>-</t>
        </is>
      </c>
      <c r="V493" s="24" t="n">
        <v>45674</v>
      </c>
      <c r="W493" s="19" t="inlineStr">
        <is>
          <t>N/A</t>
        </is>
      </c>
      <c r="X493" s="10">
        <f>+IFERROR(IF(VLOOKUP(Tabla2[[#This Row],[ID]],'EVALUACION DE RIESGO'!A:A,1,FALSE)=Tabla2[[#This Row],[ID]],"SI","NO"),"NO")</f>
        <v/>
      </c>
      <c r="AD493">
        <f>IF(AND(Y493="",AA493=""),"",IF(OR(LEFT(AA493,2)="L0",LEFT(AA493,2)="L1",Y493="No Iniciado"),"CRÍTICO - Incumplimiento Normativo SEPS",IF(AND(OR(LEFT(AA493,2)="L4",LEFT(AA493,2)="L5"),AND(AC493&lt;&gt;"",AC493&lt;&gt;"N/A")),"CONFORME - Control Efectivo ISO 27001","OBSERVACIÓN - Revisar Controles")))</f>
        <v/>
      </c>
    </row>
    <row r="494">
      <c r="A494" s="99" t="inlineStr">
        <is>
          <t>115-GOP</t>
        </is>
      </c>
      <c r="B494" s="10" t="inlineStr">
        <is>
          <t>APOYO</t>
        </is>
      </c>
      <c r="C494" s="10" t="inlineStr">
        <is>
          <t xml:space="preserve">Gestión de Operaciones </t>
        </is>
      </c>
      <c r="D494" s="10" t="inlineStr">
        <is>
          <t>GOP</t>
        </is>
      </c>
      <c r="E494" s="10" t="inlineStr">
        <is>
          <t xml:space="preserve">Canales Electrónicos </t>
        </is>
      </c>
      <c r="F494" s="10" t="inlineStr">
        <is>
          <t xml:space="preserve">Gestión de tarjetas de débito </t>
        </is>
      </c>
      <c r="G494" s="10" t="inlineStr">
        <is>
          <t xml:space="preserve">Bloqueo, desbloqueo y anulación de tarjetas de débito    </t>
        </is>
      </c>
      <c r="H494" s="10" t="inlineStr">
        <is>
          <t>Solicitud de desbloqueo de tarjeta de débito</t>
        </is>
      </c>
      <c r="I494" s="10" t="inlineStr">
        <is>
          <t>Archivo físico de solicitud de desbloqueo del socio</t>
        </is>
      </c>
      <c r="J494" s="10" t="inlineStr">
        <is>
          <t xml:space="preserve">Jefe de Soporte y Cuadres </t>
        </is>
      </c>
      <c r="K494" s="10" t="inlineStr">
        <is>
          <t>Asistente Operativo</t>
        </is>
      </c>
      <c r="L494" s="10" t="inlineStr">
        <is>
          <t>DOCUMENTOS FISICOS-ARCHIVOS DE LA OFICINA</t>
        </is>
      </c>
      <c r="M494" s="10" t="inlineStr">
        <is>
          <t>DOCUMENTO DE ARCHIVO-FÍSICO</t>
        </is>
      </c>
      <c r="N494" s="10" t="inlineStr">
        <is>
          <t>PRIMARIOS</t>
        </is>
      </c>
      <c r="O494" s="10" t="inlineStr">
        <is>
          <t>DOCUMENTOS HABILITANTES</t>
        </is>
      </c>
      <c r="P494" s="10" t="inlineStr">
        <is>
          <t>USO INTERNO(2)</t>
        </is>
      </c>
      <c r="Q494" s="10" t="inlineStr">
        <is>
          <t>MEDIA(2)</t>
        </is>
      </c>
      <c r="R494" s="10" t="inlineStr">
        <is>
          <t>MEDIA(2)</t>
        </is>
      </c>
      <c r="S494" s="10">
        <f>+(IF(P494="PUBLICA(1)",1,IF(P494="USO INTERNO(2)",2,IF(P494="RESTRINGIDO(3)",3,3))))+(IF(Q494="BAJA(1)",1,IF(Q494="MEDIA(2)",2,IF(Q494="ALTA(3)",3,3))))+(IF(R494="BAJA(1)",1,IF(R494="MEDIA(2)",2,IF(R494="ALTA(3)",3,3))))</f>
        <v/>
      </c>
      <c r="T494" s="10">
        <f>+IF(S494&lt;6,"BAJA",IF(S494&lt;8,"MEDIA","ALTA"))</f>
        <v/>
      </c>
      <c r="U494" s="10" t="inlineStr">
        <is>
          <t>-</t>
        </is>
      </c>
      <c r="V494" s="24" t="n">
        <v>45674</v>
      </c>
      <c r="W494" s="19" t="inlineStr">
        <is>
          <t>N/A</t>
        </is>
      </c>
      <c r="X494" s="10">
        <f>+IFERROR(IF(VLOOKUP(Tabla2[[#This Row],[ID]],'EVALUACION DE RIESGO'!A:A,1,FALSE)=Tabla2[[#This Row],[ID]],"SI","NO"),"NO")</f>
        <v/>
      </c>
      <c r="AD494">
        <f>IF(AND(Y494="",AA494=""),"",IF(OR(LEFT(AA494,2)="L0",LEFT(AA494,2)="L1",Y494="No Iniciado"),"CRÍTICO - Incumplimiento Normativo SEPS",IF(AND(OR(LEFT(AA494,2)="L4",LEFT(AA494,2)="L5"),AND(AC494&lt;&gt;"",AC494&lt;&gt;"N/A")),"CONFORME - Control Efectivo ISO 27001","OBSERVACIÓN - Revisar Controles")))</f>
        <v/>
      </c>
    </row>
    <row r="495">
      <c r="A495" s="99" t="inlineStr">
        <is>
          <t>116-GOP</t>
        </is>
      </c>
      <c r="B495" s="10" t="inlineStr">
        <is>
          <t>APOYO</t>
        </is>
      </c>
      <c r="C495" s="10" t="inlineStr">
        <is>
          <t xml:space="preserve">Gestión de Operaciones </t>
        </is>
      </c>
      <c r="D495" s="10" t="inlineStr">
        <is>
          <t>GOP</t>
        </is>
      </c>
      <c r="E495" s="10" t="inlineStr">
        <is>
          <t xml:space="preserve">Canales Electrónicos </t>
        </is>
      </c>
      <c r="F495" s="10" t="inlineStr">
        <is>
          <t xml:space="preserve">Gestión de tarjetas de débito </t>
        </is>
      </c>
      <c r="G495" s="10" t="inlineStr">
        <is>
          <t xml:space="preserve">Bloqueo, desbloqueo y anulación de tarjetas de débito    </t>
        </is>
      </c>
      <c r="H495" s="10" t="inlineStr">
        <is>
          <t>Tarjeta de débito cerrada</t>
        </is>
      </c>
      <c r="I495" s="10" t="inlineStr">
        <is>
          <t>Tarjetas físicas cerradas receptadas en Operaciones</t>
        </is>
      </c>
      <c r="J495" s="10" t="inlineStr">
        <is>
          <t xml:space="preserve">Jefe de Soporte y Cuadres </t>
        </is>
      </c>
      <c r="K495" s="10" t="inlineStr">
        <is>
          <t>Asistente Operativo</t>
        </is>
      </c>
      <c r="L495" s="10" t="inlineStr">
        <is>
          <t>DOCUMENTOS FISICOS-ARCHIVOS DE LA OFICINA</t>
        </is>
      </c>
      <c r="M495" s="10" t="inlineStr">
        <is>
          <t>DOCUMENTO DE ARCHIVO-FÍSICO</t>
        </is>
      </c>
      <c r="N495" s="10" t="inlineStr">
        <is>
          <t>PRIMARIOS</t>
        </is>
      </c>
      <c r="O495" s="10" t="inlineStr">
        <is>
          <t>INFORMACIÓN DE SOCIOS Y CLIENTES</t>
        </is>
      </c>
      <c r="P495" s="10" t="inlineStr">
        <is>
          <t>USO INTERNO(2)</t>
        </is>
      </c>
      <c r="Q495" s="10" t="inlineStr">
        <is>
          <t>BAJA(1)</t>
        </is>
      </c>
      <c r="R495" s="10" t="inlineStr">
        <is>
          <t>BAJA(1)</t>
        </is>
      </c>
      <c r="S495" s="10">
        <f>+(IF(P495="PUBLICA(1)",1,IF(P495="USO INTERNO(2)",2,IF(P495="RESTRINGIDO(3)",3,3))))+(IF(Q495="BAJA(1)",1,IF(Q495="MEDIA(2)",2,IF(Q495="ALTA(3)",3,3))))+(IF(R495="BAJA(1)",1,IF(R495="MEDIA(2)",2,IF(R495="ALTA(3)",3,3))))</f>
        <v/>
      </c>
      <c r="T495" s="10">
        <f>+IF(S495&lt;6,"BAJA",IF(S495&lt;8,"MEDIA","ALTA"))</f>
        <v/>
      </c>
      <c r="U495" s="10" t="inlineStr">
        <is>
          <t>-</t>
        </is>
      </c>
      <c r="V495" s="24" t="n">
        <v>45674</v>
      </c>
      <c r="W495" s="19" t="inlineStr">
        <is>
          <t>N/A</t>
        </is>
      </c>
      <c r="X495" s="10">
        <f>+IFERROR(IF(VLOOKUP(Tabla2[[#This Row],[ID]],'EVALUACION DE RIESGO'!A:A,1,FALSE)=Tabla2[[#This Row],[ID]],"SI","NO"),"NO")</f>
        <v/>
      </c>
      <c r="AD495">
        <f>IF(AND(Y495="",AA495=""),"",IF(OR(LEFT(AA495,2)="L0",LEFT(AA495,2)="L1",Y495="No Iniciado"),"CRÍTICO - Incumplimiento Normativo SEPS",IF(AND(OR(LEFT(AA495,2)="L4",LEFT(AA495,2)="L5"),AND(AC495&lt;&gt;"",AC495&lt;&gt;"N/A")),"CONFORME - Control Efectivo ISO 27001","OBSERVACIÓN - Revisar Controles")))</f>
        <v/>
      </c>
    </row>
    <row r="496">
      <c r="A496" s="99" t="inlineStr">
        <is>
          <t>117-GOP</t>
        </is>
      </c>
      <c r="B496" s="10" t="inlineStr">
        <is>
          <t>APOYO</t>
        </is>
      </c>
      <c r="C496" s="10" t="inlineStr">
        <is>
          <t xml:space="preserve">Gestión de Operaciones </t>
        </is>
      </c>
      <c r="D496" s="10" t="inlineStr">
        <is>
          <t>GOP</t>
        </is>
      </c>
      <c r="E496" s="10" t="inlineStr">
        <is>
          <t xml:space="preserve">Canales Electrónicos </t>
        </is>
      </c>
      <c r="F496" s="10" t="inlineStr">
        <is>
          <t xml:space="preserve">Gestión de tarjetas de débito </t>
        </is>
      </c>
      <c r="G496" s="10" t="inlineStr">
        <is>
          <t>Baja de tarjetas de débito</t>
        </is>
      </c>
      <c r="H496" s="10" t="inlineStr">
        <is>
          <t>Reporte de tarjetas de débito dadas de baja</t>
        </is>
      </c>
      <c r="I496" s="10" t="inlineStr">
        <is>
          <t>Reporte recibido por prosupply con el detalle de tarjetas dadas de baja, contiene información de numero cédula nombre, numero de tarjeta enmascarado, fecha</t>
        </is>
      </c>
      <c r="J496" s="10" t="inlineStr">
        <is>
          <t xml:space="preserve">Jefe de Soporte y Cuadres </t>
        </is>
      </c>
      <c r="K496" s="10" t="inlineStr">
        <is>
          <t>Asistente Operativo</t>
        </is>
      </c>
      <c r="L496" s="10" t="inlineStr">
        <is>
          <t>DOCUMENTOS FISICOS-ARCHIVOS DE LA OFICINA</t>
        </is>
      </c>
      <c r="M496" s="10" t="inlineStr">
        <is>
          <t>DOCUMENTO DE ARCHIVO-FÍSICO</t>
        </is>
      </c>
      <c r="N496" s="10" t="inlineStr">
        <is>
          <t>PRIMARIOS</t>
        </is>
      </c>
      <c r="O496" s="10" t="inlineStr">
        <is>
          <t>INFORMACIÓN DE SOCIOS Y CLIENTES</t>
        </is>
      </c>
      <c r="P496" s="10" t="inlineStr">
        <is>
          <t>USO INTERNO(2)</t>
        </is>
      </c>
      <c r="Q496" s="10" t="inlineStr">
        <is>
          <t>BAJA(1)</t>
        </is>
      </c>
      <c r="R496" s="10" t="inlineStr">
        <is>
          <t>BAJA(1)</t>
        </is>
      </c>
      <c r="S496" s="10">
        <f>+(IF(P496="PUBLICA(1)",1,IF(P496="USO INTERNO(2)",2,IF(P496="RESTRINGIDO(3)",3,3))))+(IF(Q496="BAJA(1)",1,IF(Q496="MEDIA(2)",2,IF(Q496="ALTA(3)",3,3))))+(IF(R496="BAJA(1)",1,IF(R496="MEDIA(2)",2,IF(R496="ALTA(3)",3,3))))</f>
        <v/>
      </c>
      <c r="T496" s="10">
        <f>+IF(S496&lt;6,"BAJA",IF(S496&lt;8,"MEDIA","ALTA"))</f>
        <v/>
      </c>
      <c r="U496" s="10" t="inlineStr">
        <is>
          <t>-</t>
        </is>
      </c>
      <c r="V496" s="24" t="n">
        <v>45674</v>
      </c>
      <c r="W496" s="19" t="inlineStr">
        <is>
          <t>N/A</t>
        </is>
      </c>
      <c r="X496" s="10">
        <f>+IFERROR(IF(VLOOKUP(Tabla2[[#This Row],[ID]],'EVALUACION DE RIESGO'!A:A,1,FALSE)=Tabla2[[#This Row],[ID]],"SI","NO"),"NO")</f>
        <v/>
      </c>
      <c r="AD496">
        <f>IF(AND(Y496="",AA496=""),"",IF(OR(LEFT(AA496,2)="L0",LEFT(AA496,2)="L1",Y496="No Iniciado"),"CRÍTICO - Incumplimiento Normativo SEPS",IF(AND(OR(LEFT(AA496,2)="L4",LEFT(AA496,2)="L5"),AND(AC496&lt;&gt;"",AC496&lt;&gt;"N/A")),"CONFORME - Control Efectivo ISO 27001","OBSERVACIÓN - Revisar Controles")))</f>
        <v/>
      </c>
    </row>
    <row r="497">
      <c r="A497" s="99" t="inlineStr">
        <is>
          <t>118-GOP</t>
        </is>
      </c>
      <c r="B497" s="10" t="inlineStr">
        <is>
          <t>APOYO</t>
        </is>
      </c>
      <c r="C497" s="10" t="inlineStr">
        <is>
          <t xml:space="preserve">Gestión de Operaciones </t>
        </is>
      </c>
      <c r="D497" s="10" t="inlineStr">
        <is>
          <t>GOP</t>
        </is>
      </c>
      <c r="E497" s="10" t="inlineStr">
        <is>
          <t xml:space="preserve">Canales Electrónicos </t>
        </is>
      </c>
      <c r="F497" s="10" t="inlineStr">
        <is>
          <t xml:space="preserve">Gestión del Cash Management </t>
        </is>
      </c>
      <c r="G497" s="10" t="inlineStr">
        <is>
          <t xml:space="preserve">Solicitud del Servicio de Cash Management </t>
        </is>
      </c>
      <c r="H497" s="10" t="inlineStr">
        <is>
          <t>Solicitud del Servicio del Cash management</t>
        </is>
      </c>
      <c r="I497" s="10" t="inlineStr">
        <is>
          <t>Información de solicitud en servicio donde se registran datos de la empresa con el representante legal, el servicio que van a adquirir, firma del representante</t>
        </is>
      </c>
      <c r="J497" s="10" t="inlineStr">
        <is>
          <t xml:space="preserve">Jefe de Soporte y Cuadres </t>
        </is>
      </c>
      <c r="K497" s="10" t="inlineStr">
        <is>
          <t>Asistente Operativo</t>
        </is>
      </c>
      <c r="L497" s="10" t="inlineStr">
        <is>
          <t>DOCUMENTOS FISICOS-ARCHIVOS DE LA OFICINA</t>
        </is>
      </c>
      <c r="M497" s="10" t="inlineStr">
        <is>
          <t>DOCUMENTO DE ARCHIVO-FÍSICO</t>
        </is>
      </c>
      <c r="N497" s="10" t="inlineStr">
        <is>
          <t>PRIMARIOS</t>
        </is>
      </c>
      <c r="O497" s="10" t="inlineStr">
        <is>
          <t>DOCUMENTOS HABILITANTES</t>
        </is>
      </c>
      <c r="P497" s="10" t="inlineStr">
        <is>
          <t>USO INTERNO(2)</t>
        </is>
      </c>
      <c r="Q497" s="10" t="inlineStr">
        <is>
          <t>MEDIA(2)</t>
        </is>
      </c>
      <c r="R497" s="10" t="inlineStr">
        <is>
          <t>MEDIA(2)</t>
        </is>
      </c>
      <c r="S497" s="10">
        <f>+(IF(P497="PUBLICA(1)",1,IF(P497="USO INTERNO(2)",2,IF(P497="RESTRINGIDO(3)",3,3))))+(IF(Q497="BAJA(1)",1,IF(Q497="MEDIA(2)",2,IF(Q497="ALTA(3)",3,3))))+(IF(R497="BAJA(1)",1,IF(R497="MEDIA(2)",2,IF(R497="ALTA(3)",3,3))))</f>
        <v/>
      </c>
      <c r="T497" s="10">
        <f>+IF(S497&lt;6,"BAJA",IF(S497&lt;8,"MEDIA","ALTA"))</f>
        <v/>
      </c>
      <c r="U497" s="10" t="inlineStr">
        <is>
          <t>-</t>
        </is>
      </c>
      <c r="V497" s="24" t="n">
        <v>45674</v>
      </c>
      <c r="W497" s="19" t="inlineStr">
        <is>
          <t>N/A</t>
        </is>
      </c>
      <c r="X497" s="10">
        <f>+IFERROR(IF(VLOOKUP(Tabla2[[#This Row],[ID]],'EVALUACION DE RIESGO'!A:A,1,FALSE)=Tabla2[[#This Row],[ID]],"SI","NO"),"NO")</f>
        <v/>
      </c>
      <c r="AD497">
        <f>IF(AND(Y497="",AA497=""),"",IF(OR(LEFT(AA497,2)="L0",LEFT(AA497,2)="L1",Y497="No Iniciado"),"CRÍTICO - Incumplimiento Normativo SEPS",IF(AND(OR(LEFT(AA497,2)="L4",LEFT(AA497,2)="L5"),AND(AC497&lt;&gt;"",AC497&lt;&gt;"N/A")),"CONFORME - Control Efectivo ISO 27001","OBSERVACIÓN - Revisar Controles")))</f>
        <v/>
      </c>
    </row>
    <row r="498">
      <c r="A498" s="99" t="inlineStr">
        <is>
          <t>119-GOP</t>
        </is>
      </c>
      <c r="B498" s="10" t="inlineStr">
        <is>
          <t>APOYO</t>
        </is>
      </c>
      <c r="C498" s="10" t="inlineStr">
        <is>
          <t xml:space="preserve">Gestión de Operaciones </t>
        </is>
      </c>
      <c r="D498" s="10" t="inlineStr">
        <is>
          <t>GOP</t>
        </is>
      </c>
      <c r="E498" s="10" t="inlineStr">
        <is>
          <t xml:space="preserve">Canales Electrónicos </t>
        </is>
      </c>
      <c r="F498" s="10" t="inlineStr">
        <is>
          <t xml:space="preserve">Gestión del Cash Management </t>
        </is>
      </c>
      <c r="G498" s="10" t="inlineStr">
        <is>
          <t xml:space="preserve">Solicitud del Servicio de Cash Management </t>
        </is>
      </c>
      <c r="H498" s="10" t="inlineStr">
        <is>
          <t>Contrato y anexos del cash management</t>
        </is>
      </c>
      <c r="I498" s="10" t="inlineStr">
        <is>
          <t>Anexo usuario autorizados para uso de cash management cooperativa Atuntaqui, que contiene las claves que entregamos, manejo apropiado de las claves, efectos que ocasiona por la perdida, obligaciones, y firmas de responsabilidad</t>
        </is>
      </c>
      <c r="J498" s="10" t="inlineStr">
        <is>
          <t xml:space="preserve">Jefe de Soporte y Cuadres </t>
        </is>
      </c>
      <c r="K498" s="10" t="inlineStr">
        <is>
          <t>Asistente Operativo</t>
        </is>
      </c>
      <c r="L498" s="10" t="inlineStr">
        <is>
          <t>DOCUMENTOS FISICOS-ARCHIVOS DE LA OFICINA</t>
        </is>
      </c>
      <c r="M498" s="10" t="inlineStr">
        <is>
          <t>DOCUMENTO DE ARCHIVO-FÍSICO</t>
        </is>
      </c>
      <c r="N498" s="10" t="inlineStr">
        <is>
          <t>PRIMARIOS</t>
        </is>
      </c>
      <c r="O498" s="10" t="inlineStr">
        <is>
          <t>DOCUMENTOS HABILITANTES</t>
        </is>
      </c>
      <c r="P498" s="10" t="inlineStr">
        <is>
          <t>RESTRINGIDO(3)</t>
        </is>
      </c>
      <c r="Q498" s="10" t="inlineStr">
        <is>
          <t>MEDIA(2)</t>
        </is>
      </c>
      <c r="R498" s="10" t="inlineStr">
        <is>
          <t>MEDIA(2)</t>
        </is>
      </c>
      <c r="S498" s="10">
        <f>+(IF(P498="PUBLICA(1)",1,IF(P498="USO INTERNO(2)",2,IF(P498="RESTRINGIDO(3)",3,3))))+(IF(Q498="BAJA(1)",1,IF(Q498="MEDIA(2)",2,IF(Q498="ALTA(3)",3,3))))+(IF(R498="BAJA(1)",1,IF(R498="MEDIA(2)",2,IF(R498="ALTA(3)",3,3))))</f>
        <v/>
      </c>
      <c r="T498" s="10">
        <f>+IF(S498&lt;6,"BAJA",IF(S498&lt;8,"MEDIA","ALTA"))</f>
        <v/>
      </c>
      <c r="U498" s="10" t="inlineStr">
        <is>
          <t>-</t>
        </is>
      </c>
      <c r="V498" s="24" t="n">
        <v>45674</v>
      </c>
      <c r="W498" s="19" t="inlineStr">
        <is>
          <t>N/A</t>
        </is>
      </c>
      <c r="X498" s="10">
        <f>+IFERROR(IF(VLOOKUP(Tabla2[[#This Row],[ID]],'EVALUACION DE RIESGO'!A:A,1,FALSE)=Tabla2[[#This Row],[ID]],"SI","NO"),"NO")</f>
        <v/>
      </c>
      <c r="AD498">
        <f>IF(AND(Y498="",AA498=""),"",IF(OR(LEFT(AA498,2)="L0",LEFT(AA498,2)="L1",Y498="No Iniciado"),"CRÍTICO - Incumplimiento Normativo SEPS",IF(AND(OR(LEFT(AA498,2)="L4",LEFT(AA498,2)="L5"),AND(AC498&lt;&gt;"",AC498&lt;&gt;"N/A")),"CONFORME - Control Efectivo ISO 27001","OBSERVACIÓN - Revisar Controles")))</f>
        <v/>
      </c>
    </row>
    <row r="499">
      <c r="A499" s="99" t="inlineStr">
        <is>
          <t>120-GOP</t>
        </is>
      </c>
      <c r="B499" s="10" t="inlineStr">
        <is>
          <t>APOYO</t>
        </is>
      </c>
      <c r="C499" s="10" t="inlineStr">
        <is>
          <t xml:space="preserve">Gestión de Operaciones </t>
        </is>
      </c>
      <c r="D499" s="10" t="inlineStr">
        <is>
          <t>GOP</t>
        </is>
      </c>
      <c r="E499" s="10" t="inlineStr">
        <is>
          <t xml:space="preserve">Canales Electrónicos </t>
        </is>
      </c>
      <c r="F499" s="10" t="inlineStr">
        <is>
          <t xml:space="preserve">Gestión del Cash Management </t>
        </is>
      </c>
      <c r="G499" s="10" t="inlineStr">
        <is>
          <t xml:space="preserve">Manejo del Servicio de Cash Management </t>
        </is>
      </c>
      <c r="H499" s="10" t="inlineStr">
        <is>
          <t>Matriz de cuadre de los servicios del Cash Management</t>
        </is>
      </c>
      <c r="I499" s="10" t="inlineStr">
        <is>
          <t>Cuadre del estado cuenta del banco Pichincha y el estado del core financiero</t>
        </is>
      </c>
      <c r="J499" s="10" t="inlineStr">
        <is>
          <t xml:space="preserve">Jefe de Soporte y Cuadres </t>
        </is>
      </c>
      <c r="K499" s="10" t="inlineStr">
        <is>
          <t>Asistente Operativo</t>
        </is>
      </c>
      <c r="L499" s="10" t="inlineStr">
        <is>
          <t>UBICACIÓN DIGITAL-EQUIPO DEL CUSTODIO</t>
        </is>
      </c>
      <c r="M499" s="10" t="inlineStr">
        <is>
          <t>DISCOS DUROS, SERVIDORES, DISCOS O MEDIOS PORTÁTILES, CINTAS O MEDIOS DE VIDEO Y AUDIO, ETC.</t>
        </is>
      </c>
      <c r="N499" s="10" t="inlineStr">
        <is>
          <t>PRIMARIOS</t>
        </is>
      </c>
      <c r="O499" s="10" t="inlineStr">
        <is>
          <t>DOCUMENTOS TÉCNICOS</t>
        </is>
      </c>
      <c r="P499" s="10" t="inlineStr">
        <is>
          <t>USO INTERNO(2)</t>
        </is>
      </c>
      <c r="Q499" s="10" t="inlineStr">
        <is>
          <t>BAJA(1)</t>
        </is>
      </c>
      <c r="R499" s="10" t="inlineStr">
        <is>
          <t>MEDIA(2)</t>
        </is>
      </c>
      <c r="S499" s="10">
        <f>+(IF(P499="PUBLICA(1)",1,IF(P499="USO INTERNO(2)",2,IF(P499="RESTRINGIDO(3)",3,3))))+(IF(Q499="BAJA(1)",1,IF(Q499="MEDIA(2)",2,IF(Q499="ALTA(3)",3,3))))+(IF(R499="BAJA(1)",1,IF(R499="MEDIA(2)",2,IF(R499="ALTA(3)",3,3))))</f>
        <v/>
      </c>
      <c r="T499" s="10">
        <f>+IF(S499&lt;6,"BAJA",IF(S499&lt;8,"MEDIA","ALTA"))</f>
        <v/>
      </c>
      <c r="U499" s="10" t="inlineStr">
        <is>
          <t>-</t>
        </is>
      </c>
      <c r="V499" s="24" t="n">
        <v>45674</v>
      </c>
      <c r="W499" s="19" t="inlineStr">
        <is>
          <t>N/A</t>
        </is>
      </c>
      <c r="X499" s="10">
        <f>+IFERROR(IF(VLOOKUP(Tabla2[[#This Row],[ID]],'EVALUACION DE RIESGO'!A:A,1,FALSE)=Tabla2[[#This Row],[ID]],"SI","NO"),"NO")</f>
        <v/>
      </c>
      <c r="AD499">
        <f>IF(AND(Y499="",AA499=""),"",IF(OR(LEFT(AA499,2)="L0",LEFT(AA499,2)="L1",Y499="No Iniciado"),"CRÍTICO - Incumplimiento Normativo SEPS",IF(AND(OR(LEFT(AA499,2)="L4",LEFT(AA499,2)="L5"),AND(AC499&lt;&gt;"",AC499&lt;&gt;"N/A")),"CONFORME - Control Efectivo ISO 27001","OBSERVACIÓN - Revisar Controles")))</f>
        <v/>
      </c>
    </row>
    <row r="500">
      <c r="A500" s="99" t="inlineStr">
        <is>
          <t>121-GOP</t>
        </is>
      </c>
      <c r="B500" s="10" t="inlineStr">
        <is>
          <t>APOYO</t>
        </is>
      </c>
      <c r="C500" s="10" t="inlineStr">
        <is>
          <t xml:space="preserve">Gestión de Operaciones </t>
        </is>
      </c>
      <c r="D500" s="10" t="inlineStr">
        <is>
          <t>GOP</t>
        </is>
      </c>
      <c r="E500" s="10" t="inlineStr">
        <is>
          <t xml:space="preserve">Canales Electrónicos </t>
        </is>
      </c>
      <c r="F500" s="10" t="inlineStr">
        <is>
          <t xml:space="preserve">Gestión del Cash Management </t>
        </is>
      </c>
      <c r="G500" s="10" t="inlineStr">
        <is>
          <t xml:space="preserve">Creación, Cancelación, Bloqueo y Desbloqueo de Usuarios del Cash Management </t>
        </is>
      </c>
      <c r="H500" s="10" t="inlineStr">
        <is>
          <t>Formulario de creación, cancelación, bloqueo y desbloqueo de usuarios del Cash Management</t>
        </is>
      </c>
      <c r="I500" s="10" t="inlineStr">
        <is>
          <t>Formulario creación y mantenimiento de usuarios con el detalle de accesos que el representante da a sus subordinados.</t>
        </is>
      </c>
      <c r="J500" s="10" t="inlineStr">
        <is>
          <t xml:space="preserve">Jefe de Soporte y Cuadres </t>
        </is>
      </c>
      <c r="K500" s="10" t="inlineStr">
        <is>
          <t>Asistente Operativo</t>
        </is>
      </c>
      <c r="L500" s="10" t="inlineStr">
        <is>
          <t>DOCUMENTOS FISICOS-ARCHIVOS DE LA OFICINA</t>
        </is>
      </c>
      <c r="M500" s="10" t="inlineStr">
        <is>
          <t>DOCUMENTO DE ARCHIVO-ELECTRÓNICO</t>
        </is>
      </c>
      <c r="N500" s="10" t="inlineStr">
        <is>
          <t>PRIMARIOS</t>
        </is>
      </c>
      <c r="O500" s="10" t="inlineStr">
        <is>
          <t>DOCUMENTOS TÉCNICOS</t>
        </is>
      </c>
      <c r="P500" s="10" t="inlineStr">
        <is>
          <t>USO INTERNO(2)</t>
        </is>
      </c>
      <c r="Q500" s="10" t="inlineStr">
        <is>
          <t>MEDIA(2)</t>
        </is>
      </c>
      <c r="R500" s="10" t="inlineStr">
        <is>
          <t>MEDIA(2)</t>
        </is>
      </c>
      <c r="S500" s="10">
        <f>+(IF(P500="PUBLICA(1)",1,IF(P500="USO INTERNO(2)",2,IF(P500="RESTRINGIDO(3)",3,3))))+(IF(Q500="BAJA(1)",1,IF(Q500="MEDIA(2)",2,IF(Q500="ALTA(3)",3,3))))+(IF(R500="BAJA(1)",1,IF(R500="MEDIA(2)",2,IF(R500="ALTA(3)",3,3))))</f>
        <v/>
      </c>
      <c r="T500" s="10">
        <f>+IF(S500&lt;6,"BAJA",IF(S500&lt;8,"MEDIA","ALTA"))</f>
        <v/>
      </c>
      <c r="U500" s="10" t="inlineStr">
        <is>
          <t>-</t>
        </is>
      </c>
      <c r="V500" s="24" t="n">
        <v>45674</v>
      </c>
      <c r="W500" s="19" t="inlineStr">
        <is>
          <t>N/A</t>
        </is>
      </c>
      <c r="X500" s="10">
        <f>+IFERROR(IF(VLOOKUP(Tabla2[[#This Row],[ID]],'EVALUACION DE RIESGO'!A:A,1,FALSE)=Tabla2[[#This Row],[ID]],"SI","NO"),"NO")</f>
        <v/>
      </c>
      <c r="AD500">
        <f>IF(AND(Y500="",AA500=""),"",IF(OR(LEFT(AA500,2)="L0",LEFT(AA500,2)="L1",Y500="No Iniciado"),"CRÍTICO - Incumplimiento Normativo SEPS",IF(AND(OR(LEFT(AA500,2)="L4",LEFT(AA500,2)="L5"),AND(AC500&lt;&gt;"",AC500&lt;&gt;"N/A")),"CONFORME - Control Efectivo ISO 27001","OBSERVACIÓN - Revisar Controles")))</f>
        <v/>
      </c>
    </row>
    <row r="501">
      <c r="A501" s="99" t="inlineStr">
        <is>
          <t>122-GOP</t>
        </is>
      </c>
      <c r="B501" s="10" t="inlineStr">
        <is>
          <t>APOYO</t>
        </is>
      </c>
      <c r="C501" s="10" t="inlineStr">
        <is>
          <t xml:space="preserve">Gestión de Operaciones </t>
        </is>
      </c>
      <c r="D501" s="10" t="inlineStr">
        <is>
          <t>GOP</t>
        </is>
      </c>
      <c r="E501" s="10" t="inlineStr">
        <is>
          <t>N/A</t>
        </is>
      </c>
      <c r="F501" s="10" t="inlineStr">
        <is>
          <t>-</t>
        </is>
      </c>
      <c r="G501" s="10" t="inlineStr">
        <is>
          <t>N/A</t>
        </is>
      </c>
      <c r="H501" s="10" t="inlineStr">
        <is>
          <t xml:space="preserve">Equipos de computación </t>
        </is>
      </c>
      <c r="I501" s="10" t="inlineStr">
        <is>
          <t>Equipos de computación donde se realiza la gestión del área</t>
        </is>
      </c>
      <c r="J501" s="10" t="inlineStr">
        <is>
          <t>Jefe de Infraestructura Operacional</t>
        </is>
      </c>
      <c r="K501" s="10" t="inlineStr">
        <is>
          <t>Jefe de Infraestructura Operacional</t>
        </is>
      </c>
      <c r="L501" s="10" t="inlineStr">
        <is>
          <t>UBICACIÓN FISICA-MATRIZ ATUNTAQUI</t>
        </is>
      </c>
      <c r="M501" s="10" t="inlineStr">
        <is>
          <t>DISCOS DUROS, SERVIDORES, DISCOS O MEDIOS PORTÁTILES, CINTAS O MEDIOS DE VIDEO Y AUDIO, ETC.</t>
        </is>
      </c>
      <c r="N501" s="10" t="inlineStr">
        <is>
          <t>APOYO</t>
        </is>
      </c>
      <c r="O501" s="10" t="inlineStr">
        <is>
          <t>HARDWARE</t>
        </is>
      </c>
      <c r="P501" s="10" t="inlineStr">
        <is>
          <t>RESTRINGIDO(3)</t>
        </is>
      </c>
      <c r="Q501" s="10" t="inlineStr">
        <is>
          <t>MEDIA(2)</t>
        </is>
      </c>
      <c r="R501" s="10" t="inlineStr">
        <is>
          <t>MEDIA(2)</t>
        </is>
      </c>
      <c r="S501" s="10">
        <f>+(IF(P501="PUBLICA(1)",1,IF(P501="USO INTERNO(2)",2,IF(P501="RESTRINGIDO(3)",3,3))))+(IF(Q501="BAJA(1)",1,IF(Q501="MEDIA(2)",2,IF(Q501="ALTA(3)",3,3))))+(IF(R501="BAJA(1)",1,IF(R501="MEDIA(2)",2,IF(R501="ALTA(3)",3,3))))</f>
        <v/>
      </c>
      <c r="T501" s="10">
        <f>+IF(S501&lt;6,"BAJA",IF(S501&lt;8,"MEDIA","ALTA"))</f>
        <v/>
      </c>
      <c r="U501" s="10" t="inlineStr">
        <is>
          <t>-</t>
        </is>
      </c>
      <c r="V501" s="24" t="n">
        <v>45712</v>
      </c>
      <c r="W501" s="19" t="inlineStr">
        <is>
          <t>N/A</t>
        </is>
      </c>
      <c r="X501" s="10">
        <f>+IFERROR(IF(VLOOKUP(Tabla2[[#This Row],[ID]],'EVALUACION DE RIESGO'!A:A,1,FALSE)=Tabla2[[#This Row],[ID]],"SI","NO"),"NO")</f>
        <v/>
      </c>
      <c r="AD501">
        <f>IF(AND(Y501="",AA501=""),"",IF(OR(LEFT(AA501,2)="L0",LEFT(AA501,2)="L1",Y501="No Iniciado"),"CRÍTICO - Incumplimiento Normativo SEPS",IF(AND(OR(LEFT(AA501,2)="L4",LEFT(AA501,2)="L5"),AND(AC501&lt;&gt;"",AC501&lt;&gt;"N/A")),"CONFORME - Control Efectivo ISO 27001","OBSERVACIÓN - Revisar Controles")))</f>
        <v/>
      </c>
    </row>
    <row r="502">
      <c r="A502" s="99" t="inlineStr">
        <is>
          <t>123-GOP</t>
        </is>
      </c>
      <c r="B502" s="10" t="inlineStr">
        <is>
          <t>APOYO</t>
        </is>
      </c>
      <c r="C502" s="10" t="inlineStr">
        <is>
          <t xml:space="preserve">Gestión de Operaciones </t>
        </is>
      </c>
      <c r="D502" s="10" t="inlineStr">
        <is>
          <t>GOP</t>
        </is>
      </c>
      <c r="E502" s="10" t="inlineStr">
        <is>
          <t>N/A</t>
        </is>
      </c>
      <c r="F502" s="10" t="inlineStr">
        <is>
          <t>-</t>
        </is>
      </c>
      <c r="G502" s="10" t="inlineStr">
        <is>
          <t>N/A</t>
        </is>
      </c>
      <c r="H502" s="10" t="inlineStr">
        <is>
          <t>Jefe de Infraestructura Operacional</t>
        </is>
      </c>
      <c r="I502" s="10" t="inlineStr">
        <is>
          <t>N/A</t>
        </is>
      </c>
      <c r="J502" s="10" t="inlineStr">
        <is>
          <t>Jefe de Infraestructura Operacional</t>
        </is>
      </c>
      <c r="K502" s="10" t="inlineStr">
        <is>
          <t>N/A</t>
        </is>
      </c>
      <c r="L502" s="10" t="inlineStr">
        <is>
          <t>N/A</t>
        </is>
      </c>
      <c r="M502" s="10" t="inlineStr">
        <is>
          <t>N/A</t>
        </is>
      </c>
      <c r="N502" s="10" t="inlineStr">
        <is>
          <t>APOYO</t>
        </is>
      </c>
      <c r="O502" s="10" t="inlineStr">
        <is>
          <t>RECURSO HUMANO</t>
        </is>
      </c>
      <c r="P502" s="10" t="inlineStr">
        <is>
          <t>USO INTERNO(2)</t>
        </is>
      </c>
      <c r="Q502" s="10" t="inlineStr">
        <is>
          <t>MEDIA(2)</t>
        </is>
      </c>
      <c r="R502" s="10" t="inlineStr">
        <is>
          <t>MEDIA(2)</t>
        </is>
      </c>
      <c r="S502" s="10">
        <f>+(IF(P502="PUBLICA(1)",1,IF(P502="USO INTERNO(2)",2,IF(P502="RESTRINGIDO(3)",3,3))))+(IF(Q502="BAJA(1)",1,IF(Q502="MEDIA(2)",2,IF(Q502="ALTA(3)",3,3))))+(IF(R502="BAJA(1)",1,IF(R502="MEDIA(2)",2,IF(R502="ALTA(3)",3,3))))</f>
        <v/>
      </c>
      <c r="T502" s="10">
        <f>+IF(S502&lt;6,"BAJA",IF(S502&lt;8,"MEDIA","ALTA"))</f>
        <v/>
      </c>
      <c r="U502" s="10" t="inlineStr">
        <is>
          <t>-</t>
        </is>
      </c>
      <c r="V502" s="24" t="n">
        <v>45712</v>
      </c>
      <c r="W502" s="19" t="inlineStr">
        <is>
          <t>N/A</t>
        </is>
      </c>
      <c r="X502" s="10">
        <f>+IFERROR(IF(VLOOKUP(Tabla2[[#This Row],[ID]],'EVALUACION DE RIESGO'!A:A,1,FALSE)=Tabla2[[#This Row],[ID]],"SI","NO"),"NO")</f>
        <v/>
      </c>
      <c r="AD502">
        <f>IF(AND(Y502="",AA502=""),"",IF(OR(LEFT(AA502,2)="L0",LEFT(AA502,2)="L1",Y502="No Iniciado"),"CRÍTICO - Incumplimiento Normativo SEPS",IF(AND(OR(LEFT(AA502,2)="L4",LEFT(AA502,2)="L5"),AND(AC502&lt;&gt;"",AC502&lt;&gt;"N/A")),"CONFORME - Control Efectivo ISO 27001","OBSERVACIÓN - Revisar Controles")))</f>
        <v/>
      </c>
    </row>
    <row r="503">
      <c r="A503" s="99" t="inlineStr">
        <is>
          <t>124-GOP</t>
        </is>
      </c>
      <c r="B503" s="10" t="inlineStr">
        <is>
          <t>APOYO</t>
        </is>
      </c>
      <c r="C503" s="10" t="inlineStr">
        <is>
          <t xml:space="preserve">Gestión de Operaciones </t>
        </is>
      </c>
      <c r="D503" s="10" t="inlineStr">
        <is>
          <t>GOP</t>
        </is>
      </c>
      <c r="E503" s="10" t="inlineStr">
        <is>
          <t>N/A</t>
        </is>
      </c>
      <c r="F503" s="10" t="inlineStr">
        <is>
          <t>-</t>
        </is>
      </c>
      <c r="G503" s="10" t="inlineStr">
        <is>
          <t>N/A</t>
        </is>
      </c>
      <c r="H503" s="10" t="inlineStr">
        <is>
          <t>Jefe de Front Operativo</t>
        </is>
      </c>
      <c r="I503" s="10" t="inlineStr">
        <is>
          <t>N/A</t>
        </is>
      </c>
      <c r="J503" s="10" t="inlineStr">
        <is>
          <t>Jefe de Front Operativo</t>
        </is>
      </c>
      <c r="K503" s="10" t="inlineStr">
        <is>
          <t>N/A</t>
        </is>
      </c>
      <c r="L503" s="10" t="inlineStr">
        <is>
          <t>N/A</t>
        </is>
      </c>
      <c r="M503" s="10" t="inlineStr">
        <is>
          <t>N/A</t>
        </is>
      </c>
      <c r="N503" s="10" t="inlineStr">
        <is>
          <t>APOYO</t>
        </is>
      </c>
      <c r="O503" s="10" t="inlineStr">
        <is>
          <t>RECURSO HUMANO</t>
        </is>
      </c>
      <c r="P503" s="10" t="inlineStr">
        <is>
          <t>USO INTERNO(2)</t>
        </is>
      </c>
      <c r="Q503" s="10" t="inlineStr">
        <is>
          <t>MEDIA(2)</t>
        </is>
      </c>
      <c r="R503" s="10" t="inlineStr">
        <is>
          <t>MEDIA(2)</t>
        </is>
      </c>
      <c r="S503" s="10">
        <f>+(IF(P503="PUBLICA(1)",1,IF(P503="USO INTERNO(2)",2,IF(P503="RESTRINGIDO(3)",3,3))))+(IF(Q503="BAJA(1)",1,IF(Q503="MEDIA(2)",2,IF(Q503="ALTA(3)",3,3))))+(IF(R503="BAJA(1)",1,IF(R503="MEDIA(2)",2,IF(R503="ALTA(3)",3,3))))</f>
        <v/>
      </c>
      <c r="T503" s="10">
        <f>+IF(S503&lt;6,"BAJA",IF(S503&lt;8,"MEDIA","ALTA"))</f>
        <v/>
      </c>
      <c r="U503" s="10" t="inlineStr">
        <is>
          <t>-</t>
        </is>
      </c>
      <c r="V503" s="24" t="n">
        <v>45712</v>
      </c>
      <c r="W503" s="19" t="inlineStr">
        <is>
          <t>N/A</t>
        </is>
      </c>
      <c r="X503" s="10">
        <f>+IFERROR(IF(VLOOKUP(Tabla2[[#This Row],[ID]],'EVALUACION DE RIESGO'!A:A,1,FALSE)=Tabla2[[#This Row],[ID]],"SI","NO"),"NO")</f>
        <v/>
      </c>
      <c r="AD503">
        <f>IF(AND(Y503="",AA503=""),"",IF(OR(LEFT(AA503,2)="L0",LEFT(AA503,2)="L1",Y503="No Iniciado"),"CRÍTICO - Incumplimiento Normativo SEPS",IF(AND(OR(LEFT(AA503,2)="L4",LEFT(AA503,2)="L5"),AND(AC503&lt;&gt;"",AC503&lt;&gt;"N/A")),"CONFORME - Control Efectivo ISO 27001","OBSERVACIÓN - Revisar Controles")))</f>
        <v/>
      </c>
    </row>
    <row r="504">
      <c r="A504" s="99" t="inlineStr">
        <is>
          <t xml:space="preserve">1-GPL </t>
        </is>
      </c>
      <c r="B504" s="10" t="inlineStr">
        <is>
          <t>APOYO</t>
        </is>
      </c>
      <c r="C504" s="10" t="inlineStr">
        <is>
          <t xml:space="preserve">Gestión de Prevención de Lavado de Activos y financiamiento de delítos </t>
        </is>
      </c>
      <c r="D504" s="10" t="inlineStr">
        <is>
          <t xml:space="preserve">GPL </t>
        </is>
      </c>
      <c r="E504" s="10" t="inlineStr">
        <is>
          <t xml:space="preserve">Gestión de Prevención de Lavado de Activos </t>
        </is>
      </c>
      <c r="F504" s="10" t="inlineStr">
        <is>
          <t>Planificación del Departamento de Cumplimiento y actualización de normativa</t>
        </is>
      </c>
      <c r="G504" s="10" t="inlineStr">
        <is>
          <t xml:space="preserve">Elaboración del plan anual  de trabajo </t>
        </is>
      </c>
      <c r="H504" s="10" t="inlineStr">
        <is>
          <t>Plan anual de trabajo</t>
        </is>
      </c>
      <c r="I504" s="10" t="inlineStr">
        <is>
          <t>Plan de actividades que va a ejecuta el departamento de Cumplimeinto en el año en curso</t>
        </is>
      </c>
      <c r="J504" s="10" t="inlineStr">
        <is>
          <t>Oficial de cumplimiento</t>
        </is>
      </c>
      <c r="K504" s="10" t="inlineStr">
        <is>
          <t>Oficial de cumplimiento</t>
        </is>
      </c>
      <c r="L504" s="10" t="inlineStr">
        <is>
          <t>UBICACIÓN DIGITAL-EQUIPO DEL RESPONSABLE</t>
        </is>
      </c>
      <c r="M504" s="10" t="inlineStr">
        <is>
          <t>DISCOS DUROS, SERVIDORES, DISCOS O MEDIOS PORTÁTILES, CINTAS O MEDIOS DE VIDEO Y AUDIO, ETC.</t>
        </is>
      </c>
      <c r="N504" s="10" t="inlineStr">
        <is>
          <t>PRIMARIOS</t>
        </is>
      </c>
      <c r="O504" s="10" t="inlineStr">
        <is>
          <t>DOCUMENTOS TÉCNICOS</t>
        </is>
      </c>
      <c r="P504" s="10" t="inlineStr">
        <is>
          <t>USO INTERNO(2)</t>
        </is>
      </c>
      <c r="Q504" s="10" t="inlineStr">
        <is>
          <t>BAJA(1)</t>
        </is>
      </c>
      <c r="R504" s="10" t="inlineStr">
        <is>
          <t>MEDIA(2)</t>
        </is>
      </c>
      <c r="S504" s="10">
        <f>+(IF(P504="PUBLICA(1)",1,IF(P504="USO INTERNO(2)",2,IF(P504="RESTRINGIDO(3)",3,3))))+(IF(Q504="BAJA(1)",1,IF(Q504="MEDIA(2)",2,IF(Q504="ALTA(3)",3,3))))+(IF(R504="BAJA(1)",1,IF(R504="MEDIA(2)",2,IF(R504="ALTA(3)",3,3))))</f>
        <v/>
      </c>
      <c r="T504" s="10">
        <f>+IF(S504&lt;6,"BAJA",IF(S504&lt;8,"MEDIA","ALTA"))</f>
        <v/>
      </c>
      <c r="U504" s="10" t="inlineStr">
        <is>
          <t>-</t>
        </is>
      </c>
      <c r="V504" s="24" t="n">
        <v>45706</v>
      </c>
      <c r="W504" s="19" t="inlineStr">
        <is>
          <t>N/A</t>
        </is>
      </c>
      <c r="X504" s="10">
        <f>+IFERROR(IF(VLOOKUP(Tabla2[[#This Row],[ID]],'EVALUACION DE RIESGO'!A:A,1,FALSE)=Tabla2[[#This Row],[ID]],"SI","NO"),"NO")</f>
        <v/>
      </c>
      <c r="AD504">
        <f>IF(AND(Y504="",AA504=""),"",IF(OR(LEFT(AA504,2)="L0",LEFT(AA504,2)="L1",Y504="No Iniciado"),"CRÍTICO - Incumplimiento Normativo SEPS",IF(AND(OR(LEFT(AA504,2)="L4",LEFT(AA504,2)="L5"),AND(AC504&lt;&gt;"",AC504&lt;&gt;"N/A")),"CONFORME - Control Efectivo ISO 27001","OBSERVACIÓN - Revisar Controles")))</f>
        <v/>
      </c>
    </row>
    <row r="505">
      <c r="A505" s="99" t="inlineStr">
        <is>
          <t xml:space="preserve">2-GPL </t>
        </is>
      </c>
      <c r="B505" s="10" t="inlineStr">
        <is>
          <t>APOYO</t>
        </is>
      </c>
      <c r="C505" s="10" t="inlineStr">
        <is>
          <t xml:space="preserve">Gestión de Prevención de Lavado de Activos y financiamiento de delítos </t>
        </is>
      </c>
      <c r="D505" s="10" t="inlineStr">
        <is>
          <t xml:space="preserve">GPL </t>
        </is>
      </c>
      <c r="E505" s="10" t="inlineStr">
        <is>
          <t xml:space="preserve">Gestión de Prevención de Lavado de Activos </t>
        </is>
      </c>
      <c r="F505" s="10" t="inlineStr">
        <is>
          <t>Planificación del Departamento de Cumplimiento y actualización de normativa</t>
        </is>
      </c>
      <c r="G505" s="10" t="inlineStr">
        <is>
          <t xml:space="preserve">Elaboración del plan anual  de trabajo </t>
        </is>
      </c>
      <c r="H505" s="10" t="inlineStr">
        <is>
          <t>Certificación CDA</t>
        </is>
      </c>
      <c r="I505" s="10" t="inlineStr">
        <is>
          <t xml:space="preserve">Certificación de la ejecución del plan anual de trabajo </t>
        </is>
      </c>
      <c r="J505" s="10" t="inlineStr">
        <is>
          <t>Oficial de cumplimiento</t>
        </is>
      </c>
      <c r="K505" s="10" t="inlineStr">
        <is>
          <t>Oficial de cumplimiento</t>
        </is>
      </c>
      <c r="L505" s="10" t="inlineStr">
        <is>
          <t>UBICACIÓN DIGITAL-EQUIPO DEL RESPONSABLE</t>
        </is>
      </c>
      <c r="M505" s="10" t="inlineStr">
        <is>
          <t>DISCOS DUROS, SERVIDORES, DISCOS O MEDIOS PORTÁTILES, CINTAS O MEDIOS DE VIDEO Y AUDIO, ETC.</t>
        </is>
      </c>
      <c r="N505" s="10" t="inlineStr">
        <is>
          <t>PRIMARIOS</t>
        </is>
      </c>
      <c r="O505" s="10" t="inlineStr">
        <is>
          <t>INFORMACIÓN DE TERCEROS</t>
        </is>
      </c>
      <c r="P505" s="10" t="inlineStr">
        <is>
          <t>USO INTERNO(2)</t>
        </is>
      </c>
      <c r="Q505" s="10" t="inlineStr">
        <is>
          <t>BAJA(1)</t>
        </is>
      </c>
      <c r="R505" s="10" t="inlineStr">
        <is>
          <t>BAJA(1)</t>
        </is>
      </c>
      <c r="S505" s="10">
        <f>+(IF(P505="PUBLICA(1)",1,IF(P505="USO INTERNO(2)",2,IF(P505="RESTRINGIDO(3)",3,3))))+(IF(Q505="BAJA(1)",1,IF(Q505="MEDIA(2)",2,IF(Q505="ALTA(3)",3,3))))+(IF(R505="BAJA(1)",1,IF(R505="MEDIA(2)",2,IF(R505="ALTA(3)",3,3))))</f>
        <v/>
      </c>
      <c r="T505" s="10">
        <f>+IF(S505&lt;6,"BAJA",IF(S505&lt;8,"MEDIA","ALTA"))</f>
        <v/>
      </c>
      <c r="U505" s="10" t="inlineStr">
        <is>
          <t>-</t>
        </is>
      </c>
      <c r="V505" s="24" t="n">
        <v>45706</v>
      </c>
      <c r="W505" s="19" t="inlineStr">
        <is>
          <t>N/A</t>
        </is>
      </c>
      <c r="X505" s="10">
        <f>+IFERROR(IF(VLOOKUP(Tabla2[[#This Row],[ID]],'EVALUACION DE RIESGO'!A:A,1,FALSE)=Tabla2[[#This Row],[ID]],"SI","NO"),"NO")</f>
        <v/>
      </c>
      <c r="AD505">
        <f>IF(AND(Y505="",AA505=""),"",IF(OR(LEFT(AA505,2)="L0",LEFT(AA505,2)="L1",Y505="No Iniciado"),"CRÍTICO - Incumplimiento Normativo SEPS",IF(AND(OR(LEFT(AA505,2)="L4",LEFT(AA505,2)="L5"),AND(AC505&lt;&gt;"",AC505&lt;&gt;"N/A")),"CONFORME - Control Efectivo ISO 27001","OBSERVACIÓN - Revisar Controles")))</f>
        <v/>
      </c>
    </row>
    <row r="506">
      <c r="A506" s="99" t="inlineStr">
        <is>
          <t xml:space="preserve">3-GPL </t>
        </is>
      </c>
      <c r="B506" s="10" t="inlineStr">
        <is>
          <t>APOYO</t>
        </is>
      </c>
      <c r="C506" s="10" t="inlineStr">
        <is>
          <t xml:space="preserve">Gestión de Prevención de Lavado de Activos y financiamiento de delítos </t>
        </is>
      </c>
      <c r="D506" s="10" t="inlineStr">
        <is>
          <t xml:space="preserve">GPL </t>
        </is>
      </c>
      <c r="E506" s="10" t="inlineStr">
        <is>
          <t xml:space="preserve">Gestión de Prevención de Lavado de Activos </t>
        </is>
      </c>
      <c r="F506" s="10" t="inlineStr">
        <is>
          <t>Planificación del Departamento de Cumplimiento y actualización de normativa</t>
        </is>
      </c>
      <c r="G506" s="10" t="inlineStr">
        <is>
          <t xml:space="preserve">Elaboración del plan anual  de trabajo </t>
        </is>
      </c>
      <c r="H506" s="10" t="inlineStr">
        <is>
          <t>Registro SEPS</t>
        </is>
      </c>
      <c r="I506" s="10" t="inlineStr">
        <is>
          <t>Registro cargado al sistema de Monitoreo integral SEPS</t>
        </is>
      </c>
      <c r="J506" s="10" t="inlineStr">
        <is>
          <t>Oficial de cumplimiento</t>
        </is>
      </c>
      <c r="K506" s="10" t="inlineStr">
        <is>
          <t>Oficial de cumplimiento</t>
        </is>
      </c>
      <c r="L506" s="10" t="inlineStr">
        <is>
          <t>UBICACIÓN DIGITAL-EQUIPO DEL RESPONSABLE</t>
        </is>
      </c>
      <c r="M506" s="10" t="inlineStr">
        <is>
          <t>DISCOS DUROS, SERVIDORES, DISCOS O MEDIOS PORTÁTILES, CINTAS O MEDIOS DE VIDEO Y AUDIO, ETC.</t>
        </is>
      </c>
      <c r="N506" s="10" t="inlineStr">
        <is>
          <t>PRIMARIOS</t>
        </is>
      </c>
      <c r="O506" s="10" t="inlineStr">
        <is>
          <t>COMUNICACIÓN INTERNA</t>
        </is>
      </c>
      <c r="P506" s="10" t="inlineStr">
        <is>
          <t>USO INTERNO(2)</t>
        </is>
      </c>
      <c r="Q506" s="10" t="inlineStr">
        <is>
          <t>BAJA(1)</t>
        </is>
      </c>
      <c r="R506" s="10" t="inlineStr">
        <is>
          <t>MEDIA(2)</t>
        </is>
      </c>
      <c r="S506" s="10">
        <f>+(IF(P506="PUBLICA(1)",1,IF(P506="USO INTERNO(2)",2,IF(P506="RESTRINGIDO(3)",3,3))))+(IF(Q506="BAJA(1)",1,IF(Q506="MEDIA(2)",2,IF(Q506="ALTA(3)",3,3))))+(IF(R506="BAJA(1)",1,IF(R506="MEDIA(2)",2,IF(R506="ALTA(3)",3,3))))</f>
        <v/>
      </c>
      <c r="T506" s="10">
        <f>+IF(S506&lt;6,"BAJA",IF(S506&lt;8,"MEDIA","ALTA"))</f>
        <v/>
      </c>
      <c r="U506" s="10" t="inlineStr">
        <is>
          <t>-</t>
        </is>
      </c>
      <c r="V506" s="24" t="n">
        <v>45706</v>
      </c>
      <c r="W506" s="19" t="inlineStr">
        <is>
          <t>N/A</t>
        </is>
      </c>
      <c r="X506" s="10">
        <f>+IFERROR(IF(VLOOKUP(Tabla2[[#This Row],[ID]],'EVALUACION DE RIESGO'!A:A,1,FALSE)=Tabla2[[#This Row],[ID]],"SI","NO"),"NO")</f>
        <v/>
      </c>
      <c r="AD506">
        <f>IF(AND(Y506="",AA506=""),"",IF(OR(LEFT(AA506,2)="L0",LEFT(AA506,2)="L1",Y506="No Iniciado"),"CRÍTICO - Incumplimiento Normativo SEPS",IF(AND(OR(LEFT(AA506,2)="L4",LEFT(AA506,2)="L5"),AND(AC506&lt;&gt;"",AC506&lt;&gt;"N/A")),"CONFORME - Control Efectivo ISO 27001","OBSERVACIÓN - Revisar Controles")))</f>
        <v/>
      </c>
    </row>
    <row r="507">
      <c r="A507" s="99" t="inlineStr">
        <is>
          <t xml:space="preserve">4-GPL </t>
        </is>
      </c>
      <c r="B507" s="10" t="inlineStr">
        <is>
          <t>APOYO</t>
        </is>
      </c>
      <c r="C507" s="10" t="inlineStr">
        <is>
          <t xml:space="preserve">Gestión de Prevención de Lavado de Activos y financiamiento de delítos </t>
        </is>
      </c>
      <c r="D507" s="10" t="inlineStr">
        <is>
          <t xml:space="preserve">GPL </t>
        </is>
      </c>
      <c r="E507" s="10" t="inlineStr">
        <is>
          <t xml:space="preserve">Gestión de Prevención de Lavado de Activos </t>
        </is>
      </c>
      <c r="F507" s="10" t="inlineStr">
        <is>
          <t>Planificación del Departamento de Cumplimiento y actualización de normativa</t>
        </is>
      </c>
      <c r="G507" s="10" t="inlineStr">
        <is>
          <t>Evaluación del plan anual  de trabajo</t>
        </is>
      </c>
      <c r="H507" s="10" t="inlineStr">
        <is>
          <t>Informe mensual del departamento</t>
        </is>
      </c>
      <c r="I507" s="10" t="inlineStr">
        <is>
          <t>Informe de cumplimiento de las 4 politicas de prevención, conozca a su cliente, empleado, proveedor y mercado</t>
        </is>
      </c>
      <c r="J507" s="10" t="inlineStr">
        <is>
          <t>Oficial de cumplimiento</t>
        </is>
      </c>
      <c r="K507" s="10" t="inlineStr">
        <is>
          <t>Oficial de cumplimiento</t>
        </is>
      </c>
      <c r="L507" s="10" t="inlineStr">
        <is>
          <t>UBICACIÓN DIGITAL-EQUIPO DEL RESPONSABLE</t>
        </is>
      </c>
      <c r="M507" s="10" t="inlineStr">
        <is>
          <t>DISCOS DUROS, SERVIDORES, DISCOS O MEDIOS PORTÁTILES, CINTAS O MEDIOS DE VIDEO Y AUDIO, ETC.</t>
        </is>
      </c>
      <c r="N507" s="10" t="inlineStr">
        <is>
          <t>PRIMARIOS</t>
        </is>
      </c>
      <c r="O507" s="10" t="inlineStr">
        <is>
          <t>DOCUMENTOS TÉCNICOS</t>
        </is>
      </c>
      <c r="P507" s="10" t="inlineStr">
        <is>
          <t>USO INTERNO(2)</t>
        </is>
      </c>
      <c r="Q507" s="10" t="inlineStr">
        <is>
          <t>MEDIA(2)</t>
        </is>
      </c>
      <c r="R507" s="10" t="inlineStr">
        <is>
          <t>MEDIA(2)</t>
        </is>
      </c>
      <c r="S507" s="10">
        <f>+(IF(P507="PUBLICA(1)",1,IF(P507="USO INTERNO(2)",2,IF(P507="RESTRINGIDO(3)",3,3))))+(IF(Q507="BAJA(1)",1,IF(Q507="MEDIA(2)",2,IF(Q507="ALTA(3)",3,3))))+(IF(R507="BAJA(1)",1,IF(R507="MEDIA(2)",2,IF(R507="ALTA(3)",3,3))))</f>
        <v/>
      </c>
      <c r="T507" s="10">
        <f>+IF(S507&lt;6,"BAJA",IF(S507&lt;8,"MEDIA","ALTA"))</f>
        <v/>
      </c>
      <c r="U507" s="10" t="inlineStr">
        <is>
          <t>-</t>
        </is>
      </c>
      <c r="V507" s="24" t="n">
        <v>45706</v>
      </c>
      <c r="W507" s="19" t="inlineStr">
        <is>
          <t>N/A</t>
        </is>
      </c>
      <c r="X507" s="10">
        <f>+IFERROR(IF(VLOOKUP(Tabla2[[#This Row],[ID]],'EVALUACION DE RIESGO'!A:A,1,FALSE)=Tabla2[[#This Row],[ID]],"SI","NO"),"NO")</f>
        <v/>
      </c>
      <c r="AD507">
        <f>IF(AND(Y507="",AA507=""),"",IF(OR(LEFT(AA507,2)="L0",LEFT(AA507,2)="L1",Y507="No Iniciado"),"CRÍTICO - Incumplimiento Normativo SEPS",IF(AND(OR(LEFT(AA507,2)="L4",LEFT(AA507,2)="L5"),AND(AC507&lt;&gt;"",AC507&lt;&gt;"N/A")),"CONFORME - Control Efectivo ISO 27001","OBSERVACIÓN - Revisar Controles")))</f>
        <v/>
      </c>
    </row>
    <row r="508">
      <c r="A508" s="99" t="inlineStr">
        <is>
          <t xml:space="preserve">5-GPL </t>
        </is>
      </c>
      <c r="B508" s="10" t="inlineStr">
        <is>
          <t>APOYO</t>
        </is>
      </c>
      <c r="C508" s="10" t="inlineStr">
        <is>
          <t xml:space="preserve">Gestión de Prevención de Lavado de Activos y financiamiento de delítos </t>
        </is>
      </c>
      <c r="D508" s="10" t="inlineStr">
        <is>
          <t xml:space="preserve">GPL </t>
        </is>
      </c>
      <c r="E508" s="10" t="inlineStr">
        <is>
          <t xml:space="preserve">Gestión de Prevención de Lavado de Activos </t>
        </is>
      </c>
      <c r="F508" s="10" t="inlineStr">
        <is>
          <t>Planificación del Departamento de Cumplimiento y actualización de normativa</t>
        </is>
      </c>
      <c r="G508" s="10" t="inlineStr">
        <is>
          <t xml:space="preserve">Actualizaciones y reformas de documentos    </t>
        </is>
      </c>
      <c r="H508" s="10" t="inlineStr">
        <is>
          <t>Manual de Prevención de Lavado de Activos/Manual de Gestión de Prevención de Lavado de Activos</t>
        </is>
      </c>
      <c r="I508" s="10" t="inlineStr">
        <is>
          <t>Documentos de gestión departamental</t>
        </is>
      </c>
      <c r="J508" s="10" t="inlineStr">
        <is>
          <t>Oficial de cumplimiento</t>
        </is>
      </c>
      <c r="K508" s="10" t="inlineStr">
        <is>
          <t>Oficial de cumplimiento</t>
        </is>
      </c>
      <c r="L508" s="10" t="inlineStr">
        <is>
          <t>UBICACIÓN DIGITAL-WEBCOOP</t>
        </is>
      </c>
      <c r="M508" s="10" t="inlineStr">
        <is>
          <t>DOCUMENTO DE ARCHIVO-ELECTRÓNICO</t>
        </is>
      </c>
      <c r="N508" s="10" t="inlineStr">
        <is>
          <t>PRIMARIOS</t>
        </is>
      </c>
      <c r="O508" s="10" t="inlineStr">
        <is>
          <t>DOCUMENTOS TÉCNICOS</t>
        </is>
      </c>
      <c r="P508" s="10" t="inlineStr">
        <is>
          <t>USO INTERNO(2)</t>
        </is>
      </c>
      <c r="Q508" s="10" t="inlineStr">
        <is>
          <t>BAJA(1)</t>
        </is>
      </c>
      <c r="R508" s="10" t="inlineStr">
        <is>
          <t>BAJA(1)</t>
        </is>
      </c>
      <c r="S508" s="10">
        <f>+(IF(P508="PUBLICA(1)",1,IF(P508="USO INTERNO(2)",2,IF(P508="RESTRINGIDO(3)",3,3))))+(IF(Q508="BAJA(1)",1,IF(Q508="MEDIA(2)",2,IF(Q508="ALTA(3)",3,3))))+(IF(R508="BAJA(1)",1,IF(R508="MEDIA(2)",2,IF(R508="ALTA(3)",3,3))))</f>
        <v/>
      </c>
      <c r="T508" s="10">
        <f>+IF(S508&lt;6,"BAJA",IF(S508&lt;8,"MEDIA","ALTA"))</f>
        <v/>
      </c>
      <c r="U508" s="10" t="inlineStr">
        <is>
          <t>-</t>
        </is>
      </c>
      <c r="V508" s="24" t="n">
        <v>45706</v>
      </c>
      <c r="W508" s="19" t="inlineStr">
        <is>
          <t>N/A</t>
        </is>
      </c>
      <c r="X508" s="10">
        <f>+IFERROR(IF(VLOOKUP(Tabla2[[#This Row],[ID]],'EVALUACION DE RIESGO'!A:A,1,FALSE)=Tabla2[[#This Row],[ID]],"SI","NO"),"NO")</f>
        <v/>
      </c>
      <c r="AD508">
        <f>IF(AND(Y508="",AA508=""),"",IF(OR(LEFT(AA508,2)="L0",LEFT(AA508,2)="L1",Y508="No Iniciado"),"CRÍTICO - Incumplimiento Normativo SEPS",IF(AND(OR(LEFT(AA508,2)="L4",LEFT(AA508,2)="L5"),AND(AC508&lt;&gt;"",AC508&lt;&gt;"N/A")),"CONFORME - Control Efectivo ISO 27001","OBSERVACIÓN - Revisar Controles")))</f>
        <v/>
      </c>
    </row>
    <row r="509">
      <c r="A509" s="99" t="inlineStr">
        <is>
          <t xml:space="preserve">6-GPL </t>
        </is>
      </c>
      <c r="B509" s="10" t="inlineStr">
        <is>
          <t>APOYO</t>
        </is>
      </c>
      <c r="C509" s="10" t="inlineStr">
        <is>
          <t xml:space="preserve">Gestión de Prevención de Lavado de Activos y financiamiento de delítos </t>
        </is>
      </c>
      <c r="D509" s="10" t="inlineStr">
        <is>
          <t xml:space="preserve">GPL </t>
        </is>
      </c>
      <c r="E509" s="10" t="inlineStr">
        <is>
          <t xml:space="preserve">Gestión de Prevención de Lavado de Activos </t>
        </is>
      </c>
      <c r="F509" s="10" t="inlineStr">
        <is>
          <t>Planificación del Departamento de Cumplimiento y actualización de normativa</t>
        </is>
      </c>
      <c r="G509" s="10" t="inlineStr">
        <is>
          <t xml:space="preserve">Actualizaciones y reformas de documentos    </t>
        </is>
      </c>
      <c r="H509" s="10" t="inlineStr">
        <is>
          <t>Metodología de Evaluación de Riesgo de Lavado de Activos/ Código de Ética y Comportamiento</t>
        </is>
      </c>
      <c r="I509" s="10" t="inlineStr">
        <is>
          <t>Documentos de gestión departamental</t>
        </is>
      </c>
      <c r="J509" s="10" t="inlineStr">
        <is>
          <t>Oficial de cumplimiento</t>
        </is>
      </c>
      <c r="K509" s="10" t="inlineStr">
        <is>
          <t>Oficial de cumplimiento</t>
        </is>
      </c>
      <c r="L509" s="10" t="inlineStr">
        <is>
          <t>UBICACIÓN DIGITAL-WEBCOOP</t>
        </is>
      </c>
      <c r="M509" s="10" t="inlineStr">
        <is>
          <t>DOCUMENTO DE ARCHIVO-ELECTRÓNICO</t>
        </is>
      </c>
      <c r="N509" s="10" t="inlineStr">
        <is>
          <t>PRIMARIOS</t>
        </is>
      </c>
      <c r="O509" s="10" t="inlineStr">
        <is>
          <t>DOCUMENTOS TÉCNICOS</t>
        </is>
      </c>
      <c r="P509" s="10" t="inlineStr">
        <is>
          <t>USO INTERNO(2)</t>
        </is>
      </c>
      <c r="Q509" s="10" t="inlineStr">
        <is>
          <t>BAJA(1)</t>
        </is>
      </c>
      <c r="R509" s="10" t="inlineStr">
        <is>
          <t>BAJA(1)</t>
        </is>
      </c>
      <c r="S509" s="10">
        <f>+(IF(P509="PUBLICA(1)",1,IF(P509="USO INTERNO(2)",2,IF(P509="RESTRINGIDO(3)",3,3))))+(IF(Q509="BAJA(1)",1,IF(Q509="MEDIA(2)",2,IF(Q509="ALTA(3)",3,3))))+(IF(R509="BAJA(1)",1,IF(R509="MEDIA(2)",2,IF(R509="ALTA(3)",3,3))))</f>
        <v/>
      </c>
      <c r="T509" s="10">
        <f>+IF(S509&lt;6,"BAJA",IF(S509&lt;8,"MEDIA","ALTA"))</f>
        <v/>
      </c>
      <c r="U509" s="10" t="inlineStr">
        <is>
          <t>-</t>
        </is>
      </c>
      <c r="V509" s="24" t="n">
        <v>45706</v>
      </c>
      <c r="W509" s="19" t="inlineStr">
        <is>
          <t>N/A</t>
        </is>
      </c>
      <c r="X509" s="10">
        <f>+IFERROR(IF(VLOOKUP(Tabla2[[#This Row],[ID]],'EVALUACION DE RIESGO'!A:A,1,FALSE)=Tabla2[[#This Row],[ID]],"SI","NO"),"NO")</f>
        <v/>
      </c>
      <c r="AD509">
        <f>IF(AND(Y509="",AA509=""),"",IF(OR(LEFT(AA509,2)="L0",LEFT(AA509,2)="L1",Y509="No Iniciado"),"CRÍTICO - Incumplimiento Normativo SEPS",IF(AND(OR(LEFT(AA509,2)="L4",LEFT(AA509,2)="L5"),AND(AC509&lt;&gt;"",AC509&lt;&gt;"N/A")),"CONFORME - Control Efectivo ISO 27001","OBSERVACIÓN - Revisar Controles")))</f>
        <v/>
      </c>
    </row>
    <row r="510">
      <c r="A510" s="99" t="inlineStr">
        <is>
          <t xml:space="preserve">7-GPL </t>
        </is>
      </c>
      <c r="B510" s="10" t="inlineStr">
        <is>
          <t>APOYO</t>
        </is>
      </c>
      <c r="C510" s="10" t="inlineStr">
        <is>
          <t xml:space="preserve">Gestión de Prevención de Lavado de Activos y financiamiento de delítos </t>
        </is>
      </c>
      <c r="D510" s="10" t="inlineStr">
        <is>
          <t xml:space="preserve">GPL </t>
        </is>
      </c>
      <c r="E510" s="10" t="inlineStr">
        <is>
          <t xml:space="preserve">Gestión de Prevención de Lavado de Activos </t>
        </is>
      </c>
      <c r="F510" s="10" t="inlineStr">
        <is>
          <t>Planificación del Departamento de Cumplimiento y actualización de normativa</t>
        </is>
      </c>
      <c r="G510" s="10" t="inlineStr">
        <is>
          <t xml:space="preserve">Actualización  y accesos listas de control </t>
        </is>
      </c>
      <c r="H510" s="10" t="inlineStr">
        <is>
          <t>Listas de Control actualizados</t>
        </is>
      </c>
      <c r="I510" s="10" t="inlineStr">
        <is>
          <t>Listas de validación y verificación informativas y restrictivas</t>
        </is>
      </c>
      <c r="J510" s="10" t="inlineStr">
        <is>
          <t>Oficial de cumplimiento</t>
        </is>
      </c>
      <c r="K510" s="10" t="inlineStr">
        <is>
          <t>Oficial de cumplimiento suplente</t>
        </is>
      </c>
      <c r="L510" s="10" t="inlineStr">
        <is>
          <t>UBICACIÓN DIGITAL-CORE FINANCIERO</t>
        </is>
      </c>
      <c r="M510" s="10" t="inlineStr">
        <is>
          <t>DOCUMENTO DE ARCHIVO-ELECTRÓNICO</t>
        </is>
      </c>
      <c r="N510" s="10" t="inlineStr">
        <is>
          <t>PRIMARIOS</t>
        </is>
      </c>
      <c r="O510" s="10" t="inlineStr">
        <is>
          <t>DOCUMENTOS TÉCNICOS</t>
        </is>
      </c>
      <c r="P510" s="10" t="inlineStr">
        <is>
          <t>USO INTERNO(2)</t>
        </is>
      </c>
      <c r="Q510" s="10" t="inlineStr">
        <is>
          <t>MEDIA(2)</t>
        </is>
      </c>
      <c r="R510" s="10" t="inlineStr">
        <is>
          <t>MEDIA(2)</t>
        </is>
      </c>
      <c r="S510" s="10">
        <f>+(IF(P510="PUBLICA(1)",1,IF(P510="USO INTERNO(2)",2,IF(P510="RESTRINGIDO(3)",3,3))))+(IF(Q510="BAJA(1)",1,IF(Q510="MEDIA(2)",2,IF(Q510="ALTA(3)",3,3))))+(IF(R510="BAJA(1)",1,IF(R510="MEDIA(2)",2,IF(R510="ALTA(3)",3,3))))</f>
        <v/>
      </c>
      <c r="T510" s="10">
        <f>+IF(S510&lt;6,"BAJA",IF(S510&lt;8,"MEDIA","ALTA"))</f>
        <v/>
      </c>
      <c r="U510" s="10" t="inlineStr">
        <is>
          <t>-</t>
        </is>
      </c>
      <c r="V510" s="24" t="n">
        <v>45706</v>
      </c>
      <c r="W510" s="19" t="inlineStr">
        <is>
          <t>N/A</t>
        </is>
      </c>
      <c r="X510" s="10">
        <f>+IFERROR(IF(VLOOKUP(Tabla2[[#This Row],[ID]],'EVALUACION DE RIESGO'!A:A,1,FALSE)=Tabla2[[#This Row],[ID]],"SI","NO"),"NO")</f>
        <v/>
      </c>
      <c r="AD510">
        <f>IF(AND(Y510="",AA510=""),"",IF(OR(LEFT(AA510,2)="L0",LEFT(AA510,2)="L1",Y510="No Iniciado"),"CRÍTICO - Incumplimiento Normativo SEPS",IF(AND(OR(LEFT(AA510,2)="L4",LEFT(AA510,2)="L5"),AND(AC510&lt;&gt;"",AC510&lt;&gt;"N/A")),"CONFORME - Control Efectivo ISO 27001","OBSERVACIÓN - Revisar Controles")))</f>
        <v/>
      </c>
    </row>
    <row r="511">
      <c r="A511" s="99" t="inlineStr">
        <is>
          <t xml:space="preserve">8-GPL </t>
        </is>
      </c>
      <c r="B511" s="10" t="inlineStr">
        <is>
          <t>APOYO</t>
        </is>
      </c>
      <c r="C511" s="10" t="inlineStr">
        <is>
          <t xml:space="preserve">Gestión de Prevención de Lavado de Activos y financiamiento de delítos </t>
        </is>
      </c>
      <c r="D511" s="10" t="inlineStr">
        <is>
          <t xml:space="preserve">GPL </t>
        </is>
      </c>
      <c r="E511" s="10" t="inlineStr">
        <is>
          <t xml:space="preserve">Gestión de Prevención de Lavado de Activos </t>
        </is>
      </c>
      <c r="F511" s="10" t="inlineStr">
        <is>
          <t>Planificación del Departamento de Cumplimiento y actualización de normativa</t>
        </is>
      </c>
      <c r="G511" s="10" t="inlineStr">
        <is>
          <t xml:space="preserve">Monitoreo de consultas de las listas de control </t>
        </is>
      </c>
      <c r="H511" s="10" t="inlineStr">
        <is>
          <t>Reporte de consulta de listas de control</t>
        </is>
      </c>
      <c r="I511" s="10" t="inlineStr">
        <is>
          <t>Información que se obtiene después de verificar las listas de control, contiene oficina y total de consultas de listas de control validadas</t>
        </is>
      </c>
      <c r="J511" s="10" t="inlineStr">
        <is>
          <t>Oficial de cumplimiento</t>
        </is>
      </c>
      <c r="K511" s="10" t="inlineStr">
        <is>
          <t>Oficial de cumplimiento</t>
        </is>
      </c>
      <c r="L511" s="10" t="inlineStr">
        <is>
          <t>UBICACIÓN DIGITAL-EQUIPO DEL RESPONSABLE</t>
        </is>
      </c>
      <c r="M511" s="10" t="inlineStr">
        <is>
          <t>SISTEMAS DE INFORMACIÓN CORPORATIVOS</t>
        </is>
      </c>
      <c r="N511" s="10" t="inlineStr">
        <is>
          <t>PRIMARIOS</t>
        </is>
      </c>
      <c r="O511" s="10" t="inlineStr">
        <is>
          <t>DOCUMENTOS TÉCNICOS</t>
        </is>
      </c>
      <c r="P511" s="10" t="inlineStr">
        <is>
          <t>USO INTERNO(2)</t>
        </is>
      </c>
      <c r="Q511" s="10" t="inlineStr">
        <is>
          <t>MEDIA(2)</t>
        </is>
      </c>
      <c r="R511" s="10" t="inlineStr">
        <is>
          <t>MEDIA(2)</t>
        </is>
      </c>
      <c r="S511" s="10">
        <f>+(IF(P511="PUBLICA(1)",1,IF(P511="USO INTERNO(2)",2,IF(P511="RESTRINGIDO(3)",3,3))))+(IF(Q511="BAJA(1)",1,IF(Q511="MEDIA(2)",2,IF(Q511="ALTA(3)",3,3))))+(IF(R511="BAJA(1)",1,IF(R511="MEDIA(2)",2,IF(R511="ALTA(3)",3,3))))</f>
        <v/>
      </c>
      <c r="T511" s="10">
        <f>+IF(S511&lt;6,"BAJA",IF(S511&lt;8,"MEDIA","ALTA"))</f>
        <v/>
      </c>
      <c r="U511" s="10" t="inlineStr">
        <is>
          <t>-</t>
        </is>
      </c>
      <c r="V511" s="24" t="n">
        <v>45706</v>
      </c>
      <c r="W511" s="19" t="inlineStr">
        <is>
          <t>N/A</t>
        </is>
      </c>
      <c r="X511" s="10">
        <f>+IFERROR(IF(VLOOKUP(Tabla2[[#This Row],[ID]],'EVALUACION DE RIESGO'!A:A,1,FALSE)=Tabla2[[#This Row],[ID]],"SI","NO"),"NO")</f>
        <v/>
      </c>
      <c r="AD511">
        <f>IF(AND(Y511="",AA511=""),"",IF(OR(LEFT(AA511,2)="L0",LEFT(AA511,2)="L1",Y511="No Iniciado"),"CRÍTICO - Incumplimiento Normativo SEPS",IF(AND(OR(LEFT(AA511,2)="L4",LEFT(AA511,2)="L5"),AND(AC511&lt;&gt;"",AC511&lt;&gt;"N/A")),"CONFORME - Control Efectivo ISO 27001","OBSERVACIÓN - Revisar Controles")))</f>
        <v/>
      </c>
    </row>
    <row r="512">
      <c r="A512" s="99" t="inlineStr">
        <is>
          <t xml:space="preserve">9-GPL </t>
        </is>
      </c>
      <c r="B512" s="10" t="inlineStr">
        <is>
          <t>APOYO</t>
        </is>
      </c>
      <c r="C512" s="10" t="inlineStr">
        <is>
          <t xml:space="preserve">Gestión de Prevención de Lavado de Activos y financiamiento de delítos </t>
        </is>
      </c>
      <c r="D512" s="10" t="inlineStr">
        <is>
          <t xml:space="preserve">GPL </t>
        </is>
      </c>
      <c r="E512" s="10" t="inlineStr">
        <is>
          <t xml:space="preserve">Gestión de Prevención de Lavado de Activos </t>
        </is>
      </c>
      <c r="F512" s="10" t="inlineStr">
        <is>
          <t>Planificación del Departamento de Cumplimiento y actualización de normativa</t>
        </is>
      </c>
      <c r="G512" s="10" t="inlineStr">
        <is>
          <t xml:space="preserve">Monitoreo de consultas de las listas de control </t>
        </is>
      </c>
      <c r="H512" s="10" t="inlineStr">
        <is>
          <t>Informe mensual</t>
        </is>
      </c>
      <c r="I512" s="10" t="inlineStr">
        <is>
          <t>Estracto del informe de actividades departamentales</t>
        </is>
      </c>
      <c r="J512" s="10" t="inlineStr">
        <is>
          <t>Oficial de cumplimiento</t>
        </is>
      </c>
      <c r="K512" s="10" t="inlineStr">
        <is>
          <t>Oficial de cumplimiento</t>
        </is>
      </c>
      <c r="L512" s="10" t="inlineStr">
        <is>
          <t>UBICACIÓN DIGITAL-EQUIPO DEL RESPONSABLE</t>
        </is>
      </c>
      <c r="M512" s="10" t="inlineStr">
        <is>
          <t>DISCOS DUROS, SERVIDORES, DISCOS O MEDIOS PORTÁTILES, CINTAS O MEDIOS DE VIDEO Y AUDIO, ETC.</t>
        </is>
      </c>
      <c r="N512" s="10" t="inlineStr">
        <is>
          <t>PRIMARIOS</t>
        </is>
      </c>
      <c r="O512" s="10" t="inlineStr">
        <is>
          <t>DOCUMENTOS TÉCNICOS</t>
        </is>
      </c>
      <c r="P512" s="10" t="inlineStr">
        <is>
          <t>USO INTERNO(2)</t>
        </is>
      </c>
      <c r="Q512" s="10" t="inlineStr">
        <is>
          <t>BAJA(1)</t>
        </is>
      </c>
      <c r="R512" s="10" t="inlineStr">
        <is>
          <t>MEDIA(2)</t>
        </is>
      </c>
      <c r="S512" s="10">
        <f>+(IF(P512="PUBLICA(1)",1,IF(P512="USO INTERNO(2)",2,IF(P512="RESTRINGIDO(3)",3,3))))+(IF(Q512="BAJA(1)",1,IF(Q512="MEDIA(2)",2,IF(Q512="ALTA(3)",3,3))))+(IF(R512="BAJA(1)",1,IF(R512="MEDIA(2)",2,IF(R512="ALTA(3)",3,3))))</f>
        <v/>
      </c>
      <c r="T512" s="10">
        <f>+IF(S512&lt;6,"BAJA",IF(S512&lt;8,"MEDIA","ALTA"))</f>
        <v/>
      </c>
      <c r="U512" s="10" t="inlineStr">
        <is>
          <t>-</t>
        </is>
      </c>
      <c r="V512" s="24" t="n">
        <v>45706</v>
      </c>
      <c r="W512" s="19" t="inlineStr">
        <is>
          <t>N/A</t>
        </is>
      </c>
      <c r="X512" s="10">
        <f>+IFERROR(IF(VLOOKUP(Tabla2[[#This Row],[ID]],'EVALUACION DE RIESGO'!A:A,1,FALSE)=Tabla2[[#This Row],[ID]],"SI","NO"),"NO")</f>
        <v/>
      </c>
      <c r="AD512">
        <f>IF(AND(Y512="",AA512=""),"",IF(OR(LEFT(AA512,2)="L0",LEFT(AA512,2)="L1",Y512="No Iniciado"),"CRÍTICO - Incumplimiento Normativo SEPS",IF(AND(OR(LEFT(AA512,2)="L4",LEFT(AA512,2)="L5"),AND(AC512&lt;&gt;"",AC512&lt;&gt;"N/A")),"CONFORME - Control Efectivo ISO 27001","OBSERVACIÓN - Revisar Controles")))</f>
        <v/>
      </c>
    </row>
    <row r="513">
      <c r="A513" s="99" t="inlineStr">
        <is>
          <t xml:space="preserve">10-GPL </t>
        </is>
      </c>
      <c r="B513" s="10" t="inlineStr">
        <is>
          <t>APOYO</t>
        </is>
      </c>
      <c r="C513" s="10" t="inlineStr">
        <is>
          <t xml:space="preserve">Gestión de Prevención de Lavado de Activos y financiamiento de delítos </t>
        </is>
      </c>
      <c r="D513" s="10" t="inlineStr">
        <is>
          <t xml:space="preserve">GPL </t>
        </is>
      </c>
      <c r="E513" s="10" t="inlineStr">
        <is>
          <t xml:space="preserve">Gestión de Prevención de Lavado de Activos </t>
        </is>
      </c>
      <c r="F513" s="10" t="inlineStr">
        <is>
          <t>Planificación del Departamento de Cumplimiento y actualización de normativa</t>
        </is>
      </c>
      <c r="G513" s="10" t="inlineStr">
        <is>
          <t>Emisión de reportes a la Unidad de Análisis Financiero y Económico</t>
        </is>
      </c>
      <c r="H513" s="10" t="inlineStr">
        <is>
          <t>Estructura de resumen de transacciones</t>
        </is>
      </c>
      <c r="I513" s="10" t="inlineStr">
        <is>
          <t>Reporte de transacciones sobre los 10000 USD enviado a la UAFE</t>
        </is>
      </c>
      <c r="J513" s="10" t="inlineStr">
        <is>
          <t>Oficial de cumplimiento</t>
        </is>
      </c>
      <c r="K513" s="10" t="inlineStr">
        <is>
          <t>Oficial de cumplimiento</t>
        </is>
      </c>
      <c r="L513" s="10" t="inlineStr">
        <is>
          <t>UBICACIÓN DIGITAL-EQUIPO DEL RESPONSABLE</t>
        </is>
      </c>
      <c r="M513" s="10" t="inlineStr">
        <is>
          <t>DISCOS DUROS, SERVIDORES, DISCOS O MEDIOS PORTÁTILES, CINTAS O MEDIOS DE VIDEO Y AUDIO, ETC.</t>
        </is>
      </c>
      <c r="N513" s="10" t="inlineStr">
        <is>
          <t>PRIMARIOS</t>
        </is>
      </c>
      <c r="O513" s="10" t="inlineStr">
        <is>
          <t>DOCUMENTOS TÉCNICOS</t>
        </is>
      </c>
      <c r="P513" s="10" t="inlineStr">
        <is>
          <t>RESTRINGIDO(3)</t>
        </is>
      </c>
      <c r="Q513" s="10" t="inlineStr">
        <is>
          <t>MEDIA(2)</t>
        </is>
      </c>
      <c r="R513" s="10" t="inlineStr">
        <is>
          <t>MEDIA(2)</t>
        </is>
      </c>
      <c r="S513" s="10">
        <f>+(IF(P513="PUBLICA(1)",1,IF(P513="USO INTERNO(2)",2,IF(P513="RESTRINGIDO(3)",3,3))))+(IF(Q513="BAJA(1)",1,IF(Q513="MEDIA(2)",2,IF(Q513="ALTA(3)",3,3))))+(IF(R513="BAJA(1)",1,IF(R513="MEDIA(2)",2,IF(R513="ALTA(3)",3,3))))</f>
        <v/>
      </c>
      <c r="T513" s="10">
        <f>+IF(S513&lt;6,"BAJA",IF(S513&lt;8,"MEDIA","ALTA"))</f>
        <v/>
      </c>
      <c r="U513" s="10" t="inlineStr">
        <is>
          <t>-</t>
        </is>
      </c>
      <c r="V513" s="24" t="n">
        <v>45706</v>
      </c>
      <c r="W513" s="19" t="inlineStr">
        <is>
          <t>N/A</t>
        </is>
      </c>
      <c r="X513" s="10">
        <f>+IFERROR(IF(VLOOKUP(Tabla2[[#This Row],[ID]],'EVALUACION DE RIESGO'!A:A,1,FALSE)=Tabla2[[#This Row],[ID]],"SI","NO"),"NO")</f>
        <v/>
      </c>
      <c r="AD513">
        <f>IF(AND(Y513="",AA513=""),"",IF(OR(LEFT(AA513,2)="L0",LEFT(AA513,2)="L1",Y513="No Iniciado"),"CRÍTICO - Incumplimiento Normativo SEPS",IF(AND(OR(LEFT(AA513,2)="L4",LEFT(AA513,2)="L5"),AND(AC513&lt;&gt;"",AC513&lt;&gt;"N/A")),"CONFORME - Control Efectivo ISO 27001","OBSERVACIÓN - Revisar Controles")))</f>
        <v/>
      </c>
    </row>
    <row r="514">
      <c r="A514" s="99" t="inlineStr">
        <is>
          <t xml:space="preserve">11-GPL </t>
        </is>
      </c>
      <c r="B514" s="10" t="inlineStr">
        <is>
          <t>APOYO</t>
        </is>
      </c>
      <c r="C514" s="10" t="inlineStr">
        <is>
          <t xml:space="preserve">Gestión de Prevención de Lavado de Activos y financiamiento de delítos </t>
        </is>
      </c>
      <c r="D514" s="10" t="inlineStr">
        <is>
          <t xml:space="preserve">GPL </t>
        </is>
      </c>
      <c r="E514" s="10" t="inlineStr">
        <is>
          <t xml:space="preserve">Gestión de Prevención de Lavado de Activos </t>
        </is>
      </c>
      <c r="F514" s="10" t="inlineStr">
        <is>
          <t>Conozca a su socio o cliente</t>
        </is>
      </c>
      <c r="G514" s="10" t="inlineStr">
        <is>
          <t xml:space="preserve">Formularios de origen y destino de recursos </t>
        </is>
      </c>
      <c r="H514" s="10" t="inlineStr">
        <is>
          <t>Reporte de información de socios y clientes</t>
        </is>
      </c>
      <c r="I514" s="10" t="inlineStr">
        <is>
          <t>Información entregada por el cliente para el seguimiento de sus transacciones</t>
        </is>
      </c>
      <c r="J514" s="10" t="inlineStr">
        <is>
          <t>Oficial de cumplimiento</t>
        </is>
      </c>
      <c r="K514" s="10" t="inlineStr">
        <is>
          <t>Oficial de cumplimiento</t>
        </is>
      </c>
      <c r="L514" s="10" t="inlineStr">
        <is>
          <t>UBICACIÓN DIGITAL-CORE FINANCIERO</t>
        </is>
      </c>
      <c r="M514" s="10" t="inlineStr">
        <is>
          <t>DOCUMENTO DE ARCHIVO-FÍSICO</t>
        </is>
      </c>
      <c r="N514" s="10" t="inlineStr">
        <is>
          <t>PRIMARIOS</t>
        </is>
      </c>
      <c r="O514" s="10" t="inlineStr">
        <is>
          <t>DOCUMENTOS TÉCNICOS</t>
        </is>
      </c>
      <c r="P514" s="10" t="inlineStr">
        <is>
          <t>USO INTERNO(2)</t>
        </is>
      </c>
      <c r="Q514" s="10" t="inlineStr">
        <is>
          <t>MEDIA(2)</t>
        </is>
      </c>
      <c r="R514" s="10" t="inlineStr">
        <is>
          <t>MEDIA(2)</t>
        </is>
      </c>
      <c r="S514" s="10">
        <f>+(IF(P514="PUBLICA(1)",1,IF(P514="USO INTERNO(2)",2,IF(P514="RESTRINGIDO(3)",3,3))))+(IF(Q514="BAJA(1)",1,IF(Q514="MEDIA(2)",2,IF(Q514="ALTA(3)",3,3))))+(IF(R514="BAJA(1)",1,IF(R514="MEDIA(2)",2,IF(R514="ALTA(3)",3,3))))</f>
        <v/>
      </c>
      <c r="T514" s="10">
        <f>+IF(S514&lt;6,"BAJA",IF(S514&lt;8,"MEDIA","ALTA"))</f>
        <v/>
      </c>
      <c r="U514" s="10" t="inlineStr">
        <is>
          <t>-</t>
        </is>
      </c>
      <c r="V514" s="24" t="n">
        <v>45706</v>
      </c>
      <c r="W514" s="19" t="inlineStr">
        <is>
          <t>N/A</t>
        </is>
      </c>
      <c r="X514" s="10">
        <f>+IFERROR(IF(VLOOKUP(Tabla2[[#This Row],[ID]],'EVALUACION DE RIESGO'!A:A,1,FALSE)=Tabla2[[#This Row],[ID]],"SI","NO"),"NO")</f>
        <v/>
      </c>
      <c r="AD514">
        <f>IF(AND(Y514="",AA514=""),"",IF(OR(LEFT(AA514,2)="L0",LEFT(AA514,2)="L1",Y514="No Iniciado"),"CRÍTICO - Incumplimiento Normativo SEPS",IF(AND(OR(LEFT(AA514,2)="L4",LEFT(AA514,2)="L5"),AND(AC514&lt;&gt;"",AC514&lt;&gt;"N/A")),"CONFORME - Control Efectivo ISO 27001","OBSERVACIÓN - Revisar Controles")))</f>
        <v/>
      </c>
    </row>
    <row r="515">
      <c r="A515" s="99" t="inlineStr">
        <is>
          <t xml:space="preserve">12-GPL </t>
        </is>
      </c>
      <c r="B515" s="10" t="inlineStr">
        <is>
          <t>APOYO</t>
        </is>
      </c>
      <c r="C515" s="10" t="inlineStr">
        <is>
          <t xml:space="preserve">Gestión de Prevención de Lavado de Activos y financiamiento de delítos </t>
        </is>
      </c>
      <c r="D515" s="10" t="inlineStr">
        <is>
          <t xml:space="preserve">GPL </t>
        </is>
      </c>
      <c r="E515" s="10" t="inlineStr">
        <is>
          <t xml:space="preserve">Gestión de Prevención de Lavado de Activos </t>
        </is>
      </c>
      <c r="F515" s="10" t="inlineStr">
        <is>
          <t>Conozca a su socio o cliente</t>
        </is>
      </c>
      <c r="G515" s="10" t="inlineStr">
        <is>
          <t xml:space="preserve">Formularios de origen y destino de recursos </t>
        </is>
      </c>
      <c r="H515" s="10" t="inlineStr">
        <is>
          <t>Informe de gestión mensual</t>
        </is>
      </c>
      <c r="I515" s="10" t="inlineStr">
        <is>
          <t>Estracto del informe de actividades departamentales</t>
        </is>
      </c>
      <c r="J515" s="10" t="inlineStr">
        <is>
          <t>Oficial de cumplimiento</t>
        </is>
      </c>
      <c r="K515" s="10" t="inlineStr">
        <is>
          <t>Oficial de cumplimiento</t>
        </is>
      </c>
      <c r="L515" s="10" t="inlineStr">
        <is>
          <t>UBICACIÓN DIGITAL-EQUIPO DEL RESPONSABLE</t>
        </is>
      </c>
      <c r="M515" s="10" t="inlineStr">
        <is>
          <t>DISCOS DUROS, SERVIDORES, DISCOS O MEDIOS PORTÁTILES, CINTAS O MEDIOS DE VIDEO Y AUDIO, ETC.</t>
        </is>
      </c>
      <c r="N515" s="10" t="inlineStr">
        <is>
          <t>PRIMARIOS</t>
        </is>
      </c>
      <c r="O515" s="10" t="inlineStr">
        <is>
          <t>DOCUMENTOS TÉCNICOS</t>
        </is>
      </c>
      <c r="P515" s="10" t="inlineStr">
        <is>
          <t>USO INTERNO(2)</t>
        </is>
      </c>
      <c r="Q515" s="10" t="inlineStr">
        <is>
          <t>BAJA(1)</t>
        </is>
      </c>
      <c r="R515" s="10" t="inlineStr">
        <is>
          <t>MEDIA(2)</t>
        </is>
      </c>
      <c r="S515" s="10">
        <f>+(IF(P515="PUBLICA(1)",1,IF(P515="USO INTERNO(2)",2,IF(P515="RESTRINGIDO(3)",3,3))))+(IF(Q515="BAJA(1)",1,IF(Q515="MEDIA(2)",2,IF(Q515="ALTA(3)",3,3))))+(IF(R515="BAJA(1)",1,IF(R515="MEDIA(2)",2,IF(R515="ALTA(3)",3,3))))</f>
        <v/>
      </c>
      <c r="T515" s="10">
        <f>+IF(S515&lt;6,"BAJA",IF(S515&lt;8,"MEDIA","ALTA"))</f>
        <v/>
      </c>
      <c r="U515" s="10" t="inlineStr">
        <is>
          <t>-</t>
        </is>
      </c>
      <c r="V515" s="24" t="n">
        <v>45706</v>
      </c>
      <c r="W515" s="19" t="inlineStr">
        <is>
          <t>N/A</t>
        </is>
      </c>
      <c r="X515" s="10">
        <f>+IFERROR(IF(VLOOKUP(Tabla2[[#This Row],[ID]],'EVALUACION DE RIESGO'!A:A,1,FALSE)=Tabla2[[#This Row],[ID]],"SI","NO"),"NO")</f>
        <v/>
      </c>
      <c r="AD515">
        <f>IF(AND(Y515="",AA515=""),"",IF(OR(LEFT(AA515,2)="L0",LEFT(AA515,2)="L1",Y515="No Iniciado"),"CRÍTICO - Incumplimiento Normativo SEPS",IF(AND(OR(LEFT(AA515,2)="L4",LEFT(AA515,2)="L5"),AND(AC515&lt;&gt;"",AC515&lt;&gt;"N/A")),"CONFORME - Control Efectivo ISO 27001","OBSERVACIÓN - Revisar Controles")))</f>
        <v/>
      </c>
    </row>
    <row r="516">
      <c r="A516" s="99" t="inlineStr">
        <is>
          <t xml:space="preserve">13-GPL </t>
        </is>
      </c>
      <c r="B516" s="10" t="inlineStr">
        <is>
          <t>APOYO</t>
        </is>
      </c>
      <c r="C516" s="10" t="inlineStr">
        <is>
          <t xml:space="preserve">Gestión de Prevención de Lavado de Activos y financiamiento de delítos </t>
        </is>
      </c>
      <c r="D516" s="10" t="inlineStr">
        <is>
          <t xml:space="preserve">GPL </t>
        </is>
      </c>
      <c r="E516" s="10" t="inlineStr">
        <is>
          <t xml:space="preserve">Gestión de Prevención de Lavado de Activos </t>
        </is>
      </c>
      <c r="F516" s="10" t="inlineStr">
        <is>
          <t>Conozca a su socio o cliente</t>
        </is>
      </c>
      <c r="G516" s="10" t="inlineStr">
        <is>
          <t xml:space="preserve">Análisis transaccional del perfil alto y nivel de riesgo medio y alto     </t>
        </is>
      </c>
      <c r="H516" s="10" t="inlineStr">
        <is>
          <t>Análisis transaccional de socios/clientes</t>
        </is>
      </c>
      <c r="I516" s="10" t="inlineStr">
        <is>
          <t>Revisión de alertas de transacciones contiene Id cliente, nombre, mensaje alerta, cuenta, transaccion, fecha, valor, usuario, sucursal, oficina</t>
        </is>
      </c>
      <c r="J516" s="10" t="inlineStr">
        <is>
          <t>Oficial de cumplimiento</t>
        </is>
      </c>
      <c r="K516" s="10" t="inlineStr">
        <is>
          <t>Oficial de cumplimiento</t>
        </is>
      </c>
      <c r="L516" s="10" t="inlineStr">
        <is>
          <t>UBICACIÓN DIGITAL-EQUIPO DEL RESPONSABLE</t>
        </is>
      </c>
      <c r="M516" s="10" t="inlineStr">
        <is>
          <t>DISCOS DUROS, SERVIDORES, DISCOS O MEDIOS PORTÁTILES, CINTAS O MEDIOS DE VIDEO Y AUDIO, ETC.</t>
        </is>
      </c>
      <c r="N516" s="10" t="inlineStr">
        <is>
          <t>PRIMARIOS</t>
        </is>
      </c>
      <c r="O516" s="10" t="inlineStr">
        <is>
          <t>DOCUMENTOS TÉCNICOS</t>
        </is>
      </c>
      <c r="P516" s="10" t="inlineStr">
        <is>
          <t>RESTRINGIDO(3)</t>
        </is>
      </c>
      <c r="Q516" s="10" t="inlineStr">
        <is>
          <t>MEDIA(2)</t>
        </is>
      </c>
      <c r="R516" s="10" t="inlineStr">
        <is>
          <t>MEDIA(2)</t>
        </is>
      </c>
      <c r="S516" s="10">
        <f>+(IF(P516="PUBLICA(1)",1,IF(P516="USO INTERNO(2)",2,IF(P516="RESTRINGIDO(3)",3,3))))+(IF(Q516="BAJA(1)",1,IF(Q516="MEDIA(2)",2,IF(Q516="ALTA(3)",3,3))))+(IF(R516="BAJA(1)",1,IF(R516="MEDIA(2)",2,IF(R516="ALTA(3)",3,3))))</f>
        <v/>
      </c>
      <c r="T516" s="10">
        <f>+IF(S516&lt;6,"BAJA",IF(S516&lt;8,"MEDIA","ALTA"))</f>
        <v/>
      </c>
      <c r="U516" s="10" t="inlineStr">
        <is>
          <t>-</t>
        </is>
      </c>
      <c r="V516" s="24" t="n">
        <v>45706</v>
      </c>
      <c r="W516" s="19" t="inlineStr">
        <is>
          <t>N/A</t>
        </is>
      </c>
      <c r="X516" s="10">
        <f>+IFERROR(IF(VLOOKUP(Tabla2[[#This Row],[ID]],'EVALUACION DE RIESGO'!A:A,1,FALSE)=Tabla2[[#This Row],[ID]],"SI","NO"),"NO")</f>
        <v/>
      </c>
      <c r="AD516">
        <f>IF(AND(Y516="",AA516=""),"",IF(OR(LEFT(AA516,2)="L0",LEFT(AA516,2)="L1",Y516="No Iniciado"),"CRÍTICO - Incumplimiento Normativo SEPS",IF(AND(OR(LEFT(AA516,2)="L4",LEFT(AA516,2)="L5"),AND(AC516&lt;&gt;"",AC516&lt;&gt;"N/A")),"CONFORME - Control Efectivo ISO 27001","OBSERVACIÓN - Revisar Controles")))</f>
        <v/>
      </c>
    </row>
    <row r="517">
      <c r="A517" s="99" t="inlineStr">
        <is>
          <t xml:space="preserve">14-GPL </t>
        </is>
      </c>
      <c r="B517" s="10" t="inlineStr">
        <is>
          <t>APOYO</t>
        </is>
      </c>
      <c r="C517" s="10" t="inlineStr">
        <is>
          <t xml:space="preserve">Gestión de Prevención de Lavado de Activos y financiamiento de delítos </t>
        </is>
      </c>
      <c r="D517" s="10" t="inlineStr">
        <is>
          <t xml:space="preserve">GPL </t>
        </is>
      </c>
      <c r="E517" s="10" t="inlineStr">
        <is>
          <t xml:space="preserve">Gestión de Prevención de Lavado de Activos </t>
        </is>
      </c>
      <c r="F517" s="10" t="inlineStr">
        <is>
          <t>Conozca a su mercado</t>
        </is>
      </c>
      <c r="G517" s="10" t="inlineStr">
        <is>
          <t xml:space="preserve">Monitoreo del cumplimiento de políticas conozca a su mercado   </t>
        </is>
      </c>
      <c r="H517" s="10" t="inlineStr">
        <is>
          <t>Informe de las variaciones presentada</t>
        </is>
      </c>
      <c r="I517" s="10" t="inlineStr">
        <is>
          <t>Estracto del informe de actividades departamentales</t>
        </is>
      </c>
      <c r="J517" s="10" t="inlineStr">
        <is>
          <t>Oficial de cumplimiento</t>
        </is>
      </c>
      <c r="K517" s="10" t="inlineStr">
        <is>
          <t>Oficial de cumplimiento</t>
        </is>
      </c>
      <c r="L517" s="10" t="inlineStr">
        <is>
          <t>UBICACIÓN DIGITAL-EQUIPO DEL RESPONSABLE</t>
        </is>
      </c>
      <c r="M517" s="10" t="inlineStr">
        <is>
          <t>DISCOS DUROS, SERVIDORES, DISCOS O MEDIOS PORTÁTILES, CINTAS O MEDIOS DE VIDEO Y AUDIO, ETC.</t>
        </is>
      </c>
      <c r="N517" s="10" t="inlineStr">
        <is>
          <t>PRIMARIOS</t>
        </is>
      </c>
      <c r="O517" s="10" t="inlineStr">
        <is>
          <t>DOCUMENTOS TÉCNICOS</t>
        </is>
      </c>
      <c r="P517" s="10" t="inlineStr">
        <is>
          <t>USO INTERNO(2)</t>
        </is>
      </c>
      <c r="Q517" s="10" t="inlineStr">
        <is>
          <t>BAJA(1)</t>
        </is>
      </c>
      <c r="R517" s="10" t="inlineStr">
        <is>
          <t>MEDIA(2)</t>
        </is>
      </c>
      <c r="S517" s="10">
        <f>+(IF(P517="PUBLICA(1)",1,IF(P517="USO INTERNO(2)",2,IF(P517="RESTRINGIDO(3)",3,3))))+(IF(Q517="BAJA(1)",1,IF(Q517="MEDIA(2)",2,IF(Q517="ALTA(3)",3,3))))+(IF(R517="BAJA(1)",1,IF(R517="MEDIA(2)",2,IF(R517="ALTA(3)",3,3))))</f>
        <v/>
      </c>
      <c r="T517" s="10">
        <f>+IF(S517&lt;6,"BAJA",IF(S517&lt;8,"MEDIA","ALTA"))</f>
        <v/>
      </c>
      <c r="U517" s="10" t="inlineStr">
        <is>
          <t>-</t>
        </is>
      </c>
      <c r="V517" s="24" t="n">
        <v>45706</v>
      </c>
      <c r="W517" s="19" t="inlineStr">
        <is>
          <t>N/A</t>
        </is>
      </c>
      <c r="X517" s="10">
        <f>+IFERROR(IF(VLOOKUP(Tabla2[[#This Row],[ID]],'EVALUACION DE RIESGO'!A:A,1,FALSE)=Tabla2[[#This Row],[ID]],"SI","NO"),"NO")</f>
        <v/>
      </c>
      <c r="AD517">
        <f>IF(AND(Y517="",AA517=""),"",IF(OR(LEFT(AA517,2)="L0",LEFT(AA517,2)="L1",Y517="No Iniciado"),"CRÍTICO - Incumplimiento Normativo SEPS",IF(AND(OR(LEFT(AA517,2)="L4",LEFT(AA517,2)="L5"),AND(AC517&lt;&gt;"",AC517&lt;&gt;"N/A")),"CONFORME - Control Efectivo ISO 27001","OBSERVACIÓN - Revisar Controles")))</f>
        <v/>
      </c>
    </row>
    <row r="518">
      <c r="A518" s="99" t="inlineStr">
        <is>
          <t xml:space="preserve">15-GPL </t>
        </is>
      </c>
      <c r="B518" s="10" t="inlineStr">
        <is>
          <t>APOYO</t>
        </is>
      </c>
      <c r="C518" s="10" t="inlineStr">
        <is>
          <t xml:space="preserve">Gestión de Prevención de Lavado de Activos y financiamiento de delítos </t>
        </is>
      </c>
      <c r="D518" s="10" t="inlineStr">
        <is>
          <t xml:space="preserve">GPL </t>
        </is>
      </c>
      <c r="E518" s="10" t="inlineStr">
        <is>
          <t xml:space="preserve">Gestión de Prevención de Lavado de Activos </t>
        </is>
      </c>
      <c r="F518" s="10" t="inlineStr">
        <is>
          <t xml:space="preserve">Conozca a su proveedor     </t>
        </is>
      </c>
      <c r="G518" s="10" t="inlineStr">
        <is>
          <t>Monitoreo de proveedores calificados</t>
        </is>
      </c>
      <c r="H518" s="10" t="inlineStr">
        <is>
          <t>Informe de evaluación de proveedores calificados</t>
        </is>
      </c>
      <c r="I518" s="10" t="inlineStr">
        <is>
          <t>Estracto del informe de actividades departamentales</t>
        </is>
      </c>
      <c r="J518" s="10" t="inlineStr">
        <is>
          <t>Oficial de cumplimiento</t>
        </is>
      </c>
      <c r="K518" s="10" t="inlineStr">
        <is>
          <t>Oficial de cumplimiento</t>
        </is>
      </c>
      <c r="L518" s="10" t="inlineStr">
        <is>
          <t>UBICACIÓN DIGITAL-EQUIPO DEL RESPONSABLE</t>
        </is>
      </c>
      <c r="M518" s="10" t="inlineStr">
        <is>
          <t>DISCOS DUROS, SERVIDORES, DISCOS O MEDIOS PORTÁTILES, CINTAS O MEDIOS DE VIDEO Y AUDIO, ETC.</t>
        </is>
      </c>
      <c r="N518" s="10" t="inlineStr">
        <is>
          <t>PRIMARIOS</t>
        </is>
      </c>
      <c r="O518" s="10" t="inlineStr">
        <is>
          <t>DOCUMENTOS TÉCNICOS</t>
        </is>
      </c>
      <c r="P518" s="10" t="inlineStr">
        <is>
          <t>USO INTERNO(2)</t>
        </is>
      </c>
      <c r="Q518" s="10" t="inlineStr">
        <is>
          <t>MEDIA(2)</t>
        </is>
      </c>
      <c r="R518" s="10" t="inlineStr">
        <is>
          <t>MEDIA(2)</t>
        </is>
      </c>
      <c r="S518" s="10">
        <f>+(IF(P518="PUBLICA(1)",1,IF(P518="USO INTERNO(2)",2,IF(P518="RESTRINGIDO(3)",3,3))))+(IF(Q518="BAJA(1)",1,IF(Q518="MEDIA(2)",2,IF(Q518="ALTA(3)",3,3))))+(IF(R518="BAJA(1)",1,IF(R518="MEDIA(2)",2,IF(R518="ALTA(3)",3,3))))</f>
        <v/>
      </c>
      <c r="T518" s="10">
        <f>+IF(S518&lt;6,"BAJA",IF(S518&lt;8,"MEDIA","ALTA"))</f>
        <v/>
      </c>
      <c r="U518" s="10" t="inlineStr">
        <is>
          <t>-</t>
        </is>
      </c>
      <c r="V518" s="24" t="n">
        <v>45706</v>
      </c>
      <c r="W518" s="19" t="inlineStr">
        <is>
          <t>N/A</t>
        </is>
      </c>
      <c r="X518" s="10">
        <f>+IFERROR(IF(VLOOKUP(Tabla2[[#This Row],[ID]],'EVALUACION DE RIESGO'!A:A,1,FALSE)=Tabla2[[#This Row],[ID]],"SI","NO"),"NO")</f>
        <v/>
      </c>
      <c r="AD518">
        <f>IF(AND(Y518="",AA518=""),"",IF(OR(LEFT(AA518,2)="L0",LEFT(AA518,2)="L1",Y518="No Iniciado"),"CRÍTICO - Incumplimiento Normativo SEPS",IF(AND(OR(LEFT(AA518,2)="L4",LEFT(AA518,2)="L5"),AND(AC518&lt;&gt;"",AC518&lt;&gt;"N/A")),"CONFORME - Control Efectivo ISO 27001","OBSERVACIÓN - Revisar Controles")))</f>
        <v/>
      </c>
    </row>
    <row r="519">
      <c r="A519" s="99" t="inlineStr">
        <is>
          <t xml:space="preserve">16-GPL </t>
        </is>
      </c>
      <c r="B519" s="10" t="inlineStr">
        <is>
          <t>APOYO</t>
        </is>
      </c>
      <c r="C519" s="10" t="inlineStr">
        <is>
          <t xml:space="preserve">Gestión de Prevención de Lavado de Activos y financiamiento de delítos </t>
        </is>
      </c>
      <c r="D519" s="10" t="inlineStr">
        <is>
          <t xml:space="preserve">GPL </t>
        </is>
      </c>
      <c r="E519" s="10" t="inlineStr">
        <is>
          <t>N/A</t>
        </is>
      </c>
      <c r="F519" s="10" t="inlineStr">
        <is>
          <t>-</t>
        </is>
      </c>
      <c r="G519" s="10" t="inlineStr">
        <is>
          <t>N/A</t>
        </is>
      </c>
      <c r="H519" s="10" t="inlineStr">
        <is>
          <t xml:space="preserve">Equipos de computación </t>
        </is>
      </c>
      <c r="I519" s="10" t="inlineStr">
        <is>
          <t>Equipos de computación donde se realiza la gestión del área</t>
        </is>
      </c>
      <c r="J519" s="10" t="inlineStr">
        <is>
          <t>Oficial de cumplimiento</t>
        </is>
      </c>
      <c r="K519" s="10" t="inlineStr">
        <is>
          <t>Oficial de cumplimiento</t>
        </is>
      </c>
      <c r="L519" s="10" t="inlineStr">
        <is>
          <t>UBICACIÓN FISICA-SUCURSAL IBARRA</t>
        </is>
      </c>
      <c r="M519" s="10" t="inlineStr">
        <is>
          <t>DISCOS DUROS, SERVIDORES, DISCOS O MEDIOS PORTÁTILES, CINTAS O MEDIOS DE VIDEO Y AUDIO, ETC.</t>
        </is>
      </c>
      <c r="N519" s="10" t="inlineStr">
        <is>
          <t>APOYO</t>
        </is>
      </c>
      <c r="O519" s="10" t="inlineStr">
        <is>
          <t>HARDWARE</t>
        </is>
      </c>
      <c r="P519" s="10" t="inlineStr">
        <is>
          <t>RESTRINGIDO(3)</t>
        </is>
      </c>
      <c r="Q519" s="10" t="inlineStr">
        <is>
          <t>MEDIA(2)</t>
        </is>
      </c>
      <c r="R519" s="10" t="inlineStr">
        <is>
          <t>MEDIA(2)</t>
        </is>
      </c>
      <c r="S519" s="10">
        <f>+(IF(P519="PUBLICA(1)",1,IF(P519="USO INTERNO(2)",2,IF(P519="RESTRINGIDO(3)",3,3))))+(IF(Q519="BAJA(1)",1,IF(Q519="MEDIA(2)",2,IF(Q519="ALTA(3)",3,3))))+(IF(R519="BAJA(1)",1,IF(R519="MEDIA(2)",2,IF(R519="ALTA(3)",3,3))))</f>
        <v/>
      </c>
      <c r="T519" s="10">
        <f>+IF(S519&lt;6,"BAJA",IF(S519&lt;8,"MEDIA","ALTA"))</f>
        <v/>
      </c>
      <c r="U519" s="10" t="inlineStr">
        <is>
          <t>-</t>
        </is>
      </c>
      <c r="V519" s="24" t="n">
        <v>45712</v>
      </c>
      <c r="W519" s="19" t="inlineStr">
        <is>
          <t>N/A</t>
        </is>
      </c>
      <c r="X519" s="10">
        <f>+IFERROR(IF(VLOOKUP(Tabla2[[#This Row],[ID]],'EVALUACION DE RIESGO'!A:A,1,FALSE)=Tabla2[[#This Row],[ID]],"SI","NO"),"NO")</f>
        <v/>
      </c>
      <c r="AD519">
        <f>IF(AND(Y519="",AA519=""),"",IF(OR(LEFT(AA519,2)="L0",LEFT(AA519,2)="L1",Y519="No Iniciado"),"CRÍTICO - Incumplimiento Normativo SEPS",IF(AND(OR(LEFT(AA519,2)="L4",LEFT(AA519,2)="L5"),AND(AC519&lt;&gt;"",AC519&lt;&gt;"N/A")),"CONFORME - Control Efectivo ISO 27001","OBSERVACIÓN - Revisar Controles")))</f>
        <v/>
      </c>
    </row>
    <row r="520">
      <c r="A520" s="99" t="inlineStr">
        <is>
          <t xml:space="preserve">17-GPL </t>
        </is>
      </c>
      <c r="B520" s="10" t="inlineStr">
        <is>
          <t>APOYO</t>
        </is>
      </c>
      <c r="C520" s="10" t="inlineStr">
        <is>
          <t xml:space="preserve">Gestión de Prevención de Lavado de Activos y financiamiento de delítos </t>
        </is>
      </c>
      <c r="D520" s="10" t="inlineStr">
        <is>
          <t xml:space="preserve">GPL </t>
        </is>
      </c>
      <c r="E520" s="10" t="inlineStr">
        <is>
          <t>N/A</t>
        </is>
      </c>
      <c r="F520" s="10" t="inlineStr">
        <is>
          <t>-</t>
        </is>
      </c>
      <c r="G520" s="10" t="inlineStr">
        <is>
          <t>N/A</t>
        </is>
      </c>
      <c r="H520" s="10" t="inlineStr">
        <is>
          <t>Oficial de Seguridad de la Información</t>
        </is>
      </c>
      <c r="I520" s="10" t="inlineStr">
        <is>
          <t>N/A</t>
        </is>
      </c>
      <c r="J520" s="10" t="inlineStr">
        <is>
          <t>Oficial de cumplimiento</t>
        </is>
      </c>
      <c r="K520" s="10" t="inlineStr">
        <is>
          <t>N/A</t>
        </is>
      </c>
      <c r="L520" s="10" t="inlineStr">
        <is>
          <t>N/A</t>
        </is>
      </c>
      <c r="M520" s="10" t="inlineStr">
        <is>
          <t>N/A</t>
        </is>
      </c>
      <c r="N520" s="10" t="inlineStr">
        <is>
          <t>APOYO</t>
        </is>
      </c>
      <c r="O520" s="10" t="inlineStr">
        <is>
          <t>RECURSO HUMANO</t>
        </is>
      </c>
      <c r="P520" s="10" t="inlineStr">
        <is>
          <t>USO INTERNO(2)</t>
        </is>
      </c>
      <c r="Q520" s="10" t="inlineStr">
        <is>
          <t>MEDIA(2)</t>
        </is>
      </c>
      <c r="R520" s="10" t="inlineStr">
        <is>
          <t>MEDIA(2)</t>
        </is>
      </c>
      <c r="S520" s="10">
        <f>+(IF(P520="PUBLICA(1)",1,IF(P520="USO INTERNO(2)",2,IF(P520="RESTRINGIDO(3)",3,3))))+(IF(Q520="BAJA(1)",1,IF(Q520="MEDIA(2)",2,IF(Q520="ALTA(3)",3,3))))+(IF(R520="BAJA(1)",1,IF(R520="MEDIA(2)",2,IF(R520="ALTA(3)",3,3))))</f>
        <v/>
      </c>
      <c r="T520" s="10">
        <f>+IF(S520&lt;6,"BAJA",IF(S520&lt;8,"MEDIA","ALTA"))</f>
        <v/>
      </c>
      <c r="U520" s="10" t="inlineStr">
        <is>
          <t>-</t>
        </is>
      </c>
      <c r="V520" s="24" t="n">
        <v>45712</v>
      </c>
      <c r="W520" s="19" t="inlineStr">
        <is>
          <t>N/A</t>
        </is>
      </c>
      <c r="X520" s="10">
        <f>+IFERROR(IF(VLOOKUP(Tabla2[[#This Row],[ID]],'EVALUACION DE RIESGO'!A:A,1,FALSE)=Tabla2[[#This Row],[ID]],"SI","NO"),"NO")</f>
        <v/>
      </c>
      <c r="AD520">
        <f>IF(AND(Y520="",AA520=""),"",IF(OR(LEFT(AA520,2)="L0",LEFT(AA520,2)="L1",Y520="No Iniciado"),"CRÍTICO - Incumplimiento Normativo SEPS",IF(AND(OR(LEFT(AA520,2)="L4",LEFT(AA520,2)="L5"),AND(AC520&lt;&gt;"",AC520&lt;&gt;"N/A")),"CONFORME - Control Efectivo ISO 27001","OBSERVACIÓN - Revisar Controles")))</f>
        <v/>
      </c>
    </row>
    <row r="521">
      <c r="A521" s="99" t="inlineStr">
        <is>
          <t xml:space="preserve">1-GRE </t>
        </is>
      </c>
      <c r="B521" s="10" t="inlineStr">
        <is>
          <t>PRODUCTIVO</t>
        </is>
      </c>
      <c r="C521" s="10" t="inlineStr">
        <is>
          <t xml:space="preserve">Gestión de Recuperación </t>
        </is>
      </c>
      <c r="D521" s="10" t="inlineStr">
        <is>
          <t xml:space="preserve">GRE </t>
        </is>
      </c>
      <c r="E521" s="10" t="inlineStr">
        <is>
          <t>Gestión de Recuperación Preventiva y Correctiva</t>
        </is>
      </c>
      <c r="F521" s="10" t="inlineStr">
        <is>
          <t>-</t>
        </is>
      </c>
      <c r="G521" s="10" t="inlineStr">
        <is>
          <t>Recuperación Preventiva</t>
        </is>
      </c>
      <c r="H521" s="10" t="inlineStr">
        <is>
          <t>Solicitud de campañas telefónicas</t>
        </is>
      </c>
      <c r="I521" s="10" t="inlineStr">
        <is>
          <t>El sistema determina atrasos para enviar el sms a los clientes automáticamente, cuando se realiza una campaña se solicita al Gerente de Negocios por correo electrónico y reporte de operaciones</t>
        </is>
      </c>
      <c r="J521" s="10" t="inlineStr">
        <is>
          <t xml:space="preserve">Jefe de Cobranzas </t>
        </is>
      </c>
      <c r="K521" s="10" t="inlineStr">
        <is>
          <t xml:space="preserve">Jefe de Cobranzas </t>
        </is>
      </c>
      <c r="L521" s="10" t="inlineStr">
        <is>
          <t>UBICACIÓN DIGITAL-EQUIPO DEL CUSTODIO</t>
        </is>
      </c>
      <c r="M521" s="10" t="inlineStr">
        <is>
          <t>DISCOS DUROS, SERVIDORES, DISCOS O MEDIOS PORTÁTILES, CINTAS O MEDIOS DE VIDEO Y AUDIO, ETC.</t>
        </is>
      </c>
      <c r="N521" s="10" t="inlineStr">
        <is>
          <t>PRIMARIOS</t>
        </is>
      </c>
      <c r="O521" s="10" t="inlineStr">
        <is>
          <t>INFORMACIÓN DE SOCIOS Y CLIENTES</t>
        </is>
      </c>
      <c r="P521" s="10" t="inlineStr">
        <is>
          <t>USO INTERNO(2)</t>
        </is>
      </c>
      <c r="Q521" s="10" t="inlineStr">
        <is>
          <t>BAJA(1)</t>
        </is>
      </c>
      <c r="R521" s="10" t="inlineStr">
        <is>
          <t>ALTA(3)</t>
        </is>
      </c>
      <c r="S521" s="10">
        <f>+(IF(P521="PUBLICA(1)",1,IF(P521="USO INTERNO(2)",2,IF(P521="RESTRINGIDO(3)",3,3))))+(IF(Q521="BAJA(1)",1,IF(Q521="MEDIA(2)",2,IF(Q521="ALTA(3)",3,3))))+(IF(R521="BAJA(1)",1,IF(R521="MEDIA(2)",2,IF(R521="ALTA(3)",3,3))))</f>
        <v/>
      </c>
      <c r="T521" s="10">
        <f>+IF(S521&lt;6,"BAJA",IF(S521&lt;8,"MEDIA","ALTA"))</f>
        <v/>
      </c>
      <c r="U521" s="10" t="inlineStr">
        <is>
          <t>-</t>
        </is>
      </c>
      <c r="V521" s="24" t="n">
        <v>45681</v>
      </c>
      <c r="W521" s="19" t="inlineStr">
        <is>
          <t>N/A</t>
        </is>
      </c>
      <c r="X521" s="10">
        <f>+IFERROR(IF(VLOOKUP(Tabla2[[#This Row],[ID]],'EVALUACION DE RIESGO'!A:A,1,FALSE)=Tabla2[[#This Row],[ID]],"SI","NO"),"NO")</f>
        <v/>
      </c>
      <c r="AD521">
        <f>IF(AND(Y521="",AA521=""),"",IF(OR(LEFT(AA521,2)="L0",LEFT(AA521,2)="L1",Y521="No Iniciado"),"CRÍTICO - Incumplimiento Normativo SEPS",IF(AND(OR(LEFT(AA521,2)="L4",LEFT(AA521,2)="L5"),AND(AC521&lt;&gt;"",AC521&lt;&gt;"N/A")),"CONFORME - Control Efectivo ISO 27001","OBSERVACIÓN - Revisar Controles")))</f>
        <v/>
      </c>
    </row>
    <row r="522">
      <c r="A522" s="99" t="inlineStr">
        <is>
          <t xml:space="preserve">2-GRE </t>
        </is>
      </c>
      <c r="B522" s="10" t="inlineStr">
        <is>
          <t>PRODUCTIVO</t>
        </is>
      </c>
      <c r="C522" s="10" t="inlineStr">
        <is>
          <t xml:space="preserve">Gestión de Recuperación </t>
        </is>
      </c>
      <c r="D522" s="10" t="inlineStr">
        <is>
          <t xml:space="preserve">GRE </t>
        </is>
      </c>
      <c r="E522" s="10" t="inlineStr">
        <is>
          <t>Gestión de Recuperación Preventiva y Correctiva</t>
        </is>
      </c>
      <c r="F522" s="10" t="inlineStr">
        <is>
          <t>-</t>
        </is>
      </c>
      <c r="G522" s="10" t="inlineStr">
        <is>
          <t>Recuperación Correctiva Primera Etapa</t>
        </is>
      </c>
      <c r="H522" s="10" t="inlineStr">
        <is>
          <t>Registro de acciones de recuperación</t>
        </is>
      </c>
      <c r="I522" s="10" t="inlineStr">
        <is>
          <t>Registro de gestión de cobranza de cada asesor, reporte obtenido del sistema con información de operaciones, se consolida mensualmente con información de nombre del socio, relación, descripcion, fecha de gestión, usuario, oficina, gestión</t>
        </is>
      </c>
      <c r="J522" s="10" t="inlineStr">
        <is>
          <t xml:space="preserve">Jefe de Cobranzas </t>
        </is>
      </c>
      <c r="K522" s="10" t="inlineStr">
        <is>
          <t xml:space="preserve">Jefe de Cobranzas </t>
        </is>
      </c>
      <c r="L522" s="10" t="inlineStr">
        <is>
          <t>UBICACIÓN DIGITAL-EQUIPO DEL CUSTODIO</t>
        </is>
      </c>
      <c r="M522" s="10" t="inlineStr">
        <is>
          <t>DISCOS DUROS, SERVIDORES, DISCOS O MEDIOS PORTÁTILES, CINTAS O MEDIOS DE VIDEO Y AUDIO, ETC.</t>
        </is>
      </c>
      <c r="N522" s="10" t="inlineStr">
        <is>
          <t>PRIMARIOS</t>
        </is>
      </c>
      <c r="O522" s="10" t="inlineStr">
        <is>
          <t>DOCUMENTOS TÉCNICOS</t>
        </is>
      </c>
      <c r="P522" s="10" t="inlineStr">
        <is>
          <t>USO INTERNO(2)</t>
        </is>
      </c>
      <c r="Q522" s="10" t="inlineStr">
        <is>
          <t>MEDIA(2)</t>
        </is>
      </c>
      <c r="R522" s="10" t="inlineStr">
        <is>
          <t>MEDIA(2)</t>
        </is>
      </c>
      <c r="S522" s="10">
        <f>+(IF(P522="PUBLICA(1)",1,IF(P522="USO INTERNO(2)",2,IF(P522="RESTRINGIDO(3)",3,3))))+(IF(Q522="BAJA(1)",1,IF(Q522="MEDIA(2)",2,IF(Q522="ALTA(3)",3,3))))+(IF(R522="BAJA(1)",1,IF(R522="MEDIA(2)",2,IF(R522="ALTA(3)",3,3))))</f>
        <v/>
      </c>
      <c r="T522" s="10">
        <f>+IF(S522&lt;6,"BAJA",IF(S522&lt;8,"MEDIA","ALTA"))</f>
        <v/>
      </c>
      <c r="U522" s="10" t="inlineStr">
        <is>
          <t>-</t>
        </is>
      </c>
      <c r="V522" s="24" t="n">
        <v>45681</v>
      </c>
      <c r="W522" s="19" t="inlineStr">
        <is>
          <t>N/A</t>
        </is>
      </c>
      <c r="X522" s="10">
        <f>+IFERROR(IF(VLOOKUP(Tabla2[[#This Row],[ID]],'EVALUACION DE RIESGO'!A:A,1,FALSE)=Tabla2[[#This Row],[ID]],"SI","NO"),"NO")</f>
        <v/>
      </c>
      <c r="AD522">
        <f>IF(AND(Y522="",AA522=""),"",IF(OR(LEFT(AA522,2)="L0",LEFT(AA522,2)="L1",Y522="No Iniciado"),"CRÍTICO - Incumplimiento Normativo SEPS",IF(AND(OR(LEFT(AA522,2)="L4",LEFT(AA522,2)="L5"),AND(AC522&lt;&gt;"",AC522&lt;&gt;"N/A")),"CONFORME - Control Efectivo ISO 27001","OBSERVACIÓN - Revisar Controles")))</f>
        <v/>
      </c>
    </row>
    <row r="523">
      <c r="A523" s="99" t="inlineStr">
        <is>
          <t xml:space="preserve">3-GRE </t>
        </is>
      </c>
      <c r="B523" s="10" t="inlineStr">
        <is>
          <t>PRODUCTIVO</t>
        </is>
      </c>
      <c r="C523" s="10" t="inlineStr">
        <is>
          <t xml:space="preserve">Gestión de Recuperación </t>
        </is>
      </c>
      <c r="D523" s="10" t="inlineStr">
        <is>
          <t xml:space="preserve">GRE </t>
        </is>
      </c>
      <c r="E523" s="10" t="inlineStr">
        <is>
          <t>Gestión de Recuperación Preventiva y Correctiva</t>
        </is>
      </c>
      <c r="F523" s="10" t="inlineStr">
        <is>
          <t>-</t>
        </is>
      </c>
      <c r="G523" s="10" t="inlineStr">
        <is>
          <t>Recuperación Correctiva Primera Etapa</t>
        </is>
      </c>
      <c r="H523" s="10" t="inlineStr">
        <is>
          <t>Notificación de mora</t>
        </is>
      </c>
      <c r="I523" s="10" t="inlineStr">
        <is>
          <t>Dependiendo los días de atraso se envian 4 tipos de notificaciones a los clientes, con información del cliente, credito, gestion de recuperaciob, tabla de rubros por el tiempo de atraso, control de recepción con datos del socio.</t>
        </is>
      </c>
      <c r="J523" s="10" t="inlineStr">
        <is>
          <t xml:space="preserve">Jefe de Cobranzas </t>
        </is>
      </c>
      <c r="K523" s="10" t="inlineStr">
        <is>
          <t>Gestor de Cobranza</t>
        </is>
      </c>
      <c r="L523" s="10" t="inlineStr">
        <is>
          <t>DOCUMENTOS FISICOS-ARCHIVOS DE LA OFICINA</t>
        </is>
      </c>
      <c r="M523" s="10" t="inlineStr">
        <is>
          <t>DOCUMENTO DE ARCHIVO-FÍSICO</t>
        </is>
      </c>
      <c r="N523" s="10" t="inlineStr">
        <is>
          <t>PRIMARIOS</t>
        </is>
      </c>
      <c r="O523" s="10" t="inlineStr">
        <is>
          <t>INFORMACIÓN DE SOCIOS Y CLIENTES</t>
        </is>
      </c>
      <c r="P523" s="10" t="inlineStr">
        <is>
          <t>RESTRINGIDO(3)</t>
        </is>
      </c>
      <c r="Q523" s="10" t="inlineStr">
        <is>
          <t>MEDIA(2)</t>
        </is>
      </c>
      <c r="R523" s="10" t="inlineStr">
        <is>
          <t>MEDIA(2)</t>
        </is>
      </c>
      <c r="S523" s="10">
        <f>+(IF(P523="PUBLICA(1)",1,IF(P523="USO INTERNO(2)",2,IF(P523="RESTRINGIDO(3)",3,3))))+(IF(Q523="BAJA(1)",1,IF(Q523="MEDIA(2)",2,IF(Q523="ALTA(3)",3,3))))+(IF(R523="BAJA(1)",1,IF(R523="MEDIA(2)",2,IF(R523="ALTA(3)",3,3))))</f>
        <v/>
      </c>
      <c r="T523" s="10">
        <f>+IF(S523&lt;6,"BAJA",IF(S523&lt;8,"MEDIA","ALTA"))</f>
        <v/>
      </c>
      <c r="U523" s="10" t="inlineStr">
        <is>
          <t>-</t>
        </is>
      </c>
      <c r="V523" s="24" t="n">
        <v>45681</v>
      </c>
      <c r="W523" s="19" t="inlineStr">
        <is>
          <t>N/A</t>
        </is>
      </c>
      <c r="X523" s="10">
        <f>+IFERROR(IF(VLOOKUP(Tabla2[[#This Row],[ID]],'EVALUACION DE RIESGO'!A:A,1,FALSE)=Tabla2[[#This Row],[ID]],"SI","NO"),"NO")</f>
        <v/>
      </c>
      <c r="AD523">
        <f>IF(AND(Y523="",AA523=""),"",IF(OR(LEFT(AA523,2)="L0",LEFT(AA523,2)="L1",Y523="No Iniciado"),"CRÍTICO - Incumplimiento Normativo SEPS",IF(AND(OR(LEFT(AA523,2)="L4",LEFT(AA523,2)="L5"),AND(AC523&lt;&gt;"",AC523&lt;&gt;"N/A")),"CONFORME - Control Efectivo ISO 27001","OBSERVACIÓN - Revisar Controles")))</f>
        <v/>
      </c>
    </row>
    <row r="524">
      <c r="A524" s="99" t="inlineStr">
        <is>
          <t xml:space="preserve">4-GRE </t>
        </is>
      </c>
      <c r="B524" s="10" t="inlineStr">
        <is>
          <t>PRODUCTIVO</t>
        </is>
      </c>
      <c r="C524" s="10" t="inlineStr">
        <is>
          <t xml:space="preserve">Gestión de Recuperación </t>
        </is>
      </c>
      <c r="D524" s="10" t="inlineStr">
        <is>
          <t xml:space="preserve">GRE </t>
        </is>
      </c>
      <c r="E524" s="10" t="inlineStr">
        <is>
          <t>Gestión de Recuperación Preventiva y Correctiva</t>
        </is>
      </c>
      <c r="F524" s="10" t="inlineStr">
        <is>
          <t>-</t>
        </is>
      </c>
      <c r="G524" s="10" t="inlineStr">
        <is>
          <t>Recuperación Correctiva Primera Etapa</t>
        </is>
      </c>
      <c r="H524" s="10" t="inlineStr">
        <is>
          <t>Recibo usado</t>
        </is>
      </c>
      <c r="I524" s="10" t="inlineStr">
        <is>
          <t>Documento que registra el personal de desembolso de la notificación de mora</t>
        </is>
      </c>
      <c r="J524" s="10" t="inlineStr">
        <is>
          <t xml:space="preserve">Jefe de Cobranzas </t>
        </is>
      </c>
      <c r="K524" s="10" t="inlineStr">
        <is>
          <t>Gestor de Cobranza</t>
        </is>
      </c>
      <c r="L524" s="10" t="inlineStr">
        <is>
          <t>DOCUMENTOS FISICOS-ARCHIVOS DE LA OFICINA</t>
        </is>
      </c>
      <c r="M524" s="10" t="inlineStr">
        <is>
          <t>DOCUMENTO DE ARCHIVO-FÍSICO</t>
        </is>
      </c>
      <c r="N524" s="10" t="inlineStr">
        <is>
          <t>PRIMARIOS</t>
        </is>
      </c>
      <c r="O524" s="10" t="inlineStr">
        <is>
          <t>DOCUMENTOS HABILITANTES</t>
        </is>
      </c>
      <c r="P524" s="10" t="inlineStr">
        <is>
          <t>RESTRINGIDO(3)</t>
        </is>
      </c>
      <c r="Q524" s="10" t="inlineStr">
        <is>
          <t>MEDIA(2)</t>
        </is>
      </c>
      <c r="R524" s="10" t="inlineStr">
        <is>
          <t>MEDIA(2)</t>
        </is>
      </c>
      <c r="S524" s="10">
        <f>+(IF(P524="PUBLICA(1)",1,IF(P524="USO INTERNO(2)",2,IF(P524="RESTRINGIDO(3)",3,3))))+(IF(Q524="BAJA(1)",1,IF(Q524="MEDIA(2)",2,IF(Q524="ALTA(3)",3,3))))+(IF(R524="BAJA(1)",1,IF(R524="MEDIA(2)",2,IF(R524="ALTA(3)",3,3))))</f>
        <v/>
      </c>
      <c r="T524" s="10">
        <f>+IF(S524&lt;6,"BAJA",IF(S524&lt;8,"MEDIA","ALTA"))</f>
        <v/>
      </c>
      <c r="U524" s="10" t="inlineStr">
        <is>
          <t>-</t>
        </is>
      </c>
      <c r="V524" s="24" t="n">
        <v>45681</v>
      </c>
      <c r="W524" s="19" t="inlineStr">
        <is>
          <t>N/A</t>
        </is>
      </c>
      <c r="X524" s="10">
        <f>+IFERROR(IF(VLOOKUP(Tabla2[[#This Row],[ID]],'EVALUACION DE RIESGO'!A:A,1,FALSE)=Tabla2[[#This Row],[ID]],"SI","NO"),"NO")</f>
        <v/>
      </c>
      <c r="AD524">
        <f>IF(AND(Y524="",AA524=""),"",IF(OR(LEFT(AA524,2)="L0",LEFT(AA524,2)="L1",Y524="No Iniciado"),"CRÍTICO - Incumplimiento Normativo SEPS",IF(AND(OR(LEFT(AA524,2)="L4",LEFT(AA524,2)="L5"),AND(AC524&lt;&gt;"",AC524&lt;&gt;"N/A")),"CONFORME - Control Efectivo ISO 27001","OBSERVACIÓN - Revisar Controles")))</f>
        <v/>
      </c>
    </row>
    <row r="525">
      <c r="A525" s="99" t="inlineStr">
        <is>
          <t xml:space="preserve">5-GRE </t>
        </is>
      </c>
      <c r="B525" s="10" t="inlineStr">
        <is>
          <t>PRODUCTIVO</t>
        </is>
      </c>
      <c r="C525" s="10" t="inlineStr">
        <is>
          <t xml:space="preserve">Gestión de Recuperación </t>
        </is>
      </c>
      <c r="D525" s="10" t="inlineStr">
        <is>
          <t xml:space="preserve">GRE </t>
        </is>
      </c>
      <c r="E525" s="10" t="inlineStr">
        <is>
          <t>Gestión de Recuperación Preventiva y Correctiva</t>
        </is>
      </c>
      <c r="F525" s="10" t="inlineStr">
        <is>
          <t>-</t>
        </is>
      </c>
      <c r="G525" s="10" t="inlineStr">
        <is>
          <t>Recuperación Correctiva Segunda Etapa</t>
        </is>
      </c>
      <c r="H525" s="10" t="inlineStr">
        <is>
          <t>Notificación de mora</t>
        </is>
      </c>
      <c r="I525" s="10" t="inlineStr">
        <is>
          <t>Dependiendo los días de atraso se envian 4 tipos de notificaciones a los clientes, con información del cliente, credito, gestion de recuperaciob, tabla de rubros por el tiempo de atraso, control de recepción con datos del socio.</t>
        </is>
      </c>
      <c r="J525" s="10" t="inlineStr">
        <is>
          <t xml:space="preserve">Jefe de Cobranzas </t>
        </is>
      </c>
      <c r="K525" s="10" t="inlineStr">
        <is>
          <t>Gestor de Cobranza</t>
        </is>
      </c>
      <c r="L525" s="10" t="inlineStr">
        <is>
          <t>DOCUMENTOS FISICOS-ARCHIVOS DE LA OFICINA</t>
        </is>
      </c>
      <c r="M525" s="10" t="inlineStr">
        <is>
          <t>DOCUMENTO DE ARCHIVO-FÍSICO</t>
        </is>
      </c>
      <c r="N525" s="10" t="inlineStr">
        <is>
          <t>PRIMARIOS</t>
        </is>
      </c>
      <c r="O525" s="10" t="inlineStr">
        <is>
          <t>INFORMACIÓN DE SOCIOS Y CLIENTES</t>
        </is>
      </c>
      <c r="P525" s="10" t="inlineStr">
        <is>
          <t>RESTRINGIDO(3)</t>
        </is>
      </c>
      <c r="Q525" s="10" t="inlineStr">
        <is>
          <t>MEDIA(2)</t>
        </is>
      </c>
      <c r="R525" s="10" t="inlineStr">
        <is>
          <t>MEDIA(2)</t>
        </is>
      </c>
      <c r="S525" s="10">
        <f>+(IF(P525="PUBLICA(1)",1,IF(P525="USO INTERNO(2)",2,IF(P525="RESTRINGIDO(3)",3,3))))+(IF(Q525="BAJA(1)",1,IF(Q525="MEDIA(2)",2,IF(Q525="ALTA(3)",3,3))))+(IF(R525="BAJA(1)",1,IF(R525="MEDIA(2)",2,IF(R525="ALTA(3)",3,3))))</f>
        <v/>
      </c>
      <c r="T525" s="10">
        <f>+IF(S525&lt;6,"BAJA",IF(S525&lt;8,"MEDIA","ALTA"))</f>
        <v/>
      </c>
      <c r="U525" s="10" t="inlineStr">
        <is>
          <t>-</t>
        </is>
      </c>
      <c r="V525" s="24" t="n">
        <v>45681</v>
      </c>
      <c r="W525" s="19" t="inlineStr">
        <is>
          <t>N/A</t>
        </is>
      </c>
      <c r="X525" s="10">
        <f>+IFERROR(IF(VLOOKUP(Tabla2[[#This Row],[ID]],'EVALUACION DE RIESGO'!A:A,1,FALSE)=Tabla2[[#This Row],[ID]],"SI","NO"),"NO")</f>
        <v/>
      </c>
      <c r="AD525">
        <f>IF(AND(Y525="",AA525=""),"",IF(OR(LEFT(AA525,2)="L0",LEFT(AA525,2)="L1",Y525="No Iniciado"),"CRÍTICO - Incumplimiento Normativo SEPS",IF(AND(OR(LEFT(AA525,2)="L4",LEFT(AA525,2)="L5"),AND(AC525&lt;&gt;"",AC525&lt;&gt;"N/A")),"CONFORME - Control Efectivo ISO 27001","OBSERVACIÓN - Revisar Controles")))</f>
        <v/>
      </c>
    </row>
    <row r="526">
      <c r="A526" s="99" t="inlineStr">
        <is>
          <t xml:space="preserve">6-GRE </t>
        </is>
      </c>
      <c r="B526" s="10" t="inlineStr">
        <is>
          <t>PRODUCTIVO</t>
        </is>
      </c>
      <c r="C526" s="10" t="inlineStr">
        <is>
          <t xml:space="preserve">Gestión de Recuperación </t>
        </is>
      </c>
      <c r="D526" s="10" t="inlineStr">
        <is>
          <t xml:space="preserve">GRE </t>
        </is>
      </c>
      <c r="E526" s="10" t="inlineStr">
        <is>
          <t>Gestión de Recuperación Preventiva y Correctiva</t>
        </is>
      </c>
      <c r="F526" s="10" t="inlineStr">
        <is>
          <t>-</t>
        </is>
      </c>
      <c r="G526" s="10" t="inlineStr">
        <is>
          <t>Recuperación Correctiva Segunda Etapa</t>
        </is>
      </c>
      <c r="H526" s="10" t="inlineStr">
        <is>
          <t>Recibo usado</t>
        </is>
      </c>
      <c r="I526" s="10" t="inlineStr">
        <is>
          <t>Documento que registra el personal de desembolso de la notificación de mora</t>
        </is>
      </c>
      <c r="J526" s="10" t="inlineStr">
        <is>
          <t xml:space="preserve">Jefe de Cobranzas </t>
        </is>
      </c>
      <c r="K526" s="10" t="inlineStr">
        <is>
          <t>Gestor de Cobranza</t>
        </is>
      </c>
      <c r="L526" s="10" t="inlineStr">
        <is>
          <t>DOCUMENTOS FISICOS-ARCHIVOS DE LA OFICINA</t>
        </is>
      </c>
      <c r="M526" s="10" t="inlineStr">
        <is>
          <t>DOCUMENTO DE ARCHIVO-FÍSICO</t>
        </is>
      </c>
      <c r="N526" s="10" t="inlineStr">
        <is>
          <t>PRIMARIOS</t>
        </is>
      </c>
      <c r="O526" s="10" t="inlineStr">
        <is>
          <t>DOCUMENTOS HABILITANTES</t>
        </is>
      </c>
      <c r="P526" s="10" t="inlineStr">
        <is>
          <t>RESTRINGIDO(3)</t>
        </is>
      </c>
      <c r="Q526" s="10" t="inlineStr">
        <is>
          <t>MEDIA(2)</t>
        </is>
      </c>
      <c r="R526" s="10" t="inlineStr">
        <is>
          <t>MEDIA(2)</t>
        </is>
      </c>
      <c r="S526" s="10">
        <f>+(IF(P526="PUBLICA(1)",1,IF(P526="USO INTERNO(2)",2,IF(P526="RESTRINGIDO(3)",3,3))))+(IF(Q526="BAJA(1)",1,IF(Q526="MEDIA(2)",2,IF(Q526="ALTA(3)",3,3))))+(IF(R526="BAJA(1)",1,IF(R526="MEDIA(2)",2,IF(R526="ALTA(3)",3,3))))</f>
        <v/>
      </c>
      <c r="T526" s="10">
        <f>+IF(S526&lt;6,"BAJA",IF(S526&lt;8,"MEDIA","ALTA"))</f>
        <v/>
      </c>
      <c r="U526" s="10" t="inlineStr">
        <is>
          <t>-</t>
        </is>
      </c>
      <c r="V526" s="24" t="n">
        <v>45681</v>
      </c>
      <c r="W526" s="19" t="inlineStr">
        <is>
          <t>N/A</t>
        </is>
      </c>
      <c r="X526" s="10">
        <f>+IFERROR(IF(VLOOKUP(Tabla2[[#This Row],[ID]],'EVALUACION DE RIESGO'!A:A,1,FALSE)=Tabla2[[#This Row],[ID]],"SI","NO"),"NO")</f>
        <v/>
      </c>
      <c r="AD526">
        <f>IF(AND(Y526="",AA526=""),"",IF(OR(LEFT(AA526,2)="L0",LEFT(AA526,2)="L1",Y526="No Iniciado"),"CRÍTICO - Incumplimiento Normativo SEPS",IF(AND(OR(LEFT(AA526,2)="L4",LEFT(AA526,2)="L5"),AND(AC526&lt;&gt;"",AC526&lt;&gt;"N/A")),"CONFORME - Control Efectivo ISO 27001","OBSERVACIÓN - Revisar Controles")))</f>
        <v/>
      </c>
    </row>
    <row r="527">
      <c r="A527" s="99" t="inlineStr">
        <is>
          <t xml:space="preserve">7-GRE </t>
        </is>
      </c>
      <c r="B527" s="10" t="inlineStr">
        <is>
          <t>PRODUCTIVO</t>
        </is>
      </c>
      <c r="C527" s="10" t="inlineStr">
        <is>
          <t xml:space="preserve">Gestión de Recuperación </t>
        </is>
      </c>
      <c r="D527" s="10" t="inlineStr">
        <is>
          <t xml:space="preserve">GRE </t>
        </is>
      </c>
      <c r="E527" s="10" t="inlineStr">
        <is>
          <t>Gestión de Recuperación Preventiva y Correctiva</t>
        </is>
      </c>
      <c r="F527" s="10" t="inlineStr">
        <is>
          <t>-</t>
        </is>
      </c>
      <c r="G527" s="10" t="inlineStr">
        <is>
          <t>Recuperación Correctiva Segunda Etapa</t>
        </is>
      </c>
      <c r="H527" s="10" t="inlineStr">
        <is>
          <t>Informe de gestión de cobranza de Gestor de Cobranza</t>
        </is>
      </c>
      <c r="I527" s="10" t="inlineStr">
        <is>
          <t>Cuando se pasa operaciones a Juridico se realiza el informe con infirmación de todas las operaciones gestionadas por cobranza indicando información del credito, resumen de la gestión, todas las gestiones realizadas, ubicación del socio, mapa, firmas de responsabilidad</t>
        </is>
      </c>
      <c r="J527" s="10" t="inlineStr">
        <is>
          <t xml:space="preserve">Jefe de Cobranzas </t>
        </is>
      </c>
      <c r="K527" s="10" t="inlineStr">
        <is>
          <t xml:space="preserve">Jefe de Cobranzas </t>
        </is>
      </c>
      <c r="L527" s="10" t="inlineStr">
        <is>
          <t>DOCUMENTOS FISICOS-ARCHIVOS DE LA OFICINA</t>
        </is>
      </c>
      <c r="M527" s="10" t="inlineStr">
        <is>
          <t>DOCUMENTO DE ARCHIVO-FÍSICO</t>
        </is>
      </c>
      <c r="N527" s="10" t="inlineStr">
        <is>
          <t>PRIMARIOS</t>
        </is>
      </c>
      <c r="O527" s="10" t="inlineStr">
        <is>
          <t>DOCUMENTOS TÉCNICOS</t>
        </is>
      </c>
      <c r="P527" s="10" t="inlineStr">
        <is>
          <t>RESTRINGIDO(3)</t>
        </is>
      </c>
      <c r="Q527" s="10" t="inlineStr">
        <is>
          <t>MEDIA(2)</t>
        </is>
      </c>
      <c r="R527" s="10" t="inlineStr">
        <is>
          <t>MEDIA(2)</t>
        </is>
      </c>
      <c r="S527" s="10">
        <f>+(IF(P527="PUBLICA(1)",1,IF(P527="USO INTERNO(2)",2,IF(P527="RESTRINGIDO(3)",3,3))))+(IF(Q527="BAJA(1)",1,IF(Q527="MEDIA(2)",2,IF(Q527="ALTA(3)",3,3))))+(IF(R527="BAJA(1)",1,IF(R527="MEDIA(2)",2,IF(R527="ALTA(3)",3,3))))</f>
        <v/>
      </c>
      <c r="T527" s="10">
        <f>+IF(S527&lt;6,"BAJA",IF(S527&lt;8,"MEDIA","ALTA"))</f>
        <v/>
      </c>
      <c r="U527" s="10" t="inlineStr">
        <is>
          <t>-</t>
        </is>
      </c>
      <c r="V527" s="24" t="n">
        <v>45681</v>
      </c>
      <c r="W527" s="19" t="inlineStr">
        <is>
          <t>N/A</t>
        </is>
      </c>
      <c r="X527" s="10">
        <f>+IFERROR(IF(VLOOKUP(Tabla2[[#This Row],[ID]],'EVALUACION DE RIESGO'!A:A,1,FALSE)=Tabla2[[#This Row],[ID]],"SI","NO"),"NO")</f>
        <v/>
      </c>
      <c r="AD527">
        <f>IF(AND(Y527="",AA527=""),"",IF(OR(LEFT(AA527,2)="L0",LEFT(AA527,2)="L1",Y527="No Iniciado"),"CRÍTICO - Incumplimiento Normativo SEPS",IF(AND(OR(LEFT(AA527,2)="L4",LEFT(AA527,2)="L5"),AND(AC527&lt;&gt;"",AC527&lt;&gt;"N/A")),"CONFORME - Control Efectivo ISO 27001","OBSERVACIÓN - Revisar Controles")))</f>
        <v/>
      </c>
    </row>
    <row r="528">
      <c r="A528" s="99" t="inlineStr">
        <is>
          <t xml:space="preserve">8-GRE </t>
        </is>
      </c>
      <c r="B528" s="10" t="inlineStr">
        <is>
          <t>PRODUCTIVO</t>
        </is>
      </c>
      <c r="C528" s="10" t="inlineStr">
        <is>
          <t xml:space="preserve">Gestión de Recuperación </t>
        </is>
      </c>
      <c r="D528" s="10" t="inlineStr">
        <is>
          <t xml:space="preserve">GRE </t>
        </is>
      </c>
      <c r="E528" s="10" t="inlineStr">
        <is>
          <t>Gestión de Recuperación Preventiva y Correctiva</t>
        </is>
      </c>
      <c r="F528" s="10" t="inlineStr">
        <is>
          <t>-</t>
        </is>
      </c>
      <c r="G528" s="10" t="inlineStr">
        <is>
          <t>Recuperación Correctiva Segunda Etapa</t>
        </is>
      </c>
      <c r="H528" s="10" t="inlineStr">
        <is>
          <t>Resolución del comité de cobranza</t>
        </is>
      </c>
      <c r="I528" s="10" t="inlineStr">
        <is>
          <t>Acta Física del Comité de cobrnaza con la resolución respectiva</t>
        </is>
      </c>
      <c r="J528" s="10" t="inlineStr">
        <is>
          <t xml:space="preserve">Jefe de Cobranzas </t>
        </is>
      </c>
      <c r="K528" s="10" t="inlineStr">
        <is>
          <t xml:space="preserve">Jefe de Cobranzas </t>
        </is>
      </c>
      <c r="L528" s="10" t="inlineStr">
        <is>
          <t>DOCUMENTOS FISICOS-ARCHIVOS DE LA OFICINA</t>
        </is>
      </c>
      <c r="M528" s="10" t="inlineStr">
        <is>
          <t>DOCUMENTO DE ARCHIVO-FÍSICO</t>
        </is>
      </c>
      <c r="N528" s="10" t="inlineStr">
        <is>
          <t>PRIMARIOS</t>
        </is>
      </c>
      <c r="O528" s="10" t="inlineStr">
        <is>
          <t>DOCUMENTOS HABILITANTES</t>
        </is>
      </c>
      <c r="P528" s="10" t="inlineStr">
        <is>
          <t>USO INTERNO(2)</t>
        </is>
      </c>
      <c r="Q528" s="10" t="inlineStr">
        <is>
          <t>MEDIA(2)</t>
        </is>
      </c>
      <c r="R528" s="10" t="inlineStr">
        <is>
          <t>MEDIA(2)</t>
        </is>
      </c>
      <c r="S528" s="10">
        <f>+(IF(P528="PUBLICA(1)",1,IF(P528="USO INTERNO(2)",2,IF(P528="RESTRINGIDO(3)",3,3))))+(IF(Q528="BAJA(1)",1,IF(Q528="MEDIA(2)",2,IF(Q528="ALTA(3)",3,3))))+(IF(R528="BAJA(1)",1,IF(R528="MEDIA(2)",2,IF(R528="ALTA(3)",3,3))))</f>
        <v/>
      </c>
      <c r="T528" s="10">
        <f>+IF(S528&lt;6,"BAJA",IF(S528&lt;8,"MEDIA","ALTA"))</f>
        <v/>
      </c>
      <c r="U528" s="10" t="inlineStr">
        <is>
          <t>-</t>
        </is>
      </c>
      <c r="V528" s="24" t="n">
        <v>45681</v>
      </c>
      <c r="W528" s="19" t="inlineStr">
        <is>
          <t>N/A</t>
        </is>
      </c>
      <c r="X528" s="10">
        <f>+IFERROR(IF(VLOOKUP(Tabla2[[#This Row],[ID]],'EVALUACION DE RIESGO'!A:A,1,FALSE)=Tabla2[[#This Row],[ID]],"SI","NO"),"NO")</f>
        <v/>
      </c>
      <c r="AD528">
        <f>IF(AND(Y528="",AA528=""),"",IF(OR(LEFT(AA528,2)="L0",LEFT(AA528,2)="L1",Y528="No Iniciado"),"CRÍTICO - Incumplimiento Normativo SEPS",IF(AND(OR(LEFT(AA528,2)="L4",LEFT(AA528,2)="L5"),AND(AC528&lt;&gt;"",AC528&lt;&gt;"N/A")),"CONFORME - Control Efectivo ISO 27001","OBSERVACIÓN - Revisar Controles")))</f>
        <v/>
      </c>
    </row>
    <row r="529">
      <c r="A529" s="99" t="inlineStr">
        <is>
          <t xml:space="preserve">9-GRE </t>
        </is>
      </c>
      <c r="B529" s="10" t="inlineStr">
        <is>
          <t>PRODUCTIVO</t>
        </is>
      </c>
      <c r="C529" s="10" t="inlineStr">
        <is>
          <t xml:space="preserve">Gestión de Recuperación </t>
        </is>
      </c>
      <c r="D529" s="10" t="inlineStr">
        <is>
          <t xml:space="preserve">GRE </t>
        </is>
      </c>
      <c r="E529" s="10" t="inlineStr">
        <is>
          <t>Gestión de Recuperación Preventiva y Correctiva</t>
        </is>
      </c>
      <c r="F529" s="10" t="inlineStr">
        <is>
          <t>-</t>
        </is>
      </c>
      <c r="G529" s="10" t="inlineStr">
        <is>
          <t>Entrega y Control de Reciberas</t>
        </is>
      </c>
      <c r="H529" s="10" t="inlineStr">
        <is>
          <t>Acta entrega de reciberas</t>
        </is>
      </c>
      <c r="I529" s="10" t="inlineStr">
        <is>
          <t>Documento recibera que manejan los gestores de cobranza para la recepción de efectivo en campo, contiene numero serial, datos del socio, cantidad, descripcion, firmas de responsabilidad</t>
        </is>
      </c>
      <c r="J529" s="10" t="inlineStr">
        <is>
          <t xml:space="preserve">Jefe de Cobranzas </t>
        </is>
      </c>
      <c r="K529" s="10" t="inlineStr">
        <is>
          <t>Supervisor de Cobranza</t>
        </is>
      </c>
      <c r="L529" s="10" t="inlineStr">
        <is>
          <t>DOCUMENTOS FISICOS-ARCHIVOS DE LA OFICINA</t>
        </is>
      </c>
      <c r="M529" s="10" t="inlineStr">
        <is>
          <t>DOCUMENTO DE ARCHIVO-FÍSICO</t>
        </is>
      </c>
      <c r="N529" s="10" t="inlineStr">
        <is>
          <t>PRIMARIOS</t>
        </is>
      </c>
      <c r="O529" s="10" t="inlineStr">
        <is>
          <t>DOCUMENTOS HABILITANTES</t>
        </is>
      </c>
      <c r="P529" s="10" t="inlineStr">
        <is>
          <t>USO INTERNO(2)</t>
        </is>
      </c>
      <c r="Q529" s="10" t="inlineStr">
        <is>
          <t>MEDIA(2)</t>
        </is>
      </c>
      <c r="R529" s="10" t="inlineStr">
        <is>
          <t>ALTA(3)</t>
        </is>
      </c>
      <c r="S529" s="10">
        <f>+(IF(P529="PUBLICA(1)",1,IF(P529="USO INTERNO(2)",2,IF(P529="RESTRINGIDO(3)",3,3))))+(IF(Q529="BAJA(1)",1,IF(Q529="MEDIA(2)",2,IF(Q529="ALTA(3)",3,3))))+(IF(R529="BAJA(1)",1,IF(R529="MEDIA(2)",2,IF(R529="ALTA(3)",3,3))))</f>
        <v/>
      </c>
      <c r="T529" s="10">
        <f>+IF(S529&lt;6,"BAJA",IF(S529&lt;8,"MEDIA","ALTA"))</f>
        <v/>
      </c>
      <c r="U529" s="10" t="inlineStr">
        <is>
          <t>-</t>
        </is>
      </c>
      <c r="V529" s="24" t="n">
        <v>45681</v>
      </c>
      <c r="W529" s="19" t="inlineStr">
        <is>
          <t>N/A</t>
        </is>
      </c>
      <c r="X529" s="10">
        <f>+IFERROR(IF(VLOOKUP(Tabla2[[#This Row],[ID]],'EVALUACION DE RIESGO'!A:A,1,FALSE)=Tabla2[[#This Row],[ID]],"SI","NO"),"NO")</f>
        <v/>
      </c>
      <c r="AD529">
        <f>IF(AND(Y529="",AA529=""),"",IF(OR(LEFT(AA529,2)="L0",LEFT(AA529,2)="L1",Y529="No Iniciado"),"CRÍTICO - Incumplimiento Normativo SEPS",IF(AND(OR(LEFT(AA529,2)="L4",LEFT(AA529,2)="L5"),AND(AC529&lt;&gt;"",AC529&lt;&gt;"N/A")),"CONFORME - Control Efectivo ISO 27001","OBSERVACIÓN - Revisar Controles")))</f>
        <v/>
      </c>
    </row>
    <row r="530">
      <c r="A530" s="99" t="inlineStr">
        <is>
          <t xml:space="preserve">10-GRE </t>
        </is>
      </c>
      <c r="B530" s="10" t="inlineStr">
        <is>
          <t>PRODUCTIVO</t>
        </is>
      </c>
      <c r="C530" s="10" t="inlineStr">
        <is>
          <t xml:space="preserve">Gestión de Recuperación </t>
        </is>
      </c>
      <c r="D530" s="10" t="inlineStr">
        <is>
          <t xml:space="preserve">GRE </t>
        </is>
      </c>
      <c r="E530" s="10" t="inlineStr">
        <is>
          <t>Gestión de Recuperación Preventiva y Correctiva</t>
        </is>
      </c>
      <c r="F530" s="10" t="inlineStr">
        <is>
          <t>-</t>
        </is>
      </c>
      <c r="G530" s="10" t="inlineStr">
        <is>
          <t>Transferencia de cartera a empresa recuperadora</t>
        </is>
      </c>
      <c r="H530" s="10" t="inlineStr">
        <is>
          <t>Memorando</t>
        </is>
      </c>
      <c r="I530" s="10" t="inlineStr">
        <is>
          <t>Documento que se incluye el reportede cartera asignado al contrato con la emplesa, contiene información del crédito, información del socio, y ubicación, saldos, cuotas, estado detallado del crédito</t>
        </is>
      </c>
      <c r="J530" s="10" t="inlineStr">
        <is>
          <t xml:space="preserve">Jefe de Cobranzas </t>
        </is>
      </c>
      <c r="K530" s="10" t="inlineStr">
        <is>
          <t xml:space="preserve">Jefe de Cobranzas </t>
        </is>
      </c>
      <c r="L530" s="10" t="inlineStr">
        <is>
          <t>UBICACIÓN DIGITAL-EQUIPO DEL CUSTODIO</t>
        </is>
      </c>
      <c r="M530" s="10" t="inlineStr">
        <is>
          <t>DISCOS DUROS, SERVIDORES, DISCOS O MEDIOS PORTÁTILES, CINTAS O MEDIOS DE VIDEO Y AUDIO, ETC.</t>
        </is>
      </c>
      <c r="N530" s="10" t="inlineStr">
        <is>
          <t>PRIMARIOS</t>
        </is>
      </c>
      <c r="O530" s="10" t="inlineStr">
        <is>
          <t>DOCUMENTOS HABILITANTES</t>
        </is>
      </c>
      <c r="P530" s="10" t="inlineStr">
        <is>
          <t>USO INTERNO(2)</t>
        </is>
      </c>
      <c r="Q530" s="10" t="inlineStr">
        <is>
          <t>MEDIA(2)</t>
        </is>
      </c>
      <c r="R530" s="10" t="inlineStr">
        <is>
          <t>MEDIA(2)</t>
        </is>
      </c>
      <c r="S530" s="10">
        <f>+(IF(P530="PUBLICA(1)",1,IF(P530="USO INTERNO(2)",2,IF(P530="RESTRINGIDO(3)",3,3))))+(IF(Q530="BAJA(1)",1,IF(Q530="MEDIA(2)",2,IF(Q530="ALTA(3)",3,3))))+(IF(R530="BAJA(1)",1,IF(R530="MEDIA(2)",2,IF(R530="ALTA(3)",3,3))))</f>
        <v/>
      </c>
      <c r="T530" s="10">
        <f>+IF(S530&lt;6,"BAJA",IF(S530&lt;8,"MEDIA","ALTA"))</f>
        <v/>
      </c>
      <c r="U530" s="10" t="inlineStr">
        <is>
          <t>-</t>
        </is>
      </c>
      <c r="V530" s="24" t="n">
        <v>45681</v>
      </c>
      <c r="W530" s="19" t="inlineStr">
        <is>
          <t>N/A</t>
        </is>
      </c>
      <c r="X530" s="10">
        <f>+IFERROR(IF(VLOOKUP(Tabla2[[#This Row],[ID]],'EVALUACION DE RIESGO'!A:A,1,FALSE)=Tabla2[[#This Row],[ID]],"SI","NO"),"NO")</f>
        <v/>
      </c>
      <c r="AD530">
        <f>IF(AND(Y530="",AA530=""),"",IF(OR(LEFT(AA530,2)="L0",LEFT(AA530,2)="L1",Y530="No Iniciado"),"CRÍTICO - Incumplimiento Normativo SEPS",IF(AND(OR(LEFT(AA530,2)="L4",LEFT(AA530,2)="L5"),AND(AC530&lt;&gt;"",AC530&lt;&gt;"N/A")),"CONFORME - Control Efectivo ISO 27001","OBSERVACIÓN - Revisar Controles")))</f>
        <v/>
      </c>
    </row>
    <row r="531">
      <c r="A531" s="99" t="inlineStr">
        <is>
          <t xml:space="preserve">11-GRE </t>
        </is>
      </c>
      <c r="B531" s="10" t="inlineStr">
        <is>
          <t>PRODUCTIVO</t>
        </is>
      </c>
      <c r="C531" s="10" t="inlineStr">
        <is>
          <t xml:space="preserve">Gestión de Recuperación </t>
        </is>
      </c>
      <c r="D531" s="10" t="inlineStr">
        <is>
          <t xml:space="preserve">GRE </t>
        </is>
      </c>
      <c r="E531" s="10" t="inlineStr">
        <is>
          <t>Gestión de Recuperación Preventiva y Correctiva</t>
        </is>
      </c>
      <c r="F531" s="10" t="inlineStr">
        <is>
          <t>-</t>
        </is>
      </c>
      <c r="G531" s="10" t="inlineStr">
        <is>
          <t>Análisis y pago de recuperación de la empresa recuperadora</t>
        </is>
      </c>
      <c r="H531" s="10" t="inlineStr">
        <is>
          <t>Procedimiento de pago a proveedores</t>
        </is>
      </c>
      <c r="I531" s="10" t="inlineStr">
        <is>
          <t>En base al reporte de recuperación se hace un pago de honorarios a la empresa recuperadora, el documento contiene oficina, cuanto pagó el socio, honorario, detalle por oficina, el iva y el total recuperado.</t>
        </is>
      </c>
      <c r="J531" s="10" t="inlineStr">
        <is>
          <t xml:space="preserve">Jefe de Cobranzas </t>
        </is>
      </c>
      <c r="K531" s="10" t="inlineStr">
        <is>
          <t xml:space="preserve">Jefe de Cobranzas </t>
        </is>
      </c>
      <c r="L531" s="10" t="inlineStr">
        <is>
          <t>UBICACIÓN DIGITAL-EQUIPO DEL CUSTODIO</t>
        </is>
      </c>
      <c r="M531" s="10" t="inlineStr">
        <is>
          <t>DISCOS DUROS, SERVIDORES, DISCOS O MEDIOS PORTÁTILES, CINTAS O MEDIOS DE VIDEO Y AUDIO, ETC.</t>
        </is>
      </c>
      <c r="N531" s="10" t="inlineStr">
        <is>
          <t>PRIMARIOS</t>
        </is>
      </c>
      <c r="O531" s="10" t="inlineStr">
        <is>
          <t>DOCUMENTOS HABILITANTES</t>
        </is>
      </c>
      <c r="P531" s="10" t="inlineStr">
        <is>
          <t>USO INTERNO(2)</t>
        </is>
      </c>
      <c r="Q531" s="10" t="inlineStr">
        <is>
          <t>MEDIA(2)</t>
        </is>
      </c>
      <c r="R531" s="10" t="inlineStr">
        <is>
          <t>ALTA(3)</t>
        </is>
      </c>
      <c r="S531" s="10">
        <f>+(IF(P531="PUBLICA(1)",1,IF(P531="USO INTERNO(2)",2,IF(P531="RESTRINGIDO(3)",3,3))))+(IF(Q531="BAJA(1)",1,IF(Q531="MEDIA(2)",2,IF(Q531="ALTA(3)",3,3))))+(IF(R531="BAJA(1)",1,IF(R531="MEDIA(2)",2,IF(R531="ALTA(3)",3,3))))</f>
        <v/>
      </c>
      <c r="T531" s="10">
        <f>+IF(S531&lt;6,"BAJA",IF(S531&lt;8,"MEDIA","ALTA"))</f>
        <v/>
      </c>
      <c r="U531" s="10" t="inlineStr">
        <is>
          <t>-</t>
        </is>
      </c>
      <c r="V531" s="24" t="n">
        <v>45681</v>
      </c>
      <c r="W531" s="19" t="inlineStr">
        <is>
          <t>N/A</t>
        </is>
      </c>
      <c r="X531" s="10">
        <f>+IFERROR(IF(VLOOKUP(Tabla2[[#This Row],[ID]],'EVALUACION DE RIESGO'!A:A,1,FALSE)=Tabla2[[#This Row],[ID]],"SI","NO"),"NO")</f>
        <v/>
      </c>
      <c r="AD531">
        <f>IF(AND(Y531="",AA531=""),"",IF(OR(LEFT(AA531,2)="L0",LEFT(AA531,2)="L1",Y531="No Iniciado"),"CRÍTICO - Incumplimiento Normativo SEPS",IF(AND(OR(LEFT(AA531,2)="L4",LEFT(AA531,2)="L5"),AND(AC531&lt;&gt;"",AC531&lt;&gt;"N/A")),"CONFORME - Control Efectivo ISO 27001","OBSERVACIÓN - Revisar Controles")))</f>
        <v/>
      </c>
    </row>
    <row r="532">
      <c r="A532" s="99" t="inlineStr">
        <is>
          <t xml:space="preserve">12-GRE </t>
        </is>
      </c>
      <c r="B532" s="10" t="inlineStr">
        <is>
          <t>PRODUCTIVO</t>
        </is>
      </c>
      <c r="C532" s="10" t="inlineStr">
        <is>
          <t xml:space="preserve">Gestión de Recuperación </t>
        </is>
      </c>
      <c r="D532" s="10" t="inlineStr">
        <is>
          <t xml:space="preserve">GRE </t>
        </is>
      </c>
      <c r="E532" s="10" t="inlineStr">
        <is>
          <t>Gestión de Recuperación Preventiva y Correctiva</t>
        </is>
      </c>
      <c r="F532" s="10" t="inlineStr">
        <is>
          <t>-</t>
        </is>
      </c>
      <c r="G532" s="10" t="inlineStr">
        <is>
          <t>Retiro de cartera de la empresa recuperadora</t>
        </is>
      </c>
      <c r="H532" s="10" t="inlineStr">
        <is>
          <t>Notificación de salida de cartera</t>
        </is>
      </c>
      <c r="I532" s="10" t="inlineStr">
        <is>
          <t xml:space="preserve">Notificación que se envía a traves de un oficio las operaciones que se retiran el reporte inicial </t>
        </is>
      </c>
      <c r="J532" s="10" t="inlineStr">
        <is>
          <t xml:space="preserve">Jefe de Cobranzas </t>
        </is>
      </c>
      <c r="K532" s="10" t="inlineStr">
        <is>
          <t xml:space="preserve">Jefe de Cobranzas </t>
        </is>
      </c>
      <c r="L532" s="10" t="inlineStr">
        <is>
          <t>UBICACIÓN DIGITAL-EQUIPO DEL CUSTODIO</t>
        </is>
      </c>
      <c r="M532" s="10" t="inlineStr">
        <is>
          <t>DISCOS DUROS, SERVIDORES, DISCOS O MEDIOS PORTÁTILES, CINTAS O MEDIOS DE VIDEO Y AUDIO, ETC.</t>
        </is>
      </c>
      <c r="N532" s="10" t="inlineStr">
        <is>
          <t>PRIMARIOS</t>
        </is>
      </c>
      <c r="O532" s="10" t="inlineStr">
        <is>
          <t>INFORMACIÓN DE SOCIOS Y CLIENTES</t>
        </is>
      </c>
      <c r="P532" s="10" t="inlineStr">
        <is>
          <t>USO INTERNO(2)</t>
        </is>
      </c>
      <c r="Q532" s="10" t="inlineStr">
        <is>
          <t>MEDIA(2)</t>
        </is>
      </c>
      <c r="R532" s="10" t="inlineStr">
        <is>
          <t>ALTA(3)</t>
        </is>
      </c>
      <c r="S532" s="10">
        <f>+(IF(P532="PUBLICA(1)",1,IF(P532="USO INTERNO(2)",2,IF(P532="RESTRINGIDO(3)",3,3))))+(IF(Q532="BAJA(1)",1,IF(Q532="MEDIA(2)",2,IF(Q532="ALTA(3)",3,3))))+(IF(R532="BAJA(1)",1,IF(R532="MEDIA(2)",2,IF(R532="ALTA(3)",3,3))))</f>
        <v/>
      </c>
      <c r="T532" s="10">
        <f>+IF(S532&lt;6,"BAJA",IF(S532&lt;8,"MEDIA","ALTA"))</f>
        <v/>
      </c>
      <c r="U532" s="10" t="inlineStr">
        <is>
          <t>-</t>
        </is>
      </c>
      <c r="V532" s="24" t="n">
        <v>45681</v>
      </c>
      <c r="W532" s="19" t="inlineStr">
        <is>
          <t>N/A</t>
        </is>
      </c>
      <c r="X532" s="10">
        <f>+IFERROR(IF(VLOOKUP(Tabla2[[#This Row],[ID]],'EVALUACION DE RIESGO'!A:A,1,FALSE)=Tabla2[[#This Row],[ID]],"SI","NO"),"NO")</f>
        <v/>
      </c>
      <c r="AD532">
        <f>IF(AND(Y532="",AA532=""),"",IF(OR(LEFT(AA532,2)="L0",LEFT(AA532,2)="L1",Y532="No Iniciado"),"CRÍTICO - Incumplimiento Normativo SEPS",IF(AND(OR(LEFT(AA532,2)="L4",LEFT(AA532,2)="L5"),AND(AC532&lt;&gt;"",AC532&lt;&gt;"N/A")),"CONFORME - Control Efectivo ISO 27001","OBSERVACIÓN - Revisar Controles")))</f>
        <v/>
      </c>
    </row>
    <row r="533">
      <c r="A533" s="99" t="inlineStr">
        <is>
          <t xml:space="preserve">13-GRE </t>
        </is>
      </c>
      <c r="B533" s="10" t="inlineStr">
        <is>
          <t>PRODUCTIVO</t>
        </is>
      </c>
      <c r="C533" s="10" t="inlineStr">
        <is>
          <t xml:space="preserve">Gestión de Recuperación </t>
        </is>
      </c>
      <c r="D533" s="10" t="inlineStr">
        <is>
          <t xml:space="preserve">GRE </t>
        </is>
      </c>
      <c r="E533" s="10" t="inlineStr">
        <is>
          <t>Gestión de Recuperación Preventiva y Correctiva</t>
        </is>
      </c>
      <c r="F533" s="10" t="inlineStr">
        <is>
          <t>-</t>
        </is>
      </c>
      <c r="G533" s="10" t="inlineStr">
        <is>
          <t xml:space="preserve">Castigo de Operaciones    </t>
        </is>
      </c>
      <c r="H533" s="10" t="inlineStr">
        <is>
          <t>Informe de análisis de viabilidad de castigo</t>
        </is>
      </c>
      <c r="I533" s="10" t="inlineStr">
        <is>
          <t>Informe de las gestiones realizadas de cobranza al área de riesgos, el informe y oficio contiene las gestiones de cobranzas de cada operación, y un oficio firmado por el Gerende de Negocios de todas las operaciones que se solicita castigar</t>
        </is>
      </c>
      <c r="J533" s="10" t="inlineStr">
        <is>
          <t xml:space="preserve">Jefe de Cobranzas </t>
        </is>
      </c>
      <c r="K533" s="10" t="inlineStr">
        <is>
          <t xml:space="preserve">Jefe de Cobranzas </t>
        </is>
      </c>
      <c r="L533" s="10" t="inlineStr">
        <is>
          <t>UBICACIÓN DIGITAL-EQUIPO DEL CUSTODIO</t>
        </is>
      </c>
      <c r="M533" s="10" t="inlineStr">
        <is>
          <t>DISCOS DUROS, SERVIDORES, DISCOS O MEDIOS PORTÁTILES, CINTAS O MEDIOS DE VIDEO Y AUDIO, ETC.</t>
        </is>
      </c>
      <c r="N533" s="10" t="inlineStr">
        <is>
          <t>PRIMARIOS</t>
        </is>
      </c>
      <c r="O533" s="10" t="inlineStr">
        <is>
          <t>DOCUMENTOS TÉCNICOS</t>
        </is>
      </c>
      <c r="P533" s="10" t="inlineStr">
        <is>
          <t>RESTRINGIDO(3)</t>
        </is>
      </c>
      <c r="Q533" s="10" t="inlineStr">
        <is>
          <t>BAJA(1)</t>
        </is>
      </c>
      <c r="R533" s="10" t="inlineStr">
        <is>
          <t>MEDIA(2)</t>
        </is>
      </c>
      <c r="S533" s="10">
        <f>+(IF(P533="PUBLICA(1)",1,IF(P533="USO INTERNO(2)",2,IF(P533="RESTRINGIDO(3)",3,3))))+(IF(Q533="BAJA(1)",1,IF(Q533="MEDIA(2)",2,IF(Q533="ALTA(3)",3,3))))+(IF(R533="BAJA(1)",1,IF(R533="MEDIA(2)",2,IF(R533="ALTA(3)",3,3))))</f>
        <v/>
      </c>
      <c r="T533" s="10">
        <f>+IF(S533&lt;6,"BAJA",IF(S533&lt;8,"MEDIA","ALTA"))</f>
        <v/>
      </c>
      <c r="U533" s="10" t="inlineStr">
        <is>
          <t>-</t>
        </is>
      </c>
      <c r="V533" s="24" t="n">
        <v>45681</v>
      </c>
      <c r="W533" s="19" t="inlineStr">
        <is>
          <t>N/A</t>
        </is>
      </c>
      <c r="X533" s="10">
        <f>+IFERROR(IF(VLOOKUP(Tabla2[[#This Row],[ID]],'EVALUACION DE RIESGO'!A:A,1,FALSE)=Tabla2[[#This Row],[ID]],"SI","NO"),"NO")</f>
        <v/>
      </c>
      <c r="AD533">
        <f>IF(AND(Y533="",AA533=""),"",IF(OR(LEFT(AA533,2)="L0",LEFT(AA533,2)="L1",Y533="No Iniciado"),"CRÍTICO - Incumplimiento Normativo SEPS",IF(AND(OR(LEFT(AA533,2)="L4",LEFT(AA533,2)="L5"),AND(AC533&lt;&gt;"",AC533&lt;&gt;"N/A")),"CONFORME - Control Efectivo ISO 27001","OBSERVACIÓN - Revisar Controles")))</f>
        <v/>
      </c>
    </row>
    <row r="534">
      <c r="A534" s="99" t="inlineStr">
        <is>
          <t xml:space="preserve">14-GRE </t>
        </is>
      </c>
      <c r="B534" s="10" t="inlineStr">
        <is>
          <t>PRODUCTIVO</t>
        </is>
      </c>
      <c r="C534" s="10" t="inlineStr">
        <is>
          <t xml:space="preserve">Gestión de Recuperación </t>
        </is>
      </c>
      <c r="D534" s="10" t="inlineStr">
        <is>
          <t xml:space="preserve">GRE </t>
        </is>
      </c>
      <c r="E534" s="10" t="inlineStr">
        <is>
          <t>Gestión de Recuperación Preventiva y Correctiva</t>
        </is>
      </c>
      <c r="F534" s="10" t="inlineStr">
        <is>
          <t>-</t>
        </is>
      </c>
      <c r="G534" s="10" t="inlineStr">
        <is>
          <t>Débito de saldos disponibles en cuentas castigadas y judiciales</t>
        </is>
      </c>
      <c r="H534" s="10" t="inlineStr">
        <is>
          <t>Informe de pagos efectuados a operaciones castigadas y judiciales</t>
        </is>
      </c>
      <c r="I534" s="10" t="inlineStr">
        <is>
          <t>Se envia un reporte de operaciones que se debitan desde las cuentas de los clientes, el reporte de saldos minimos contiene detalle de la operación, saldos mínimos, reporta KMOROSIS que se obtiene de la transacción 16-5147</t>
        </is>
      </c>
      <c r="J534" s="10" t="inlineStr">
        <is>
          <t xml:space="preserve">Jefe de Cobranzas </t>
        </is>
      </c>
      <c r="K534" s="10" t="inlineStr">
        <is>
          <t xml:space="preserve">Jefe de Cobranzas </t>
        </is>
      </c>
      <c r="L534" s="10" t="inlineStr">
        <is>
          <t>UBICACIÓN DIGITAL-EQUIPO DEL CUSTODIO</t>
        </is>
      </c>
      <c r="M534" s="10" t="inlineStr">
        <is>
          <t>DISCOS DUROS, SERVIDORES, DISCOS O MEDIOS PORTÁTILES, CINTAS O MEDIOS DE VIDEO Y AUDIO, ETC.</t>
        </is>
      </c>
      <c r="N534" s="10" t="inlineStr">
        <is>
          <t>PRIMARIOS</t>
        </is>
      </c>
      <c r="O534" s="10" t="inlineStr">
        <is>
          <t>DOCUMENTOS TÉCNICOS</t>
        </is>
      </c>
      <c r="P534" s="10" t="inlineStr">
        <is>
          <t>RESTRINGIDO(3)</t>
        </is>
      </c>
      <c r="Q534" s="10" t="inlineStr">
        <is>
          <t>BAJA(1)</t>
        </is>
      </c>
      <c r="R534" s="10" t="inlineStr">
        <is>
          <t>ALTA(3)</t>
        </is>
      </c>
      <c r="S534" s="10">
        <f>+(IF(P534="PUBLICA(1)",1,IF(P534="USO INTERNO(2)",2,IF(P534="RESTRINGIDO(3)",3,3))))+(IF(Q534="BAJA(1)",1,IF(Q534="MEDIA(2)",2,IF(Q534="ALTA(3)",3,3))))+(IF(R534="BAJA(1)",1,IF(R534="MEDIA(2)",2,IF(R534="ALTA(3)",3,3))))</f>
        <v/>
      </c>
      <c r="T534" s="10">
        <f>+IF(S534&lt;6,"BAJA",IF(S534&lt;8,"MEDIA","ALTA"))</f>
        <v/>
      </c>
      <c r="U534" s="10" t="inlineStr">
        <is>
          <t>-</t>
        </is>
      </c>
      <c r="V534" s="24" t="n">
        <v>45681</v>
      </c>
      <c r="W534" s="19" t="inlineStr">
        <is>
          <t>N/A</t>
        </is>
      </c>
      <c r="X534" s="10">
        <f>+IFERROR(IF(VLOOKUP(Tabla2[[#This Row],[ID]],'EVALUACION DE RIESGO'!A:A,1,FALSE)=Tabla2[[#This Row],[ID]],"SI","NO"),"NO")</f>
        <v/>
      </c>
      <c r="AD534">
        <f>IF(AND(Y534="",AA534=""),"",IF(OR(LEFT(AA534,2)="L0",LEFT(AA534,2)="L1",Y534="No Iniciado"),"CRÍTICO - Incumplimiento Normativo SEPS",IF(AND(OR(LEFT(AA534,2)="L4",LEFT(AA534,2)="L5"),AND(AC534&lt;&gt;"",AC534&lt;&gt;"N/A")),"CONFORME - Control Efectivo ISO 27001","OBSERVACIÓN - Revisar Controles")))</f>
        <v/>
      </c>
    </row>
    <row r="535">
      <c r="A535" s="99" t="inlineStr">
        <is>
          <t xml:space="preserve">15-GRE </t>
        </is>
      </c>
      <c r="B535" s="10" t="inlineStr">
        <is>
          <t>PRODUCTIVO</t>
        </is>
      </c>
      <c r="C535" s="10" t="inlineStr">
        <is>
          <t xml:space="preserve">Gestión de Recuperación </t>
        </is>
      </c>
      <c r="D535" s="10" t="inlineStr">
        <is>
          <t xml:space="preserve">GRE </t>
        </is>
      </c>
      <c r="E535" s="10" t="inlineStr">
        <is>
          <t>Gestión de Recuperación Preventiva y Correctiva</t>
        </is>
      </c>
      <c r="F535" s="10" t="inlineStr">
        <is>
          <t>-</t>
        </is>
      </c>
      <c r="G535" s="10" t="inlineStr">
        <is>
          <t>Débito de saldos disponibles en cuentas castigadas y judiciales</t>
        </is>
      </c>
      <c r="H535" s="10" t="inlineStr">
        <is>
          <t>Autorización de la activación de las cuentas de ahorro</t>
        </is>
      </c>
      <c r="I535" s="10" t="inlineStr">
        <is>
          <t>Correo electrónico de respuesta del Gerente General autorizando la gestión de cobranza</t>
        </is>
      </c>
      <c r="J535" s="10" t="inlineStr">
        <is>
          <t xml:space="preserve">Jefe de Cobranzas </t>
        </is>
      </c>
      <c r="K535" s="10" t="inlineStr">
        <is>
          <t xml:space="preserve">Jefe de Cobranzas </t>
        </is>
      </c>
      <c r="L535" s="10" t="inlineStr">
        <is>
          <t>UBICACIÓN DIGITAL-EQUIPO DEL CUSTODIO</t>
        </is>
      </c>
      <c r="M535" s="10" t="inlineStr">
        <is>
          <t>DISCOS DUROS, SERVIDORES, DISCOS O MEDIOS PORTÁTILES, CINTAS O MEDIOS DE VIDEO Y AUDIO, ETC.</t>
        </is>
      </c>
      <c r="N535" s="10" t="inlineStr">
        <is>
          <t>PRIMARIOS</t>
        </is>
      </c>
      <c r="O535" s="10" t="inlineStr">
        <is>
          <t>DOCUMENTOS HABILITANTES</t>
        </is>
      </c>
      <c r="P535" s="10" t="inlineStr">
        <is>
          <t>USO INTERNO(2)</t>
        </is>
      </c>
      <c r="Q535" s="10" t="inlineStr">
        <is>
          <t>MEDIA(2)</t>
        </is>
      </c>
      <c r="R535" s="10" t="inlineStr">
        <is>
          <t>MEDIA(2)</t>
        </is>
      </c>
      <c r="S535" s="10">
        <f>+(IF(P535="PUBLICA(1)",1,IF(P535="USO INTERNO(2)",2,IF(P535="RESTRINGIDO(3)",3,3))))+(IF(Q535="BAJA(1)",1,IF(Q535="MEDIA(2)",2,IF(Q535="ALTA(3)",3,3))))+(IF(R535="BAJA(1)",1,IF(R535="MEDIA(2)",2,IF(R535="ALTA(3)",3,3))))</f>
        <v/>
      </c>
      <c r="T535" s="10">
        <f>+IF(S535&lt;6,"BAJA",IF(S535&lt;8,"MEDIA","ALTA"))</f>
        <v/>
      </c>
      <c r="U535" s="10" t="inlineStr">
        <is>
          <t>-</t>
        </is>
      </c>
      <c r="V535" s="24" t="n">
        <v>45681</v>
      </c>
      <c r="W535" s="19" t="inlineStr">
        <is>
          <t>N/A</t>
        </is>
      </c>
      <c r="X535" s="10">
        <f>+IFERROR(IF(VLOOKUP(Tabla2[[#This Row],[ID]],'EVALUACION DE RIESGO'!A:A,1,FALSE)=Tabla2[[#This Row],[ID]],"SI","NO"),"NO")</f>
        <v/>
      </c>
      <c r="AD535">
        <f>IF(AND(Y535="",AA535=""),"",IF(OR(LEFT(AA535,2)="L0",LEFT(AA535,2)="L1",Y535="No Iniciado"),"CRÍTICO - Incumplimiento Normativo SEPS",IF(AND(OR(LEFT(AA535,2)="L4",LEFT(AA535,2)="L5"),AND(AC535&lt;&gt;"",AC535&lt;&gt;"N/A")),"CONFORME - Control Efectivo ISO 27001","OBSERVACIÓN - Revisar Controles")))</f>
        <v/>
      </c>
    </row>
    <row r="536">
      <c r="A536" s="99" t="inlineStr">
        <is>
          <t xml:space="preserve">16-GRE </t>
        </is>
      </c>
      <c r="B536" s="10" t="inlineStr">
        <is>
          <t>PRODUCTIVO</t>
        </is>
      </c>
      <c r="C536" s="10" t="inlineStr">
        <is>
          <t xml:space="preserve">Gestión de Recuperación </t>
        </is>
      </c>
      <c r="D536" s="10" t="inlineStr">
        <is>
          <t xml:space="preserve">GRE </t>
        </is>
      </c>
      <c r="E536" s="10" t="inlineStr">
        <is>
          <t>Gestión de Recuperación Preventiva y Correctiva</t>
        </is>
      </c>
      <c r="F536" s="10" t="inlineStr">
        <is>
          <t>-</t>
        </is>
      </c>
      <c r="G536" s="10" t="inlineStr">
        <is>
          <t>Condonación de deuda</t>
        </is>
      </c>
      <c r="H536" s="10" t="inlineStr">
        <is>
          <t>Formulario de condonación de intereses</t>
        </is>
      </c>
      <c r="I536" s="10" t="inlineStr">
        <is>
          <t>Formulario de condonación donde se registran datos generales de la oficina, datos del socio, situación del credito,situación actual del deudor, criterio de verificación,, sustentos entregados</t>
        </is>
      </c>
      <c r="J536" s="10" t="inlineStr">
        <is>
          <t xml:space="preserve">Jefe de Cobranzas </t>
        </is>
      </c>
      <c r="K536" s="10" t="inlineStr">
        <is>
          <t xml:space="preserve">Jefe de Cobranzas </t>
        </is>
      </c>
      <c r="L536" s="10" t="inlineStr">
        <is>
          <t>UBICACIÓN DIGITAL-EQUIPO DEL CUSTODIO</t>
        </is>
      </c>
      <c r="M536" s="10" t="inlineStr">
        <is>
          <t>DISCOS DUROS, SERVIDORES, DISCOS O MEDIOS PORTÁTILES, CINTAS O MEDIOS DE VIDEO Y AUDIO, ETC.</t>
        </is>
      </c>
      <c r="N536" s="10" t="inlineStr">
        <is>
          <t>PRIMARIOS</t>
        </is>
      </c>
      <c r="O536" s="10" t="inlineStr">
        <is>
          <t>DOCUMENTOS HABILITANTES</t>
        </is>
      </c>
      <c r="P536" s="10" t="inlineStr">
        <is>
          <t>RESTRINGIDO(3)</t>
        </is>
      </c>
      <c r="Q536" s="10" t="inlineStr">
        <is>
          <t>MEDIA(2)</t>
        </is>
      </c>
      <c r="R536" s="10" t="inlineStr">
        <is>
          <t>MEDIA(2)</t>
        </is>
      </c>
      <c r="S536" s="10">
        <f>+(IF(P536="PUBLICA(1)",1,IF(P536="USO INTERNO(2)",2,IF(P536="RESTRINGIDO(3)",3,3))))+(IF(Q536="BAJA(1)",1,IF(Q536="MEDIA(2)",2,IF(Q536="ALTA(3)",3,3))))+(IF(R536="BAJA(1)",1,IF(R536="MEDIA(2)",2,IF(R536="ALTA(3)",3,3))))</f>
        <v/>
      </c>
      <c r="T536" s="10">
        <f>+IF(S536&lt;6,"BAJA",IF(S536&lt;8,"MEDIA","ALTA"))</f>
        <v/>
      </c>
      <c r="U536" s="10" t="inlineStr">
        <is>
          <t>-</t>
        </is>
      </c>
      <c r="V536" s="24" t="n">
        <v>45681</v>
      </c>
      <c r="W536" s="19" t="inlineStr">
        <is>
          <t>N/A</t>
        </is>
      </c>
      <c r="X536" s="10">
        <f>+IFERROR(IF(VLOOKUP(Tabla2[[#This Row],[ID]],'EVALUACION DE RIESGO'!A:A,1,FALSE)=Tabla2[[#This Row],[ID]],"SI","NO"),"NO")</f>
        <v/>
      </c>
      <c r="AD536">
        <f>IF(AND(Y536="",AA536=""),"",IF(OR(LEFT(AA536,2)="L0",LEFT(AA536,2)="L1",Y536="No Iniciado"),"CRÍTICO - Incumplimiento Normativo SEPS",IF(AND(OR(LEFT(AA536,2)="L4",LEFT(AA536,2)="L5"),AND(AC536&lt;&gt;"",AC536&lt;&gt;"N/A")),"CONFORME - Control Efectivo ISO 27001","OBSERVACIÓN - Revisar Controles")))</f>
        <v/>
      </c>
    </row>
    <row r="537">
      <c r="A537" s="99" t="inlineStr">
        <is>
          <t xml:space="preserve">17-GRE </t>
        </is>
      </c>
      <c r="B537" s="10" t="inlineStr">
        <is>
          <t>PRODUCTIVO</t>
        </is>
      </c>
      <c r="C537" s="10" t="inlineStr">
        <is>
          <t xml:space="preserve">Gestión de Recuperación </t>
        </is>
      </c>
      <c r="D537" s="10" t="inlineStr">
        <is>
          <t xml:space="preserve">GRE </t>
        </is>
      </c>
      <c r="E537" s="10" t="inlineStr">
        <is>
          <t>Gestión de Recuperación Preventiva y Correctiva</t>
        </is>
      </c>
      <c r="F537" s="10" t="inlineStr">
        <is>
          <t>-</t>
        </is>
      </c>
      <c r="G537" s="10" t="inlineStr">
        <is>
          <t>Condonación de deuda</t>
        </is>
      </c>
      <c r="H537" s="10" t="inlineStr">
        <is>
          <t>Informe de factibilidad de condonación de intereses</t>
        </is>
      </c>
      <c r="I537" s="10" t="inlineStr">
        <is>
          <t>Informe presentado cuando se realizan campañas  para determinar la factibilidad por estrategias o campañas institucionales, contiene información como antecedente, alcance, analisis de la cartera a castigar, gestiones de recuperación, base de la cartera a castigar, conclusión</t>
        </is>
      </c>
      <c r="J537" s="10" t="inlineStr">
        <is>
          <t xml:space="preserve">Jefe de Cobranzas </t>
        </is>
      </c>
      <c r="K537" s="10" t="inlineStr">
        <is>
          <t xml:space="preserve">Jefe de Cobranzas </t>
        </is>
      </c>
      <c r="L537" s="10" t="inlineStr">
        <is>
          <t>UBICACIÓN DIGITAL-EQUIPO DEL CUSTODIO</t>
        </is>
      </c>
      <c r="M537" s="10" t="inlineStr">
        <is>
          <t>DISCOS DUROS, SERVIDORES, DISCOS O MEDIOS PORTÁTILES, CINTAS O MEDIOS DE VIDEO Y AUDIO, ETC.</t>
        </is>
      </c>
      <c r="N537" s="10" t="inlineStr">
        <is>
          <t>PRIMARIOS</t>
        </is>
      </c>
      <c r="O537" s="10" t="inlineStr">
        <is>
          <t>DOCUMENTOS TÉCNICOS</t>
        </is>
      </c>
      <c r="P537" s="10" t="inlineStr">
        <is>
          <t>RESTRINGIDO(3)</t>
        </is>
      </c>
      <c r="Q537" s="10" t="inlineStr">
        <is>
          <t>BAJA(1)</t>
        </is>
      </c>
      <c r="R537" s="10" t="inlineStr">
        <is>
          <t>MEDIA(2)</t>
        </is>
      </c>
      <c r="S537" s="10">
        <f>+(IF(P537="PUBLICA(1)",1,IF(P537="USO INTERNO(2)",2,IF(P537="RESTRINGIDO(3)",3,3))))+(IF(Q537="BAJA(1)",1,IF(Q537="MEDIA(2)",2,IF(Q537="ALTA(3)",3,3))))+(IF(R537="BAJA(1)",1,IF(R537="MEDIA(2)",2,IF(R537="ALTA(3)",3,3))))</f>
        <v/>
      </c>
      <c r="T537" s="10">
        <f>+IF(S537&lt;6,"BAJA",IF(S537&lt;8,"MEDIA","ALTA"))</f>
        <v/>
      </c>
      <c r="U537" s="10" t="inlineStr">
        <is>
          <t>-</t>
        </is>
      </c>
      <c r="V537" s="24" t="n">
        <v>45681</v>
      </c>
      <c r="W537" s="19" t="inlineStr">
        <is>
          <t>N/A</t>
        </is>
      </c>
      <c r="X537" s="10">
        <f>+IFERROR(IF(VLOOKUP(Tabla2[[#This Row],[ID]],'EVALUACION DE RIESGO'!A:A,1,FALSE)=Tabla2[[#This Row],[ID]],"SI","NO"),"NO")</f>
        <v/>
      </c>
      <c r="AD537">
        <f>IF(AND(Y537="",AA537=""),"",IF(OR(LEFT(AA537,2)="L0",LEFT(AA537,2)="L1",Y537="No Iniciado"),"CRÍTICO - Incumplimiento Normativo SEPS",IF(AND(OR(LEFT(AA537,2)="L4",LEFT(AA537,2)="L5"),AND(AC537&lt;&gt;"",AC537&lt;&gt;"N/A")),"CONFORME - Control Efectivo ISO 27001","OBSERVACIÓN - Revisar Controles")))</f>
        <v/>
      </c>
    </row>
    <row r="538">
      <c r="A538" s="99" t="inlineStr">
        <is>
          <t xml:space="preserve">18-GRE </t>
        </is>
      </c>
      <c r="B538" s="10" t="inlineStr">
        <is>
          <t>PRODUCTIVO</t>
        </is>
      </c>
      <c r="C538" s="10" t="inlineStr">
        <is>
          <t xml:space="preserve">Gestión de Recuperación </t>
        </is>
      </c>
      <c r="D538" s="10" t="inlineStr">
        <is>
          <t xml:space="preserve">GRE </t>
        </is>
      </c>
      <c r="E538" s="10" t="inlineStr">
        <is>
          <t>Gestión de Recuperación Preventiva y Correctiva</t>
        </is>
      </c>
      <c r="F538" s="10" t="inlineStr">
        <is>
          <t>-</t>
        </is>
      </c>
      <c r="G538" s="10" t="inlineStr">
        <is>
          <t>Condonación de deuda</t>
        </is>
      </c>
      <c r="H538" s="10" t="inlineStr">
        <is>
          <t>Autorización de condonación de intereses</t>
        </is>
      </c>
      <c r="I538" s="10" t="inlineStr">
        <is>
          <t>Gestión que se realiza a travez de la Herramienta del asistente de gerencia, donde se evidencia las interacciones dealizadas de los usuarios</t>
        </is>
      </c>
      <c r="J538" s="10" t="inlineStr">
        <is>
          <t xml:space="preserve">Jefe de Cobranzas </t>
        </is>
      </c>
      <c r="K538" s="10" t="inlineStr">
        <is>
          <t xml:space="preserve">Jefe de Cobranzas </t>
        </is>
      </c>
      <c r="L538" s="10" t="inlineStr">
        <is>
          <t>UBICACIÓN DIGITAL-EQUIPO DEL CUSTODIO</t>
        </is>
      </c>
      <c r="M538" s="10" t="inlineStr">
        <is>
          <t>DISCOS DUROS, SERVIDORES, DISCOS O MEDIOS PORTÁTILES, CINTAS O MEDIOS DE VIDEO Y AUDIO, ETC.</t>
        </is>
      </c>
      <c r="N538" s="10" t="inlineStr">
        <is>
          <t>PRIMARIOS</t>
        </is>
      </c>
      <c r="O538" s="10" t="inlineStr">
        <is>
          <t>DOCUMENTOS HABILITANTES</t>
        </is>
      </c>
      <c r="P538" s="10" t="inlineStr">
        <is>
          <t>USO INTERNO(2)</t>
        </is>
      </c>
      <c r="Q538" s="10" t="inlineStr">
        <is>
          <t>MEDIA(2)</t>
        </is>
      </c>
      <c r="R538" s="10" t="inlineStr">
        <is>
          <t>ALTA(3)</t>
        </is>
      </c>
      <c r="S538" s="10">
        <f>+(IF(P538="PUBLICA(1)",1,IF(P538="USO INTERNO(2)",2,IF(P538="RESTRINGIDO(3)",3,3))))+(IF(Q538="BAJA(1)",1,IF(Q538="MEDIA(2)",2,IF(Q538="ALTA(3)",3,3))))+(IF(R538="BAJA(1)",1,IF(R538="MEDIA(2)",2,IF(R538="ALTA(3)",3,3))))</f>
        <v/>
      </c>
      <c r="T538" s="10">
        <f>+IF(S538&lt;6,"BAJA",IF(S538&lt;8,"MEDIA","ALTA"))</f>
        <v/>
      </c>
      <c r="U538" s="10" t="inlineStr">
        <is>
          <t>-</t>
        </is>
      </c>
      <c r="V538" s="24" t="n">
        <v>45681</v>
      </c>
      <c r="W538" s="19" t="inlineStr">
        <is>
          <t>N/A</t>
        </is>
      </c>
      <c r="X538" s="10">
        <f>+IFERROR(IF(VLOOKUP(Tabla2[[#This Row],[ID]],'EVALUACION DE RIESGO'!A:A,1,FALSE)=Tabla2[[#This Row],[ID]],"SI","NO"),"NO")</f>
        <v/>
      </c>
      <c r="AD538">
        <f>IF(AND(Y538="",AA538=""),"",IF(OR(LEFT(AA538,2)="L0",LEFT(AA538,2)="L1",Y538="No Iniciado"),"CRÍTICO - Incumplimiento Normativo SEPS",IF(AND(OR(LEFT(AA538,2)="L4",LEFT(AA538,2)="L5"),AND(AC538&lt;&gt;"",AC538&lt;&gt;"N/A")),"CONFORME - Control Efectivo ISO 27001","OBSERVACIÓN - Revisar Controles")))</f>
        <v/>
      </c>
    </row>
    <row r="539" ht="20.45" customHeight="1" s="106">
      <c r="A539" s="99" t="inlineStr">
        <is>
          <t xml:space="preserve">19-GRE </t>
        </is>
      </c>
      <c r="B539" s="10" t="inlineStr">
        <is>
          <t>PRODUCTIVO</t>
        </is>
      </c>
      <c r="C539" s="10" t="inlineStr">
        <is>
          <t xml:space="preserve">Gestión de Recuperación </t>
        </is>
      </c>
      <c r="D539" s="10" t="inlineStr">
        <is>
          <t xml:space="preserve">GRE </t>
        </is>
      </c>
      <c r="E539" s="10" t="inlineStr">
        <is>
          <t>N/A</t>
        </is>
      </c>
      <c r="F539" s="10" t="inlineStr">
        <is>
          <t>-</t>
        </is>
      </c>
      <c r="G539" s="10" t="inlineStr">
        <is>
          <t>N/A</t>
        </is>
      </c>
      <c r="H539" s="17" t="inlineStr">
        <is>
          <t>Equipos de computación del Jefe de Cobranza</t>
        </is>
      </c>
      <c r="I539" s="17" t="inlineStr">
        <is>
          <t>Equipos de computación donde se realiza la gestión del área</t>
        </is>
      </c>
      <c r="J539" s="10" t="inlineStr">
        <is>
          <t xml:space="preserve">Jefe de Cobranzas </t>
        </is>
      </c>
      <c r="K539" s="10" t="inlineStr">
        <is>
          <t xml:space="preserve">Jefe de Cobranzas </t>
        </is>
      </c>
      <c r="L539" s="10" t="inlineStr">
        <is>
          <t>DOCUMENTOS FISICOS-ARCHIVOS DE LA OFICINA</t>
        </is>
      </c>
      <c r="M539" s="10" t="inlineStr">
        <is>
          <t>DOCUMENTO DE ARCHIVO-FÍSICO</t>
        </is>
      </c>
      <c r="N539" s="10" t="inlineStr">
        <is>
          <t>PRIMARIOS</t>
        </is>
      </c>
      <c r="O539" s="10" t="inlineStr">
        <is>
          <t>INFORMACIÓN DE SOCIOS Y CLIENTES</t>
        </is>
      </c>
      <c r="P539" s="10" t="inlineStr">
        <is>
          <t>RESTRINGIDO(3)</t>
        </is>
      </c>
      <c r="Q539" s="10" t="inlineStr">
        <is>
          <t>MEDIA(2)</t>
        </is>
      </c>
      <c r="R539" s="10" t="inlineStr">
        <is>
          <t>ALTA(3)</t>
        </is>
      </c>
      <c r="S539" s="10">
        <f>+(IF(P539="PUBLICA(1)",1,IF(P539="USO INTERNO(2)",2,IF(P539="RESTRINGIDO(3)",3,3))))+(IF(Q539="BAJA(1)",1,IF(Q539="MEDIA(2)",2,IF(Q539="ALTA(3)",3,3))))+(IF(R539="BAJA(1)",1,IF(R539="MEDIA(2)",2,IF(R539="ALTA(3)",3,3))))</f>
        <v/>
      </c>
      <c r="T539" s="10">
        <f>+IF(S539&lt;6,"BAJA",IF(S539&lt;8,"MEDIA","ALTA"))</f>
        <v/>
      </c>
      <c r="U539" s="10" t="inlineStr">
        <is>
          <t>-</t>
        </is>
      </c>
      <c r="V539" s="24" t="n">
        <v>45681</v>
      </c>
      <c r="W539" s="19" t="inlineStr">
        <is>
          <t>N/A</t>
        </is>
      </c>
      <c r="X539" s="10">
        <f>+IFERROR(IF(VLOOKUP(Tabla2[[#This Row],[ID]],'EVALUACION DE RIESGO'!A:A,1,FALSE)=Tabla2[[#This Row],[ID]],"SI","NO"),"NO")</f>
        <v/>
      </c>
      <c r="AD539">
        <f>IF(AND(Y539="",AA539=""),"",IF(OR(LEFT(AA539,2)="L0",LEFT(AA539,2)="L1",Y539="No Iniciado"),"CRÍTICO - Incumplimiento Normativo SEPS",IF(AND(OR(LEFT(AA539,2)="L4",LEFT(AA539,2)="L5"),AND(AC539&lt;&gt;"",AC539&lt;&gt;"N/A")),"CONFORME - Control Efectivo ISO 27001","OBSERVACIÓN - Revisar Controles")))</f>
        <v/>
      </c>
    </row>
    <row r="540">
      <c r="A540" s="99" t="inlineStr">
        <is>
          <t xml:space="preserve">20-GRE </t>
        </is>
      </c>
      <c r="B540" s="10" t="inlineStr">
        <is>
          <t>PRODUCTIVO</t>
        </is>
      </c>
      <c r="C540" s="10" t="inlineStr">
        <is>
          <t xml:space="preserve">Gestión de Recuperación </t>
        </is>
      </c>
      <c r="D540" s="10" t="inlineStr">
        <is>
          <t xml:space="preserve">GRE </t>
        </is>
      </c>
      <c r="E540" s="10" t="inlineStr">
        <is>
          <t>N/A</t>
        </is>
      </c>
      <c r="F540" s="10" t="inlineStr">
        <is>
          <t>-</t>
        </is>
      </c>
      <c r="G540" s="10" t="inlineStr">
        <is>
          <t>N/A</t>
        </is>
      </c>
      <c r="H540" s="10" t="inlineStr">
        <is>
          <t>Jefe de Cobranza</t>
        </is>
      </c>
      <c r="I540" s="10" t="inlineStr">
        <is>
          <t>N/A</t>
        </is>
      </c>
      <c r="J540" s="10" t="inlineStr">
        <is>
          <t xml:space="preserve">Jefe de Cobranzas </t>
        </is>
      </c>
      <c r="K540" s="10" t="inlineStr">
        <is>
          <t>N/A</t>
        </is>
      </c>
      <c r="L540" s="10" t="inlineStr">
        <is>
          <t>N/A</t>
        </is>
      </c>
      <c r="M540" s="10" t="inlineStr">
        <is>
          <t>N/A</t>
        </is>
      </c>
      <c r="N540" s="10" t="inlineStr">
        <is>
          <t>APOYO</t>
        </is>
      </c>
      <c r="O540" s="10" t="inlineStr">
        <is>
          <t>RECURSO HUMANO</t>
        </is>
      </c>
      <c r="P540" s="10" t="inlineStr">
        <is>
          <t>USO INTERNO(2)</t>
        </is>
      </c>
      <c r="Q540" s="10" t="inlineStr">
        <is>
          <t>MEDIA(2)</t>
        </is>
      </c>
      <c r="R540" s="10" t="inlineStr">
        <is>
          <t>MEDIA(2)</t>
        </is>
      </c>
      <c r="S540" s="10">
        <f>+(IF(P540="PUBLICA(1)",1,IF(P540="USO INTERNO(2)",2,IF(P540="RESTRINGIDO(3)",3,3))))+(IF(Q540="BAJA(1)",1,IF(Q540="MEDIA(2)",2,IF(Q540="ALTA(3)",3,3))))+(IF(R540="BAJA(1)",1,IF(R540="MEDIA(2)",2,IF(R540="ALTA(3)",3,3))))</f>
        <v/>
      </c>
      <c r="T540" s="10">
        <f>+IF(S540&lt;6,"BAJA",IF(S540&lt;8,"MEDIA","ALTA"))</f>
        <v/>
      </c>
      <c r="U540" s="10" t="inlineStr">
        <is>
          <t>-</t>
        </is>
      </c>
      <c r="V540" s="24" t="n">
        <v>45681</v>
      </c>
      <c r="W540" s="19" t="inlineStr">
        <is>
          <t>N/A</t>
        </is>
      </c>
      <c r="X540" s="10">
        <f>+IFERROR(IF(VLOOKUP(Tabla2[[#This Row],[ID]],'EVALUACION DE RIESGO'!A:A,1,FALSE)=Tabla2[[#This Row],[ID]],"SI","NO"),"NO")</f>
        <v/>
      </c>
      <c r="AD540">
        <f>IF(AND(Y540="",AA540=""),"",IF(OR(LEFT(AA540,2)="L0",LEFT(AA540,2)="L1",Y540="No Iniciado"),"CRÍTICO - Incumplimiento Normativo SEPS",IF(AND(OR(LEFT(AA540,2)="L4",LEFT(AA540,2)="L5"),AND(AC540&lt;&gt;"",AC540&lt;&gt;"N/A")),"CONFORME - Control Efectivo ISO 27001","OBSERVACIÓN - Revisar Controles")))</f>
        <v/>
      </c>
    </row>
    <row r="541">
      <c r="A541" s="99" t="inlineStr">
        <is>
          <t xml:space="preserve">21-GRE </t>
        </is>
      </c>
      <c r="B541" s="10" t="inlineStr">
        <is>
          <t>PRODUCTIVO</t>
        </is>
      </c>
      <c r="C541" s="10" t="inlineStr">
        <is>
          <t xml:space="preserve">Gestión de Recuperación </t>
        </is>
      </c>
      <c r="D541" s="10" t="inlineStr">
        <is>
          <t xml:space="preserve">GRE </t>
        </is>
      </c>
      <c r="E541" s="10" t="inlineStr">
        <is>
          <t>Gestión de Recuperación Judicial</t>
        </is>
      </c>
      <c r="F541" s="10" t="inlineStr">
        <is>
          <t>-</t>
        </is>
      </c>
      <c r="G541" s="10" t="inlineStr">
        <is>
          <t xml:space="preserve">Recuperación de cartera Extra Judicial        </t>
        </is>
      </c>
      <c r="H541" s="10" t="inlineStr">
        <is>
          <t>Registros en el sistema de las acciones de cobranza</t>
        </is>
      </c>
      <c r="I541" s="10" t="inlineStr">
        <is>
          <t>Registro de gestión de los asitentes jurídicos en el sistema FIT</t>
        </is>
      </c>
      <c r="J541" s="10" t="inlineStr">
        <is>
          <t>Gerente  Jurídico</t>
        </is>
      </c>
      <c r="K541" s="10" t="inlineStr">
        <is>
          <t>N/A</t>
        </is>
      </c>
      <c r="L541" s="10" t="inlineStr">
        <is>
          <t>UBICACIÓN DIGITAL-EQUIPO DEL CUSTODIO</t>
        </is>
      </c>
      <c r="M541" s="10" t="inlineStr">
        <is>
          <t>DISCOS DUROS, SERVIDORES, DISCOS O MEDIOS PORTÁTILES, CINTAS O MEDIOS DE VIDEO Y AUDIO, ETC.</t>
        </is>
      </c>
      <c r="N541" s="10" t="inlineStr">
        <is>
          <t>PRIMARIOS</t>
        </is>
      </c>
      <c r="O541" s="10" t="inlineStr">
        <is>
          <t>INFORMACIÓN DE SOCIOS Y CLIENTES</t>
        </is>
      </c>
      <c r="P541" s="10" t="inlineStr">
        <is>
          <t>USO INTERNO(2)</t>
        </is>
      </c>
      <c r="Q541" s="10" t="inlineStr">
        <is>
          <t>BAJA(1)</t>
        </is>
      </c>
      <c r="R541" s="10" t="inlineStr">
        <is>
          <t>MEDIA(2)</t>
        </is>
      </c>
      <c r="S541" s="10">
        <f>+(IF(P541="PUBLICA(1)",1,IF(P541="USO INTERNO(2)",2,IF(P541="RESTRINGIDO(3)",3,3))))+(IF(Q541="BAJA(1)",1,IF(Q541="MEDIA(2)",2,IF(Q541="ALTA(3)",3,3))))+(IF(R541="BAJA(1)",1,IF(R541="MEDIA(2)",2,IF(R541="ALTA(3)",3,3))))</f>
        <v/>
      </c>
      <c r="T541" s="10">
        <f>+IF(S541&lt;6,"BAJA",IF(S541&lt;8,"MEDIA","ALTA"))</f>
        <v/>
      </c>
      <c r="U541" s="10" t="inlineStr">
        <is>
          <t>-</t>
        </is>
      </c>
      <c r="V541" s="24" t="n">
        <v>45681</v>
      </c>
      <c r="W541" s="19" t="inlineStr">
        <is>
          <t>N/A</t>
        </is>
      </c>
      <c r="X541" s="10">
        <f>+IFERROR(IF(VLOOKUP(Tabla2[[#This Row],[ID]],'EVALUACION DE RIESGO'!A:A,1,FALSE)=Tabla2[[#This Row],[ID]],"SI","NO"),"NO")</f>
        <v/>
      </c>
      <c r="AD541">
        <f>IF(AND(Y541="",AA541=""),"",IF(OR(LEFT(AA541,2)="L0",LEFT(AA541,2)="L1",Y541="No Iniciado"),"CRÍTICO - Incumplimiento Normativo SEPS",IF(AND(OR(LEFT(AA541,2)="L4",LEFT(AA541,2)="L5"),AND(AC541&lt;&gt;"",AC541&lt;&gt;"N/A")),"CONFORME - Control Efectivo ISO 27001","OBSERVACIÓN - Revisar Controles")))</f>
        <v/>
      </c>
    </row>
    <row r="542">
      <c r="A542" s="99" t="inlineStr">
        <is>
          <t xml:space="preserve">22-GRE </t>
        </is>
      </c>
      <c r="B542" s="10" t="inlineStr">
        <is>
          <t>PRODUCTIVO</t>
        </is>
      </c>
      <c r="C542" s="10" t="inlineStr">
        <is>
          <t xml:space="preserve">Gestión de Recuperación </t>
        </is>
      </c>
      <c r="D542" s="10" t="inlineStr">
        <is>
          <t xml:space="preserve">GRE </t>
        </is>
      </c>
      <c r="E542" s="10" t="inlineStr">
        <is>
          <t>Gestión de Recuperación Judicial</t>
        </is>
      </c>
      <c r="F542" s="10" t="inlineStr">
        <is>
          <t>-</t>
        </is>
      </c>
      <c r="G542" s="10" t="inlineStr">
        <is>
          <t xml:space="preserve">Recuperación de cartera Extra Judicial        </t>
        </is>
      </c>
      <c r="H542" s="10" t="inlineStr">
        <is>
          <t>Autorización de cambio de estado a judicial</t>
        </is>
      </c>
      <c r="I542" s="10" t="inlineStr">
        <is>
          <t>Autorización del cambio de estado a judicial enviado de asistente jurídico a Gerente Jurídico, registro en FIT</t>
        </is>
      </c>
      <c r="J542" s="10" t="inlineStr">
        <is>
          <t>Gerente  Jurídico</t>
        </is>
      </c>
      <c r="K542" s="10" t="inlineStr">
        <is>
          <t>N/A</t>
        </is>
      </c>
      <c r="L542" s="10" t="inlineStr">
        <is>
          <t>UBICACIÓN DIGITAL-EQUIPO DEL CUSTODIO</t>
        </is>
      </c>
      <c r="M542" s="10" t="inlineStr">
        <is>
          <t>DISCOS DUROS, SERVIDORES, DISCOS O MEDIOS PORTÁTILES, CINTAS O MEDIOS DE VIDEO Y AUDIO, ETC.</t>
        </is>
      </c>
      <c r="N542" s="10" t="inlineStr">
        <is>
          <t>PRIMARIOS</t>
        </is>
      </c>
      <c r="O542" s="10" t="inlineStr">
        <is>
          <t>COMUNICACIÓN INTERNA</t>
        </is>
      </c>
      <c r="P542" s="10" t="inlineStr">
        <is>
          <t>USO INTERNO(2)</t>
        </is>
      </c>
      <c r="Q542" s="10" t="inlineStr">
        <is>
          <t>MEDIA(2)</t>
        </is>
      </c>
      <c r="R542" s="10" t="inlineStr">
        <is>
          <t>MEDIA(2)</t>
        </is>
      </c>
      <c r="S542" s="10">
        <f>+(IF(P542="PUBLICA(1)",1,IF(P542="USO INTERNO(2)",2,IF(P542="RESTRINGIDO(3)",3,3))))+(IF(Q542="BAJA(1)",1,IF(Q542="MEDIA(2)",2,IF(Q542="ALTA(3)",3,3))))+(IF(R542="BAJA(1)",1,IF(R542="MEDIA(2)",2,IF(R542="ALTA(3)",3,3))))</f>
        <v/>
      </c>
      <c r="T542" s="10">
        <f>+IF(S542&lt;6,"BAJA",IF(S542&lt;8,"MEDIA","ALTA"))</f>
        <v/>
      </c>
      <c r="U542" s="10" t="inlineStr">
        <is>
          <t>-</t>
        </is>
      </c>
      <c r="V542" s="24" t="n">
        <v>45681</v>
      </c>
      <c r="W542" s="19" t="inlineStr">
        <is>
          <t>N/A</t>
        </is>
      </c>
      <c r="X542" s="10">
        <f>+IFERROR(IF(VLOOKUP(Tabla2[[#This Row],[ID]],'EVALUACION DE RIESGO'!A:A,1,FALSE)=Tabla2[[#This Row],[ID]],"SI","NO"),"NO")</f>
        <v/>
      </c>
      <c r="AD542">
        <f>IF(AND(Y542="",AA542=""),"",IF(OR(LEFT(AA542,2)="L0",LEFT(AA542,2)="L1",Y542="No Iniciado"),"CRÍTICO - Incumplimiento Normativo SEPS",IF(AND(OR(LEFT(AA542,2)="L4",LEFT(AA542,2)="L5"),AND(AC542&lt;&gt;"",AC542&lt;&gt;"N/A")),"CONFORME - Control Efectivo ISO 27001","OBSERVACIÓN - Revisar Controles")))</f>
        <v/>
      </c>
    </row>
    <row r="543" ht="30.6" customHeight="1" s="106">
      <c r="A543" s="99" t="inlineStr">
        <is>
          <t xml:space="preserve">23-GRE </t>
        </is>
      </c>
      <c r="B543" s="10" t="inlineStr">
        <is>
          <t>PRODUCTIVO</t>
        </is>
      </c>
      <c r="C543" s="10" t="inlineStr">
        <is>
          <t xml:space="preserve">Gestión de Recuperación </t>
        </is>
      </c>
      <c r="D543" s="10" t="inlineStr">
        <is>
          <t xml:space="preserve">GRE </t>
        </is>
      </c>
      <c r="E543" s="10" t="inlineStr">
        <is>
          <t>Gestión de Recuperación Judicial</t>
        </is>
      </c>
      <c r="F543" s="10" t="inlineStr">
        <is>
          <t>-</t>
        </is>
      </c>
      <c r="G543" s="10" t="inlineStr">
        <is>
          <t xml:space="preserve">Recuperación de cartera Extra Judicial        </t>
        </is>
      </c>
      <c r="H543" s="17" t="inlineStr">
        <is>
          <t>Documentos para el inicio de tramites judiciales</t>
        </is>
      </c>
      <c r="I543" s="17" t="inlineStr">
        <is>
          <t>Pagaré, escritura de hipoteca, tabla de amortización, liquidación actualizada, tabla de pagos actualizada</t>
        </is>
      </c>
      <c r="J543" s="10" t="inlineStr">
        <is>
          <t>Gerente  Jurídico</t>
        </is>
      </c>
      <c r="K543" s="10" t="inlineStr">
        <is>
          <t>Asistente Juridico</t>
        </is>
      </c>
      <c r="L543" s="10" t="inlineStr">
        <is>
          <t>DOCUMENTOS FISICOS-ARCHIVOS DE LA OFICINA</t>
        </is>
      </c>
      <c r="M543" s="10" t="inlineStr">
        <is>
          <t>DOCUMENTO DE ARCHIVO-FÍSICO</t>
        </is>
      </c>
      <c r="N543" s="10" t="inlineStr">
        <is>
          <t>PRIMARIOS</t>
        </is>
      </c>
      <c r="O543" s="10" t="inlineStr">
        <is>
          <t>DOCUMENTOS TÉCNICOS</t>
        </is>
      </c>
      <c r="P543" s="10" t="inlineStr">
        <is>
          <t>RESTRINGIDO(3)</t>
        </is>
      </c>
      <c r="Q543" s="10" t="inlineStr">
        <is>
          <t>MEDIA(2)</t>
        </is>
      </c>
      <c r="R543" s="10" t="inlineStr">
        <is>
          <t>ALTA(3)</t>
        </is>
      </c>
      <c r="S543" s="10">
        <f>+(IF(P543="PUBLICA(1)",1,IF(P543="USO INTERNO(2)",2,IF(P543="RESTRINGIDO(3)",3,3))))+(IF(Q543="BAJA(1)",1,IF(Q543="MEDIA(2)",2,IF(Q543="ALTA(3)",3,3))))+(IF(R543="BAJA(1)",1,IF(R543="MEDIA(2)",2,IF(R543="ALTA(3)",3,3))))</f>
        <v/>
      </c>
      <c r="T543" s="10">
        <f>+IF(S543&lt;6,"BAJA",IF(S543&lt;8,"MEDIA","ALTA"))</f>
        <v/>
      </c>
      <c r="U543" s="10" t="inlineStr">
        <is>
          <t>-</t>
        </is>
      </c>
      <c r="V543" s="24" t="n">
        <v>45681</v>
      </c>
      <c r="W543" s="19" t="inlineStr">
        <is>
          <t>N/A</t>
        </is>
      </c>
      <c r="X543" s="10">
        <f>+IFERROR(IF(VLOOKUP(Tabla2[[#This Row],[ID]],'EVALUACION DE RIESGO'!A:A,1,FALSE)=Tabla2[[#This Row],[ID]],"SI","NO"),"NO")</f>
        <v/>
      </c>
      <c r="AD543">
        <f>IF(AND(Y543="",AA543=""),"",IF(OR(LEFT(AA543,2)="L0",LEFT(AA543,2)="L1",Y543="No Iniciado"),"CRÍTICO - Incumplimiento Normativo SEPS",IF(AND(OR(LEFT(AA543,2)="L4",LEFT(AA543,2)="L5"),AND(AC543&lt;&gt;"",AC543&lt;&gt;"N/A")),"CONFORME - Control Efectivo ISO 27001","OBSERVACIÓN - Revisar Controles")))</f>
        <v/>
      </c>
    </row>
    <row r="544">
      <c r="A544" s="99" t="inlineStr">
        <is>
          <t xml:space="preserve">24-GRE </t>
        </is>
      </c>
      <c r="B544" s="10" t="inlineStr">
        <is>
          <t>PRODUCTIVO</t>
        </is>
      </c>
      <c r="C544" s="10" t="inlineStr">
        <is>
          <t xml:space="preserve">Gestión de Recuperación </t>
        </is>
      </c>
      <c r="D544" s="10" t="inlineStr">
        <is>
          <t xml:space="preserve">GRE </t>
        </is>
      </c>
      <c r="E544" s="10" t="inlineStr">
        <is>
          <t>Gestión de Recuperación Judicial</t>
        </is>
      </c>
      <c r="F544" s="10" t="inlineStr">
        <is>
          <t>-</t>
        </is>
      </c>
      <c r="G544" s="10" t="inlineStr">
        <is>
          <t xml:space="preserve">Recuperación de cartera Extra Judicial        </t>
        </is>
      </c>
      <c r="H544" s="10" t="inlineStr">
        <is>
          <t>Acta entrega recepción de documentos</t>
        </is>
      </c>
      <c r="I544" s="10" t="inlineStr">
        <is>
          <t>Acta de entrega recepción con información de la cooperativa, socio, antecedentes,  detalle de docuemntos entregados, aceptación y firmas de responsabilidad</t>
        </is>
      </c>
      <c r="J544" s="10" t="inlineStr">
        <is>
          <t>Gerente  Jurídico</t>
        </is>
      </c>
      <c r="K544" s="10" t="inlineStr">
        <is>
          <t>Asistente Juridico</t>
        </is>
      </c>
      <c r="L544" s="10" t="inlineStr">
        <is>
          <t>DOCUMENTOS FISICOS-ARCHIVOS DE LA OFICINA</t>
        </is>
      </c>
      <c r="M544" s="10" t="inlineStr">
        <is>
          <t>DOCUMENTO DE ARCHIVO-FÍSICO</t>
        </is>
      </c>
      <c r="N544" s="10" t="inlineStr">
        <is>
          <t>PRIMARIOS</t>
        </is>
      </c>
      <c r="O544" s="10" t="inlineStr">
        <is>
          <t>DOCUMENTOS HABILITANTES</t>
        </is>
      </c>
      <c r="P544" s="10" t="inlineStr">
        <is>
          <t>USO INTERNO(2)</t>
        </is>
      </c>
      <c r="Q544" s="10" t="inlineStr">
        <is>
          <t>MEDIA(2)</t>
        </is>
      </c>
      <c r="R544" s="10" t="inlineStr">
        <is>
          <t>MEDIA(2)</t>
        </is>
      </c>
      <c r="S544" s="10">
        <f>+(IF(P544="PUBLICA(1)",1,IF(P544="USO INTERNO(2)",2,IF(P544="RESTRINGIDO(3)",3,3))))+(IF(Q544="BAJA(1)",1,IF(Q544="MEDIA(2)",2,IF(Q544="ALTA(3)",3,3))))+(IF(R544="BAJA(1)",1,IF(R544="MEDIA(2)",2,IF(R544="ALTA(3)",3,3))))</f>
        <v/>
      </c>
      <c r="T544" s="10">
        <f>+IF(S544&lt;6,"BAJA",IF(S544&lt;8,"MEDIA","ALTA"))</f>
        <v/>
      </c>
      <c r="U544" s="10" t="inlineStr">
        <is>
          <t>-</t>
        </is>
      </c>
      <c r="V544" s="24" t="n">
        <v>45681</v>
      </c>
      <c r="W544" s="19" t="inlineStr">
        <is>
          <t>N/A</t>
        </is>
      </c>
      <c r="X544" s="10">
        <f>+IFERROR(IF(VLOOKUP(Tabla2[[#This Row],[ID]],'EVALUACION DE RIESGO'!A:A,1,FALSE)=Tabla2[[#This Row],[ID]],"SI","NO"),"NO")</f>
        <v/>
      </c>
      <c r="AD544">
        <f>IF(AND(Y544="",AA544=""),"",IF(OR(LEFT(AA544,2)="L0",LEFT(AA544,2)="L1",Y544="No Iniciado"),"CRÍTICO - Incumplimiento Normativo SEPS",IF(AND(OR(LEFT(AA544,2)="L4",LEFT(AA544,2)="L5"),AND(AC544&lt;&gt;"",AC544&lt;&gt;"N/A")),"CONFORME - Control Efectivo ISO 27001","OBSERVACIÓN - Revisar Controles")))</f>
        <v/>
      </c>
    </row>
    <row r="545">
      <c r="A545" s="99" t="inlineStr">
        <is>
          <t xml:space="preserve">25-GRE </t>
        </is>
      </c>
      <c r="B545" s="10" t="inlineStr">
        <is>
          <t>PRODUCTIVO</t>
        </is>
      </c>
      <c r="C545" s="10" t="inlineStr">
        <is>
          <t xml:space="preserve">Gestión de Recuperación </t>
        </is>
      </c>
      <c r="D545" s="10" t="inlineStr">
        <is>
          <t xml:space="preserve">GRE </t>
        </is>
      </c>
      <c r="E545" s="10" t="inlineStr">
        <is>
          <t>Gestión de Recuperación Judicial</t>
        </is>
      </c>
      <c r="F545" s="10" t="inlineStr">
        <is>
          <t>-</t>
        </is>
      </c>
      <c r="G545" s="10" t="inlineStr">
        <is>
          <t xml:space="preserve">Recuperación de cartera Extra Judicial        </t>
        </is>
      </c>
      <c r="H545" s="10" t="inlineStr">
        <is>
          <t>Anexo de asignación de cartera abogados externos</t>
        </is>
      </c>
      <c r="I545" s="10" t="inlineStr">
        <is>
          <t>Anexo que contiene numero de contrato, responsable, tabla con información de socios, cuentas, tipo cartera, fecha inicio fecha ultimo pago, fecha vencimiento, monto prestamo,saldo capital, valor total vencido, estatus, abogado, letra</t>
        </is>
      </c>
      <c r="J545" s="10" t="inlineStr">
        <is>
          <t>Gerente  Jurídico</t>
        </is>
      </c>
      <c r="K545" s="10" t="inlineStr">
        <is>
          <t>Asistente Juridico</t>
        </is>
      </c>
      <c r="L545" s="10" t="inlineStr">
        <is>
          <t>DOCUMENTOS FISICOS-ARCHIVOS DE LA OFICINA</t>
        </is>
      </c>
      <c r="M545" s="10" t="inlineStr">
        <is>
          <t>DOCUMENTO DE ARCHIVO-FÍSICO</t>
        </is>
      </c>
      <c r="N545" s="10" t="inlineStr">
        <is>
          <t>PRIMARIOS</t>
        </is>
      </c>
      <c r="O545" s="10" t="inlineStr">
        <is>
          <t>INFORMACIÓN DE SOCIOS Y CLIENTES</t>
        </is>
      </c>
      <c r="P545" s="10" t="inlineStr">
        <is>
          <t>RESTRINGIDO(3)</t>
        </is>
      </c>
      <c r="Q545" s="10" t="inlineStr">
        <is>
          <t>MEDIA(2)</t>
        </is>
      </c>
      <c r="R545" s="10" t="inlineStr">
        <is>
          <t>MEDIA(2)</t>
        </is>
      </c>
      <c r="S545" s="10">
        <f>+(IF(P545="PUBLICA(1)",1,IF(P545="USO INTERNO(2)",2,IF(P545="RESTRINGIDO(3)",3,3))))+(IF(Q545="BAJA(1)",1,IF(Q545="MEDIA(2)",2,IF(Q545="ALTA(3)",3,3))))+(IF(R545="BAJA(1)",1,IF(R545="MEDIA(2)",2,IF(R545="ALTA(3)",3,3))))</f>
        <v/>
      </c>
      <c r="T545" s="10">
        <f>+IF(S545&lt;6,"BAJA",IF(S545&lt;8,"MEDIA","ALTA"))</f>
        <v/>
      </c>
      <c r="U545" s="10" t="inlineStr">
        <is>
          <t>-</t>
        </is>
      </c>
      <c r="V545" s="24" t="n">
        <v>45681</v>
      </c>
      <c r="W545" s="19" t="inlineStr">
        <is>
          <t>N/A</t>
        </is>
      </c>
      <c r="X545" s="10">
        <f>+IFERROR(IF(VLOOKUP(Tabla2[[#This Row],[ID]],'EVALUACION DE RIESGO'!A:A,1,FALSE)=Tabla2[[#This Row],[ID]],"SI","NO"),"NO")</f>
        <v/>
      </c>
      <c r="AD545">
        <f>IF(AND(Y545="",AA545=""),"",IF(OR(LEFT(AA545,2)="L0",LEFT(AA545,2)="L1",Y545="No Iniciado"),"CRÍTICO - Incumplimiento Normativo SEPS",IF(AND(OR(LEFT(AA545,2)="L4",LEFT(AA545,2)="L5"),AND(AC545&lt;&gt;"",AC545&lt;&gt;"N/A")),"CONFORME - Control Efectivo ISO 27001","OBSERVACIÓN - Revisar Controles")))</f>
        <v/>
      </c>
    </row>
    <row r="546" ht="41.1" customHeight="1" s="106">
      <c r="A546" s="99" t="inlineStr">
        <is>
          <t xml:space="preserve">26-GRE </t>
        </is>
      </c>
      <c r="B546" s="10" t="inlineStr">
        <is>
          <t>PRODUCTIVO</t>
        </is>
      </c>
      <c r="C546" s="10" t="inlineStr">
        <is>
          <t xml:space="preserve">Gestión de Recuperación </t>
        </is>
      </c>
      <c r="D546" s="10" t="inlineStr">
        <is>
          <t xml:space="preserve">GRE </t>
        </is>
      </c>
      <c r="E546" s="10" t="inlineStr">
        <is>
          <t>Gestión de Recuperación Judicial</t>
        </is>
      </c>
      <c r="F546" s="10" t="inlineStr">
        <is>
          <t>-</t>
        </is>
      </c>
      <c r="G546" s="10" t="inlineStr">
        <is>
          <t xml:space="preserve">Recuperación de cartera judicial </t>
        </is>
      </c>
      <c r="H546" s="17" t="inlineStr">
        <is>
          <t>Documentos habilitantes para la demanda</t>
        </is>
      </c>
      <c r="I546" s="17" t="inlineStr">
        <is>
          <t>Documentos entregados al abogado externo Anexo de asignación de cartera abogados externos/Acta entrega recepción de documentos/Documentos para el inicio de tramites judiciales</t>
        </is>
      </c>
      <c r="J546" s="10" t="inlineStr">
        <is>
          <t>Gerente  Jurídico</t>
        </is>
      </c>
      <c r="K546" s="10" t="inlineStr">
        <is>
          <t>Abogado externo</t>
        </is>
      </c>
      <c r="L546" s="10" t="inlineStr">
        <is>
          <t>DOCUMENTOS FISICOS-ARCHIVOS DE LA OFICINA</t>
        </is>
      </c>
      <c r="M546" s="10" t="inlineStr">
        <is>
          <t>DOCUMENTO DE ARCHIVO-FÍSICO</t>
        </is>
      </c>
      <c r="N546" s="10" t="inlineStr">
        <is>
          <t>PRIMARIOS</t>
        </is>
      </c>
      <c r="O546" s="10" t="inlineStr">
        <is>
          <t>DOCUMENTOS HABILITANTES</t>
        </is>
      </c>
      <c r="P546" s="10" t="inlineStr">
        <is>
          <t>RESTRINGIDO(3)</t>
        </is>
      </c>
      <c r="Q546" s="10" t="inlineStr">
        <is>
          <t>MEDIA(2)</t>
        </is>
      </c>
      <c r="R546" s="10" t="inlineStr">
        <is>
          <t>ALTA(3)</t>
        </is>
      </c>
      <c r="S546" s="10">
        <f>+(IF(P546="PUBLICA(1)",1,IF(P546="USO INTERNO(2)",2,IF(P546="RESTRINGIDO(3)",3,3))))+(IF(Q546="BAJA(1)",1,IF(Q546="MEDIA(2)",2,IF(Q546="ALTA(3)",3,3))))+(IF(R546="BAJA(1)",1,IF(R546="MEDIA(2)",2,IF(R546="ALTA(3)",3,3))))</f>
        <v/>
      </c>
      <c r="T546" s="10">
        <f>+IF(S546&lt;6,"BAJA",IF(S546&lt;8,"MEDIA","ALTA"))</f>
        <v/>
      </c>
      <c r="U546" s="10" t="inlineStr">
        <is>
          <t>-</t>
        </is>
      </c>
      <c r="V546" s="24" t="n">
        <v>45681</v>
      </c>
      <c r="W546" s="19" t="inlineStr">
        <is>
          <t>N/A</t>
        </is>
      </c>
      <c r="X546" s="10">
        <f>+IFERROR(IF(VLOOKUP(Tabla2[[#This Row],[ID]],'EVALUACION DE RIESGO'!A:A,1,FALSE)=Tabla2[[#This Row],[ID]],"SI","NO"),"NO")</f>
        <v/>
      </c>
      <c r="AD546">
        <f>IF(AND(Y546="",AA546=""),"",IF(OR(LEFT(AA546,2)="L0",LEFT(AA546,2)="L1",Y546="No Iniciado"),"CRÍTICO - Incumplimiento Normativo SEPS",IF(AND(OR(LEFT(AA546,2)="L4",LEFT(AA546,2)="L5"),AND(AC546&lt;&gt;"",AC546&lt;&gt;"N/A")),"CONFORME - Control Efectivo ISO 27001","OBSERVACIÓN - Revisar Controles")))</f>
        <v/>
      </c>
    </row>
    <row r="547" ht="20.45" customHeight="1" s="106">
      <c r="A547" s="99" t="inlineStr">
        <is>
          <t xml:space="preserve">27-GRE </t>
        </is>
      </c>
      <c r="B547" s="10" t="inlineStr">
        <is>
          <t>PRODUCTIVO</t>
        </is>
      </c>
      <c r="C547" s="10" t="inlineStr">
        <is>
          <t xml:space="preserve">Gestión de Recuperación </t>
        </is>
      </c>
      <c r="D547" s="10" t="inlineStr">
        <is>
          <t xml:space="preserve">GRE </t>
        </is>
      </c>
      <c r="E547" s="10" t="inlineStr">
        <is>
          <t>Gestión de Recuperación Judicial</t>
        </is>
      </c>
      <c r="F547" s="10" t="inlineStr">
        <is>
          <t>-</t>
        </is>
      </c>
      <c r="G547" s="10" t="inlineStr">
        <is>
          <t xml:space="preserve">Recuperación de cartera judicial </t>
        </is>
      </c>
      <c r="H547" s="17" t="inlineStr">
        <is>
          <t>Registro de cartera asignada a abogados externos</t>
        </is>
      </c>
      <c r="I547" s="17" t="inlineStr">
        <is>
          <t>Registro de cartera asignada obtenida del sistema FIT</t>
        </is>
      </c>
      <c r="J547" s="10" t="inlineStr">
        <is>
          <t>Gerente  Jurídico</t>
        </is>
      </c>
      <c r="K547" s="10" t="inlineStr">
        <is>
          <t>N/A</t>
        </is>
      </c>
      <c r="L547" s="10" t="inlineStr">
        <is>
          <t>UBICACIÓN DIGITAL-EQUIPO DEL CUSTODIO</t>
        </is>
      </c>
      <c r="M547" s="10" t="inlineStr">
        <is>
          <t>DISCOS DUROS, SERVIDORES, DISCOS O MEDIOS PORTÁTILES, CINTAS O MEDIOS DE VIDEO Y AUDIO, ETC.</t>
        </is>
      </c>
      <c r="N547" s="10" t="inlineStr">
        <is>
          <t>PRIMARIOS</t>
        </is>
      </c>
      <c r="O547" s="10" t="inlineStr">
        <is>
          <t>INFORMACIÓN DE SOCIOS Y CLIENTES</t>
        </is>
      </c>
      <c r="P547" s="10" t="inlineStr">
        <is>
          <t>RESTRINGIDO(3)</t>
        </is>
      </c>
      <c r="Q547" s="10" t="inlineStr">
        <is>
          <t>MEDIA(2)</t>
        </is>
      </c>
      <c r="R547" s="10" t="inlineStr">
        <is>
          <t>ALTA(3)</t>
        </is>
      </c>
      <c r="S547" s="10">
        <f>+(IF(P547="PUBLICA(1)",1,IF(P547="USO INTERNO(2)",2,IF(P547="RESTRINGIDO(3)",3,3))))+(IF(Q547="BAJA(1)",1,IF(Q547="MEDIA(2)",2,IF(Q547="ALTA(3)",3,3))))+(IF(R547="BAJA(1)",1,IF(R547="MEDIA(2)",2,IF(R547="ALTA(3)",3,3))))</f>
        <v/>
      </c>
      <c r="T547" s="10">
        <f>+IF(S547&lt;6,"BAJA",IF(S547&lt;8,"MEDIA","ALTA"))</f>
        <v/>
      </c>
      <c r="U547" s="10" t="inlineStr">
        <is>
          <t>-</t>
        </is>
      </c>
      <c r="V547" s="24" t="n">
        <v>45681</v>
      </c>
      <c r="W547" s="19" t="inlineStr">
        <is>
          <t>N/A</t>
        </is>
      </c>
      <c r="X547" s="10">
        <f>+IFERROR(IF(VLOOKUP(Tabla2[[#This Row],[ID]],'EVALUACION DE RIESGO'!A:A,1,FALSE)=Tabla2[[#This Row],[ID]],"SI","NO"),"NO")</f>
        <v/>
      </c>
      <c r="AD547">
        <f>IF(AND(Y547="",AA547=""),"",IF(OR(LEFT(AA547,2)="L0",LEFT(AA547,2)="L1",Y547="No Iniciado"),"CRÍTICO - Incumplimiento Normativo SEPS",IF(AND(OR(LEFT(AA547,2)="L4",LEFT(AA547,2)="L5"),AND(AC547&lt;&gt;"",AC547&lt;&gt;"N/A")),"CONFORME - Control Efectivo ISO 27001","OBSERVACIÓN - Revisar Controles")))</f>
        <v/>
      </c>
    </row>
    <row r="548">
      <c r="A548" s="99" t="inlineStr">
        <is>
          <t xml:space="preserve">28-GRE </t>
        </is>
      </c>
      <c r="B548" s="10" t="inlineStr">
        <is>
          <t>PRODUCTIVO</t>
        </is>
      </c>
      <c r="C548" s="10" t="inlineStr">
        <is>
          <t xml:space="preserve">Gestión de Recuperación </t>
        </is>
      </c>
      <c r="D548" s="10" t="inlineStr">
        <is>
          <t xml:space="preserve">GRE </t>
        </is>
      </c>
      <c r="E548" s="10" t="inlineStr">
        <is>
          <t>Gestión de Recuperación Judicial</t>
        </is>
      </c>
      <c r="F548" s="10" t="inlineStr">
        <is>
          <t>-</t>
        </is>
      </c>
      <c r="G548" s="10" t="inlineStr">
        <is>
          <t xml:space="preserve">Recuperación de cartera judicial </t>
        </is>
      </c>
      <c r="H548" s="10" t="inlineStr">
        <is>
          <t>Informe de Juicio Concluido sin Recuperación</t>
        </is>
      </c>
      <c r="I548" s="10" t="inlineStr">
        <is>
          <t>Correo electrónico indicando que el juicio se ha terminado y no se logrado recuperar, no es un informe como tal, es una comunicación</t>
        </is>
      </c>
      <c r="J548" s="10" t="inlineStr">
        <is>
          <t>Gerente  Jurídico</t>
        </is>
      </c>
      <c r="K548" s="10" t="inlineStr">
        <is>
          <t>Asistente Juridico</t>
        </is>
      </c>
      <c r="L548" s="10" t="inlineStr">
        <is>
          <t>UBICACIÓN DIGITAL-EQUIPO DEL CUSTODIO</t>
        </is>
      </c>
      <c r="M548" s="10" t="inlineStr">
        <is>
          <t>DISCOS DUROS, SERVIDORES, DISCOS O MEDIOS PORTÁTILES, CINTAS O MEDIOS DE VIDEO Y AUDIO, ETC.</t>
        </is>
      </c>
      <c r="N548" s="10" t="inlineStr">
        <is>
          <t>PRIMARIOS</t>
        </is>
      </c>
      <c r="O548" s="10" t="inlineStr">
        <is>
          <t>DOCUMENTOS TÉCNICOS</t>
        </is>
      </c>
      <c r="P548" s="10" t="inlineStr">
        <is>
          <t>USO INTERNO(2)</t>
        </is>
      </c>
      <c r="Q548" s="10" t="inlineStr">
        <is>
          <t>MEDIA(2)</t>
        </is>
      </c>
      <c r="R548" s="10" t="inlineStr">
        <is>
          <t>MEDIA(2)</t>
        </is>
      </c>
      <c r="S548" s="10">
        <f>+(IF(P548="PUBLICA(1)",1,IF(P548="USO INTERNO(2)",2,IF(P548="RESTRINGIDO(3)",3,3))))+(IF(Q548="BAJA(1)",1,IF(Q548="MEDIA(2)",2,IF(Q548="ALTA(3)",3,3))))+(IF(R548="BAJA(1)",1,IF(R548="MEDIA(2)",2,IF(R548="ALTA(3)",3,3))))</f>
        <v/>
      </c>
      <c r="T548" s="10">
        <f>+IF(S548&lt;6,"BAJA",IF(S548&lt;8,"MEDIA","ALTA"))</f>
        <v/>
      </c>
      <c r="U548" s="10" t="inlineStr">
        <is>
          <t>-</t>
        </is>
      </c>
      <c r="V548" s="24" t="n">
        <v>45681</v>
      </c>
      <c r="W548" s="19" t="inlineStr">
        <is>
          <t>N/A</t>
        </is>
      </c>
      <c r="X548" s="10">
        <f>+IFERROR(IF(VLOOKUP(Tabla2[[#This Row],[ID]],'EVALUACION DE RIESGO'!A:A,1,FALSE)=Tabla2[[#This Row],[ID]],"SI","NO"),"NO")</f>
        <v/>
      </c>
      <c r="AD548">
        <f>IF(AND(Y548="",AA548=""),"",IF(OR(LEFT(AA548,2)="L0",LEFT(AA548,2)="L1",Y548="No Iniciado"),"CRÍTICO - Incumplimiento Normativo SEPS",IF(AND(OR(LEFT(AA548,2)="L4",LEFT(AA548,2)="L5"),AND(AC548&lt;&gt;"",AC548&lt;&gt;"N/A")),"CONFORME - Control Efectivo ISO 27001","OBSERVACIÓN - Revisar Controles")))</f>
        <v/>
      </c>
    </row>
    <row r="549">
      <c r="A549" s="99" t="inlineStr">
        <is>
          <t xml:space="preserve">29-GRE </t>
        </is>
      </c>
      <c r="B549" s="10" t="inlineStr">
        <is>
          <t>PRODUCTIVO</t>
        </is>
      </c>
      <c r="C549" s="10" t="inlineStr">
        <is>
          <t xml:space="preserve">Gestión de Recuperación </t>
        </is>
      </c>
      <c r="D549" s="10" t="inlineStr">
        <is>
          <t xml:space="preserve">GRE </t>
        </is>
      </c>
      <c r="E549" s="10" t="inlineStr">
        <is>
          <t>Gestión de Recuperación Judicial</t>
        </is>
      </c>
      <c r="F549" s="10" t="inlineStr">
        <is>
          <t>-</t>
        </is>
      </c>
      <c r="G549" s="10" t="inlineStr">
        <is>
          <t xml:space="preserve">Adjudicación de bienes por remate judicial                </t>
        </is>
      </c>
      <c r="H549" s="10" t="inlineStr">
        <is>
          <t>Informe de análisis costo beneficio de adquisición del bien</t>
        </is>
      </c>
      <c r="I549" s="10" t="inlineStr">
        <is>
          <t xml:space="preserve">Informe en el caso de que alguna propiedad a travez de remate como cooperativa se quiere adquirir, se anexa evaluacion realizada y anexos necesarios de la evaluación del bien </t>
        </is>
      </c>
      <c r="J549" s="10" t="inlineStr">
        <is>
          <t>Gerente  Jurídico</t>
        </is>
      </c>
      <c r="K549" s="10" t="inlineStr">
        <is>
          <t>Especialista Juridico</t>
        </is>
      </c>
      <c r="L549" s="10" t="inlineStr">
        <is>
          <t>UBICACIÓN DIGITAL-EQUIPO DEL CUSTODIO</t>
        </is>
      </c>
      <c r="M549" s="10" t="inlineStr">
        <is>
          <t>DISCOS DUROS, SERVIDORES, DISCOS O MEDIOS PORTÁTILES, CINTAS O MEDIOS DE VIDEO Y AUDIO, ETC.</t>
        </is>
      </c>
      <c r="N549" s="10" t="inlineStr">
        <is>
          <t>PRIMARIOS</t>
        </is>
      </c>
      <c r="O549" s="10" t="inlineStr">
        <is>
          <t>DOCUMENTOS TÉCNICOS</t>
        </is>
      </c>
      <c r="P549" s="10" t="inlineStr">
        <is>
          <t>USO INTERNO(2)</t>
        </is>
      </c>
      <c r="Q549" s="10" t="inlineStr">
        <is>
          <t>BAJA(1)</t>
        </is>
      </c>
      <c r="R549" s="10" t="inlineStr">
        <is>
          <t>MEDIA(2)</t>
        </is>
      </c>
      <c r="S549" s="10">
        <f>+(IF(P549="PUBLICA(1)",1,IF(P549="USO INTERNO(2)",2,IF(P549="RESTRINGIDO(3)",3,3))))+(IF(Q549="BAJA(1)",1,IF(Q549="MEDIA(2)",2,IF(Q549="ALTA(3)",3,3))))+(IF(R549="BAJA(1)",1,IF(R549="MEDIA(2)",2,IF(R549="ALTA(3)",3,3))))</f>
        <v/>
      </c>
      <c r="T549" s="10">
        <f>+IF(S549&lt;6,"BAJA",IF(S549&lt;8,"MEDIA","ALTA"))</f>
        <v/>
      </c>
      <c r="U549" s="10" t="inlineStr">
        <is>
          <t>-</t>
        </is>
      </c>
      <c r="V549" s="24" t="n">
        <v>45681</v>
      </c>
      <c r="W549" s="19" t="inlineStr">
        <is>
          <t>N/A</t>
        </is>
      </c>
      <c r="X549" s="10">
        <f>+IFERROR(IF(VLOOKUP(Tabla2[[#This Row],[ID]],'EVALUACION DE RIESGO'!A:A,1,FALSE)=Tabla2[[#This Row],[ID]],"SI","NO"),"NO")</f>
        <v/>
      </c>
      <c r="AD549">
        <f>IF(AND(Y549="",AA549=""),"",IF(OR(LEFT(AA549,2)="L0",LEFT(AA549,2)="L1",Y549="No Iniciado"),"CRÍTICO - Incumplimiento Normativo SEPS",IF(AND(OR(LEFT(AA549,2)="L4",LEFT(AA549,2)="L5"),AND(AC549&lt;&gt;"",AC549&lt;&gt;"N/A")),"CONFORME - Control Efectivo ISO 27001","OBSERVACIÓN - Revisar Controles")))</f>
        <v/>
      </c>
    </row>
    <row r="550" ht="12" customHeight="1" s="106">
      <c r="A550" s="99" t="inlineStr">
        <is>
          <t xml:space="preserve">30-GRE </t>
        </is>
      </c>
      <c r="B550" s="10" t="inlineStr">
        <is>
          <t>PRODUCTIVO</t>
        </is>
      </c>
      <c r="C550" s="10" t="inlineStr">
        <is>
          <t xml:space="preserve">Gestión de Recuperación </t>
        </is>
      </c>
      <c r="D550" s="10" t="inlineStr">
        <is>
          <t xml:space="preserve">GRE </t>
        </is>
      </c>
      <c r="E550" s="10" t="inlineStr">
        <is>
          <t>Gestión de Recuperación Judicial</t>
        </is>
      </c>
      <c r="F550" s="10" t="inlineStr">
        <is>
          <t>-</t>
        </is>
      </c>
      <c r="G550" s="10" t="inlineStr">
        <is>
          <t xml:space="preserve">Adjudicación de bienes por remate judicial                </t>
        </is>
      </c>
      <c r="H550" s="17" t="inlineStr">
        <is>
          <t>Escritura de adjudicación del bien</t>
        </is>
      </c>
      <c r="I550" s="17" t="inlineStr">
        <is>
          <t>Escritura del bien correctamente legalizada</t>
        </is>
      </c>
      <c r="J550" s="10" t="inlineStr">
        <is>
          <t>Gerente  Jurídico</t>
        </is>
      </c>
      <c r="K550" s="10" t="inlineStr">
        <is>
          <t>Especialista Juridico</t>
        </is>
      </c>
      <c r="L550" s="10" t="inlineStr">
        <is>
          <t>DOCUMENTOS FISICOS-ARCHIVOS DE LA OFICINA</t>
        </is>
      </c>
      <c r="M550" s="10" t="inlineStr">
        <is>
          <t>DOCUMENTO DE ARCHIVO-FÍSICO</t>
        </is>
      </c>
      <c r="N550" s="10" t="inlineStr">
        <is>
          <t>PRIMARIOS</t>
        </is>
      </c>
      <c r="O550" s="10" t="inlineStr">
        <is>
          <t>INFORMACIÓN DE SOCIOS Y CLIENTES</t>
        </is>
      </c>
      <c r="P550" s="10" t="inlineStr">
        <is>
          <t>USO INTERNO(2)</t>
        </is>
      </c>
      <c r="Q550" s="10" t="inlineStr">
        <is>
          <t>ALTA(3)</t>
        </is>
      </c>
      <c r="R550" s="10" t="inlineStr">
        <is>
          <t>ALTA(3)</t>
        </is>
      </c>
      <c r="S550" s="10">
        <f>+(IF(P550="PUBLICA(1)",1,IF(P550="USO INTERNO(2)",2,IF(P550="RESTRINGIDO(3)",3,3))))+(IF(Q550="BAJA(1)",1,IF(Q550="MEDIA(2)",2,IF(Q550="ALTA(3)",3,3))))+(IF(R550="BAJA(1)",1,IF(R550="MEDIA(2)",2,IF(R550="ALTA(3)",3,3))))</f>
        <v/>
      </c>
      <c r="T550" s="10">
        <f>+IF(S550&lt;6,"BAJA",IF(S550&lt;8,"MEDIA","ALTA"))</f>
        <v/>
      </c>
      <c r="U550" s="10" t="inlineStr">
        <is>
          <t>-</t>
        </is>
      </c>
      <c r="V550" s="24" t="n">
        <v>45681</v>
      </c>
      <c r="W550" s="19" t="inlineStr">
        <is>
          <t>N/A</t>
        </is>
      </c>
      <c r="X550" s="10">
        <f>+IFERROR(IF(VLOOKUP(Tabla2[[#This Row],[ID]],'EVALUACION DE RIESGO'!A:A,1,FALSE)=Tabla2[[#This Row],[ID]],"SI","NO"),"NO")</f>
        <v/>
      </c>
      <c r="AD550">
        <f>IF(AND(Y550="",AA550=""),"",IF(OR(LEFT(AA550,2)="L0",LEFT(AA550,2)="L1",Y550="No Iniciado"),"CRÍTICO - Incumplimiento Normativo SEPS",IF(AND(OR(LEFT(AA550,2)="L4",LEFT(AA550,2)="L5"),AND(AC550&lt;&gt;"",AC550&lt;&gt;"N/A")),"CONFORME - Control Efectivo ISO 27001","OBSERVACIÓN - Revisar Controles")))</f>
        <v/>
      </c>
    </row>
    <row r="551">
      <c r="A551" s="99" t="inlineStr">
        <is>
          <t xml:space="preserve">31-GRE </t>
        </is>
      </c>
      <c r="B551" s="10" t="inlineStr">
        <is>
          <t>PRODUCTIVO</t>
        </is>
      </c>
      <c r="C551" s="10" t="inlineStr">
        <is>
          <t xml:space="preserve">Gestión de Recuperación </t>
        </is>
      </c>
      <c r="D551" s="10" t="inlineStr">
        <is>
          <t xml:space="preserve">GRE </t>
        </is>
      </c>
      <c r="E551" s="10" t="inlineStr">
        <is>
          <t>Gestión de Recuperación Judicial</t>
        </is>
      </c>
      <c r="F551" s="10" t="inlineStr">
        <is>
          <t>-</t>
        </is>
      </c>
      <c r="G551" s="10" t="inlineStr">
        <is>
          <t xml:space="preserve">Juicios de concurso de acreedores </t>
        </is>
      </c>
      <c r="H551" s="10" t="inlineStr">
        <is>
          <t>Informe de sentencia emitida por el Juez en sentencia</t>
        </is>
      </c>
      <c r="I551" s="10" t="inlineStr">
        <is>
          <t>comunicación inidicando que sobre cierto cuicio se ha llegado una etapa especifica, e indica el pago acordado</t>
        </is>
      </c>
      <c r="J551" s="10" t="inlineStr">
        <is>
          <t>Gerente  Jurídico</t>
        </is>
      </c>
      <c r="K551" s="10" t="inlineStr">
        <is>
          <t>Especialista Juridico</t>
        </is>
      </c>
      <c r="L551" s="10" t="inlineStr">
        <is>
          <t>UBICACIÓN DIGITAL-EQUIPO DEL CUSTODIO</t>
        </is>
      </c>
      <c r="M551" s="10" t="inlineStr">
        <is>
          <t>DISCOS DUROS, SERVIDORES, DISCOS O MEDIOS PORTÁTILES, CINTAS O MEDIOS DE VIDEO Y AUDIO, ETC.</t>
        </is>
      </c>
      <c r="N551" s="10" t="inlineStr">
        <is>
          <t>PRIMARIOS</t>
        </is>
      </c>
      <c r="O551" s="10" t="inlineStr">
        <is>
          <t>DOCUMENTOS TÉCNICOS</t>
        </is>
      </c>
      <c r="P551" s="10" t="inlineStr">
        <is>
          <t>USO INTERNO(2)</t>
        </is>
      </c>
      <c r="Q551" s="10" t="inlineStr">
        <is>
          <t>MEDIA(2)</t>
        </is>
      </c>
      <c r="R551" s="10" t="inlineStr">
        <is>
          <t>MEDIA(2)</t>
        </is>
      </c>
      <c r="S551" s="10">
        <f>+(IF(P551="PUBLICA(1)",1,IF(P551="USO INTERNO(2)",2,IF(P551="RESTRINGIDO(3)",3,3))))+(IF(Q551="BAJA(1)",1,IF(Q551="MEDIA(2)",2,IF(Q551="ALTA(3)",3,3))))+(IF(R551="BAJA(1)",1,IF(R551="MEDIA(2)",2,IF(R551="ALTA(3)",3,3))))</f>
        <v/>
      </c>
      <c r="T551" s="10">
        <f>+IF(S551&lt;6,"BAJA",IF(S551&lt;8,"MEDIA","ALTA"))</f>
        <v/>
      </c>
      <c r="U551" s="10" t="inlineStr">
        <is>
          <t>-</t>
        </is>
      </c>
      <c r="V551" s="24" t="n">
        <v>45681</v>
      </c>
      <c r="W551" s="19" t="inlineStr">
        <is>
          <t>N/A</t>
        </is>
      </c>
      <c r="X551" s="10">
        <f>+IFERROR(IF(VLOOKUP(Tabla2[[#This Row],[ID]],'EVALUACION DE RIESGO'!A:A,1,FALSE)=Tabla2[[#This Row],[ID]],"SI","NO"),"NO")</f>
        <v/>
      </c>
      <c r="AD551">
        <f>IF(AND(Y551="",AA551=""),"",IF(OR(LEFT(AA551,2)="L0",LEFT(AA551,2)="L1",Y551="No Iniciado"),"CRÍTICO - Incumplimiento Normativo SEPS",IF(AND(OR(LEFT(AA551,2)="L4",LEFT(AA551,2)="L5"),AND(AC551&lt;&gt;"",AC551&lt;&gt;"N/A")),"CONFORME - Control Efectivo ISO 27001","OBSERVACIÓN - Revisar Controles")))</f>
        <v/>
      </c>
    </row>
    <row r="552">
      <c r="A552" s="99" t="inlineStr">
        <is>
          <t xml:space="preserve">32-GRE </t>
        </is>
      </c>
      <c r="B552" s="10" t="inlineStr">
        <is>
          <t>PRODUCTIVO</t>
        </is>
      </c>
      <c r="C552" s="10" t="inlineStr">
        <is>
          <t xml:space="preserve">Gestión de Recuperación </t>
        </is>
      </c>
      <c r="D552" s="10" t="inlineStr">
        <is>
          <t xml:space="preserve">GRE </t>
        </is>
      </c>
      <c r="E552" s="10" t="inlineStr">
        <is>
          <t>Gestión de Recuperación Judicial</t>
        </is>
      </c>
      <c r="F552" s="10" t="inlineStr">
        <is>
          <t>-</t>
        </is>
      </c>
      <c r="G552" s="10" t="inlineStr">
        <is>
          <t xml:space="preserve">Liquidación de crédito </t>
        </is>
      </c>
      <c r="H552" s="10" t="inlineStr">
        <is>
          <t>Autorización de liquidación de saldos de deuda</t>
        </is>
      </c>
      <c r="I552" s="10" t="inlineStr">
        <is>
          <t>En ciertos jucios se ordena pagar un valor inferior al que reporta el sistema, entonces se autoriza una liquidación del crédito que autoriza la Gerencia General</t>
        </is>
      </c>
      <c r="J552" s="10" t="inlineStr">
        <is>
          <t>Gerente  Jurídico</t>
        </is>
      </c>
      <c r="K552" s="10" t="inlineStr">
        <is>
          <t>Especialista Juridico</t>
        </is>
      </c>
      <c r="L552" s="10" t="inlineStr">
        <is>
          <t>UBICACIÓN DIGITAL-EQUIPO DEL CUSTODIO</t>
        </is>
      </c>
      <c r="M552" s="10" t="inlineStr">
        <is>
          <t>DISCOS DUROS, SERVIDORES, DISCOS O MEDIOS PORTÁTILES, CINTAS O MEDIOS DE VIDEO Y AUDIO, ETC.</t>
        </is>
      </c>
      <c r="N552" s="10" t="inlineStr">
        <is>
          <t>PRIMARIOS</t>
        </is>
      </c>
      <c r="O552" s="10" t="inlineStr">
        <is>
          <t>DOCUMENTOS HABILITANTES</t>
        </is>
      </c>
      <c r="P552" s="10" t="inlineStr">
        <is>
          <t>USO INTERNO(2)</t>
        </is>
      </c>
      <c r="Q552" s="10" t="inlineStr">
        <is>
          <t>ALTA(3)</t>
        </is>
      </c>
      <c r="R552" s="10" t="inlineStr">
        <is>
          <t>MEDIA(2)</t>
        </is>
      </c>
      <c r="S552" s="10">
        <f>+(IF(P552="PUBLICA(1)",1,IF(P552="USO INTERNO(2)",2,IF(P552="RESTRINGIDO(3)",3,3))))+(IF(Q552="BAJA(1)",1,IF(Q552="MEDIA(2)",2,IF(Q552="ALTA(3)",3,3))))+(IF(R552="BAJA(1)",1,IF(R552="MEDIA(2)",2,IF(R552="ALTA(3)",3,3))))</f>
        <v/>
      </c>
      <c r="T552" s="10">
        <f>+IF(S552&lt;6,"BAJA",IF(S552&lt;8,"MEDIA","ALTA"))</f>
        <v/>
      </c>
      <c r="U552" s="10" t="inlineStr">
        <is>
          <t>-</t>
        </is>
      </c>
      <c r="V552" s="24" t="n">
        <v>45681</v>
      </c>
      <c r="W552" s="19" t="inlineStr">
        <is>
          <t>N/A</t>
        </is>
      </c>
      <c r="X552" s="10">
        <f>+IFERROR(IF(VLOOKUP(Tabla2[[#This Row],[ID]],'EVALUACION DE RIESGO'!A:A,1,FALSE)=Tabla2[[#This Row],[ID]],"SI","NO"),"NO")</f>
        <v/>
      </c>
      <c r="AD552">
        <f>IF(AND(Y552="",AA552=""),"",IF(OR(LEFT(AA552,2)="L0",LEFT(AA552,2)="L1",Y552="No Iniciado"),"CRÍTICO - Incumplimiento Normativo SEPS",IF(AND(OR(LEFT(AA552,2)="L4",LEFT(AA552,2)="L5"),AND(AC552&lt;&gt;"",AC552&lt;&gt;"N/A")),"CONFORME - Control Efectivo ISO 27001","OBSERVACIÓN - Revisar Controles")))</f>
        <v/>
      </c>
    </row>
    <row r="553">
      <c r="A553" s="99" t="inlineStr">
        <is>
          <t xml:space="preserve">33-GRE </t>
        </is>
      </c>
      <c r="B553" s="10" t="inlineStr">
        <is>
          <t>PRODUCTIVO</t>
        </is>
      </c>
      <c r="C553" s="10" t="inlineStr">
        <is>
          <t xml:space="preserve">Gestión de Recuperación </t>
        </is>
      </c>
      <c r="D553" s="10" t="inlineStr">
        <is>
          <t xml:space="preserve">GRE </t>
        </is>
      </c>
      <c r="E553" s="10" t="inlineStr">
        <is>
          <t>Gestión de Recuperación Judicial</t>
        </is>
      </c>
      <c r="F553" s="10" t="inlineStr">
        <is>
          <t>-</t>
        </is>
      </c>
      <c r="G553" s="10" t="inlineStr">
        <is>
          <t>Recuperación de valores consignados en Unidades Judiciales</t>
        </is>
      </c>
      <c r="H553" s="10" t="inlineStr">
        <is>
          <t>Comprobante de depósito/ transferencia</t>
        </is>
      </c>
      <c r="I553" s="10" t="inlineStr">
        <is>
          <t>Comprobante de deposito con información del cliente y valor</t>
        </is>
      </c>
      <c r="J553" s="10" t="inlineStr">
        <is>
          <t>Gerente  Jurídico</t>
        </is>
      </c>
      <c r="K553" s="10" t="inlineStr">
        <is>
          <t>Especialista Juridico</t>
        </is>
      </c>
      <c r="L553" s="10" t="inlineStr">
        <is>
          <t>DOCUMENTOS FISICOS-ARCHIVOS DE LA OFICINA</t>
        </is>
      </c>
      <c r="M553" s="10" t="inlineStr">
        <is>
          <t>DOCUMENTO DE ARCHIVO-FÍSICO</t>
        </is>
      </c>
      <c r="N553" s="10" t="inlineStr">
        <is>
          <t>PRIMARIOS</t>
        </is>
      </c>
      <c r="O553" s="10" t="inlineStr">
        <is>
          <t>DOCUMENTOS HABILITANTES</t>
        </is>
      </c>
      <c r="P553" s="10" t="inlineStr">
        <is>
          <t>USO INTERNO(2)</t>
        </is>
      </c>
      <c r="Q553" s="10" t="inlineStr">
        <is>
          <t>MEDIA(2)</t>
        </is>
      </c>
      <c r="R553" s="10" t="inlineStr">
        <is>
          <t>MEDIA(2)</t>
        </is>
      </c>
      <c r="S553" s="10">
        <f>+(IF(P553="PUBLICA(1)",1,IF(P553="USO INTERNO(2)",2,IF(P553="RESTRINGIDO(3)",3,3))))+(IF(Q553="BAJA(1)",1,IF(Q553="MEDIA(2)",2,IF(Q553="ALTA(3)",3,3))))+(IF(R553="BAJA(1)",1,IF(R553="MEDIA(2)",2,IF(R553="ALTA(3)",3,3))))</f>
        <v/>
      </c>
      <c r="T553" s="10">
        <f>+IF(S553&lt;6,"BAJA",IF(S553&lt;8,"MEDIA","ALTA"))</f>
        <v/>
      </c>
      <c r="U553" s="10" t="inlineStr">
        <is>
          <t>-</t>
        </is>
      </c>
      <c r="V553" s="24" t="n">
        <v>45681</v>
      </c>
      <c r="W553" s="19" t="inlineStr">
        <is>
          <t>N/A</t>
        </is>
      </c>
      <c r="X553" s="10">
        <f>+IFERROR(IF(VLOOKUP(Tabla2[[#This Row],[ID]],'EVALUACION DE RIESGO'!A:A,1,FALSE)=Tabla2[[#This Row],[ID]],"SI","NO"),"NO")</f>
        <v/>
      </c>
      <c r="AD553">
        <f>IF(AND(Y553="",AA553=""),"",IF(OR(LEFT(AA553,2)="L0",LEFT(AA553,2)="L1",Y553="No Iniciado"),"CRÍTICO - Incumplimiento Normativo SEPS",IF(AND(OR(LEFT(AA553,2)="L4",LEFT(AA553,2)="L5"),AND(AC553&lt;&gt;"",AC553&lt;&gt;"N/A")),"CONFORME - Control Efectivo ISO 27001","OBSERVACIÓN - Revisar Controles")))</f>
        <v/>
      </c>
    </row>
    <row r="554">
      <c r="A554" s="99" t="inlineStr">
        <is>
          <t xml:space="preserve">34-GRE </t>
        </is>
      </c>
      <c r="B554" s="10" t="inlineStr">
        <is>
          <t>PRODUCTIVO</t>
        </is>
      </c>
      <c r="C554" s="10" t="inlineStr">
        <is>
          <t xml:space="preserve">Gestión de Recuperación </t>
        </is>
      </c>
      <c r="D554" s="10" t="inlineStr">
        <is>
          <t xml:space="preserve">GRE </t>
        </is>
      </c>
      <c r="E554" s="10" t="inlineStr">
        <is>
          <t>Gestión de Recuperación Judicial</t>
        </is>
      </c>
      <c r="F554" s="10" t="inlineStr">
        <is>
          <t>-</t>
        </is>
      </c>
      <c r="G554" s="10" t="inlineStr">
        <is>
          <t>Pago de honorario a abogados externos</t>
        </is>
      </c>
      <c r="H554" s="10" t="inlineStr">
        <is>
          <t>Reporte de pagos en las operaciones crediticias</t>
        </is>
      </c>
      <c r="I554" s="10" t="inlineStr">
        <is>
          <t>Reporte que se obtiene del sistema y se procede con el pago de honorarios, detalla abobados y valores</t>
        </is>
      </c>
      <c r="J554" s="10" t="inlineStr">
        <is>
          <t>Gerente  Jurídico</t>
        </is>
      </c>
      <c r="K554" s="10" t="inlineStr">
        <is>
          <t>N/A</t>
        </is>
      </c>
      <c r="L554" s="10" t="inlineStr">
        <is>
          <t>UBICACIÓN DIGITAL-EQUIPO DEL CUSTODIO</t>
        </is>
      </c>
      <c r="M554" s="10" t="inlineStr">
        <is>
          <t>DISCOS DUROS, SERVIDORES, DISCOS O MEDIOS PORTÁTILES, CINTAS O MEDIOS DE VIDEO Y AUDIO, ETC.</t>
        </is>
      </c>
      <c r="N554" s="10" t="inlineStr">
        <is>
          <t>PRIMARIOS</t>
        </is>
      </c>
      <c r="O554" s="10" t="inlineStr">
        <is>
          <t>COMUNICACIÓN INTERNA</t>
        </is>
      </c>
      <c r="P554" s="10" t="inlineStr">
        <is>
          <t>USO INTERNO(2)</t>
        </is>
      </c>
      <c r="Q554" s="10" t="inlineStr">
        <is>
          <t>MEDIA(2)</t>
        </is>
      </c>
      <c r="R554" s="10" t="inlineStr">
        <is>
          <t>MEDIA(2)</t>
        </is>
      </c>
      <c r="S554" s="10">
        <f>+(IF(P554="PUBLICA(1)",1,IF(P554="USO INTERNO(2)",2,IF(P554="RESTRINGIDO(3)",3,3))))+(IF(Q554="BAJA(1)",1,IF(Q554="MEDIA(2)",2,IF(Q554="ALTA(3)",3,3))))+(IF(R554="BAJA(1)",1,IF(R554="MEDIA(2)",2,IF(R554="ALTA(3)",3,3))))</f>
        <v/>
      </c>
      <c r="T554" s="10">
        <f>+IF(S554&lt;6,"BAJA",IF(S554&lt;8,"MEDIA","ALTA"))</f>
        <v/>
      </c>
      <c r="U554" s="10" t="inlineStr">
        <is>
          <t>-</t>
        </is>
      </c>
      <c r="V554" s="24" t="n">
        <v>45681</v>
      </c>
      <c r="W554" s="19" t="inlineStr">
        <is>
          <t>N/A</t>
        </is>
      </c>
      <c r="X554" s="10">
        <f>+IFERROR(IF(VLOOKUP(Tabla2[[#This Row],[ID]],'EVALUACION DE RIESGO'!A:A,1,FALSE)=Tabla2[[#This Row],[ID]],"SI","NO"),"NO")</f>
        <v/>
      </c>
      <c r="AD554">
        <f>IF(AND(Y554="",AA554=""),"",IF(OR(LEFT(AA554,2)="L0",LEFT(AA554,2)="L1",Y554="No Iniciado"),"CRÍTICO - Incumplimiento Normativo SEPS",IF(AND(OR(LEFT(AA554,2)="L4",LEFT(AA554,2)="L5"),AND(AC554&lt;&gt;"",AC554&lt;&gt;"N/A")),"CONFORME - Control Efectivo ISO 27001","OBSERVACIÓN - Revisar Controles")))</f>
        <v/>
      </c>
    </row>
    <row r="555">
      <c r="A555" s="99" t="inlineStr">
        <is>
          <t xml:space="preserve">35-GRE </t>
        </is>
      </c>
      <c r="B555" s="10" t="inlineStr">
        <is>
          <t>PRODUCTIVO</t>
        </is>
      </c>
      <c r="C555" s="10" t="inlineStr">
        <is>
          <t xml:space="preserve">Gestión de Recuperación </t>
        </is>
      </c>
      <c r="D555" s="10" t="inlineStr">
        <is>
          <t xml:space="preserve">GRE </t>
        </is>
      </c>
      <c r="E555" s="10" t="inlineStr">
        <is>
          <t>Gestión de Recuperación Judicial</t>
        </is>
      </c>
      <c r="F555" s="10" t="inlineStr">
        <is>
          <t>-</t>
        </is>
      </c>
      <c r="G555" s="10" t="inlineStr">
        <is>
          <t>Pago de honorario a abogados externos</t>
        </is>
      </c>
      <c r="H555" s="10" t="inlineStr">
        <is>
          <t>Aval Técnico de Recepción, Informe Peritajes y publicaciones y otros gastos judiciales</t>
        </is>
      </c>
      <c r="I555" s="10" t="inlineStr">
        <is>
          <t>Formulario e informe del aval técnico entreago en el juincio del cual se recepta la paftura  para proceder con el pago</t>
        </is>
      </c>
      <c r="J555" s="10" t="inlineStr">
        <is>
          <t>Gerente  Jurídico</t>
        </is>
      </c>
      <c r="K555" s="10" t="inlineStr">
        <is>
          <t>Especialista Juridico</t>
        </is>
      </c>
      <c r="L555" s="10" t="inlineStr">
        <is>
          <t>DOCUMENTOS FISICOS-ARCHIVOS DE LA OFICINA</t>
        </is>
      </c>
      <c r="M555" s="10" t="inlineStr">
        <is>
          <t>DOCUMENTO DE ARCHIVO-FÍSICO</t>
        </is>
      </c>
      <c r="N555" s="10" t="inlineStr">
        <is>
          <t>PRIMARIOS</t>
        </is>
      </c>
      <c r="O555" s="10" t="inlineStr">
        <is>
          <t>DOCUMENTOS HABILITANTES</t>
        </is>
      </c>
      <c r="P555" s="10" t="inlineStr">
        <is>
          <t>USO INTERNO(2)</t>
        </is>
      </c>
      <c r="Q555" s="10" t="inlineStr">
        <is>
          <t>MEDIA(2)</t>
        </is>
      </c>
      <c r="R555" s="10" t="inlineStr">
        <is>
          <t>MEDIA(2)</t>
        </is>
      </c>
      <c r="S555" s="10">
        <f>+(IF(P555="PUBLICA(1)",1,IF(P555="USO INTERNO(2)",2,IF(P555="RESTRINGIDO(3)",3,3))))+(IF(Q555="BAJA(1)",1,IF(Q555="MEDIA(2)",2,IF(Q555="ALTA(3)",3,3))))+(IF(R555="BAJA(1)",1,IF(R555="MEDIA(2)",2,IF(R555="ALTA(3)",3,3))))</f>
        <v/>
      </c>
      <c r="T555" s="10">
        <f>+IF(S555&lt;6,"BAJA",IF(S555&lt;8,"MEDIA","ALTA"))</f>
        <v/>
      </c>
      <c r="U555" s="10" t="inlineStr">
        <is>
          <t>-</t>
        </is>
      </c>
      <c r="V555" s="24" t="n">
        <v>45681</v>
      </c>
      <c r="W555" s="19" t="inlineStr">
        <is>
          <t>N/A</t>
        </is>
      </c>
      <c r="X555" s="10">
        <f>+IFERROR(IF(VLOOKUP(Tabla2[[#This Row],[ID]],'EVALUACION DE RIESGO'!A:A,1,FALSE)=Tabla2[[#This Row],[ID]],"SI","NO"),"NO")</f>
        <v/>
      </c>
      <c r="AD555">
        <f>IF(AND(Y555="",AA555=""),"",IF(OR(LEFT(AA555,2)="L0",LEFT(AA555,2)="L1",Y555="No Iniciado"),"CRÍTICO - Incumplimiento Normativo SEPS",IF(AND(OR(LEFT(AA555,2)="L4",LEFT(AA555,2)="L5"),AND(AC555&lt;&gt;"",AC555&lt;&gt;"N/A")),"CONFORME - Control Efectivo ISO 27001","OBSERVACIÓN - Revisar Controles")))</f>
        <v/>
      </c>
    </row>
    <row r="556">
      <c r="A556" s="99" t="inlineStr">
        <is>
          <t xml:space="preserve">36-GRE </t>
        </is>
      </c>
      <c r="B556" s="10" t="inlineStr">
        <is>
          <t>PRODUCTIVO</t>
        </is>
      </c>
      <c r="C556" s="10" t="inlineStr">
        <is>
          <t xml:space="preserve">Gestión de Recuperación </t>
        </is>
      </c>
      <c r="D556" s="10" t="inlineStr">
        <is>
          <t xml:space="preserve">GRE </t>
        </is>
      </c>
      <c r="E556" s="10" t="inlineStr">
        <is>
          <t>Gestión de Recuperación Judicial</t>
        </is>
      </c>
      <c r="F556" s="10" t="inlineStr">
        <is>
          <t>-</t>
        </is>
      </c>
      <c r="G556" s="10" t="inlineStr">
        <is>
          <t>Pago de honorario a abogados externos</t>
        </is>
      </c>
      <c r="H556" s="10" t="inlineStr">
        <is>
          <t>Reporte de pagos en las operaciones crediticias</t>
        </is>
      </c>
      <c r="I556" s="10" t="inlineStr">
        <is>
          <t>Reporte que se obtiene del sistema trx 06-4024 que detalla los valores y operación</t>
        </is>
      </c>
      <c r="J556" s="10" t="inlineStr">
        <is>
          <t>Gerente  Jurídico</t>
        </is>
      </c>
      <c r="K556" s="10" t="inlineStr">
        <is>
          <t>N/A</t>
        </is>
      </c>
      <c r="L556" s="10" t="inlineStr">
        <is>
          <t>UBICACIÓN DIGITAL-EQUIPO DEL CUSTODIO</t>
        </is>
      </c>
      <c r="M556" s="10" t="inlineStr">
        <is>
          <t>DISCOS DUROS, SERVIDORES, DISCOS O MEDIOS PORTÁTILES, CINTAS O MEDIOS DE VIDEO Y AUDIO, ETC.</t>
        </is>
      </c>
      <c r="N556" s="10" t="inlineStr">
        <is>
          <t>PRIMARIOS</t>
        </is>
      </c>
      <c r="O556" s="10" t="inlineStr">
        <is>
          <t>INFORMACIÓN DE SOCIOS Y CLIENTES</t>
        </is>
      </c>
      <c r="P556" s="10" t="inlineStr">
        <is>
          <t>USO INTERNO(2)</t>
        </is>
      </c>
      <c r="Q556" s="10" t="inlineStr">
        <is>
          <t>MEDIA(2)</t>
        </is>
      </c>
      <c r="R556" s="10" t="inlineStr">
        <is>
          <t>MEDIA(2)</t>
        </is>
      </c>
      <c r="S556" s="10">
        <f>+(IF(P556="PUBLICA(1)",1,IF(P556="USO INTERNO(2)",2,IF(P556="RESTRINGIDO(3)",3,3))))+(IF(Q556="BAJA(1)",1,IF(Q556="MEDIA(2)",2,IF(Q556="ALTA(3)",3,3))))+(IF(R556="BAJA(1)",1,IF(R556="MEDIA(2)",2,IF(R556="ALTA(3)",3,3))))</f>
        <v/>
      </c>
      <c r="T556" s="10">
        <f>+IF(S556&lt;6,"BAJA",IF(S556&lt;8,"MEDIA","ALTA"))</f>
        <v/>
      </c>
      <c r="U556" s="10" t="inlineStr">
        <is>
          <t>-</t>
        </is>
      </c>
      <c r="V556" s="24" t="n">
        <v>45681</v>
      </c>
      <c r="W556" s="19" t="inlineStr">
        <is>
          <t>N/A</t>
        </is>
      </c>
      <c r="X556" s="10">
        <f>+IFERROR(IF(VLOOKUP(Tabla2[[#This Row],[ID]],'EVALUACION DE RIESGO'!A:A,1,FALSE)=Tabla2[[#This Row],[ID]],"SI","NO"),"NO")</f>
        <v/>
      </c>
      <c r="AD556">
        <f>IF(AND(Y556="",AA556=""),"",IF(OR(LEFT(AA556,2)="L0",LEFT(AA556,2)="L1",Y556="No Iniciado"),"CRÍTICO - Incumplimiento Normativo SEPS",IF(AND(OR(LEFT(AA556,2)="L4",LEFT(AA556,2)="L5"),AND(AC556&lt;&gt;"",AC556&lt;&gt;"N/A")),"CONFORME - Control Efectivo ISO 27001","OBSERVACIÓN - Revisar Controles")))</f>
        <v/>
      </c>
    </row>
    <row r="557">
      <c r="A557" s="99" t="inlineStr">
        <is>
          <t xml:space="preserve">37-GRE </t>
        </is>
      </c>
      <c r="B557" s="10" t="inlineStr">
        <is>
          <t>PRODUCTIVO</t>
        </is>
      </c>
      <c r="C557" s="10" t="inlineStr">
        <is>
          <t xml:space="preserve">Gestión de Recuperación </t>
        </is>
      </c>
      <c r="D557" s="10" t="inlineStr">
        <is>
          <t xml:space="preserve">GRE </t>
        </is>
      </c>
      <c r="E557" s="10" t="inlineStr">
        <is>
          <t>Gestión de Recuperación Judicial</t>
        </is>
      </c>
      <c r="F557" s="10" t="inlineStr">
        <is>
          <t>-</t>
        </is>
      </c>
      <c r="G557" s="10" t="inlineStr">
        <is>
          <t>Seguimiento y evaluación de la Gestión Judicial</t>
        </is>
      </c>
      <c r="H557" s="10" t="inlineStr">
        <is>
          <t>Informe de evaluación</t>
        </is>
      </c>
      <c r="I557" s="10" t="inlineStr">
        <is>
          <t>Analisis de la recuperación de los abogados donde se emite observaciones de la gestión.</t>
        </is>
      </c>
      <c r="J557" s="10" t="inlineStr">
        <is>
          <t>Gerente  Jurídico</t>
        </is>
      </c>
      <c r="K557" s="10" t="inlineStr">
        <is>
          <t>Especialista Juridico</t>
        </is>
      </c>
      <c r="L557" s="10" t="inlineStr">
        <is>
          <t>UBICACIÓN DIGITAL-EQUIPO DEL CUSTODIO</t>
        </is>
      </c>
      <c r="M557" s="10" t="inlineStr">
        <is>
          <t>DISCOS DUROS, SERVIDORES, DISCOS O MEDIOS PORTÁTILES, CINTAS O MEDIOS DE VIDEO Y AUDIO, ETC.</t>
        </is>
      </c>
      <c r="N557" s="10" t="inlineStr">
        <is>
          <t>PRIMARIOS</t>
        </is>
      </c>
      <c r="O557" s="10" t="inlineStr">
        <is>
          <t>DOCUMENTOS TÉCNICOS</t>
        </is>
      </c>
      <c r="P557" s="10" t="inlineStr">
        <is>
          <t>USO INTERNO(2)</t>
        </is>
      </c>
      <c r="Q557" s="10" t="inlineStr">
        <is>
          <t>MEDIA(2)</t>
        </is>
      </c>
      <c r="R557" s="10" t="inlineStr">
        <is>
          <t>MEDIA(2)</t>
        </is>
      </c>
      <c r="S557" s="10">
        <f>+(IF(P557="PUBLICA(1)",1,IF(P557="USO INTERNO(2)",2,IF(P557="RESTRINGIDO(3)",3,3))))+(IF(Q557="BAJA(1)",1,IF(Q557="MEDIA(2)",2,IF(Q557="ALTA(3)",3,3))))+(IF(R557="BAJA(1)",1,IF(R557="MEDIA(2)",2,IF(R557="ALTA(3)",3,3))))</f>
        <v/>
      </c>
      <c r="T557" s="10">
        <f>+IF(S557&lt;6,"BAJA",IF(S557&lt;8,"MEDIA","ALTA"))</f>
        <v/>
      </c>
      <c r="U557" s="10" t="inlineStr">
        <is>
          <t>-</t>
        </is>
      </c>
      <c r="V557" s="24" t="n">
        <v>45681</v>
      </c>
      <c r="W557" s="19" t="inlineStr">
        <is>
          <t>N/A</t>
        </is>
      </c>
      <c r="X557" s="10">
        <f>+IFERROR(IF(VLOOKUP(Tabla2[[#This Row],[ID]],'EVALUACION DE RIESGO'!A:A,1,FALSE)=Tabla2[[#This Row],[ID]],"SI","NO"),"NO")</f>
        <v/>
      </c>
      <c r="AD557">
        <f>IF(AND(Y557="",AA557=""),"",IF(OR(LEFT(AA557,2)="L0",LEFT(AA557,2)="L1",Y557="No Iniciado"),"CRÍTICO - Incumplimiento Normativo SEPS",IF(AND(OR(LEFT(AA557,2)="L4",LEFT(AA557,2)="L5"),AND(AC557&lt;&gt;"",AC557&lt;&gt;"N/A")),"CONFORME - Control Efectivo ISO 27001","OBSERVACIÓN - Revisar Controles")))</f>
        <v/>
      </c>
    </row>
    <row r="558" ht="20.45" customHeight="1" s="106">
      <c r="A558" s="99" t="inlineStr">
        <is>
          <t xml:space="preserve">38-GRE </t>
        </is>
      </c>
      <c r="B558" s="10" t="inlineStr">
        <is>
          <t>PRODUCTIVO</t>
        </is>
      </c>
      <c r="C558" s="10" t="inlineStr">
        <is>
          <t xml:space="preserve">Gestión de Recuperación </t>
        </is>
      </c>
      <c r="D558" s="10" t="inlineStr">
        <is>
          <t xml:space="preserve">GRE </t>
        </is>
      </c>
      <c r="E558" s="10" t="inlineStr">
        <is>
          <t>N/A</t>
        </is>
      </c>
      <c r="F558" s="10" t="inlineStr">
        <is>
          <t>-</t>
        </is>
      </c>
      <c r="G558" s="10" t="inlineStr">
        <is>
          <t>N/A</t>
        </is>
      </c>
      <c r="H558" s="17" t="inlineStr">
        <is>
          <t>Equipos de computación del Gerente Jurídico</t>
        </is>
      </c>
      <c r="I558" s="17" t="inlineStr">
        <is>
          <t>Equipos de computación donde se realiza la gestión del área</t>
        </is>
      </c>
      <c r="J558" s="10" t="inlineStr">
        <is>
          <t>Gerente  Jurídico</t>
        </is>
      </c>
      <c r="K558" s="10" t="inlineStr">
        <is>
          <t>Gerente  Jurídico</t>
        </is>
      </c>
      <c r="L558" s="10" t="inlineStr">
        <is>
          <t>DOCUMENTOS FISICOS-ARCHIVOS DE LA OFICINA</t>
        </is>
      </c>
      <c r="M558" s="10" t="inlineStr">
        <is>
          <t>DOCUMENTO DE ARCHIVO-FÍSICO</t>
        </is>
      </c>
      <c r="N558" s="10" t="inlineStr">
        <is>
          <t>PRIMARIOS</t>
        </is>
      </c>
      <c r="O558" s="10" t="inlineStr">
        <is>
          <t>INFORMACIÓN DE SOCIOS Y CLIENTES</t>
        </is>
      </c>
      <c r="P558" s="10" t="inlineStr">
        <is>
          <t>USO INTERNO(2)</t>
        </is>
      </c>
      <c r="Q558" s="10" t="inlineStr">
        <is>
          <t>ALTA(3)</t>
        </is>
      </c>
      <c r="R558" s="10" t="inlineStr">
        <is>
          <t>ALTA(3)</t>
        </is>
      </c>
      <c r="S558" s="10">
        <f>+(IF(P558="PUBLICA(1)",1,IF(P558="USO INTERNO(2)",2,IF(P558="RESTRINGIDO(3)",3,3))))+(IF(Q558="BAJA(1)",1,IF(Q558="MEDIA(2)",2,IF(Q558="ALTA(3)",3,3))))+(IF(R558="BAJA(1)",1,IF(R558="MEDIA(2)",2,IF(R558="ALTA(3)",3,3))))</f>
        <v/>
      </c>
      <c r="T558" s="10">
        <f>+IF(S558&lt;6,"BAJA",IF(S558&lt;8,"MEDIA","ALTA"))</f>
        <v/>
      </c>
      <c r="U558" s="10" t="inlineStr">
        <is>
          <t>-</t>
        </is>
      </c>
      <c r="V558" s="24" t="n">
        <v>45681</v>
      </c>
      <c r="W558" s="19" t="inlineStr">
        <is>
          <t>N/A</t>
        </is>
      </c>
      <c r="X558" s="10">
        <f>+IFERROR(IF(VLOOKUP(Tabla2[[#This Row],[ID]],'EVALUACION DE RIESGO'!A:A,1,FALSE)=Tabla2[[#This Row],[ID]],"SI","NO"),"NO")</f>
        <v/>
      </c>
      <c r="AD558">
        <f>IF(AND(Y558="",AA558=""),"",IF(OR(LEFT(AA558,2)="L0",LEFT(AA558,2)="L1",Y558="No Iniciado"),"CRÍTICO - Incumplimiento Normativo SEPS",IF(AND(OR(LEFT(AA558,2)="L4",LEFT(AA558,2)="L5"),AND(AC558&lt;&gt;"",AC558&lt;&gt;"N/A")),"CONFORME - Control Efectivo ISO 27001","OBSERVACIÓN - Revisar Controles")))</f>
        <v/>
      </c>
    </row>
    <row r="559">
      <c r="A559" s="99" t="inlineStr">
        <is>
          <t xml:space="preserve">39-GRE </t>
        </is>
      </c>
      <c r="B559" s="10" t="inlineStr">
        <is>
          <t>PRODUCTIVO</t>
        </is>
      </c>
      <c r="C559" s="10" t="inlineStr">
        <is>
          <t xml:space="preserve">Gestión de Recuperación </t>
        </is>
      </c>
      <c r="D559" s="10" t="inlineStr">
        <is>
          <t xml:space="preserve">GRE </t>
        </is>
      </c>
      <c r="E559" s="10" t="inlineStr">
        <is>
          <t>N/A</t>
        </is>
      </c>
      <c r="F559" s="10" t="inlineStr">
        <is>
          <t>-</t>
        </is>
      </c>
      <c r="G559" s="10" t="inlineStr">
        <is>
          <t>N/A</t>
        </is>
      </c>
      <c r="H559" s="10" t="inlineStr">
        <is>
          <t>Gerente Jurídico</t>
        </is>
      </c>
      <c r="I559" s="10" t="inlineStr">
        <is>
          <t>N/A</t>
        </is>
      </c>
      <c r="J559" s="10" t="inlineStr">
        <is>
          <t>Gerente  Jurídico</t>
        </is>
      </c>
      <c r="K559" s="10" t="inlineStr">
        <is>
          <t>N/A</t>
        </is>
      </c>
      <c r="L559" s="10" t="inlineStr">
        <is>
          <t>N/A</t>
        </is>
      </c>
      <c r="M559" s="10" t="inlineStr">
        <is>
          <t>N/A</t>
        </is>
      </c>
      <c r="N559" s="10" t="inlineStr">
        <is>
          <t>APOYO</t>
        </is>
      </c>
      <c r="O559" s="10" t="inlineStr">
        <is>
          <t>RECURSO HUMANO</t>
        </is>
      </c>
      <c r="P559" s="10" t="inlineStr">
        <is>
          <t>USO INTERNO(2)</t>
        </is>
      </c>
      <c r="Q559" s="10" t="inlineStr">
        <is>
          <t>MEDIA(2)</t>
        </is>
      </c>
      <c r="R559" s="10" t="inlineStr">
        <is>
          <t>MEDIA(2)</t>
        </is>
      </c>
      <c r="S559" s="10">
        <f>+(IF(P559="PUBLICA(1)",1,IF(P559="USO INTERNO(2)",2,IF(P559="RESTRINGIDO(3)",3,3))))+(IF(Q559="BAJA(1)",1,IF(Q559="MEDIA(2)",2,IF(Q559="ALTA(3)",3,3))))+(IF(R559="BAJA(1)",1,IF(R559="MEDIA(2)",2,IF(R559="ALTA(3)",3,3))))</f>
        <v/>
      </c>
      <c r="T559" s="10">
        <f>+IF(S559&lt;6,"BAJA",IF(S559&lt;8,"MEDIA","ALTA"))</f>
        <v/>
      </c>
      <c r="U559" s="10" t="inlineStr">
        <is>
          <t>-</t>
        </is>
      </c>
      <c r="V559" s="24" t="n">
        <v>45681</v>
      </c>
      <c r="W559" s="19" t="inlineStr">
        <is>
          <t>N/A</t>
        </is>
      </c>
      <c r="X559" s="10">
        <f>+IFERROR(IF(VLOOKUP(Tabla2[[#This Row],[ID]],'EVALUACION DE RIESGO'!A:A,1,FALSE)=Tabla2[[#This Row],[ID]],"SI","NO"),"NO")</f>
        <v/>
      </c>
      <c r="AD559">
        <f>IF(AND(Y559="",AA559=""),"",IF(OR(LEFT(AA559,2)="L0",LEFT(AA559,2)="L1",Y559="No Iniciado"),"CRÍTICO - Incumplimiento Normativo SEPS",IF(AND(OR(LEFT(AA559,2)="L4",LEFT(AA559,2)="L5"),AND(AC559&lt;&gt;"",AC559&lt;&gt;"N/A")),"CONFORME - Control Efectivo ISO 27001","OBSERVACIÓN - Revisar Controles")))</f>
        <v/>
      </c>
    </row>
    <row r="560">
      <c r="A560" s="99" t="inlineStr">
        <is>
          <t>1-GTH</t>
        </is>
      </c>
      <c r="B560" s="10" t="inlineStr">
        <is>
          <t>APOYO</t>
        </is>
      </c>
      <c r="C560" s="10" t="inlineStr">
        <is>
          <t>Gestión del Talento Humano</t>
        </is>
      </c>
      <c r="D560" s="10" t="inlineStr">
        <is>
          <t>GTH</t>
        </is>
      </c>
      <c r="E560" s="10" t="inlineStr">
        <is>
          <t>Gestión de Seguridad y Salud Ocupacional</t>
        </is>
      </c>
      <c r="F560" s="10" t="inlineStr">
        <is>
          <t xml:space="preserve">Seguridad Ocupacional </t>
        </is>
      </c>
      <c r="G560" s="10" t="inlineStr">
        <is>
          <t xml:space="preserve">Planificación Anual de Seguridad y Salud Ocupacional  </t>
        </is>
      </c>
      <c r="H560" s="10" t="inlineStr">
        <is>
          <t>Planificación anual de SSO</t>
        </is>
      </c>
      <c r="I560" s="10" t="inlineStr">
        <is>
          <t>Actividades claves para gestionar los riesgos laborales y cumplir los requisitos regulatorios y  establecer un cronograma de actividades de SSO a realizarse en el año</t>
        </is>
      </c>
      <c r="J560" s="10" t="inlineStr">
        <is>
          <t>Técnico en Seguridad y Salud Ocupacional</t>
        </is>
      </c>
      <c r="K560" s="10" t="inlineStr">
        <is>
          <t>Técnico en Seguridad y Salud Ocupacional</t>
        </is>
      </c>
      <c r="L560" s="10" t="inlineStr">
        <is>
          <t>UBICACIÓN DIGITAL-EQUIPO DEL CUSTODIO</t>
        </is>
      </c>
      <c r="M560" s="10" t="inlineStr">
        <is>
          <t>DISCOS DUROS, SERVIDORES, DISCOS O MEDIOS PORTÁTILES, CINTAS O MEDIOS DE VIDEO Y AUDIO, ETC.</t>
        </is>
      </c>
      <c r="N560" s="10" t="inlineStr">
        <is>
          <t>PRIMARIOS</t>
        </is>
      </c>
      <c r="O560" s="10" t="inlineStr">
        <is>
          <t>DOCUMENTOS TÉCNICOS</t>
        </is>
      </c>
      <c r="P560" s="10" t="inlineStr">
        <is>
          <t>PUBLICA(1)</t>
        </is>
      </c>
      <c r="Q560" s="10" t="inlineStr">
        <is>
          <t>BAJA(1)</t>
        </is>
      </c>
      <c r="R560" s="10" t="inlineStr">
        <is>
          <t>BAJA(1)</t>
        </is>
      </c>
      <c r="S560" s="10">
        <f>+(IF(P560="PUBLICA(1)",1,IF(P560="USO INTERNO(2)",2,IF(P560="RESTRINGIDO(3)",3,3))))+(IF(Q560="BAJA(1)",1,IF(Q560="MEDIA(2)",2,IF(Q560="ALTA(3)",3,3))))+(IF(R560="BAJA(1)",1,IF(R560="MEDIA(2)",2,IF(R560="ALTA(3)",3,3))))</f>
        <v/>
      </c>
      <c r="T560" s="10">
        <f>+IF(S560&lt;6,"BAJA",IF(S560&lt;8,"MEDIA","ALTA"))</f>
        <v/>
      </c>
      <c r="U560" s="10" t="inlineStr">
        <is>
          <t>-</t>
        </is>
      </c>
      <c r="V560" s="24" t="n">
        <v>45673</v>
      </c>
      <c r="W560" s="19" t="inlineStr">
        <is>
          <t>N/A</t>
        </is>
      </c>
      <c r="X560" s="10">
        <f>+IFERROR(IF(VLOOKUP(Tabla2[[#This Row],[ID]],'EVALUACION DE RIESGO'!A:A,1,FALSE)=Tabla2[[#This Row],[ID]],"SI","NO"),"NO")</f>
        <v/>
      </c>
      <c r="AD560">
        <f>IF(AND(Y560="",AA560=""),"",IF(OR(LEFT(AA560,2)="L0",LEFT(AA560,2)="L1",Y560="No Iniciado"),"CRÍTICO - Incumplimiento Normativo SEPS",IF(AND(OR(LEFT(AA560,2)="L4",LEFT(AA560,2)="L5"),AND(AC560&lt;&gt;"",AC560&lt;&gt;"N/A")),"CONFORME - Control Efectivo ISO 27001","OBSERVACIÓN - Revisar Controles")))</f>
        <v/>
      </c>
    </row>
    <row r="561">
      <c r="A561" s="99" t="inlineStr">
        <is>
          <t>2-GTH</t>
        </is>
      </c>
      <c r="B561" s="10" t="inlineStr">
        <is>
          <t>APOYO</t>
        </is>
      </c>
      <c r="C561" s="10" t="inlineStr">
        <is>
          <t>Gestión del Talento Humano</t>
        </is>
      </c>
      <c r="D561" s="10" t="inlineStr">
        <is>
          <t>GTH</t>
        </is>
      </c>
      <c r="E561" s="10" t="inlineStr">
        <is>
          <t>Gestión de Seguridad y Salud Ocupacional</t>
        </is>
      </c>
      <c r="F561" s="10" t="inlineStr">
        <is>
          <t xml:space="preserve">Seguridad Ocupacional </t>
        </is>
      </c>
      <c r="G561" s="10" t="inlineStr">
        <is>
          <t xml:space="preserve">Planificación Anual de Seguridad y Salud Ocupacional  </t>
        </is>
      </c>
      <c r="H561" s="10" t="inlineStr">
        <is>
          <t>Informe mensual de actividades de SSO</t>
        </is>
      </c>
      <c r="I561" s="10" t="inlineStr">
        <is>
          <t>Recopila las actividades realizadas por SSO durante el mes, así como los indicadores del Sistema de Gestión</t>
        </is>
      </c>
      <c r="J561" s="10" t="inlineStr">
        <is>
          <t>Técnico en Seguridad y Salud Ocupacional</t>
        </is>
      </c>
      <c r="K561" s="10" t="inlineStr">
        <is>
          <t>Técnico en Seguridad y Salud Ocupacional/Médico Ocupacional</t>
        </is>
      </c>
      <c r="L561" s="10" t="inlineStr">
        <is>
          <t>UBICACIÓN DIGITAL-EQUIPO DEL CUSTODIO</t>
        </is>
      </c>
      <c r="M561" s="10" t="inlineStr">
        <is>
          <t>DISCOS DUROS, SERVIDORES, DISCOS O MEDIOS PORTÁTILES, CINTAS O MEDIOS DE VIDEO Y AUDIO, ETC.</t>
        </is>
      </c>
      <c r="N561" s="10" t="inlineStr">
        <is>
          <t>PRIMARIOS</t>
        </is>
      </c>
      <c r="O561" s="10" t="inlineStr">
        <is>
          <t>DOCUMENTOS TÉCNICOS</t>
        </is>
      </c>
      <c r="P561" s="10" t="inlineStr">
        <is>
          <t>PUBLICA(1)</t>
        </is>
      </c>
      <c r="Q561" s="10" t="inlineStr">
        <is>
          <t>BAJA(1)</t>
        </is>
      </c>
      <c r="R561" s="10" t="inlineStr">
        <is>
          <t>MEDIA(2)</t>
        </is>
      </c>
      <c r="S561" s="10">
        <f>+(IF(P561="PUBLICA(1)",1,IF(P561="USO INTERNO(2)",2,IF(P561="RESTRINGIDO(3)",3,3))))+(IF(Q561="BAJA(1)",1,IF(Q561="MEDIA(2)",2,IF(Q561="ALTA(3)",3,3))))+(IF(R561="BAJA(1)",1,IF(R561="MEDIA(2)",2,IF(R561="ALTA(3)",3,3))))</f>
        <v/>
      </c>
      <c r="T561" s="10">
        <f>+IF(S561&lt;6,"BAJA",IF(S561&lt;8,"MEDIA","ALTA"))</f>
        <v/>
      </c>
      <c r="U561" s="10" t="inlineStr">
        <is>
          <t>-</t>
        </is>
      </c>
      <c r="V561" s="24" t="n">
        <v>45673</v>
      </c>
      <c r="W561" s="19" t="inlineStr">
        <is>
          <t>N/A</t>
        </is>
      </c>
      <c r="X561" s="10">
        <f>+IFERROR(IF(VLOOKUP(Tabla2[[#This Row],[ID]],'EVALUACION DE RIESGO'!A:A,1,FALSE)=Tabla2[[#This Row],[ID]],"SI","NO"),"NO")</f>
        <v/>
      </c>
      <c r="AD561">
        <f>IF(AND(Y561="",AA561=""),"",IF(OR(LEFT(AA561,2)="L0",LEFT(AA561,2)="L1",Y561="No Iniciado"),"CRÍTICO - Incumplimiento Normativo SEPS",IF(AND(OR(LEFT(AA561,2)="L4",LEFT(AA561,2)="L5"),AND(AC561&lt;&gt;"",AC561&lt;&gt;"N/A")),"CONFORME - Control Efectivo ISO 27001","OBSERVACIÓN - Revisar Controles")))</f>
        <v/>
      </c>
    </row>
    <row r="562">
      <c r="A562" s="99" t="inlineStr">
        <is>
          <t>3-GTH</t>
        </is>
      </c>
      <c r="B562" s="10" t="inlineStr">
        <is>
          <t>APOYO</t>
        </is>
      </c>
      <c r="C562" s="10" t="inlineStr">
        <is>
          <t>Gestión del Talento Humano</t>
        </is>
      </c>
      <c r="D562" s="10" t="inlineStr">
        <is>
          <t>GTH</t>
        </is>
      </c>
      <c r="E562" s="10" t="inlineStr">
        <is>
          <t>Gestión de Seguridad y Salud Ocupacional</t>
        </is>
      </c>
      <c r="F562" s="10" t="inlineStr">
        <is>
          <t xml:space="preserve">Seguridad Ocupacional </t>
        </is>
      </c>
      <c r="G562" s="10" t="inlineStr">
        <is>
          <t>Identificación, medición, evaluación y control de riesgos laborales</t>
        </is>
      </c>
      <c r="H562" s="10" t="inlineStr">
        <is>
          <t>Matriz de identificación de riesgos laborales</t>
        </is>
      </c>
      <c r="I562" s="10" t="inlineStr">
        <is>
          <t xml:space="preserve">Permite realizar la identificación de riesgos laborales de los diferentes cargos de la institución, así como indicar el plan de acción para controlar los riesgos una vez priorizados </t>
        </is>
      </c>
      <c r="J562" s="10" t="inlineStr">
        <is>
          <t>Técnico en Seguridad y Salud Ocupacional</t>
        </is>
      </c>
      <c r="K562" s="10" t="inlineStr">
        <is>
          <t>Técnico en Seguridad y Salud Ocupacional</t>
        </is>
      </c>
      <c r="L562" s="10" t="inlineStr">
        <is>
          <t>UBICACIÓN DIGITAL-EQUIPO DEL CUSTODIO</t>
        </is>
      </c>
      <c r="M562" s="10" t="inlineStr">
        <is>
          <t>DISCOS DUROS, SERVIDORES, DISCOS O MEDIOS PORTÁTILES, CINTAS O MEDIOS DE VIDEO Y AUDIO, ETC.</t>
        </is>
      </c>
      <c r="N562" s="10" t="inlineStr">
        <is>
          <t>PRIMARIOS</t>
        </is>
      </c>
      <c r="O562" s="10" t="inlineStr">
        <is>
          <t>DOCUMENTOS TÉCNICOS</t>
        </is>
      </c>
      <c r="P562" s="10" t="inlineStr">
        <is>
          <t>USO INTERNO(2)</t>
        </is>
      </c>
      <c r="Q562" s="10" t="inlineStr">
        <is>
          <t>BAJA(1)</t>
        </is>
      </c>
      <c r="R562" s="10" t="inlineStr">
        <is>
          <t>BAJA(1)</t>
        </is>
      </c>
      <c r="S562" s="10">
        <f>+(IF(P562="PUBLICA(1)",1,IF(P562="USO INTERNO(2)",2,IF(P562="RESTRINGIDO(3)",3,3))))+(IF(Q562="BAJA(1)",1,IF(Q562="MEDIA(2)",2,IF(Q562="ALTA(3)",3,3))))+(IF(R562="BAJA(1)",1,IF(R562="MEDIA(2)",2,IF(R562="ALTA(3)",3,3))))</f>
        <v/>
      </c>
      <c r="T562" s="10">
        <f>+IF(S562&lt;6,"BAJA",IF(S562&lt;8,"MEDIA","ALTA"))</f>
        <v/>
      </c>
      <c r="U562" s="10" t="inlineStr">
        <is>
          <t>-</t>
        </is>
      </c>
      <c r="V562" s="24" t="n">
        <v>45673</v>
      </c>
      <c r="W562" s="19" t="inlineStr">
        <is>
          <t>N/A</t>
        </is>
      </c>
      <c r="X562" s="10">
        <f>+IFERROR(IF(VLOOKUP(Tabla2[[#This Row],[ID]],'EVALUACION DE RIESGO'!A:A,1,FALSE)=Tabla2[[#This Row],[ID]],"SI","NO"),"NO")</f>
        <v/>
      </c>
      <c r="AD562">
        <f>IF(AND(Y562="",AA562=""),"",IF(OR(LEFT(AA562,2)="L0",LEFT(AA562,2)="L1",Y562="No Iniciado"),"CRÍTICO - Incumplimiento Normativo SEPS",IF(AND(OR(LEFT(AA562,2)="L4",LEFT(AA562,2)="L5"),AND(AC562&lt;&gt;"",AC562&lt;&gt;"N/A")),"CONFORME - Control Efectivo ISO 27001","OBSERVACIÓN - Revisar Controles")))</f>
        <v/>
      </c>
    </row>
    <row r="563">
      <c r="A563" s="99" t="inlineStr">
        <is>
          <t>4-GTH</t>
        </is>
      </c>
      <c r="B563" s="10" t="inlineStr">
        <is>
          <t>APOYO</t>
        </is>
      </c>
      <c r="C563" s="10" t="inlineStr">
        <is>
          <t>Gestión del Talento Humano</t>
        </is>
      </c>
      <c r="D563" s="10" t="inlineStr">
        <is>
          <t>GTH</t>
        </is>
      </c>
      <c r="E563" s="10" t="inlineStr">
        <is>
          <t>Gestión de Seguridad y Salud Ocupacional</t>
        </is>
      </c>
      <c r="F563" s="10" t="inlineStr">
        <is>
          <t xml:space="preserve">Seguridad Ocupacional </t>
        </is>
      </c>
      <c r="G563" s="10" t="inlineStr">
        <is>
          <t>Identificación, medición, evaluación y control de riesgos laborales</t>
        </is>
      </c>
      <c r="H563" s="10" t="inlineStr">
        <is>
          <t>Plan de Mediciones y Evaluación de Riesgos de SSO</t>
        </is>
      </c>
      <c r="I563" s="10" t="inlineStr">
        <is>
          <t>Cronograma de medición y evaluación de riesgos laborales de acuerdo a las necesidades establecidas en la matriz de riesgos laborales</t>
        </is>
      </c>
      <c r="J563" s="10" t="inlineStr">
        <is>
          <t>Técnico en Seguridad y Salud Ocupacional</t>
        </is>
      </c>
      <c r="K563" s="10" t="inlineStr">
        <is>
          <t>Técnico en Seguridad y Salud Ocupacional</t>
        </is>
      </c>
      <c r="L563" s="10" t="inlineStr">
        <is>
          <t>UBICACIÓN DIGITAL-EQUIPO DEL CUSTODIO</t>
        </is>
      </c>
      <c r="M563" s="10" t="inlineStr">
        <is>
          <t>DISCOS DUROS, SERVIDORES, DISCOS O MEDIOS PORTÁTILES, CINTAS O MEDIOS DE VIDEO Y AUDIO, ETC.</t>
        </is>
      </c>
      <c r="N563" s="10" t="inlineStr">
        <is>
          <t>PRIMARIOS</t>
        </is>
      </c>
      <c r="O563" s="10" t="inlineStr">
        <is>
          <t>DOCUMENTOS TÉCNICOS</t>
        </is>
      </c>
      <c r="P563" s="10" t="inlineStr">
        <is>
          <t>PUBLICA(1)</t>
        </is>
      </c>
      <c r="Q563" s="10" t="inlineStr">
        <is>
          <t>BAJA(1)</t>
        </is>
      </c>
      <c r="R563" s="10" t="inlineStr">
        <is>
          <t>BAJA(1)</t>
        </is>
      </c>
      <c r="S563" s="10">
        <f>+(IF(P563="PUBLICA(1)",1,IF(P563="USO INTERNO(2)",2,IF(P563="RESTRINGIDO(3)",3,3))))+(IF(Q563="BAJA(1)",1,IF(Q563="MEDIA(2)",2,IF(Q563="ALTA(3)",3,3))))+(IF(R563="BAJA(1)",1,IF(R563="MEDIA(2)",2,IF(R563="ALTA(3)",3,3))))</f>
        <v/>
      </c>
      <c r="T563" s="10">
        <f>+IF(S563&lt;6,"BAJA",IF(S563&lt;8,"MEDIA","ALTA"))</f>
        <v/>
      </c>
      <c r="U563" s="10" t="inlineStr">
        <is>
          <t>-</t>
        </is>
      </c>
      <c r="V563" s="24" t="n">
        <v>45673</v>
      </c>
      <c r="W563" s="19" t="inlineStr">
        <is>
          <t>N/A</t>
        </is>
      </c>
      <c r="X563" s="10">
        <f>+IFERROR(IF(VLOOKUP(Tabla2[[#This Row],[ID]],'EVALUACION DE RIESGO'!A:A,1,FALSE)=Tabla2[[#This Row],[ID]],"SI","NO"),"NO")</f>
        <v/>
      </c>
      <c r="AD563">
        <f>IF(AND(Y563="",AA563=""),"",IF(OR(LEFT(AA563,2)="L0",LEFT(AA563,2)="L1",Y563="No Iniciado"),"CRÍTICO - Incumplimiento Normativo SEPS",IF(AND(OR(LEFT(AA563,2)="L4",LEFT(AA563,2)="L5"),AND(AC563&lt;&gt;"",AC563&lt;&gt;"N/A")),"CONFORME - Control Efectivo ISO 27001","OBSERVACIÓN - Revisar Controles")))</f>
        <v/>
      </c>
    </row>
    <row r="564">
      <c r="A564" s="99" t="inlineStr">
        <is>
          <t>5-GTH</t>
        </is>
      </c>
      <c r="B564" s="10" t="inlineStr">
        <is>
          <t>APOYO</t>
        </is>
      </c>
      <c r="C564" s="10" t="inlineStr">
        <is>
          <t>Gestión del Talento Humano</t>
        </is>
      </c>
      <c r="D564" s="10" t="inlineStr">
        <is>
          <t>GTH</t>
        </is>
      </c>
      <c r="E564" s="10" t="inlineStr">
        <is>
          <t>Gestión de Seguridad y Salud Ocupacional</t>
        </is>
      </c>
      <c r="F564" s="10" t="inlineStr">
        <is>
          <t xml:space="preserve">Seguridad Ocupacional </t>
        </is>
      </c>
      <c r="G564" s="10" t="inlineStr">
        <is>
          <t>Identificación, medición, evaluación y control de riesgos laborales</t>
        </is>
      </c>
      <c r="H564" s="10" t="inlineStr">
        <is>
          <t>Informe de Mediciones y Evaluación de Riesgos de SSO</t>
        </is>
      </c>
      <c r="I564" s="10" t="inlineStr">
        <is>
          <t>Resultados de la medición y evaluación de riesgos laborales</t>
        </is>
      </c>
      <c r="J564" s="10" t="inlineStr">
        <is>
          <t>Técnico en Seguridad y Salud Ocupacional</t>
        </is>
      </c>
      <c r="K564" s="10" t="inlineStr">
        <is>
          <t>Técnico en Seguridad y Salud Ocupacional</t>
        </is>
      </c>
      <c r="L564" s="10" t="inlineStr">
        <is>
          <t>UBICACIÓN DIGITAL-EQUIPO DEL CUSTODIO</t>
        </is>
      </c>
      <c r="M564" s="10" t="inlineStr">
        <is>
          <t>DISCOS DUROS, SERVIDORES, DISCOS O MEDIOS PORTÁTILES, CINTAS O MEDIOS DE VIDEO Y AUDIO, ETC.</t>
        </is>
      </c>
      <c r="N564" s="10" t="inlineStr">
        <is>
          <t>PRIMARIOS</t>
        </is>
      </c>
      <c r="O564" s="10" t="inlineStr">
        <is>
          <t>DOCUMENTOS TÉCNICOS</t>
        </is>
      </c>
      <c r="P564" s="10" t="inlineStr">
        <is>
          <t>PUBLICA(1)</t>
        </is>
      </c>
      <c r="Q564" s="10" t="inlineStr">
        <is>
          <t>BAJA(1)</t>
        </is>
      </c>
      <c r="R564" s="10" t="inlineStr">
        <is>
          <t>MEDIA(2)</t>
        </is>
      </c>
      <c r="S564" s="10">
        <f>+(IF(P564="PUBLICA(1)",1,IF(P564="USO INTERNO(2)",2,IF(P564="RESTRINGIDO(3)",3,3))))+(IF(Q564="BAJA(1)",1,IF(Q564="MEDIA(2)",2,IF(Q564="ALTA(3)",3,3))))+(IF(R564="BAJA(1)",1,IF(R564="MEDIA(2)",2,IF(R564="ALTA(3)",3,3))))</f>
        <v/>
      </c>
      <c r="T564" s="10">
        <f>+IF(S564&lt;6,"BAJA",IF(S564&lt;8,"MEDIA","ALTA"))</f>
        <v/>
      </c>
      <c r="U564" s="10" t="inlineStr">
        <is>
          <t>-</t>
        </is>
      </c>
      <c r="V564" s="24" t="n">
        <v>45673</v>
      </c>
      <c r="W564" s="19" t="inlineStr">
        <is>
          <t>N/A</t>
        </is>
      </c>
      <c r="X564" s="10">
        <f>+IFERROR(IF(VLOOKUP(Tabla2[[#This Row],[ID]],'EVALUACION DE RIESGO'!A:A,1,FALSE)=Tabla2[[#This Row],[ID]],"SI","NO"),"NO")</f>
        <v/>
      </c>
      <c r="AD564">
        <f>IF(AND(Y564="",AA564=""),"",IF(OR(LEFT(AA564,2)="L0",LEFT(AA564,2)="L1",Y564="No Iniciado"),"CRÍTICO - Incumplimiento Normativo SEPS",IF(AND(OR(LEFT(AA564,2)="L4",LEFT(AA564,2)="L5"),AND(AC564&lt;&gt;"",AC564&lt;&gt;"N/A")),"CONFORME - Control Efectivo ISO 27001","OBSERVACIÓN - Revisar Controles")))</f>
        <v/>
      </c>
    </row>
    <row r="565">
      <c r="A565" s="99" t="inlineStr">
        <is>
          <t>6-GTH</t>
        </is>
      </c>
      <c r="B565" s="10" t="inlineStr">
        <is>
          <t>APOYO</t>
        </is>
      </c>
      <c r="C565" s="10" t="inlineStr">
        <is>
          <t>Gestión del Talento Humano</t>
        </is>
      </c>
      <c r="D565" s="10" t="inlineStr">
        <is>
          <t>GTH</t>
        </is>
      </c>
      <c r="E565" s="10" t="inlineStr">
        <is>
          <t>Gestión de Seguridad y Salud Ocupacional</t>
        </is>
      </c>
      <c r="F565" s="10" t="inlineStr">
        <is>
          <t xml:space="preserve">Seguridad Ocupacional </t>
        </is>
      </c>
      <c r="G565" s="10" t="inlineStr">
        <is>
          <t>Identificación, medición, evaluación y control de riesgos laborales</t>
        </is>
      </c>
      <c r="H565" s="10" t="inlineStr">
        <is>
          <t>Plan de acción de acuerdo a resultados de mediciones</t>
        </is>
      </c>
      <c r="I565" s="10" t="inlineStr">
        <is>
          <t>Establece las acciones necesarias para controlar los riesgos identificados en los informes de medición y evaluación</t>
        </is>
      </c>
      <c r="J565" s="10" t="inlineStr">
        <is>
          <t>Técnico en Seguridad y Salud Ocupacional</t>
        </is>
      </c>
      <c r="K565" s="10" t="inlineStr">
        <is>
          <t>Técnico en Seguridad y Salud Ocupacional</t>
        </is>
      </c>
      <c r="L565" s="10" t="inlineStr">
        <is>
          <t>UBICACIÓN DIGITAL-EQUIPO DEL CUSTODIO</t>
        </is>
      </c>
      <c r="M565" s="10" t="inlineStr">
        <is>
          <t>DISCOS DUROS, SERVIDORES, DISCOS O MEDIOS PORTÁTILES, CINTAS O MEDIOS DE VIDEO Y AUDIO, ETC.</t>
        </is>
      </c>
      <c r="N565" s="10" t="inlineStr">
        <is>
          <t>PRIMARIOS</t>
        </is>
      </c>
      <c r="O565" s="10" t="inlineStr">
        <is>
          <t>DOCUMENTOS TÉCNICOS</t>
        </is>
      </c>
      <c r="P565" s="10" t="inlineStr">
        <is>
          <t>PUBLICA(1)</t>
        </is>
      </c>
      <c r="Q565" s="10" t="inlineStr">
        <is>
          <t>BAJA(1)</t>
        </is>
      </c>
      <c r="R565" s="10" t="inlineStr">
        <is>
          <t>BAJA(1)</t>
        </is>
      </c>
      <c r="S565" s="10">
        <f>+(IF(P565="PUBLICA(1)",1,IF(P565="USO INTERNO(2)",2,IF(P565="RESTRINGIDO(3)",3,3))))+(IF(Q565="BAJA(1)",1,IF(Q565="MEDIA(2)",2,IF(Q565="ALTA(3)",3,3))))+(IF(R565="BAJA(1)",1,IF(R565="MEDIA(2)",2,IF(R565="ALTA(3)",3,3))))</f>
        <v/>
      </c>
      <c r="T565" s="10">
        <f>+IF(S565&lt;6,"BAJA",IF(S565&lt;8,"MEDIA","ALTA"))</f>
        <v/>
      </c>
      <c r="U565" s="10" t="inlineStr">
        <is>
          <t>-</t>
        </is>
      </c>
      <c r="V565" s="24" t="n">
        <v>45673</v>
      </c>
      <c r="W565" s="19" t="inlineStr">
        <is>
          <t>N/A</t>
        </is>
      </c>
      <c r="X565" s="10">
        <f>+IFERROR(IF(VLOOKUP(Tabla2[[#This Row],[ID]],'EVALUACION DE RIESGO'!A:A,1,FALSE)=Tabla2[[#This Row],[ID]],"SI","NO"),"NO")</f>
        <v/>
      </c>
      <c r="AD565">
        <f>IF(AND(Y565="",AA565=""),"",IF(OR(LEFT(AA565,2)="L0",LEFT(AA565,2)="L1",Y565="No Iniciado"),"CRÍTICO - Incumplimiento Normativo SEPS",IF(AND(OR(LEFT(AA565,2)="L4",LEFT(AA565,2)="L5"),AND(AC565&lt;&gt;"",AC565&lt;&gt;"N/A")),"CONFORME - Control Efectivo ISO 27001","OBSERVACIÓN - Revisar Controles")))</f>
        <v/>
      </c>
    </row>
    <row r="566">
      <c r="A566" s="99" t="inlineStr">
        <is>
          <t>7-GTH</t>
        </is>
      </c>
      <c r="B566" s="10" t="inlineStr">
        <is>
          <t>APOYO</t>
        </is>
      </c>
      <c r="C566" s="10" t="inlineStr">
        <is>
          <t>Gestión del Talento Humano</t>
        </is>
      </c>
      <c r="D566" s="10" t="inlineStr">
        <is>
          <t>GTH</t>
        </is>
      </c>
      <c r="E566" s="10" t="inlineStr">
        <is>
          <t>Gestión de Seguridad y Salud Ocupacional</t>
        </is>
      </c>
      <c r="F566" s="10" t="inlineStr">
        <is>
          <t xml:space="preserve">Seguridad Ocupacional </t>
        </is>
      </c>
      <c r="G566" s="10" t="inlineStr">
        <is>
          <t>Identificación, medición, evaluación y control de riesgos laborales</t>
        </is>
      </c>
      <c r="H566" s="10" t="inlineStr">
        <is>
          <t>Acta entrega de elementos de ergonomía</t>
        </is>
      </c>
      <c r="I566" s="10" t="inlineStr">
        <is>
          <t xml:space="preserve">Descripción de elementos de ergonomía entregados a los colaboradores </t>
        </is>
      </c>
      <c r="J566" s="10" t="inlineStr">
        <is>
          <t>Técnico en Seguridad y Salud Ocupacional</t>
        </is>
      </c>
      <c r="K566" s="10" t="inlineStr">
        <is>
          <t>Técnico en Seguridad y Salud Ocupacional</t>
        </is>
      </c>
      <c r="L566" s="10" t="inlineStr">
        <is>
          <t>DOCUMENTOS FISICOS-ARCHIVOS DE LA OFICINA</t>
        </is>
      </c>
      <c r="M566" s="10" t="inlineStr">
        <is>
          <t>ARCHIVOS INSTITUCIONALES-FÍSICOS</t>
        </is>
      </c>
      <c r="N566" s="10" t="inlineStr">
        <is>
          <t>PRIMARIOS</t>
        </is>
      </c>
      <c r="O566" s="10" t="inlineStr">
        <is>
          <t>DOCUMENTOS HABILITANTES</t>
        </is>
      </c>
      <c r="P566" s="10" t="inlineStr">
        <is>
          <t>PUBLICA(1)</t>
        </is>
      </c>
      <c r="Q566" s="10" t="inlineStr">
        <is>
          <t>BAJA(1)</t>
        </is>
      </c>
      <c r="R566" s="10" t="inlineStr">
        <is>
          <t>BAJA(1)</t>
        </is>
      </c>
      <c r="S566" s="10">
        <f>+(IF(P566="PUBLICA(1)",1,IF(P566="USO INTERNO(2)",2,IF(P566="RESTRINGIDO(3)",3,3))))+(IF(Q566="BAJA(1)",1,IF(Q566="MEDIA(2)",2,IF(Q566="ALTA(3)",3,3))))+(IF(R566="BAJA(1)",1,IF(R566="MEDIA(2)",2,IF(R566="ALTA(3)",3,3))))</f>
        <v/>
      </c>
      <c r="T566" s="10">
        <f>+IF(S566&lt;6,"BAJA",IF(S566&lt;8,"MEDIA","ALTA"))</f>
        <v/>
      </c>
      <c r="U566" s="10" t="inlineStr">
        <is>
          <t>-</t>
        </is>
      </c>
      <c r="V566" s="24" t="n">
        <v>45673</v>
      </c>
      <c r="W566" s="19" t="inlineStr">
        <is>
          <t>N/A</t>
        </is>
      </c>
      <c r="X566" s="10">
        <f>+IFERROR(IF(VLOOKUP(Tabla2[[#This Row],[ID]],'EVALUACION DE RIESGO'!A:A,1,FALSE)=Tabla2[[#This Row],[ID]],"SI","NO"),"NO")</f>
        <v/>
      </c>
      <c r="AD566">
        <f>IF(AND(Y566="",AA566=""),"",IF(OR(LEFT(AA566,2)="L0",LEFT(AA566,2)="L1",Y566="No Iniciado"),"CRÍTICO - Incumplimiento Normativo SEPS",IF(AND(OR(LEFT(AA566,2)="L4",LEFT(AA566,2)="L5"),AND(AC566&lt;&gt;"",AC566&lt;&gt;"N/A")),"CONFORME - Control Efectivo ISO 27001","OBSERVACIÓN - Revisar Controles")))</f>
        <v/>
      </c>
    </row>
    <row r="567">
      <c r="A567" s="99" t="inlineStr">
        <is>
          <t>8-GTH</t>
        </is>
      </c>
      <c r="B567" s="10" t="inlineStr">
        <is>
          <t>APOYO</t>
        </is>
      </c>
      <c r="C567" s="10" t="inlineStr">
        <is>
          <t>Gestión del Talento Humano</t>
        </is>
      </c>
      <c r="D567" s="10" t="inlineStr">
        <is>
          <t>GTH</t>
        </is>
      </c>
      <c r="E567" s="10" t="inlineStr">
        <is>
          <t>Gestión de Seguridad y Salud Ocupacional</t>
        </is>
      </c>
      <c r="F567" s="10" t="inlineStr">
        <is>
          <t xml:space="preserve">Seguridad Ocupacional </t>
        </is>
      </c>
      <c r="G567" s="10" t="inlineStr">
        <is>
          <t>Comunicación de Seguridad y Salud Ocupacional</t>
        </is>
      </c>
      <c r="H567" s="10" t="inlineStr">
        <is>
          <t>Artículos para publicación</t>
        </is>
      </c>
      <c r="I567" s="10" t="inlineStr">
        <is>
          <t>Informativos referentes a los principales riesgos laborales identificados en la institución</t>
        </is>
      </c>
      <c r="J567" s="10" t="inlineStr">
        <is>
          <t>Técnico en Seguridad y Salud Ocupacional</t>
        </is>
      </c>
      <c r="K567" s="10" t="inlineStr">
        <is>
          <t>Técnico en Seguridad y Salud Ocupacional</t>
        </is>
      </c>
      <c r="L567" s="10" t="inlineStr">
        <is>
          <t>UBICACIÓN DIGITAL-EQUIPO DEL CUSTODIO</t>
        </is>
      </c>
      <c r="M567" s="10" t="inlineStr">
        <is>
          <t>DISCOS DUROS, SERVIDORES, DISCOS O MEDIOS PORTÁTILES, CINTAS O MEDIOS DE VIDEO Y AUDIO, ETC.</t>
        </is>
      </c>
      <c r="N567" s="10" t="inlineStr">
        <is>
          <t>PRIMARIOS</t>
        </is>
      </c>
      <c r="O567" s="10" t="inlineStr">
        <is>
          <t>COMUNICACIÓN INTERNA</t>
        </is>
      </c>
      <c r="P567" s="10" t="inlineStr">
        <is>
          <t>PUBLICA(1)</t>
        </is>
      </c>
      <c r="Q567" s="10" t="inlineStr">
        <is>
          <t>BAJA(1)</t>
        </is>
      </c>
      <c r="R567" s="10" t="inlineStr">
        <is>
          <t>BAJA(1)</t>
        </is>
      </c>
      <c r="S567" s="10">
        <f>+(IF(P567="PUBLICA(1)",1,IF(P567="USO INTERNO(2)",2,IF(P567="RESTRINGIDO(3)",3,3))))+(IF(Q567="BAJA(1)",1,IF(Q567="MEDIA(2)",2,IF(Q567="ALTA(3)",3,3))))+(IF(R567="BAJA(1)",1,IF(R567="MEDIA(2)",2,IF(R567="ALTA(3)",3,3))))</f>
        <v/>
      </c>
      <c r="T567" s="10">
        <f>+IF(S567&lt;6,"BAJA",IF(S567&lt;8,"MEDIA","ALTA"))</f>
        <v/>
      </c>
      <c r="U567" s="10" t="inlineStr">
        <is>
          <t>-</t>
        </is>
      </c>
      <c r="V567" s="24" t="n">
        <v>45673</v>
      </c>
      <c r="W567" s="19" t="inlineStr">
        <is>
          <t>N/A</t>
        </is>
      </c>
      <c r="X567" s="10">
        <f>+IFERROR(IF(VLOOKUP(Tabla2[[#This Row],[ID]],'EVALUACION DE RIESGO'!A:A,1,FALSE)=Tabla2[[#This Row],[ID]],"SI","NO"),"NO")</f>
        <v/>
      </c>
      <c r="AD567">
        <f>IF(AND(Y567="",AA567=""),"",IF(OR(LEFT(AA567,2)="L0",LEFT(AA567,2)="L1",Y567="No Iniciado"),"CRÍTICO - Incumplimiento Normativo SEPS",IF(AND(OR(LEFT(AA567,2)="L4",LEFT(AA567,2)="L5"),AND(AC567&lt;&gt;"",AC567&lt;&gt;"N/A")),"CONFORME - Control Efectivo ISO 27001","OBSERVACIÓN - Revisar Controles")))</f>
        <v/>
      </c>
    </row>
    <row r="568">
      <c r="A568" s="99" t="inlineStr">
        <is>
          <t>9-GTH</t>
        </is>
      </c>
      <c r="B568" s="10" t="inlineStr">
        <is>
          <t>APOYO</t>
        </is>
      </c>
      <c r="C568" s="10" t="inlineStr">
        <is>
          <t>Gestión del Talento Humano</t>
        </is>
      </c>
      <c r="D568" s="10" t="inlineStr">
        <is>
          <t>GTH</t>
        </is>
      </c>
      <c r="E568" s="10" t="inlineStr">
        <is>
          <t>Gestión de Seguridad y Salud Ocupacional</t>
        </is>
      </c>
      <c r="F568" s="10" t="inlineStr">
        <is>
          <t xml:space="preserve">Seguridad Ocupacional </t>
        </is>
      </c>
      <c r="G568" s="10" t="inlineStr">
        <is>
          <t xml:space="preserve">Capacitación , charlas y entrenamiento en Seguridad y Salud Ocupacional  </t>
        </is>
      </c>
      <c r="H568" s="10" t="inlineStr">
        <is>
          <t>Acta Entrega Política y Reglamento SSO</t>
        </is>
      </c>
      <c r="I568" s="10" t="inlineStr">
        <is>
          <t>Permite dejar constancia de la inducción de SSO realizada al personal</t>
        </is>
      </c>
      <c r="J568" s="10" t="inlineStr">
        <is>
          <t>Técnico en Seguridad y Salud Ocupacional</t>
        </is>
      </c>
      <c r="K568" s="10" t="inlineStr">
        <is>
          <t>Técnico en Seguridad y Salud Ocupacional</t>
        </is>
      </c>
      <c r="L568" s="10" t="inlineStr">
        <is>
          <t>DOCUMENTOS FISICOS-ARCHIVOS DE LA OFICINA</t>
        </is>
      </c>
      <c r="M568" s="10" t="inlineStr">
        <is>
          <t>ARCHIVOS INSTITUCIONALES-FÍSICOS</t>
        </is>
      </c>
      <c r="N568" s="10" t="inlineStr">
        <is>
          <t>PRIMARIOS</t>
        </is>
      </c>
      <c r="O568" s="10" t="inlineStr">
        <is>
          <t>DOCUMENTOS HABILITANTES</t>
        </is>
      </c>
      <c r="P568" s="10" t="inlineStr">
        <is>
          <t>PUBLICA(1)</t>
        </is>
      </c>
      <c r="Q568" s="10" t="inlineStr">
        <is>
          <t>BAJA(1)</t>
        </is>
      </c>
      <c r="R568" s="10" t="inlineStr">
        <is>
          <t>MEDIA(2)</t>
        </is>
      </c>
      <c r="S568" s="10">
        <f>+(IF(P568="PUBLICA(1)",1,IF(P568="USO INTERNO(2)",2,IF(P568="RESTRINGIDO(3)",3,3))))+(IF(Q568="BAJA(1)",1,IF(Q568="MEDIA(2)",2,IF(Q568="ALTA(3)",3,3))))+(IF(R568="BAJA(1)",1,IF(R568="MEDIA(2)",2,IF(R568="ALTA(3)",3,3))))</f>
        <v/>
      </c>
      <c r="T568" s="10">
        <f>+IF(S568&lt;6,"BAJA",IF(S568&lt;8,"MEDIA","ALTA"))</f>
        <v/>
      </c>
      <c r="U568" s="10" t="inlineStr">
        <is>
          <t>-</t>
        </is>
      </c>
      <c r="V568" s="24" t="n">
        <v>45673</v>
      </c>
      <c r="W568" s="19" t="inlineStr">
        <is>
          <t>N/A</t>
        </is>
      </c>
      <c r="X568" s="10">
        <f>+IFERROR(IF(VLOOKUP(Tabla2[[#This Row],[ID]],'EVALUACION DE RIESGO'!A:A,1,FALSE)=Tabla2[[#This Row],[ID]],"SI","NO"),"NO")</f>
        <v/>
      </c>
      <c r="AD568">
        <f>IF(AND(Y568="",AA568=""),"",IF(OR(LEFT(AA568,2)="L0",LEFT(AA568,2)="L1",Y568="No Iniciado"),"CRÍTICO - Incumplimiento Normativo SEPS",IF(AND(OR(LEFT(AA568,2)="L4",LEFT(AA568,2)="L5"),AND(AC568&lt;&gt;"",AC568&lt;&gt;"N/A")),"CONFORME - Control Efectivo ISO 27001","OBSERVACIÓN - Revisar Controles")))</f>
        <v/>
      </c>
    </row>
    <row r="569">
      <c r="A569" s="99" t="inlineStr">
        <is>
          <t>10-GTH</t>
        </is>
      </c>
      <c r="B569" s="10" t="inlineStr">
        <is>
          <t>APOYO</t>
        </is>
      </c>
      <c r="C569" s="10" t="inlineStr">
        <is>
          <t>Gestión del Talento Humano</t>
        </is>
      </c>
      <c r="D569" s="10" t="inlineStr">
        <is>
          <t>GTH</t>
        </is>
      </c>
      <c r="E569" s="10" t="inlineStr">
        <is>
          <t>Gestión de Seguridad y Salud Ocupacional</t>
        </is>
      </c>
      <c r="F569" s="10" t="inlineStr">
        <is>
          <t xml:space="preserve">Seguridad Ocupacional </t>
        </is>
      </c>
      <c r="G569" s="10" t="inlineStr">
        <is>
          <t xml:space="preserve">Capacitación , charlas y entrenamiento en Seguridad y Salud Ocupacional  </t>
        </is>
      </c>
      <c r="H569" s="10" t="inlineStr">
        <is>
          <t>Registro de asistencia</t>
        </is>
      </c>
      <c r="I569" s="10" t="inlineStr">
        <is>
          <t>Permite identificar el personal asistente</t>
        </is>
      </c>
      <c r="J569" s="10" t="inlineStr">
        <is>
          <t>Técnico en Seguridad y Salud Ocupacional</t>
        </is>
      </c>
      <c r="K569" s="10" t="inlineStr">
        <is>
          <t>Técnico en Seguridad y Salud Ocupacional</t>
        </is>
      </c>
      <c r="L569" s="10" t="inlineStr">
        <is>
          <t>DOCUMENTOS FISICOS-ARCHIVOS DE LA OFICINA</t>
        </is>
      </c>
      <c r="M569" s="10" t="inlineStr">
        <is>
          <t>ARCHIVOS INSTITUCIONALES-FÍSICOS</t>
        </is>
      </c>
      <c r="N569" s="10" t="inlineStr">
        <is>
          <t>PRIMARIOS</t>
        </is>
      </c>
      <c r="O569" s="10" t="inlineStr">
        <is>
          <t>DOCUMENTOS HABILITANTES</t>
        </is>
      </c>
      <c r="P569" s="10" t="inlineStr">
        <is>
          <t>PUBLICA(1)</t>
        </is>
      </c>
      <c r="Q569" s="10" t="inlineStr">
        <is>
          <t>BAJA(1)</t>
        </is>
      </c>
      <c r="R569" s="10" t="inlineStr">
        <is>
          <t>MEDIA(2)</t>
        </is>
      </c>
      <c r="S569" s="10">
        <f>+(IF(P569="PUBLICA(1)",1,IF(P569="USO INTERNO(2)",2,IF(P569="RESTRINGIDO(3)",3,3))))+(IF(Q569="BAJA(1)",1,IF(Q569="MEDIA(2)",2,IF(Q569="ALTA(3)",3,3))))+(IF(R569="BAJA(1)",1,IF(R569="MEDIA(2)",2,IF(R569="ALTA(3)",3,3))))</f>
        <v/>
      </c>
      <c r="T569" s="10">
        <f>+IF(S569&lt;6,"BAJA",IF(S569&lt;8,"MEDIA","ALTA"))</f>
        <v/>
      </c>
      <c r="U569" s="10" t="inlineStr">
        <is>
          <t>-</t>
        </is>
      </c>
      <c r="V569" s="24" t="n">
        <v>45673</v>
      </c>
      <c r="W569" s="19" t="inlineStr">
        <is>
          <t>N/A</t>
        </is>
      </c>
      <c r="X569" s="10">
        <f>+IFERROR(IF(VLOOKUP(Tabla2[[#This Row],[ID]],'EVALUACION DE RIESGO'!A:A,1,FALSE)=Tabla2[[#This Row],[ID]],"SI","NO"),"NO")</f>
        <v/>
      </c>
      <c r="AD569">
        <f>IF(AND(Y569="",AA569=""),"",IF(OR(LEFT(AA569,2)="L0",LEFT(AA569,2)="L1",Y569="No Iniciado"),"CRÍTICO - Incumplimiento Normativo SEPS",IF(AND(OR(LEFT(AA569,2)="L4",LEFT(AA569,2)="L5"),AND(AC569&lt;&gt;"",AC569&lt;&gt;"N/A")),"CONFORME - Control Efectivo ISO 27001","OBSERVACIÓN - Revisar Controles")))</f>
        <v/>
      </c>
    </row>
    <row r="570">
      <c r="A570" s="99" t="inlineStr">
        <is>
          <t>11-GTH</t>
        </is>
      </c>
      <c r="B570" s="10" t="inlineStr">
        <is>
          <t>APOYO</t>
        </is>
      </c>
      <c r="C570" s="10" t="inlineStr">
        <is>
          <t>Gestión del Talento Humano</t>
        </is>
      </c>
      <c r="D570" s="10" t="inlineStr">
        <is>
          <t>GTH</t>
        </is>
      </c>
      <c r="E570" s="10" t="inlineStr">
        <is>
          <t>Gestión de Seguridad y Salud Ocupacional</t>
        </is>
      </c>
      <c r="F570" s="10" t="inlineStr">
        <is>
          <t xml:space="preserve">Seguridad Ocupacional </t>
        </is>
      </c>
      <c r="G570" s="10" t="inlineStr">
        <is>
          <t xml:space="preserve">Capacitación , charlas y entrenamiento en Seguridad y Salud Ocupacional  </t>
        </is>
      </c>
      <c r="H570" s="10" t="inlineStr">
        <is>
          <t>Informe de capacitación</t>
        </is>
      </c>
      <c r="I570" s="10" t="inlineStr">
        <is>
          <t>Informe que permite indicar el objetivo de la capacitación realizada y los resultados obtenidos</t>
        </is>
      </c>
      <c r="J570" s="10" t="inlineStr">
        <is>
          <t>Técnico en Seguridad y Salud Ocupacional</t>
        </is>
      </c>
      <c r="K570" s="10" t="inlineStr">
        <is>
          <t>Técnico en Seguridad y Salud Ocupacional</t>
        </is>
      </c>
      <c r="L570" s="10" t="inlineStr">
        <is>
          <t>UBICACIÓN DIGITAL-EQUIPO DEL CUSTODIO</t>
        </is>
      </c>
      <c r="M570" s="10" t="inlineStr">
        <is>
          <t>DISCOS DUROS, SERVIDORES, DISCOS O MEDIOS PORTÁTILES, CINTAS O MEDIOS DE VIDEO Y AUDIO, ETC.</t>
        </is>
      </c>
      <c r="N570" s="10" t="inlineStr">
        <is>
          <t>PRIMARIOS</t>
        </is>
      </c>
      <c r="O570" s="10" t="inlineStr">
        <is>
          <t>DOCUMENTOS TÉCNICOS</t>
        </is>
      </c>
      <c r="P570" s="10" t="inlineStr">
        <is>
          <t>PUBLICA(1)</t>
        </is>
      </c>
      <c r="Q570" s="10" t="inlineStr">
        <is>
          <t>BAJA(1)</t>
        </is>
      </c>
      <c r="R570" s="10" t="inlineStr">
        <is>
          <t>BAJA(1)</t>
        </is>
      </c>
      <c r="S570" s="10">
        <f>+(IF(P570="PUBLICA(1)",1,IF(P570="USO INTERNO(2)",2,IF(P570="RESTRINGIDO(3)",3,3))))+(IF(Q570="BAJA(1)",1,IF(Q570="MEDIA(2)",2,IF(Q570="ALTA(3)",3,3))))+(IF(R570="BAJA(1)",1,IF(R570="MEDIA(2)",2,IF(R570="ALTA(3)",3,3))))</f>
        <v/>
      </c>
      <c r="T570" s="10">
        <f>+IF(S570&lt;6,"BAJA",IF(S570&lt;8,"MEDIA","ALTA"))</f>
        <v/>
      </c>
      <c r="U570" s="10" t="inlineStr">
        <is>
          <t>-</t>
        </is>
      </c>
      <c r="V570" s="24" t="n">
        <v>45673</v>
      </c>
      <c r="W570" s="19" t="inlineStr">
        <is>
          <t>N/A</t>
        </is>
      </c>
      <c r="X570" s="10">
        <f>+IFERROR(IF(VLOOKUP(Tabla2[[#This Row],[ID]],'EVALUACION DE RIESGO'!A:A,1,FALSE)=Tabla2[[#This Row],[ID]],"SI","NO"),"NO")</f>
        <v/>
      </c>
      <c r="AD570">
        <f>IF(AND(Y570="",AA570=""),"",IF(OR(LEFT(AA570,2)="L0",LEFT(AA570,2)="L1",Y570="No Iniciado"),"CRÍTICO - Incumplimiento Normativo SEPS",IF(AND(OR(LEFT(AA570,2)="L4",LEFT(AA570,2)="L5"),AND(AC570&lt;&gt;"",AC570&lt;&gt;"N/A")),"CONFORME - Control Efectivo ISO 27001","OBSERVACIÓN - Revisar Controles")))</f>
        <v/>
      </c>
    </row>
    <row r="571">
      <c r="A571" s="99" t="inlineStr">
        <is>
          <t>12-GTH</t>
        </is>
      </c>
      <c r="B571" s="10" t="inlineStr">
        <is>
          <t>APOYO</t>
        </is>
      </c>
      <c r="C571" s="10" t="inlineStr">
        <is>
          <t>Gestión del Talento Humano</t>
        </is>
      </c>
      <c r="D571" s="10" t="inlineStr">
        <is>
          <t>GTH</t>
        </is>
      </c>
      <c r="E571" s="10" t="inlineStr">
        <is>
          <t>Gestión de Seguridad y Salud Ocupacional</t>
        </is>
      </c>
      <c r="F571" s="10" t="inlineStr">
        <is>
          <t xml:space="preserve">Seguridad Ocupacional </t>
        </is>
      </c>
      <c r="G571" s="10" t="inlineStr">
        <is>
          <t xml:space="preserve">Capacitación , charlas y entrenamiento en Seguridad y Salud Ocupacional  </t>
        </is>
      </c>
      <c r="H571" s="10" t="inlineStr">
        <is>
          <t>Bitácora de personal con inducción inicial</t>
        </is>
      </c>
      <c r="I571" s="10" t="inlineStr">
        <is>
          <t>Registro que permite llevar el control de que todo el personal recibe la inducción inicial</t>
        </is>
      </c>
      <c r="J571" s="10" t="inlineStr">
        <is>
          <t>Técnico en Seguridad y Salud Ocupacional</t>
        </is>
      </c>
      <c r="K571" s="10" t="inlineStr">
        <is>
          <t>Técnico en Seguridad y Salud Ocupacional</t>
        </is>
      </c>
      <c r="L571" s="10" t="inlineStr">
        <is>
          <t>UBICACIÓN DIGITAL-EQUIPO DEL CUSTODIO</t>
        </is>
      </c>
      <c r="M571" s="10" t="inlineStr">
        <is>
          <t>DISCOS DUROS, SERVIDORES, DISCOS O MEDIOS PORTÁTILES, CINTAS O MEDIOS DE VIDEO Y AUDIO, ETC.</t>
        </is>
      </c>
      <c r="N571" s="10" t="inlineStr">
        <is>
          <t>PRIMARIOS</t>
        </is>
      </c>
      <c r="O571" s="10" t="inlineStr">
        <is>
          <t>DOCUMENTOS HABILITANTES</t>
        </is>
      </c>
      <c r="P571" s="10" t="inlineStr">
        <is>
          <t>PUBLICA(1)</t>
        </is>
      </c>
      <c r="Q571" s="10" t="inlineStr">
        <is>
          <t>BAJA(1)</t>
        </is>
      </c>
      <c r="R571" s="10" t="inlineStr">
        <is>
          <t>BAJA(1)</t>
        </is>
      </c>
      <c r="S571" s="10">
        <f>+(IF(P571="PUBLICA(1)",1,IF(P571="USO INTERNO(2)",2,IF(P571="RESTRINGIDO(3)",3,3))))+(IF(Q571="BAJA(1)",1,IF(Q571="MEDIA(2)",2,IF(Q571="ALTA(3)",3,3))))+(IF(R571="BAJA(1)",1,IF(R571="MEDIA(2)",2,IF(R571="ALTA(3)",3,3))))</f>
        <v/>
      </c>
      <c r="T571" s="10">
        <f>+IF(S571&lt;6,"BAJA",IF(S571&lt;8,"MEDIA","ALTA"))</f>
        <v/>
      </c>
      <c r="U571" s="10" t="inlineStr">
        <is>
          <t>-</t>
        </is>
      </c>
      <c r="V571" s="24" t="n">
        <v>45673</v>
      </c>
      <c r="W571" s="19" t="inlineStr">
        <is>
          <t>N/A</t>
        </is>
      </c>
      <c r="X571" s="10">
        <f>+IFERROR(IF(VLOOKUP(Tabla2[[#This Row],[ID]],'EVALUACION DE RIESGO'!A:A,1,FALSE)=Tabla2[[#This Row],[ID]],"SI","NO"),"NO")</f>
        <v/>
      </c>
      <c r="AD571">
        <f>IF(AND(Y571="",AA571=""),"",IF(OR(LEFT(AA571,2)="L0",LEFT(AA571,2)="L1",Y571="No Iniciado"),"CRÍTICO - Incumplimiento Normativo SEPS",IF(AND(OR(LEFT(AA571,2)="L4",LEFT(AA571,2)="L5"),AND(AC571&lt;&gt;"",AC571&lt;&gt;"N/A")),"CONFORME - Control Efectivo ISO 27001","OBSERVACIÓN - Revisar Controles")))</f>
        <v/>
      </c>
    </row>
    <row r="572">
      <c r="A572" s="99" t="inlineStr">
        <is>
          <t>13-GTH</t>
        </is>
      </c>
      <c r="B572" s="10" t="inlineStr">
        <is>
          <t>APOYO</t>
        </is>
      </c>
      <c r="C572" s="10" t="inlineStr">
        <is>
          <t>Gestión del Talento Humano</t>
        </is>
      </c>
      <c r="D572" s="10" t="inlineStr">
        <is>
          <t>GTH</t>
        </is>
      </c>
      <c r="E572" s="10" t="inlineStr">
        <is>
          <t>Gestión de Seguridad y Salud Ocupacional</t>
        </is>
      </c>
      <c r="F572" s="10" t="inlineStr">
        <is>
          <t xml:space="preserve">Seguridad Ocupacional </t>
        </is>
      </c>
      <c r="G572" s="10" t="inlineStr">
        <is>
          <t xml:space="preserve">Investigación de incidentes y accidentes de trabajo   </t>
        </is>
      </c>
      <c r="H572" s="10" t="inlineStr">
        <is>
          <t>Informe de Investigación de Incidentes y Accidentes de trabajo</t>
        </is>
      </c>
      <c r="I572" s="10" t="inlineStr">
        <is>
          <t>Informe que permite describir los datos del accidente, persona accidentada, acciones  y condiciones, acciones correctivas referente al evento</t>
        </is>
      </c>
      <c r="J572" s="10" t="inlineStr">
        <is>
          <t>Técnico en Seguridad y Salud Ocupacional</t>
        </is>
      </c>
      <c r="K572" s="10" t="inlineStr">
        <is>
          <t>Técnico en Seguridad y Salud Ocupacional</t>
        </is>
      </c>
      <c r="L572" s="10" t="inlineStr">
        <is>
          <t>UBICACIÓN DIGITAL-EQUIPO DEL CUSTODIO</t>
        </is>
      </c>
      <c r="M572" s="10" t="inlineStr">
        <is>
          <t>DISCOS DUROS, SERVIDORES, DISCOS O MEDIOS PORTÁTILES, CINTAS O MEDIOS DE VIDEO Y AUDIO, ETC.</t>
        </is>
      </c>
      <c r="N572" s="10" t="inlineStr">
        <is>
          <t>PRIMARIOS</t>
        </is>
      </c>
      <c r="O572" s="10" t="inlineStr">
        <is>
          <t>DOCUMENTOS TÉCNICOS</t>
        </is>
      </c>
      <c r="P572" s="10" t="inlineStr">
        <is>
          <t>PUBLICA(1)</t>
        </is>
      </c>
      <c r="Q572" s="10" t="inlineStr">
        <is>
          <t>BAJA(1)</t>
        </is>
      </c>
      <c r="R572" s="10" t="inlineStr">
        <is>
          <t>MEDIA(2)</t>
        </is>
      </c>
      <c r="S572" s="10">
        <f>+(IF(P572="PUBLICA(1)",1,IF(P572="USO INTERNO(2)",2,IF(P572="RESTRINGIDO(3)",3,3))))+(IF(Q572="BAJA(1)",1,IF(Q572="MEDIA(2)",2,IF(Q572="ALTA(3)",3,3))))+(IF(R572="BAJA(1)",1,IF(R572="MEDIA(2)",2,IF(R572="ALTA(3)",3,3))))</f>
        <v/>
      </c>
      <c r="T572" s="10">
        <f>+IF(S572&lt;6,"BAJA",IF(S572&lt;8,"MEDIA","ALTA"))</f>
        <v/>
      </c>
      <c r="U572" s="10" t="inlineStr">
        <is>
          <t>-</t>
        </is>
      </c>
      <c r="V572" s="24" t="n">
        <v>45673</v>
      </c>
      <c r="W572" s="19" t="inlineStr">
        <is>
          <t>N/A</t>
        </is>
      </c>
      <c r="X572" s="10">
        <f>+IFERROR(IF(VLOOKUP(Tabla2[[#This Row],[ID]],'EVALUACION DE RIESGO'!A:A,1,FALSE)=Tabla2[[#This Row],[ID]],"SI","NO"),"NO")</f>
        <v/>
      </c>
      <c r="AD572">
        <f>IF(AND(Y572="",AA572=""),"",IF(OR(LEFT(AA572,2)="L0",LEFT(AA572,2)="L1",Y572="No Iniciado"),"CRÍTICO - Incumplimiento Normativo SEPS",IF(AND(OR(LEFT(AA572,2)="L4",LEFT(AA572,2)="L5"),AND(AC572&lt;&gt;"",AC572&lt;&gt;"N/A")),"CONFORME - Control Efectivo ISO 27001","OBSERVACIÓN - Revisar Controles")))</f>
        <v/>
      </c>
    </row>
    <row r="573">
      <c r="A573" s="99" t="inlineStr">
        <is>
          <t>14-GTH</t>
        </is>
      </c>
      <c r="B573" s="10" t="inlineStr">
        <is>
          <t>APOYO</t>
        </is>
      </c>
      <c r="C573" s="10" t="inlineStr">
        <is>
          <t>Gestión del Talento Humano</t>
        </is>
      </c>
      <c r="D573" s="10" t="inlineStr">
        <is>
          <t>GTH</t>
        </is>
      </c>
      <c r="E573" s="10" t="inlineStr">
        <is>
          <t>Gestión de Seguridad y Salud Ocupacional</t>
        </is>
      </c>
      <c r="F573" s="10" t="inlineStr">
        <is>
          <t xml:space="preserve">Seguridad Ocupacional </t>
        </is>
      </c>
      <c r="G573" s="10" t="inlineStr">
        <is>
          <t xml:space="preserve">Investigación de incidentes y accidentes de trabajo   </t>
        </is>
      </c>
      <c r="H573" s="10" t="inlineStr">
        <is>
          <t>Informe ampliado del accidente laboral</t>
        </is>
      </c>
      <c r="I573" s="10" t="inlineStr">
        <is>
          <t>Informe que permite describir los datos del accidente, persona accidentada, acciones  y condiciones, acciones correctivas referente al evento con detalles para presentar al IESS</t>
        </is>
      </c>
      <c r="J573" s="10" t="inlineStr">
        <is>
          <t>Técnico en Seguridad y Salud Ocupacional</t>
        </is>
      </c>
      <c r="K573" s="10" t="inlineStr">
        <is>
          <t>Técnico en Seguridad y Salud Ocupacional</t>
        </is>
      </c>
      <c r="L573" s="10" t="inlineStr">
        <is>
          <t>UBICACIÓN DIGITAL-EQUIPO DEL CUSTODIO</t>
        </is>
      </c>
      <c r="M573" s="10" t="inlineStr">
        <is>
          <t>DISCOS DUROS, SERVIDORES, DISCOS O MEDIOS PORTÁTILES, CINTAS O MEDIOS DE VIDEO Y AUDIO, ETC.</t>
        </is>
      </c>
      <c r="N573" s="10" t="inlineStr">
        <is>
          <t>PRIMARIOS</t>
        </is>
      </c>
      <c r="O573" s="10" t="inlineStr">
        <is>
          <t>DOCUMENTOS TÉCNICOS</t>
        </is>
      </c>
      <c r="P573" s="10" t="inlineStr">
        <is>
          <t>USO INTERNO(2)</t>
        </is>
      </c>
      <c r="Q573" s="10" t="inlineStr">
        <is>
          <t>BAJA(1)</t>
        </is>
      </c>
      <c r="R573" s="10" t="inlineStr">
        <is>
          <t>MEDIA(2)</t>
        </is>
      </c>
      <c r="S573" s="10">
        <f>+(IF(P573="PUBLICA(1)",1,IF(P573="USO INTERNO(2)",2,IF(P573="RESTRINGIDO(3)",3,3))))+(IF(Q573="BAJA(1)",1,IF(Q573="MEDIA(2)",2,IF(Q573="ALTA(3)",3,3))))+(IF(R573="BAJA(1)",1,IF(R573="MEDIA(2)",2,IF(R573="ALTA(3)",3,3))))</f>
        <v/>
      </c>
      <c r="T573" s="10">
        <f>+IF(S573&lt;6,"BAJA",IF(S573&lt;8,"MEDIA","ALTA"))</f>
        <v/>
      </c>
      <c r="U573" s="10" t="inlineStr">
        <is>
          <t>-</t>
        </is>
      </c>
      <c r="V573" s="24" t="n">
        <v>45673</v>
      </c>
      <c r="W573" s="19" t="inlineStr">
        <is>
          <t>N/A</t>
        </is>
      </c>
      <c r="X573" s="10">
        <f>+IFERROR(IF(VLOOKUP(Tabla2[[#This Row],[ID]],'EVALUACION DE RIESGO'!A:A,1,FALSE)=Tabla2[[#This Row],[ID]],"SI","NO"),"NO")</f>
        <v/>
      </c>
      <c r="AD573">
        <f>IF(AND(Y573="",AA573=""),"",IF(OR(LEFT(AA573,2)="L0",LEFT(AA573,2)="L1",Y573="No Iniciado"),"CRÍTICO - Incumplimiento Normativo SEPS",IF(AND(OR(LEFT(AA573,2)="L4",LEFT(AA573,2)="L5"),AND(AC573&lt;&gt;"",AC573&lt;&gt;"N/A")),"CONFORME - Control Efectivo ISO 27001","OBSERVACIÓN - Revisar Controles")))</f>
        <v/>
      </c>
    </row>
    <row r="574">
      <c r="A574" s="99" t="inlineStr">
        <is>
          <t>15-GTH</t>
        </is>
      </c>
      <c r="B574" s="10" t="inlineStr">
        <is>
          <t>APOYO</t>
        </is>
      </c>
      <c r="C574" s="10" t="inlineStr">
        <is>
          <t>Gestión del Talento Humano</t>
        </is>
      </c>
      <c r="D574" s="10" t="inlineStr">
        <is>
          <t>GTH</t>
        </is>
      </c>
      <c r="E574" s="10" t="inlineStr">
        <is>
          <t>Gestión de Seguridad y Salud Ocupacional</t>
        </is>
      </c>
      <c r="F574" s="10" t="inlineStr">
        <is>
          <t xml:space="preserve">Seguridad Ocupacional </t>
        </is>
      </c>
      <c r="G574" s="10" t="inlineStr">
        <is>
          <t xml:space="preserve">Investigación de incidentes y accidentes de trabajo   </t>
        </is>
      </c>
      <c r="H574" s="10" t="inlineStr">
        <is>
          <t>Sumilla de Resoluciones del Comté de SSO</t>
        </is>
      </c>
      <c r="I574" s="10" t="inlineStr">
        <is>
          <t xml:space="preserve">Se presenta al Comité de SSO quienes emiten la resolución que consta es las actas de reunión </t>
        </is>
      </c>
      <c r="J574" s="10" t="inlineStr">
        <is>
          <t>Técnico en Seguridad y Salud Ocupacional</t>
        </is>
      </c>
      <c r="K574" s="10" t="inlineStr">
        <is>
          <t>Técnico en Seguridad y Salud Ocupacional</t>
        </is>
      </c>
      <c r="L574" s="10" t="inlineStr">
        <is>
          <t>DOCUMENTOS FISICOS-ARCHIVOS DE LA OFICINA</t>
        </is>
      </c>
      <c r="M574" s="10" t="inlineStr">
        <is>
          <t>DOCUMENTO DE ARCHIVO-FÍSICO</t>
        </is>
      </c>
      <c r="N574" s="10" t="inlineStr">
        <is>
          <t>PRIMARIOS</t>
        </is>
      </c>
      <c r="O574" s="10" t="inlineStr">
        <is>
          <t>DOCUMENTOS HABILITANTES</t>
        </is>
      </c>
      <c r="P574" s="10" t="inlineStr">
        <is>
          <t>USO INTERNO(2)</t>
        </is>
      </c>
      <c r="Q574" s="10" t="inlineStr">
        <is>
          <t>BAJA(1)</t>
        </is>
      </c>
      <c r="R574" s="10" t="inlineStr">
        <is>
          <t>MEDIA(2)</t>
        </is>
      </c>
      <c r="S574" s="10">
        <f>+(IF(P574="PUBLICA(1)",1,IF(P574="USO INTERNO(2)",2,IF(P574="RESTRINGIDO(3)",3,3))))+(IF(Q574="BAJA(1)",1,IF(Q574="MEDIA(2)",2,IF(Q574="ALTA(3)",3,3))))+(IF(R574="BAJA(1)",1,IF(R574="MEDIA(2)",2,IF(R574="ALTA(3)",3,3))))</f>
        <v/>
      </c>
      <c r="T574" s="10">
        <f>+IF(S574&lt;6,"BAJA",IF(S574&lt;8,"MEDIA","ALTA"))</f>
        <v/>
      </c>
      <c r="U574" s="10" t="inlineStr">
        <is>
          <t>-</t>
        </is>
      </c>
      <c r="V574" s="24" t="n">
        <v>45673</v>
      </c>
      <c r="W574" s="19" t="inlineStr">
        <is>
          <t>N/A</t>
        </is>
      </c>
      <c r="X574" s="10">
        <f>+IFERROR(IF(VLOOKUP(Tabla2[[#This Row],[ID]],'EVALUACION DE RIESGO'!A:A,1,FALSE)=Tabla2[[#This Row],[ID]],"SI","NO"),"NO")</f>
        <v/>
      </c>
      <c r="AD574">
        <f>IF(AND(Y574="",AA574=""),"",IF(OR(LEFT(AA574,2)="L0",LEFT(AA574,2)="L1",Y574="No Iniciado"),"CRÍTICO - Incumplimiento Normativo SEPS",IF(AND(OR(LEFT(AA574,2)="L4",LEFT(AA574,2)="L5"),AND(AC574&lt;&gt;"",AC574&lt;&gt;"N/A")),"CONFORME - Control Efectivo ISO 27001","OBSERVACIÓN - Revisar Controles")))</f>
        <v/>
      </c>
    </row>
    <row r="575">
      <c r="A575" s="99" t="inlineStr">
        <is>
          <t>16-GTH</t>
        </is>
      </c>
      <c r="B575" s="10" t="inlineStr">
        <is>
          <t>APOYO</t>
        </is>
      </c>
      <c r="C575" s="10" t="inlineStr">
        <is>
          <t>Gestión del Talento Humano</t>
        </is>
      </c>
      <c r="D575" s="10" t="inlineStr">
        <is>
          <t>GTH</t>
        </is>
      </c>
      <c r="E575" s="10" t="inlineStr">
        <is>
          <t>Gestión de Seguridad y Salud Ocupacional</t>
        </is>
      </c>
      <c r="F575" s="10" t="inlineStr">
        <is>
          <t xml:space="preserve">Seguridad Ocupacional </t>
        </is>
      </c>
      <c r="G575" s="10" t="inlineStr">
        <is>
          <t xml:space="preserve">Investigación de incidentes y accidentes de trabajo   </t>
        </is>
      </c>
      <c r="H575" s="10" t="inlineStr">
        <is>
          <t>Certificado médico</t>
        </is>
      </c>
      <c r="I575" s="10" t="inlineStr">
        <is>
          <t>Documento emitido por un médico donde se evidencia el diagnostico de la persona accidentada y los días de reposo en los casos que aplique</t>
        </is>
      </c>
      <c r="J575" s="10" t="inlineStr">
        <is>
          <t>Técnico en Seguridad y Salud Ocupacional</t>
        </is>
      </c>
      <c r="K575" s="10" t="inlineStr">
        <is>
          <t>Técnico en Seguridad y Salud Ocupacional</t>
        </is>
      </c>
      <c r="L575" s="10" t="inlineStr">
        <is>
          <t>DOCUMENTOS FISICOS-ARCHIVOS DE LA OFICINA</t>
        </is>
      </c>
      <c r="M575" s="10" t="inlineStr">
        <is>
          <t>DOCUMENTO DE ARCHIVO-FÍSICO</t>
        </is>
      </c>
      <c r="N575" s="10" t="inlineStr">
        <is>
          <t>PRIMARIOS</t>
        </is>
      </c>
      <c r="O575" s="10" t="inlineStr">
        <is>
          <t>OTROS</t>
        </is>
      </c>
      <c r="P575" s="10" t="inlineStr">
        <is>
          <t>RESTRINGIDO(3)</t>
        </is>
      </c>
      <c r="Q575" s="10" t="inlineStr">
        <is>
          <t>BAJA(1)</t>
        </is>
      </c>
      <c r="R575" s="10" t="inlineStr">
        <is>
          <t>MEDIA(2)</t>
        </is>
      </c>
      <c r="S575" s="10">
        <f>+(IF(P575="PUBLICA(1)",1,IF(P575="USO INTERNO(2)",2,IF(P575="RESTRINGIDO(3)",3,3))))+(IF(Q575="BAJA(1)",1,IF(Q575="MEDIA(2)",2,IF(Q575="ALTA(3)",3,3))))+(IF(R575="BAJA(1)",1,IF(R575="MEDIA(2)",2,IF(R575="ALTA(3)",3,3))))</f>
        <v/>
      </c>
      <c r="T575" s="10">
        <f>+IF(S575&lt;6,"BAJA",IF(S575&lt;8,"MEDIA","ALTA"))</f>
        <v/>
      </c>
      <c r="U575" s="10" t="inlineStr">
        <is>
          <t>-</t>
        </is>
      </c>
      <c r="V575" s="24" t="n">
        <v>45673</v>
      </c>
      <c r="W575" s="19" t="inlineStr">
        <is>
          <t>N/A</t>
        </is>
      </c>
      <c r="X575" s="10">
        <f>+IFERROR(IF(VLOOKUP(Tabla2[[#This Row],[ID]],'EVALUACION DE RIESGO'!A:A,1,FALSE)=Tabla2[[#This Row],[ID]],"SI","NO"),"NO")</f>
        <v/>
      </c>
      <c r="AD575">
        <f>IF(AND(Y575="",AA575=""),"",IF(OR(LEFT(AA575,2)="L0",LEFT(AA575,2)="L1",Y575="No Iniciado"),"CRÍTICO - Incumplimiento Normativo SEPS",IF(AND(OR(LEFT(AA575,2)="L4",LEFT(AA575,2)="L5"),AND(AC575&lt;&gt;"",AC575&lt;&gt;"N/A")),"CONFORME - Control Efectivo ISO 27001","OBSERVACIÓN - Revisar Controles")))</f>
        <v/>
      </c>
    </row>
    <row r="576">
      <c r="A576" s="99" t="inlineStr">
        <is>
          <t>17-GTH</t>
        </is>
      </c>
      <c r="B576" s="10" t="inlineStr">
        <is>
          <t>APOYO</t>
        </is>
      </c>
      <c r="C576" s="10" t="inlineStr">
        <is>
          <t>Gestión del Talento Humano</t>
        </is>
      </c>
      <c r="D576" s="10" t="inlineStr">
        <is>
          <t>GTH</t>
        </is>
      </c>
      <c r="E576" s="10" t="inlineStr">
        <is>
          <t>Gestión de Seguridad y Salud Ocupacional</t>
        </is>
      </c>
      <c r="F576" s="10" t="inlineStr">
        <is>
          <t xml:space="preserve">Seguridad Ocupacional </t>
        </is>
      </c>
      <c r="G576" s="10" t="inlineStr">
        <is>
          <t xml:space="preserve">Investigación de incidentes y accidentes de trabajo   </t>
        </is>
      </c>
      <c r="H576" s="10" t="inlineStr">
        <is>
          <t>Registro diario de atención médica</t>
        </is>
      </c>
      <c r="I576" s="10" t="inlineStr">
        <is>
          <t>Registro de atenciones que gestiona el Médico Ocupacional, contiene datos del paciente, diagnostico</t>
        </is>
      </c>
      <c r="J576" s="10" t="inlineStr">
        <is>
          <t>Técnico en Seguridad y Salud Ocupacional</t>
        </is>
      </c>
      <c r="K576" s="10" t="inlineStr">
        <is>
          <t>Enfermera Ocupacional</t>
        </is>
      </c>
      <c r="L576" s="10" t="inlineStr">
        <is>
          <t>DOCUMENTOS FISICOS-ARCHIVOS DE LA OFICINA</t>
        </is>
      </c>
      <c r="M576" s="10" t="inlineStr">
        <is>
          <t>DOCUMENTO DE ARCHIVO-FÍSICO</t>
        </is>
      </c>
      <c r="N576" s="10" t="inlineStr">
        <is>
          <t>PRIMARIOS</t>
        </is>
      </c>
      <c r="O576" s="10" t="inlineStr">
        <is>
          <t>OTROS</t>
        </is>
      </c>
      <c r="P576" s="10" t="inlineStr">
        <is>
          <t>PUBLICA(1)</t>
        </is>
      </c>
      <c r="Q576" s="10" t="inlineStr">
        <is>
          <t>BAJA(1)</t>
        </is>
      </c>
      <c r="R576" s="10" t="inlineStr">
        <is>
          <t>MEDIA(2)</t>
        </is>
      </c>
      <c r="S576" s="10">
        <f>+(IF(P576="PUBLICA(1)",1,IF(P576="USO INTERNO(2)",2,IF(P576="RESTRINGIDO(3)",3,3))))+(IF(Q576="BAJA(1)",1,IF(Q576="MEDIA(2)",2,IF(Q576="ALTA(3)",3,3))))+(IF(R576="BAJA(1)",1,IF(R576="MEDIA(2)",2,IF(R576="ALTA(3)",3,3))))</f>
        <v/>
      </c>
      <c r="T576" s="10">
        <f>+IF(S576&lt;6,"BAJA",IF(S576&lt;8,"MEDIA","ALTA"))</f>
        <v/>
      </c>
      <c r="U576" s="10" t="inlineStr">
        <is>
          <t>-</t>
        </is>
      </c>
      <c r="V576" s="24" t="n">
        <v>45673</v>
      </c>
      <c r="W576" s="19" t="inlineStr">
        <is>
          <t>N/A</t>
        </is>
      </c>
      <c r="X576" s="10">
        <f>+IFERROR(IF(VLOOKUP(Tabla2[[#This Row],[ID]],'EVALUACION DE RIESGO'!A:A,1,FALSE)=Tabla2[[#This Row],[ID]],"SI","NO"),"NO")</f>
        <v/>
      </c>
      <c r="AD576">
        <f>IF(AND(Y576="",AA576=""),"",IF(OR(LEFT(AA576,2)="L0",LEFT(AA576,2)="L1",Y576="No Iniciado"),"CRÍTICO - Incumplimiento Normativo SEPS",IF(AND(OR(LEFT(AA576,2)="L4",LEFT(AA576,2)="L5"),AND(AC576&lt;&gt;"",AC576&lt;&gt;"N/A")),"CONFORME - Control Efectivo ISO 27001","OBSERVACIÓN - Revisar Controles")))</f>
        <v/>
      </c>
    </row>
    <row r="577">
      <c r="A577" s="99" t="inlineStr">
        <is>
          <t>18-GTH</t>
        </is>
      </c>
      <c r="B577" s="10" t="inlineStr">
        <is>
          <t>APOYO</t>
        </is>
      </c>
      <c r="C577" s="10" t="inlineStr">
        <is>
          <t>Gestión del Talento Humano</t>
        </is>
      </c>
      <c r="D577" s="10" t="inlineStr">
        <is>
          <t>GTH</t>
        </is>
      </c>
      <c r="E577" s="10" t="inlineStr">
        <is>
          <t>Gestión de Seguridad y Salud Ocupacional</t>
        </is>
      </c>
      <c r="F577" s="10" t="inlineStr">
        <is>
          <t xml:space="preserve">Seguridad Ocupacional </t>
        </is>
      </c>
      <c r="G577" s="10" t="inlineStr">
        <is>
          <t>Inspecciones de Seguridad y Salud Ocupacional</t>
        </is>
      </c>
      <c r="H577" s="10" t="inlineStr">
        <is>
          <t>Inspecciones de SSO</t>
        </is>
      </c>
      <c r="I577" s="10" t="inlineStr">
        <is>
          <t>Check lista donde se anotan las observaciones encontradas referentes SSO</t>
        </is>
      </c>
      <c r="J577" s="10" t="inlineStr">
        <is>
          <t>Técnico en Seguridad y Salud Ocupacional</t>
        </is>
      </c>
      <c r="K577" s="10" t="inlineStr">
        <is>
          <t>Técnico en Seguridad y Salud Ocupacional</t>
        </is>
      </c>
      <c r="L577" s="10" t="inlineStr">
        <is>
          <t>DOCUMENTOS FISICOS-ARCHIVOS DE LA OFICINA</t>
        </is>
      </c>
      <c r="M577" s="10" t="inlineStr">
        <is>
          <t>N/A</t>
        </is>
      </c>
      <c r="N577" s="10" t="inlineStr">
        <is>
          <t>PRIMARIOS</t>
        </is>
      </c>
      <c r="O577" s="10" t="inlineStr">
        <is>
          <t>DOCUMENTOS TÉCNICOS</t>
        </is>
      </c>
      <c r="P577" s="10" t="inlineStr">
        <is>
          <t>PUBLICA(1)</t>
        </is>
      </c>
      <c r="Q577" s="10" t="inlineStr">
        <is>
          <t>BAJA(1)</t>
        </is>
      </c>
      <c r="R577" s="10" t="inlineStr">
        <is>
          <t>BAJA(1)</t>
        </is>
      </c>
      <c r="S577" s="10">
        <f>+(IF(P577="PUBLICA(1)",1,IF(P577="USO INTERNO(2)",2,IF(P577="RESTRINGIDO(3)",3,3))))+(IF(Q577="BAJA(1)",1,IF(Q577="MEDIA(2)",2,IF(Q577="ALTA(3)",3,3))))+(IF(R577="BAJA(1)",1,IF(R577="MEDIA(2)",2,IF(R577="ALTA(3)",3,3))))</f>
        <v/>
      </c>
      <c r="T577" s="10">
        <f>+IF(S577&lt;6,"BAJA",IF(S577&lt;8,"MEDIA","ALTA"))</f>
        <v/>
      </c>
      <c r="U577" s="10" t="inlineStr">
        <is>
          <t>-</t>
        </is>
      </c>
      <c r="V577" s="24" t="n">
        <v>45673</v>
      </c>
      <c r="W577" s="19" t="inlineStr">
        <is>
          <t>N/A</t>
        </is>
      </c>
      <c r="X577" s="10">
        <f>+IFERROR(IF(VLOOKUP(Tabla2[[#This Row],[ID]],'EVALUACION DE RIESGO'!A:A,1,FALSE)=Tabla2[[#This Row],[ID]],"SI","NO"),"NO")</f>
        <v/>
      </c>
      <c r="AD577">
        <f>IF(AND(Y577="",AA577=""),"",IF(OR(LEFT(AA577,2)="L0",LEFT(AA577,2)="L1",Y577="No Iniciado"),"CRÍTICO - Incumplimiento Normativo SEPS",IF(AND(OR(LEFT(AA577,2)="L4",LEFT(AA577,2)="L5"),AND(AC577&lt;&gt;"",AC577&lt;&gt;"N/A")),"CONFORME - Control Efectivo ISO 27001","OBSERVACIÓN - Revisar Controles")))</f>
        <v/>
      </c>
    </row>
    <row r="578">
      <c r="A578" s="99" t="inlineStr">
        <is>
          <t>19-GTH</t>
        </is>
      </c>
      <c r="B578" s="10" t="inlineStr">
        <is>
          <t>APOYO</t>
        </is>
      </c>
      <c r="C578" s="10" t="inlineStr">
        <is>
          <t>Gestión del Talento Humano</t>
        </is>
      </c>
      <c r="D578" s="10" t="inlineStr">
        <is>
          <t>GTH</t>
        </is>
      </c>
      <c r="E578" s="10" t="inlineStr">
        <is>
          <t>Gestión de Seguridad y Salud Ocupacional</t>
        </is>
      </c>
      <c r="F578" s="10" t="inlineStr">
        <is>
          <t xml:space="preserve">Seguridad Ocupacional </t>
        </is>
      </c>
      <c r="G578" s="10" t="inlineStr">
        <is>
          <t>Inspecciones de Seguridad y Salud Ocupacional</t>
        </is>
      </c>
      <c r="H578" s="10" t="inlineStr">
        <is>
          <t>Informe de inspecciones de SSO</t>
        </is>
      </c>
      <c r="I578" s="10" t="inlineStr">
        <is>
          <t>Informe de la inspección realizada referente a la oficina</t>
        </is>
      </c>
      <c r="J578" s="10" t="inlineStr">
        <is>
          <t>Técnico en Seguridad y Salud Ocupacional</t>
        </is>
      </c>
      <c r="K578" s="10" t="inlineStr">
        <is>
          <t>Técnico en Seguridad y Salud Ocupacional</t>
        </is>
      </c>
      <c r="L578" s="10" t="inlineStr">
        <is>
          <t>UBICACIÓN DIGITAL-EQUIPO DEL RESPONSABLE</t>
        </is>
      </c>
      <c r="M578" s="10" t="inlineStr">
        <is>
          <t>DISCOS DUROS, SERVIDORES, DISCOS O MEDIOS PORTÁTILES, CINTAS O MEDIOS DE VIDEO Y AUDIO, ETC.</t>
        </is>
      </c>
      <c r="N578" s="10" t="inlineStr">
        <is>
          <t>PRIMARIOS</t>
        </is>
      </c>
      <c r="O578" s="10" t="inlineStr">
        <is>
          <t>DOCUMENTOS TÉCNICOS</t>
        </is>
      </c>
      <c r="P578" s="10" t="inlineStr">
        <is>
          <t>PUBLICA(1)</t>
        </is>
      </c>
      <c r="Q578" s="10" t="inlineStr">
        <is>
          <t>BAJA(1)</t>
        </is>
      </c>
      <c r="R578" s="10" t="inlineStr">
        <is>
          <t>BAJA(1)</t>
        </is>
      </c>
      <c r="S578" s="10">
        <f>+(IF(P578="PUBLICA(1)",1,IF(P578="USO INTERNO(2)",2,IF(P578="RESTRINGIDO(3)",3,3))))+(IF(Q578="BAJA(1)",1,IF(Q578="MEDIA(2)",2,IF(Q578="ALTA(3)",3,3))))+(IF(R578="BAJA(1)",1,IF(R578="MEDIA(2)",2,IF(R578="ALTA(3)",3,3))))</f>
        <v/>
      </c>
      <c r="T578" s="10">
        <f>+IF(S578&lt;6,"BAJA",IF(S578&lt;8,"MEDIA","ALTA"))</f>
        <v/>
      </c>
      <c r="U578" s="10" t="inlineStr">
        <is>
          <t>-</t>
        </is>
      </c>
      <c r="V578" s="24" t="n">
        <v>45673</v>
      </c>
      <c r="W578" s="19" t="inlineStr">
        <is>
          <t>N/A</t>
        </is>
      </c>
      <c r="X578" s="10">
        <f>+IFERROR(IF(VLOOKUP(Tabla2[[#This Row],[ID]],'EVALUACION DE RIESGO'!A:A,1,FALSE)=Tabla2[[#This Row],[ID]],"SI","NO"),"NO")</f>
        <v/>
      </c>
      <c r="AD578">
        <f>IF(AND(Y578="",AA578=""),"",IF(OR(LEFT(AA578,2)="L0",LEFT(AA578,2)="L1",Y578="No Iniciado"),"CRÍTICO - Incumplimiento Normativo SEPS",IF(AND(OR(LEFT(AA578,2)="L4",LEFT(AA578,2)="L5"),AND(AC578&lt;&gt;"",AC578&lt;&gt;"N/A")),"CONFORME - Control Efectivo ISO 27001","OBSERVACIÓN - Revisar Controles")))</f>
        <v/>
      </c>
    </row>
    <row r="579">
      <c r="A579" s="99" t="inlineStr">
        <is>
          <t>20-GTH</t>
        </is>
      </c>
      <c r="B579" s="10" t="inlineStr">
        <is>
          <t>APOYO</t>
        </is>
      </c>
      <c r="C579" s="10" t="inlineStr">
        <is>
          <t>Gestión del Talento Humano</t>
        </is>
      </c>
      <c r="D579" s="10" t="inlineStr">
        <is>
          <t>GTH</t>
        </is>
      </c>
      <c r="E579" s="10" t="inlineStr">
        <is>
          <t>Gestión de Seguridad y Salud Ocupacional</t>
        </is>
      </c>
      <c r="F579" s="10" t="inlineStr">
        <is>
          <t xml:space="preserve">Seguridad Ocupacional </t>
        </is>
      </c>
      <c r="G579" s="10" t="inlineStr">
        <is>
          <t>Inspecciones de Seguridad y Salud Ocupacional</t>
        </is>
      </c>
      <c r="H579" s="10" t="inlineStr">
        <is>
          <t>Check list de dispensario médico</t>
        </is>
      </c>
      <c r="I579" s="10" t="inlineStr">
        <is>
          <t xml:space="preserve">documento de revisión de inventario del consultorio médico que se presenta al Técnico SSO, contiene responsables, áreas, fecha, infraestructura-ambientes, gestión de desechos, condiciones generales del establecimiento, uso de EPP, señalización, verificación de documentos y observaciones </t>
        </is>
      </c>
      <c r="J579" s="10" t="inlineStr">
        <is>
          <t>Técnico en Seguridad y Salud Ocupacional</t>
        </is>
      </c>
      <c r="K579" s="10" t="inlineStr">
        <is>
          <t>Enfermera Ocupacional</t>
        </is>
      </c>
      <c r="L579" s="10" t="inlineStr">
        <is>
          <t>DOCUMENTOS FISICOS-ARCHIVOS DE LA OFICINA</t>
        </is>
      </c>
      <c r="M579" s="10" t="inlineStr">
        <is>
          <t>DOCUMENTO DE ARCHIVO-FÍSICO</t>
        </is>
      </c>
      <c r="N579" s="10" t="inlineStr">
        <is>
          <t>PRIMARIOS</t>
        </is>
      </c>
      <c r="O579" s="10" t="inlineStr">
        <is>
          <t>DOCUMENTOS TÉCNICOS</t>
        </is>
      </c>
      <c r="P579" s="10" t="inlineStr">
        <is>
          <t>PUBLICA(1)</t>
        </is>
      </c>
      <c r="Q579" s="10" t="inlineStr">
        <is>
          <t>BAJA(1)</t>
        </is>
      </c>
      <c r="R579" s="10" t="inlineStr">
        <is>
          <t>BAJA(1)</t>
        </is>
      </c>
      <c r="S579" s="10">
        <f>+(IF(P579="PUBLICA(1)",1,IF(P579="USO INTERNO(2)",2,IF(P579="RESTRINGIDO(3)",3,3))))+(IF(Q579="BAJA(1)",1,IF(Q579="MEDIA(2)",2,IF(Q579="ALTA(3)",3,3))))+(IF(R579="BAJA(1)",1,IF(R579="MEDIA(2)",2,IF(R579="ALTA(3)",3,3))))</f>
        <v/>
      </c>
      <c r="T579" s="10">
        <f>+IF(S579&lt;6,"BAJA",IF(S579&lt;8,"MEDIA","ALTA"))</f>
        <v/>
      </c>
      <c r="U579" s="10" t="inlineStr">
        <is>
          <t>-</t>
        </is>
      </c>
      <c r="V579" s="24" t="n">
        <v>45673</v>
      </c>
      <c r="W579" s="19" t="inlineStr">
        <is>
          <t>N/A</t>
        </is>
      </c>
      <c r="X579" s="10">
        <f>+IFERROR(IF(VLOOKUP(Tabla2[[#This Row],[ID]],'EVALUACION DE RIESGO'!A:A,1,FALSE)=Tabla2[[#This Row],[ID]],"SI","NO"),"NO")</f>
        <v/>
      </c>
      <c r="AD579">
        <f>IF(AND(Y579="",AA579=""),"",IF(OR(LEFT(AA579,2)="L0",LEFT(AA579,2)="L1",Y579="No Iniciado"),"CRÍTICO - Incumplimiento Normativo SEPS",IF(AND(OR(LEFT(AA579,2)="L4",LEFT(AA579,2)="L5"),AND(AC579&lt;&gt;"",AC579&lt;&gt;"N/A")),"CONFORME - Control Efectivo ISO 27001","OBSERVACIÓN - Revisar Controles")))</f>
        <v/>
      </c>
    </row>
    <row r="580">
      <c r="A580" s="99" t="inlineStr">
        <is>
          <t>21-GTH</t>
        </is>
      </c>
      <c r="B580" s="10" t="inlineStr">
        <is>
          <t>APOYO</t>
        </is>
      </c>
      <c r="C580" s="10" t="inlineStr">
        <is>
          <t>Gestión del Talento Humano</t>
        </is>
      </c>
      <c r="D580" s="10" t="inlineStr">
        <is>
          <t>GTH</t>
        </is>
      </c>
      <c r="E580" s="10" t="inlineStr">
        <is>
          <t>Gestión de Seguridad y Salud Ocupacional</t>
        </is>
      </c>
      <c r="F580" s="10" t="inlineStr">
        <is>
          <t xml:space="preserve">Seguridad Ocupacional </t>
        </is>
      </c>
      <c r="G580" s="10" t="inlineStr">
        <is>
          <t>Inspecciones de Seguridad y Salud Ocupacional</t>
        </is>
      </c>
      <c r="H580" s="10" t="inlineStr">
        <is>
          <t>Check list de batería sanitaria</t>
        </is>
      </c>
      <c r="I580" s="10" t="inlineStr">
        <is>
          <t xml:space="preserve">Documento de revisión de baterías sanitarias que contiene responsables, áreas, fecha, instalaciones edificaciones, saneamiento ambiental, maquinaria, uso de EPP, señalización, observaciones </t>
        </is>
      </c>
      <c r="J580" s="10" t="inlineStr">
        <is>
          <t>Técnico en Seguridad y Salud Ocupacional</t>
        </is>
      </c>
      <c r="K580" s="10" t="inlineStr">
        <is>
          <t>Enfermera Ocupacional</t>
        </is>
      </c>
      <c r="L580" s="10" t="inlineStr">
        <is>
          <t>DOCUMENTOS FISICOS-ARCHIVOS DE LA OFICINA</t>
        </is>
      </c>
      <c r="M580" s="10" t="inlineStr">
        <is>
          <t>DOCUMENTO DE ARCHIVO-FÍSICO</t>
        </is>
      </c>
      <c r="N580" s="10" t="inlineStr">
        <is>
          <t>PRIMARIOS</t>
        </is>
      </c>
      <c r="O580" s="10" t="inlineStr">
        <is>
          <t>DOCUMENTOS TÉCNICOS</t>
        </is>
      </c>
      <c r="P580" s="10" t="inlineStr">
        <is>
          <t>PUBLICA(1)</t>
        </is>
      </c>
      <c r="Q580" s="10" t="inlineStr">
        <is>
          <t>BAJA(1)</t>
        </is>
      </c>
      <c r="R580" s="10" t="inlineStr">
        <is>
          <t>BAJA(1)</t>
        </is>
      </c>
      <c r="S580" s="10">
        <f>+(IF(P580="PUBLICA(1)",1,IF(P580="USO INTERNO(2)",2,IF(P580="RESTRINGIDO(3)",3,3))))+(IF(Q580="BAJA(1)",1,IF(Q580="MEDIA(2)",2,IF(Q580="ALTA(3)",3,3))))+(IF(R580="BAJA(1)",1,IF(R580="MEDIA(2)",2,IF(R580="ALTA(3)",3,3))))</f>
        <v/>
      </c>
      <c r="T580" s="10">
        <f>+IF(S580&lt;6,"BAJA",IF(S580&lt;8,"MEDIA","ALTA"))</f>
        <v/>
      </c>
      <c r="U580" s="10" t="inlineStr">
        <is>
          <t>-</t>
        </is>
      </c>
      <c r="V580" s="24" t="n">
        <v>45673</v>
      </c>
      <c r="W580" s="19" t="inlineStr">
        <is>
          <t>N/A</t>
        </is>
      </c>
      <c r="X580" s="10">
        <f>+IFERROR(IF(VLOOKUP(Tabla2[[#This Row],[ID]],'EVALUACION DE RIESGO'!A:A,1,FALSE)=Tabla2[[#This Row],[ID]],"SI","NO"),"NO")</f>
        <v/>
      </c>
      <c r="AD580">
        <f>IF(AND(Y580="",AA580=""),"",IF(OR(LEFT(AA580,2)="L0",LEFT(AA580,2)="L1",Y580="No Iniciado"),"CRÍTICO - Incumplimiento Normativo SEPS",IF(AND(OR(LEFT(AA580,2)="L4",LEFT(AA580,2)="L5"),AND(AC580&lt;&gt;"",AC580&lt;&gt;"N/A")),"CONFORME - Control Efectivo ISO 27001","OBSERVACIÓN - Revisar Controles")))</f>
        <v/>
      </c>
    </row>
    <row r="581">
      <c r="A581" s="99" t="inlineStr">
        <is>
          <t>22-GTH</t>
        </is>
      </c>
      <c r="B581" s="10" t="inlineStr">
        <is>
          <t>APOYO</t>
        </is>
      </c>
      <c r="C581" s="10" t="inlineStr">
        <is>
          <t>Gestión del Talento Humano</t>
        </is>
      </c>
      <c r="D581" s="10" t="inlineStr">
        <is>
          <t>GTH</t>
        </is>
      </c>
      <c r="E581" s="10" t="inlineStr">
        <is>
          <t>Gestión de Seguridad y Salud Ocupacional</t>
        </is>
      </c>
      <c r="F581" s="10" t="inlineStr">
        <is>
          <t xml:space="preserve">Seguridad Ocupacional </t>
        </is>
      </c>
      <c r="G581" s="10" t="inlineStr">
        <is>
          <t>Inspecciones de Seguridad y Salud Ocupacional</t>
        </is>
      </c>
      <c r="H581" s="10" t="inlineStr">
        <is>
          <t>Check list de puntos de hidratación</t>
        </is>
      </c>
      <c r="I581" s="10" t="inlineStr">
        <is>
          <t>Documento, de revisión de puntos de hidratación que contiene responsables, áreas, fecha, elementos a inspeccionar, instalaciones edificaciones, saneamiento ambiental, observaciones</t>
        </is>
      </c>
      <c r="J581" s="10" t="inlineStr">
        <is>
          <t>Técnico en Seguridad y Salud Ocupacional</t>
        </is>
      </c>
      <c r="K581" s="10" t="inlineStr">
        <is>
          <t>Enfermera Ocupacional</t>
        </is>
      </c>
      <c r="L581" s="10" t="inlineStr">
        <is>
          <t>DOCUMENTOS FISICOS-ARCHIVOS DE LA OFICINA</t>
        </is>
      </c>
      <c r="M581" s="10" t="inlineStr">
        <is>
          <t>DOCUMENTO DE ARCHIVO-FÍSICO</t>
        </is>
      </c>
      <c r="N581" s="10" t="inlineStr">
        <is>
          <t>PRIMARIOS</t>
        </is>
      </c>
      <c r="O581" s="10" t="inlineStr">
        <is>
          <t>DOCUMENTOS TÉCNICOS</t>
        </is>
      </c>
      <c r="P581" s="10" t="inlineStr">
        <is>
          <t>PUBLICA(1)</t>
        </is>
      </c>
      <c r="Q581" s="10" t="inlineStr">
        <is>
          <t>BAJA(1)</t>
        </is>
      </c>
      <c r="R581" s="10" t="inlineStr">
        <is>
          <t>BAJA(1)</t>
        </is>
      </c>
      <c r="S581" s="10">
        <f>+(IF(P581="PUBLICA(1)",1,IF(P581="USO INTERNO(2)",2,IF(P581="RESTRINGIDO(3)",3,3))))+(IF(Q581="BAJA(1)",1,IF(Q581="MEDIA(2)",2,IF(Q581="ALTA(3)",3,3))))+(IF(R581="BAJA(1)",1,IF(R581="MEDIA(2)",2,IF(R581="ALTA(3)",3,3))))</f>
        <v/>
      </c>
      <c r="T581" s="10">
        <f>+IF(S581&lt;6,"BAJA",IF(S581&lt;8,"MEDIA","ALTA"))</f>
        <v/>
      </c>
      <c r="U581" s="10" t="inlineStr">
        <is>
          <t>-</t>
        </is>
      </c>
      <c r="V581" s="24" t="n">
        <v>45673</v>
      </c>
      <c r="W581" s="19" t="inlineStr">
        <is>
          <t>N/A</t>
        </is>
      </c>
      <c r="X581" s="10">
        <f>+IFERROR(IF(VLOOKUP(Tabla2[[#This Row],[ID]],'EVALUACION DE RIESGO'!A:A,1,FALSE)=Tabla2[[#This Row],[ID]],"SI","NO"),"NO")</f>
        <v/>
      </c>
      <c r="AD581">
        <f>IF(AND(Y581="",AA581=""),"",IF(OR(LEFT(AA581,2)="L0",LEFT(AA581,2)="L1",Y581="No Iniciado"),"CRÍTICO - Incumplimiento Normativo SEPS",IF(AND(OR(LEFT(AA581,2)="L4",LEFT(AA581,2)="L5"),AND(AC581&lt;&gt;"",AC581&lt;&gt;"N/A")),"CONFORME - Control Efectivo ISO 27001","OBSERVACIÓN - Revisar Controles")))</f>
        <v/>
      </c>
    </row>
    <row r="582">
      <c r="A582" s="99" t="inlineStr">
        <is>
          <t>23-GTH</t>
        </is>
      </c>
      <c r="B582" s="10" t="inlineStr">
        <is>
          <t>APOYO</t>
        </is>
      </c>
      <c r="C582" s="10" t="inlineStr">
        <is>
          <t>Gestión del Talento Humano</t>
        </is>
      </c>
      <c r="D582" s="10" t="inlineStr">
        <is>
          <t>GTH</t>
        </is>
      </c>
      <c r="E582" s="10" t="inlineStr">
        <is>
          <t>Gestión de Seguridad y Salud Ocupacional</t>
        </is>
      </c>
      <c r="F582" s="10" t="inlineStr">
        <is>
          <t xml:space="preserve">Seguridad Ocupacional </t>
        </is>
      </c>
      <c r="G582" s="10" t="inlineStr">
        <is>
          <t>Inspecciones de Seguridad y Salud Ocupacional</t>
        </is>
      </c>
      <c r="H582" s="10" t="inlineStr">
        <is>
          <t>Check list de comedores</t>
        </is>
      </c>
      <c r="I582" s="10" t="inlineStr">
        <is>
          <t>Documento de revisión de comedores, que contiene responsables, áreas, fecha, elementos a inspeccionar, instalaciones, saneamiento ambiental, maquinaria equipos, señalización, medidas de bioseguridad, observaciones</t>
        </is>
      </c>
      <c r="J582" s="10" t="inlineStr">
        <is>
          <t>Técnico en Seguridad y Salud Ocupacional</t>
        </is>
      </c>
      <c r="K582" s="10" t="inlineStr">
        <is>
          <t>Enfermera Ocupacional</t>
        </is>
      </c>
      <c r="L582" s="10" t="inlineStr">
        <is>
          <t>DOCUMENTOS FISICOS-ARCHIVOS DE LA OFICINA</t>
        </is>
      </c>
      <c r="M582" s="10" t="inlineStr">
        <is>
          <t>DOCUMENTO DE ARCHIVO-FÍSICO</t>
        </is>
      </c>
      <c r="N582" s="10" t="inlineStr">
        <is>
          <t>PRIMARIOS</t>
        </is>
      </c>
      <c r="O582" s="10" t="inlineStr">
        <is>
          <t>DOCUMENTOS TÉCNICOS</t>
        </is>
      </c>
      <c r="P582" s="10" t="inlineStr">
        <is>
          <t>PUBLICA(1)</t>
        </is>
      </c>
      <c r="Q582" s="10" t="inlineStr">
        <is>
          <t>BAJA(1)</t>
        </is>
      </c>
      <c r="R582" s="10" t="inlineStr">
        <is>
          <t>BAJA(1)</t>
        </is>
      </c>
      <c r="S582" s="10">
        <f>+(IF(P582="PUBLICA(1)",1,IF(P582="USO INTERNO(2)",2,IF(P582="RESTRINGIDO(3)",3,3))))+(IF(Q582="BAJA(1)",1,IF(Q582="MEDIA(2)",2,IF(Q582="ALTA(3)",3,3))))+(IF(R582="BAJA(1)",1,IF(R582="MEDIA(2)",2,IF(R582="ALTA(3)",3,3))))</f>
        <v/>
      </c>
      <c r="T582" s="10">
        <f>+IF(S582&lt;6,"BAJA",IF(S582&lt;8,"MEDIA","ALTA"))</f>
        <v/>
      </c>
      <c r="U582" s="10" t="inlineStr">
        <is>
          <t>-</t>
        </is>
      </c>
      <c r="V582" s="24" t="n">
        <v>45673</v>
      </c>
      <c r="W582" s="19" t="inlineStr">
        <is>
          <t>N/A</t>
        </is>
      </c>
      <c r="X582" s="10">
        <f>+IFERROR(IF(VLOOKUP(Tabla2[[#This Row],[ID]],'EVALUACION DE RIESGO'!A:A,1,FALSE)=Tabla2[[#This Row],[ID]],"SI","NO"),"NO")</f>
        <v/>
      </c>
      <c r="AD582">
        <f>IF(AND(Y582="",AA582=""),"",IF(OR(LEFT(AA582,2)="L0",LEFT(AA582,2)="L1",Y582="No Iniciado"),"CRÍTICO - Incumplimiento Normativo SEPS",IF(AND(OR(LEFT(AA582,2)="L4",LEFT(AA582,2)="L5"),AND(AC582&lt;&gt;"",AC582&lt;&gt;"N/A")),"CONFORME - Control Efectivo ISO 27001","OBSERVACIÓN - Revisar Controles")))</f>
        <v/>
      </c>
    </row>
    <row r="583">
      <c r="A583" s="99" t="inlineStr">
        <is>
          <t>24-GTH</t>
        </is>
      </c>
      <c r="B583" s="10" t="inlineStr">
        <is>
          <t>APOYO</t>
        </is>
      </c>
      <c r="C583" s="10" t="inlineStr">
        <is>
          <t>Gestión del Talento Humano</t>
        </is>
      </c>
      <c r="D583" s="10" t="inlineStr">
        <is>
          <t>GTH</t>
        </is>
      </c>
      <c r="E583" s="10" t="inlineStr">
        <is>
          <t>Gestión de Seguridad y Salud Ocupacional</t>
        </is>
      </c>
      <c r="F583" s="10" t="inlineStr">
        <is>
          <t xml:space="preserve">Seguridad Ocupacional </t>
        </is>
      </c>
      <c r="G583" s="10" t="inlineStr">
        <is>
          <t xml:space="preserve">Dotación de Equipos de Protección Personal       </t>
        </is>
      </c>
      <c r="H583" s="10" t="inlineStr">
        <is>
          <t>Inspección y control de EPP</t>
        </is>
      </c>
      <c r="I583" s="10" t="inlineStr">
        <is>
          <t>Check lista que permite dejar constancia de los EPP</t>
        </is>
      </c>
      <c r="J583" s="10" t="inlineStr">
        <is>
          <t>Técnico en Seguridad y Salud Ocupacional</t>
        </is>
      </c>
      <c r="K583" s="10" t="inlineStr">
        <is>
          <t>Técnico en Seguridad y Salud Ocupacional</t>
        </is>
      </c>
      <c r="L583" s="10" t="inlineStr">
        <is>
          <t>UBICACIÓN DIGITAL-EQUIPO DEL RESPONSABLE</t>
        </is>
      </c>
      <c r="M583" s="10" t="inlineStr">
        <is>
          <t>DISCOS DUROS, SERVIDORES, DISCOS O MEDIOS PORTÁTILES, CINTAS O MEDIOS DE VIDEO Y AUDIO, ETC.</t>
        </is>
      </c>
      <c r="N583" s="10" t="inlineStr">
        <is>
          <t>PRIMARIOS</t>
        </is>
      </c>
      <c r="O583" s="10" t="inlineStr">
        <is>
          <t>DOCUMENTOS TÉCNICOS</t>
        </is>
      </c>
      <c r="P583" s="10" t="inlineStr">
        <is>
          <t>PUBLICA(1)</t>
        </is>
      </c>
      <c r="Q583" s="10" t="inlineStr">
        <is>
          <t>BAJA(1)</t>
        </is>
      </c>
      <c r="R583" s="10" t="inlineStr">
        <is>
          <t>MEDIA(2)</t>
        </is>
      </c>
      <c r="S583" s="10">
        <f>+(IF(P583="PUBLICA(1)",1,IF(P583="USO INTERNO(2)",2,IF(P583="RESTRINGIDO(3)",3,3))))+(IF(Q583="BAJA(1)",1,IF(Q583="MEDIA(2)",2,IF(Q583="ALTA(3)",3,3))))+(IF(R583="BAJA(1)",1,IF(R583="MEDIA(2)",2,IF(R583="ALTA(3)",3,3))))</f>
        <v/>
      </c>
      <c r="T583" s="10">
        <f>+IF(S583&lt;6,"BAJA",IF(S583&lt;8,"MEDIA","ALTA"))</f>
        <v/>
      </c>
      <c r="U583" s="10" t="inlineStr">
        <is>
          <t>-</t>
        </is>
      </c>
      <c r="V583" s="24" t="n">
        <v>45673</v>
      </c>
      <c r="W583" s="19" t="inlineStr">
        <is>
          <t>N/A</t>
        </is>
      </c>
      <c r="X583" s="10">
        <f>+IFERROR(IF(VLOOKUP(Tabla2[[#This Row],[ID]],'EVALUACION DE RIESGO'!A:A,1,FALSE)=Tabla2[[#This Row],[ID]],"SI","NO"),"NO")</f>
        <v/>
      </c>
      <c r="AD583">
        <f>IF(AND(Y583="",AA583=""),"",IF(OR(LEFT(AA583,2)="L0",LEFT(AA583,2)="L1",Y583="No Iniciado"),"CRÍTICO - Incumplimiento Normativo SEPS",IF(AND(OR(LEFT(AA583,2)="L4",LEFT(AA583,2)="L5"),AND(AC583&lt;&gt;"",AC583&lt;&gt;"N/A")),"CONFORME - Control Efectivo ISO 27001","OBSERVACIÓN - Revisar Controles")))</f>
        <v/>
      </c>
    </row>
    <row r="584">
      <c r="A584" s="99" t="inlineStr">
        <is>
          <t>25-GTH</t>
        </is>
      </c>
      <c r="B584" s="10" t="inlineStr">
        <is>
          <t>APOYO</t>
        </is>
      </c>
      <c r="C584" s="10" t="inlineStr">
        <is>
          <t>Gestión del Talento Humano</t>
        </is>
      </c>
      <c r="D584" s="10" t="inlineStr">
        <is>
          <t>GTH</t>
        </is>
      </c>
      <c r="E584" s="10" t="inlineStr">
        <is>
          <t>Gestión de Seguridad y Salud Ocupacional</t>
        </is>
      </c>
      <c r="F584" s="10" t="inlineStr">
        <is>
          <t xml:space="preserve">Seguridad Ocupacional </t>
        </is>
      </c>
      <c r="G584" s="10" t="inlineStr">
        <is>
          <t xml:space="preserve">Dotación de Equipos de Protección Personal       </t>
        </is>
      </c>
      <c r="H584" s="10" t="inlineStr">
        <is>
          <t>Acta entrega recepción de EPP</t>
        </is>
      </c>
      <c r="I584" s="10" t="inlineStr">
        <is>
          <t>Se deja constancia de la entrega de EPPs a los colaboradores</t>
        </is>
      </c>
      <c r="J584" s="10" t="inlineStr">
        <is>
          <t>Técnico en Seguridad y Salud Ocupacional</t>
        </is>
      </c>
      <c r="K584" s="10" t="inlineStr">
        <is>
          <t>Técnico en Seguridad y Salud Ocupacional</t>
        </is>
      </c>
      <c r="L584" s="10" t="inlineStr">
        <is>
          <t>DOCUMENTOS FISICOS-ARCHIVOS DE LA OFICINA</t>
        </is>
      </c>
      <c r="M584" s="10" t="inlineStr">
        <is>
          <t>DOCUMENTO DE ARCHIVO-FÍSICO</t>
        </is>
      </c>
      <c r="N584" s="10" t="inlineStr">
        <is>
          <t>PRIMARIOS</t>
        </is>
      </c>
      <c r="O584" s="10" t="inlineStr">
        <is>
          <t>DOCUMENTOS HABILITANTES</t>
        </is>
      </c>
      <c r="P584" s="10" t="inlineStr">
        <is>
          <t>PUBLICA(1)</t>
        </is>
      </c>
      <c r="Q584" s="10" t="inlineStr">
        <is>
          <t>BAJA(1)</t>
        </is>
      </c>
      <c r="R584" s="10" t="inlineStr">
        <is>
          <t>BAJA(1)</t>
        </is>
      </c>
      <c r="S584" s="10">
        <f>+(IF(P584="PUBLICA(1)",1,IF(P584="USO INTERNO(2)",2,IF(P584="RESTRINGIDO(3)",3,3))))+(IF(Q584="BAJA(1)",1,IF(Q584="MEDIA(2)",2,IF(Q584="ALTA(3)",3,3))))+(IF(R584="BAJA(1)",1,IF(R584="MEDIA(2)",2,IF(R584="ALTA(3)",3,3))))</f>
        <v/>
      </c>
      <c r="T584" s="10">
        <f>+IF(S584&lt;6,"BAJA",IF(S584&lt;8,"MEDIA","ALTA"))</f>
        <v/>
      </c>
      <c r="U584" s="10" t="inlineStr">
        <is>
          <t>-</t>
        </is>
      </c>
      <c r="V584" s="24" t="n">
        <v>45673</v>
      </c>
      <c r="W584" s="19" t="inlineStr">
        <is>
          <t>N/A</t>
        </is>
      </c>
      <c r="X584" s="10">
        <f>+IFERROR(IF(VLOOKUP(Tabla2[[#This Row],[ID]],'EVALUACION DE RIESGO'!A:A,1,FALSE)=Tabla2[[#This Row],[ID]],"SI","NO"),"NO")</f>
        <v/>
      </c>
      <c r="AD584">
        <f>IF(AND(Y584="",AA584=""),"",IF(OR(LEFT(AA584,2)="L0",LEFT(AA584,2)="L1",Y584="No Iniciado"),"CRÍTICO - Incumplimiento Normativo SEPS",IF(AND(OR(LEFT(AA584,2)="L4",LEFT(AA584,2)="L5"),AND(AC584&lt;&gt;"",AC584&lt;&gt;"N/A")),"CONFORME - Control Efectivo ISO 27001","OBSERVACIÓN - Revisar Controles")))</f>
        <v/>
      </c>
    </row>
    <row r="585">
      <c r="A585" s="99" t="inlineStr">
        <is>
          <t>26-GTH</t>
        </is>
      </c>
      <c r="B585" s="10" t="inlineStr">
        <is>
          <t>APOYO</t>
        </is>
      </c>
      <c r="C585" s="10" t="inlineStr">
        <is>
          <t>Gestión del Talento Humano</t>
        </is>
      </c>
      <c r="D585" s="10" t="inlineStr">
        <is>
          <t>GTH</t>
        </is>
      </c>
      <c r="E585" s="10" t="inlineStr">
        <is>
          <t>Gestión de Seguridad y Salud Ocupacional</t>
        </is>
      </c>
      <c r="F585" s="10" t="inlineStr">
        <is>
          <t xml:space="preserve">Seguridad Ocupacional </t>
        </is>
      </c>
      <c r="G585" s="10" t="inlineStr">
        <is>
          <t xml:space="preserve">Dotación de Equipos de Protección Personal       </t>
        </is>
      </c>
      <c r="H585" s="10" t="inlineStr">
        <is>
          <t>Informe de EPP</t>
        </is>
      </c>
      <c r="I585" s="10" t="inlineStr">
        <is>
          <t>Una vez realizada la revisión de los EPPS se elabora un informe con el fin de realizar un requerimiento de compra</t>
        </is>
      </c>
      <c r="J585" s="10" t="inlineStr">
        <is>
          <t>Técnico en Seguridad y Salud Ocupacional</t>
        </is>
      </c>
      <c r="K585" s="10" t="inlineStr">
        <is>
          <t>Técnico en Seguridad y Salud Ocupacional</t>
        </is>
      </c>
      <c r="L585" s="10" t="inlineStr">
        <is>
          <t>UBICACIÓN DIGITAL-EQUIPO DEL RESPONSABLE</t>
        </is>
      </c>
      <c r="M585" s="10" t="inlineStr">
        <is>
          <t>DISCOS DUROS, SERVIDORES, DISCOS O MEDIOS PORTÁTILES, CINTAS O MEDIOS DE VIDEO Y AUDIO, ETC.</t>
        </is>
      </c>
      <c r="N585" s="10" t="inlineStr">
        <is>
          <t>PRIMARIOS</t>
        </is>
      </c>
      <c r="O585" s="10" t="inlineStr">
        <is>
          <t>DOCUMENTOS TÉCNICOS</t>
        </is>
      </c>
      <c r="P585" s="10" t="inlineStr">
        <is>
          <t>PUBLICA(1)</t>
        </is>
      </c>
      <c r="Q585" s="10" t="inlineStr">
        <is>
          <t>BAJA(1)</t>
        </is>
      </c>
      <c r="R585" s="10" t="inlineStr">
        <is>
          <t>BAJA(1)</t>
        </is>
      </c>
      <c r="S585" s="10">
        <f>+(IF(P585="PUBLICA(1)",1,IF(P585="USO INTERNO(2)",2,IF(P585="RESTRINGIDO(3)",3,3))))+(IF(Q585="BAJA(1)",1,IF(Q585="MEDIA(2)",2,IF(Q585="ALTA(3)",3,3))))+(IF(R585="BAJA(1)",1,IF(R585="MEDIA(2)",2,IF(R585="ALTA(3)",3,3))))</f>
        <v/>
      </c>
      <c r="T585" s="10">
        <f>+IF(S585&lt;6,"BAJA",IF(S585&lt;8,"MEDIA","ALTA"))</f>
        <v/>
      </c>
      <c r="U585" s="10" t="inlineStr">
        <is>
          <t>-</t>
        </is>
      </c>
      <c r="V585" s="24" t="n">
        <v>45673</v>
      </c>
      <c r="W585" s="19" t="inlineStr">
        <is>
          <t>N/A</t>
        </is>
      </c>
      <c r="X585" s="10">
        <f>+IFERROR(IF(VLOOKUP(Tabla2[[#This Row],[ID]],'EVALUACION DE RIESGO'!A:A,1,FALSE)=Tabla2[[#This Row],[ID]],"SI","NO"),"NO")</f>
        <v/>
      </c>
      <c r="AD585">
        <f>IF(AND(Y585="",AA585=""),"",IF(OR(LEFT(AA585,2)="L0",LEFT(AA585,2)="L1",Y585="No Iniciado"),"CRÍTICO - Incumplimiento Normativo SEPS",IF(AND(OR(LEFT(AA585,2)="L4",LEFT(AA585,2)="L5"),AND(AC585&lt;&gt;"",AC585&lt;&gt;"N/A")),"CONFORME - Control Efectivo ISO 27001","OBSERVACIÓN - Revisar Controles")))</f>
        <v/>
      </c>
    </row>
    <row r="586">
      <c r="A586" s="99" t="inlineStr">
        <is>
          <t>27-GTH</t>
        </is>
      </c>
      <c r="B586" s="10" t="inlineStr">
        <is>
          <t>APOYO</t>
        </is>
      </c>
      <c r="C586" s="10" t="inlineStr">
        <is>
          <t>Gestión del Talento Humano</t>
        </is>
      </c>
      <c r="D586" s="10" t="inlineStr">
        <is>
          <t>GTH</t>
        </is>
      </c>
      <c r="E586" s="10" t="inlineStr">
        <is>
          <t>Gestión de Seguridad y Salud Ocupacional</t>
        </is>
      </c>
      <c r="F586" s="10" t="inlineStr">
        <is>
          <t xml:space="preserve">Seguridad Ocupacional </t>
        </is>
      </c>
      <c r="G586" s="10" t="inlineStr">
        <is>
          <t xml:space="preserve">Dotación de Equipos de Protección Personal       </t>
        </is>
      </c>
      <c r="H586" s="10" t="inlineStr">
        <is>
          <t>Matriz de EPPs</t>
        </is>
      </c>
      <c r="I586" s="10" t="inlineStr">
        <is>
          <t xml:space="preserve">detalla las características de los EPP </t>
        </is>
      </c>
      <c r="J586" s="10" t="inlineStr">
        <is>
          <t>Técnico en Seguridad y Salud Ocupacional</t>
        </is>
      </c>
      <c r="K586" s="10" t="inlineStr">
        <is>
          <t>Técnico en Seguridad y Salud Ocupacional</t>
        </is>
      </c>
      <c r="L586" s="10" t="inlineStr">
        <is>
          <t>UBICACIÓN DIGITAL-EQUIPO DEL RESPONSABLE</t>
        </is>
      </c>
      <c r="M586" s="10" t="inlineStr">
        <is>
          <t>DISCOS DUROS, SERVIDORES, DISCOS O MEDIOS PORTÁTILES, CINTAS O MEDIOS DE VIDEO Y AUDIO, ETC.</t>
        </is>
      </c>
      <c r="N586" s="10" t="inlineStr">
        <is>
          <t>PRIMARIOS</t>
        </is>
      </c>
      <c r="O586" s="10" t="inlineStr">
        <is>
          <t>DOCUMENTOS TÉCNICOS</t>
        </is>
      </c>
      <c r="P586" s="10" t="inlineStr">
        <is>
          <t>PUBLICA(1)</t>
        </is>
      </c>
      <c r="Q586" s="10" t="inlineStr">
        <is>
          <t>BAJA(1)</t>
        </is>
      </c>
      <c r="R586" s="10" t="inlineStr">
        <is>
          <t>BAJA(1)</t>
        </is>
      </c>
      <c r="S586" s="10">
        <f>+(IF(P586="PUBLICA(1)",1,IF(P586="USO INTERNO(2)",2,IF(P586="RESTRINGIDO(3)",3,3))))+(IF(Q586="BAJA(1)",1,IF(Q586="MEDIA(2)",2,IF(Q586="ALTA(3)",3,3))))+(IF(R586="BAJA(1)",1,IF(R586="MEDIA(2)",2,IF(R586="ALTA(3)",3,3))))</f>
        <v/>
      </c>
      <c r="T586" s="10">
        <f>+IF(S586&lt;6,"BAJA",IF(S586&lt;8,"MEDIA","ALTA"))</f>
        <v/>
      </c>
      <c r="U586" s="10" t="inlineStr">
        <is>
          <t>-</t>
        </is>
      </c>
      <c r="V586" s="24" t="n">
        <v>45673</v>
      </c>
      <c r="W586" s="19" t="inlineStr">
        <is>
          <t>N/A</t>
        </is>
      </c>
      <c r="X586" s="10">
        <f>+IFERROR(IF(VLOOKUP(Tabla2[[#This Row],[ID]],'EVALUACION DE RIESGO'!A:A,1,FALSE)=Tabla2[[#This Row],[ID]],"SI","NO"),"NO")</f>
        <v/>
      </c>
      <c r="AD586">
        <f>IF(AND(Y586="",AA586=""),"",IF(OR(LEFT(AA586,2)="L0",LEFT(AA586,2)="L1",Y586="No Iniciado"),"CRÍTICO - Incumplimiento Normativo SEPS",IF(AND(OR(LEFT(AA586,2)="L4",LEFT(AA586,2)="L5"),AND(AC586&lt;&gt;"",AC586&lt;&gt;"N/A")),"CONFORME - Control Efectivo ISO 27001","OBSERVACIÓN - Revisar Controles")))</f>
        <v/>
      </c>
    </row>
    <row r="587">
      <c r="A587" s="99" t="inlineStr">
        <is>
          <t>28-GTH</t>
        </is>
      </c>
      <c r="B587" s="10" t="inlineStr">
        <is>
          <t>APOYO</t>
        </is>
      </c>
      <c r="C587" s="10" t="inlineStr">
        <is>
          <t>Gestión del Talento Humano</t>
        </is>
      </c>
      <c r="D587" s="10" t="inlineStr">
        <is>
          <t>GTH</t>
        </is>
      </c>
      <c r="E587" s="10" t="inlineStr">
        <is>
          <t>Gestión de Seguridad y Salud Ocupacional</t>
        </is>
      </c>
      <c r="F587" s="10" t="inlineStr">
        <is>
          <t xml:space="preserve">Seguridad Ocupacional </t>
        </is>
      </c>
      <c r="G587" s="10" t="inlineStr">
        <is>
          <t xml:space="preserve">Planes de emergencia y simulacros </t>
        </is>
      </c>
      <c r="H587" s="10" t="inlineStr">
        <is>
          <t>Plan de emergencia</t>
        </is>
      </c>
      <c r="I587" s="10" t="inlineStr">
        <is>
          <t>Describe las acciones a realizar antes durante y después de una emergencia así como recursos y mapas evacuación y riesgos</t>
        </is>
      </c>
      <c r="J587" s="10" t="inlineStr">
        <is>
          <t>Técnico en Seguridad y Salud Ocupacional</t>
        </is>
      </c>
      <c r="K587" s="10" t="inlineStr">
        <is>
          <t>Técnico en Seguridad y Salud Ocupacional</t>
        </is>
      </c>
      <c r="L587" s="10" t="inlineStr">
        <is>
          <t>UBICACIÓN DIGITAL-EQUIPO DEL RESPONSABLE</t>
        </is>
      </c>
      <c r="M587" s="10" t="inlineStr">
        <is>
          <t>DISCOS DUROS, SERVIDORES, DISCOS O MEDIOS PORTÁTILES, CINTAS O MEDIOS DE VIDEO Y AUDIO, ETC.</t>
        </is>
      </c>
      <c r="N587" s="10" t="inlineStr">
        <is>
          <t>PRIMARIOS</t>
        </is>
      </c>
      <c r="O587" s="10" t="inlineStr">
        <is>
          <t>DOCUMENTOS TÉCNICOS</t>
        </is>
      </c>
      <c r="P587" s="10" t="inlineStr">
        <is>
          <t>PUBLICA(1)</t>
        </is>
      </c>
      <c r="Q587" s="10" t="inlineStr">
        <is>
          <t>BAJA(1)</t>
        </is>
      </c>
      <c r="R587" s="10" t="inlineStr">
        <is>
          <t>MEDIA(2)</t>
        </is>
      </c>
      <c r="S587" s="10">
        <f>+(IF(P587="PUBLICA(1)",1,IF(P587="USO INTERNO(2)",2,IF(P587="RESTRINGIDO(3)",3,3))))+(IF(Q587="BAJA(1)",1,IF(Q587="MEDIA(2)",2,IF(Q587="ALTA(3)",3,3))))+(IF(R587="BAJA(1)",1,IF(R587="MEDIA(2)",2,IF(R587="ALTA(3)",3,3))))</f>
        <v/>
      </c>
      <c r="T587" s="10">
        <f>+IF(S587&lt;6,"BAJA",IF(S587&lt;8,"MEDIA","ALTA"))</f>
        <v/>
      </c>
      <c r="U587" s="10" t="inlineStr">
        <is>
          <t>-</t>
        </is>
      </c>
      <c r="V587" s="24" t="n">
        <v>45673</v>
      </c>
      <c r="W587" s="19" t="inlineStr">
        <is>
          <t>N/A</t>
        </is>
      </c>
      <c r="X587" s="10">
        <f>+IFERROR(IF(VLOOKUP(Tabla2[[#This Row],[ID]],'EVALUACION DE RIESGO'!A:A,1,FALSE)=Tabla2[[#This Row],[ID]],"SI","NO"),"NO")</f>
        <v/>
      </c>
      <c r="AD587">
        <f>IF(AND(Y587="",AA587=""),"",IF(OR(LEFT(AA587,2)="L0",LEFT(AA587,2)="L1",Y587="No Iniciado"),"CRÍTICO - Incumplimiento Normativo SEPS",IF(AND(OR(LEFT(AA587,2)="L4",LEFT(AA587,2)="L5"),AND(AC587&lt;&gt;"",AC587&lt;&gt;"N/A")),"CONFORME - Control Efectivo ISO 27001","OBSERVACIÓN - Revisar Controles")))</f>
        <v/>
      </c>
    </row>
    <row r="588">
      <c r="A588" s="99" t="inlineStr">
        <is>
          <t>29-GTH</t>
        </is>
      </c>
      <c r="B588" s="10" t="inlineStr">
        <is>
          <t>APOYO</t>
        </is>
      </c>
      <c r="C588" s="10" t="inlineStr">
        <is>
          <t>Gestión del Talento Humano</t>
        </is>
      </c>
      <c r="D588" s="10" t="inlineStr">
        <is>
          <t>GTH</t>
        </is>
      </c>
      <c r="E588" s="10" t="inlineStr">
        <is>
          <t>Gestión de Seguridad y Salud Ocupacional</t>
        </is>
      </c>
      <c r="F588" s="10" t="inlineStr">
        <is>
          <t xml:space="preserve">Seguridad Ocupacional </t>
        </is>
      </c>
      <c r="G588" s="10" t="inlineStr">
        <is>
          <t xml:space="preserve">Planes de emergencia y simulacros </t>
        </is>
      </c>
      <c r="H588" s="10" t="inlineStr">
        <is>
          <t>Guion del Simulacro</t>
        </is>
      </c>
      <c r="I588" s="10" t="inlineStr">
        <is>
          <t xml:space="preserve">Detalla la emergencia que se va a simular y la trama del simulacro </t>
        </is>
      </c>
      <c r="J588" s="10" t="inlineStr">
        <is>
          <t>Técnico en Seguridad y Salud Ocupacional</t>
        </is>
      </c>
      <c r="K588" s="10" t="inlineStr">
        <is>
          <t>Técnico en Seguridad y Salud Ocupacional</t>
        </is>
      </c>
      <c r="L588" s="10" t="inlineStr">
        <is>
          <t>UBICACIÓN DIGITAL-EQUIPO DEL RESPONSABLE</t>
        </is>
      </c>
      <c r="M588" s="10" t="inlineStr">
        <is>
          <t>DISCOS DUROS, SERVIDORES, DISCOS O MEDIOS PORTÁTILES, CINTAS O MEDIOS DE VIDEO Y AUDIO, ETC.</t>
        </is>
      </c>
      <c r="N588" s="10" t="inlineStr">
        <is>
          <t>PRIMARIOS</t>
        </is>
      </c>
      <c r="O588" s="10" t="inlineStr">
        <is>
          <t>DOCUMENTOS TÉCNICOS</t>
        </is>
      </c>
      <c r="P588" s="10" t="inlineStr">
        <is>
          <t>PUBLICA(1)</t>
        </is>
      </c>
      <c r="Q588" s="10" t="inlineStr">
        <is>
          <t>BAJA(1)</t>
        </is>
      </c>
      <c r="R588" s="10" t="inlineStr">
        <is>
          <t>BAJA(1)</t>
        </is>
      </c>
      <c r="S588" s="10">
        <f>+(IF(P588="PUBLICA(1)",1,IF(P588="USO INTERNO(2)",2,IF(P588="RESTRINGIDO(3)",3,3))))+(IF(Q588="BAJA(1)",1,IF(Q588="MEDIA(2)",2,IF(Q588="ALTA(3)",3,3))))+(IF(R588="BAJA(1)",1,IF(R588="MEDIA(2)",2,IF(R588="ALTA(3)",3,3))))</f>
        <v/>
      </c>
      <c r="T588" s="10">
        <f>+IF(S588&lt;6,"BAJA",IF(S588&lt;8,"MEDIA","ALTA"))</f>
        <v/>
      </c>
      <c r="U588" s="10" t="inlineStr">
        <is>
          <t>-</t>
        </is>
      </c>
      <c r="V588" s="24" t="n">
        <v>45673</v>
      </c>
      <c r="W588" s="19" t="inlineStr">
        <is>
          <t>N/A</t>
        </is>
      </c>
      <c r="X588" s="10">
        <f>+IFERROR(IF(VLOOKUP(Tabla2[[#This Row],[ID]],'EVALUACION DE RIESGO'!A:A,1,FALSE)=Tabla2[[#This Row],[ID]],"SI","NO"),"NO")</f>
        <v/>
      </c>
      <c r="AD588">
        <f>IF(AND(Y588="",AA588=""),"",IF(OR(LEFT(AA588,2)="L0",LEFT(AA588,2)="L1",Y588="No Iniciado"),"CRÍTICO - Incumplimiento Normativo SEPS",IF(AND(OR(LEFT(AA588,2)="L4",LEFT(AA588,2)="L5"),AND(AC588&lt;&gt;"",AC588&lt;&gt;"N/A")),"CONFORME - Control Efectivo ISO 27001","OBSERVACIÓN - Revisar Controles")))</f>
        <v/>
      </c>
    </row>
    <row r="589">
      <c r="A589" s="99" t="inlineStr">
        <is>
          <t>30-GTH</t>
        </is>
      </c>
      <c r="B589" s="10" t="inlineStr">
        <is>
          <t>APOYO</t>
        </is>
      </c>
      <c r="C589" s="10" t="inlineStr">
        <is>
          <t>Gestión del Talento Humano</t>
        </is>
      </c>
      <c r="D589" s="10" t="inlineStr">
        <is>
          <t>GTH</t>
        </is>
      </c>
      <c r="E589" s="10" t="inlineStr">
        <is>
          <t>Gestión de Seguridad y Salud Ocupacional</t>
        </is>
      </c>
      <c r="F589" s="10" t="inlineStr">
        <is>
          <t xml:space="preserve">Seguridad Ocupacional </t>
        </is>
      </c>
      <c r="G589" s="10" t="inlineStr">
        <is>
          <t xml:space="preserve">Planes de emergencia y simulacros </t>
        </is>
      </c>
      <c r="H589" s="10" t="inlineStr">
        <is>
          <t>Evaluación de Simulacros</t>
        </is>
      </c>
      <c r="I589" s="10" t="inlineStr">
        <is>
          <t>Documento donde se registra si se cumple o no con los estándares del simulacro</t>
        </is>
      </c>
      <c r="J589" s="10" t="inlineStr">
        <is>
          <t>Técnico en Seguridad y Salud Ocupacional</t>
        </is>
      </c>
      <c r="K589" s="10" t="inlineStr">
        <is>
          <t>Técnico en Seguridad y Salud Ocupacional</t>
        </is>
      </c>
      <c r="L589" s="10" t="inlineStr">
        <is>
          <t>UBICACIÓN DIGITAL-EQUIPO DEL RESPONSABLE</t>
        </is>
      </c>
      <c r="M589" s="10" t="inlineStr">
        <is>
          <t>DISCOS DUROS, SERVIDORES, DISCOS O MEDIOS PORTÁTILES, CINTAS O MEDIOS DE VIDEO Y AUDIO, ETC.</t>
        </is>
      </c>
      <c r="N589" s="10" t="inlineStr">
        <is>
          <t>PRIMARIOS</t>
        </is>
      </c>
      <c r="O589" s="10" t="inlineStr">
        <is>
          <t>DOCUMENTOS TÉCNICOS</t>
        </is>
      </c>
      <c r="P589" s="10" t="inlineStr">
        <is>
          <t>PUBLICA(1)</t>
        </is>
      </c>
      <c r="Q589" s="10" t="inlineStr">
        <is>
          <t>BAJA(1)</t>
        </is>
      </c>
      <c r="R589" s="10" t="inlineStr">
        <is>
          <t>BAJA(1)</t>
        </is>
      </c>
      <c r="S589" s="10">
        <f>+(IF(P589="PUBLICA(1)",1,IF(P589="USO INTERNO(2)",2,IF(P589="RESTRINGIDO(3)",3,3))))+(IF(Q589="BAJA(1)",1,IF(Q589="MEDIA(2)",2,IF(Q589="ALTA(3)",3,3))))+(IF(R589="BAJA(1)",1,IF(R589="MEDIA(2)",2,IF(R589="ALTA(3)",3,3))))</f>
        <v/>
      </c>
      <c r="T589" s="10">
        <f>+IF(S589&lt;6,"BAJA",IF(S589&lt;8,"MEDIA","ALTA"))</f>
        <v/>
      </c>
      <c r="U589" s="10" t="inlineStr">
        <is>
          <t>-</t>
        </is>
      </c>
      <c r="V589" s="24" t="n">
        <v>45673</v>
      </c>
      <c r="W589" s="19" t="inlineStr">
        <is>
          <t>N/A</t>
        </is>
      </c>
      <c r="X589" s="10">
        <f>+IFERROR(IF(VLOOKUP(Tabla2[[#This Row],[ID]],'EVALUACION DE RIESGO'!A:A,1,FALSE)=Tabla2[[#This Row],[ID]],"SI","NO"),"NO")</f>
        <v/>
      </c>
      <c r="AD589">
        <f>IF(AND(Y589="",AA589=""),"",IF(OR(LEFT(AA589,2)="L0",LEFT(AA589,2)="L1",Y589="No Iniciado"),"CRÍTICO - Incumplimiento Normativo SEPS",IF(AND(OR(LEFT(AA589,2)="L4",LEFT(AA589,2)="L5"),AND(AC589&lt;&gt;"",AC589&lt;&gt;"N/A")),"CONFORME - Control Efectivo ISO 27001","OBSERVACIÓN - Revisar Controles")))</f>
        <v/>
      </c>
    </row>
    <row r="590">
      <c r="A590" s="99" t="inlineStr">
        <is>
          <t>31-GTH</t>
        </is>
      </c>
      <c r="B590" s="10" t="inlineStr">
        <is>
          <t>APOYO</t>
        </is>
      </c>
      <c r="C590" s="10" t="inlineStr">
        <is>
          <t>Gestión del Talento Humano</t>
        </is>
      </c>
      <c r="D590" s="10" t="inlineStr">
        <is>
          <t>GTH</t>
        </is>
      </c>
      <c r="E590" s="10" t="inlineStr">
        <is>
          <t>Gestión de Seguridad y Salud Ocupacional</t>
        </is>
      </c>
      <c r="F590" s="10" t="inlineStr">
        <is>
          <t xml:space="preserve">Seguridad Ocupacional </t>
        </is>
      </c>
      <c r="G590" s="10" t="inlineStr">
        <is>
          <t xml:space="preserve">Planes de emergencia y simulacros </t>
        </is>
      </c>
      <c r="H590" s="10" t="inlineStr">
        <is>
          <t>Informe de Simulacro</t>
        </is>
      </c>
      <c r="I590" s="10" t="inlineStr">
        <is>
          <t>Detalle de las actividades que se ejecutaron y colocar las evidencias necesarias</t>
        </is>
      </c>
      <c r="J590" s="10" t="inlineStr">
        <is>
          <t>Técnico en Seguridad y Salud Ocupacional</t>
        </is>
      </c>
      <c r="K590" s="10" t="inlineStr">
        <is>
          <t>Técnico en Seguridad y Salud Ocupacional</t>
        </is>
      </c>
      <c r="L590" s="10" t="inlineStr">
        <is>
          <t>UBICACIÓN DIGITAL-EQUIPO DEL RESPONSABLE</t>
        </is>
      </c>
      <c r="M590" s="10" t="inlineStr">
        <is>
          <t>DISCOS DUROS, SERVIDORES, DISCOS O MEDIOS PORTÁTILES, CINTAS O MEDIOS DE VIDEO Y AUDIO, ETC.</t>
        </is>
      </c>
      <c r="N590" s="10" t="inlineStr">
        <is>
          <t>PRIMARIOS</t>
        </is>
      </c>
      <c r="O590" s="10" t="inlineStr">
        <is>
          <t>DOCUMENTOS TÉCNICOS</t>
        </is>
      </c>
      <c r="P590" s="10" t="inlineStr">
        <is>
          <t>PUBLICA(1)</t>
        </is>
      </c>
      <c r="Q590" s="10" t="inlineStr">
        <is>
          <t>BAJA(1)</t>
        </is>
      </c>
      <c r="R590" s="10" t="inlineStr">
        <is>
          <t>BAJA(1)</t>
        </is>
      </c>
      <c r="S590" s="10">
        <f>+(IF(P590="PUBLICA(1)",1,IF(P590="USO INTERNO(2)",2,IF(P590="RESTRINGIDO(3)",3,3))))+(IF(Q590="BAJA(1)",1,IF(Q590="MEDIA(2)",2,IF(Q590="ALTA(3)",3,3))))+(IF(R590="BAJA(1)",1,IF(R590="MEDIA(2)",2,IF(R590="ALTA(3)",3,3))))</f>
        <v/>
      </c>
      <c r="T590" s="10">
        <f>+IF(S590&lt;6,"BAJA",IF(S590&lt;8,"MEDIA","ALTA"))</f>
        <v/>
      </c>
      <c r="U590" s="10" t="inlineStr">
        <is>
          <t>-</t>
        </is>
      </c>
      <c r="V590" s="24" t="n">
        <v>45673</v>
      </c>
      <c r="W590" s="19" t="inlineStr">
        <is>
          <t>N/A</t>
        </is>
      </c>
      <c r="X590" s="10">
        <f>+IFERROR(IF(VLOOKUP(Tabla2[[#This Row],[ID]],'EVALUACION DE RIESGO'!A:A,1,FALSE)=Tabla2[[#This Row],[ID]],"SI","NO"),"NO")</f>
        <v/>
      </c>
      <c r="AD590">
        <f>IF(AND(Y590="",AA590=""),"",IF(OR(LEFT(AA590,2)="L0",LEFT(AA590,2)="L1",Y590="No Iniciado"),"CRÍTICO - Incumplimiento Normativo SEPS",IF(AND(OR(LEFT(AA590,2)="L4",LEFT(AA590,2)="L5"),AND(AC590&lt;&gt;"",AC590&lt;&gt;"N/A")),"CONFORME - Control Efectivo ISO 27001","OBSERVACIÓN - Revisar Controles")))</f>
        <v/>
      </c>
    </row>
    <row r="591">
      <c r="A591" s="99" t="inlineStr">
        <is>
          <t>32-GTH</t>
        </is>
      </c>
      <c r="B591" s="10" t="inlineStr">
        <is>
          <t>APOYO</t>
        </is>
      </c>
      <c r="C591" s="10" t="inlineStr">
        <is>
          <t>Gestión del Talento Humano</t>
        </is>
      </c>
      <c r="D591" s="10" t="inlineStr">
        <is>
          <t>GTH</t>
        </is>
      </c>
      <c r="E591" s="10" t="inlineStr">
        <is>
          <t>Gestión de Seguridad y Salud Ocupacional</t>
        </is>
      </c>
      <c r="F591" s="10" t="inlineStr">
        <is>
          <t xml:space="preserve">Salud Ocupacional </t>
        </is>
      </c>
      <c r="G591" s="10" t="inlineStr">
        <is>
          <t>Control Médico Pre-Ocupacional / Periodico Ocupacional</t>
        </is>
      </c>
      <c r="H591" s="10" t="inlineStr">
        <is>
          <t>Evaluación pre ocupacional</t>
        </is>
      </c>
      <c r="I591" s="10" t="inlineStr">
        <is>
          <t xml:space="preserve">Evaluación que se realiza a todos los postulantes a un cargo previamente solicitado por GTH, antecedentes clínicos personales quirúrgicos, antecedentes de empleos anteriores, accidentes en el trabajo, enfermedades profesionales, antecedentes familiares, factores de riesgo, constantes vitales, examen general, diagnostico, recomendaciones y tratamiento y aptitud médica para el trabajo </t>
        </is>
      </c>
      <c r="J591" s="10" t="inlineStr">
        <is>
          <t>Técnico en Seguridad y Salud Ocupacional</t>
        </is>
      </c>
      <c r="K591" s="10" t="inlineStr">
        <is>
          <t>Enfermera Ocupacional</t>
        </is>
      </c>
      <c r="L591" s="10" t="inlineStr">
        <is>
          <t>DOCUMENTOS FISICOS-ARCHIVOS DE LA OFICINA</t>
        </is>
      </c>
      <c r="M591" s="10" t="inlineStr">
        <is>
          <t>DOCUMENTO DE ARCHIVO-FÍSICO</t>
        </is>
      </c>
      <c r="N591" s="10" t="inlineStr">
        <is>
          <t>PRIMARIOS</t>
        </is>
      </c>
      <c r="O591" s="10" t="inlineStr">
        <is>
          <t>DOCUMENTOS TÉCNICOS</t>
        </is>
      </c>
      <c r="P591" s="10" t="inlineStr">
        <is>
          <t>PUBLICA(1)</t>
        </is>
      </c>
      <c r="Q591" s="10" t="inlineStr">
        <is>
          <t>BAJA(1)</t>
        </is>
      </c>
      <c r="R591" s="10" t="inlineStr">
        <is>
          <t>MEDIA(2)</t>
        </is>
      </c>
      <c r="S591" s="10">
        <f>+(IF(P591="PUBLICA(1)",1,IF(P591="USO INTERNO(2)",2,IF(P591="RESTRINGIDO(3)",3,3))))+(IF(Q591="BAJA(1)",1,IF(Q591="MEDIA(2)",2,IF(Q591="ALTA(3)",3,3))))+(IF(R591="BAJA(1)",1,IF(R591="MEDIA(2)",2,IF(R591="ALTA(3)",3,3))))</f>
        <v/>
      </c>
      <c r="T591" s="10">
        <f>+IF(S591&lt;6,"BAJA",IF(S591&lt;8,"MEDIA","ALTA"))</f>
        <v/>
      </c>
      <c r="U591" s="10" t="inlineStr">
        <is>
          <t>-</t>
        </is>
      </c>
      <c r="V591" s="24" t="n">
        <v>45673</v>
      </c>
      <c r="W591" s="19" t="inlineStr">
        <is>
          <t>N/A</t>
        </is>
      </c>
      <c r="X591" s="10">
        <f>+IFERROR(IF(VLOOKUP(Tabla2[[#This Row],[ID]],'EVALUACION DE RIESGO'!A:A,1,FALSE)=Tabla2[[#This Row],[ID]],"SI","NO"),"NO")</f>
        <v/>
      </c>
      <c r="AD591">
        <f>IF(AND(Y591="",AA591=""),"",IF(OR(LEFT(AA591,2)="L0",LEFT(AA591,2)="L1",Y591="No Iniciado"),"CRÍTICO - Incumplimiento Normativo SEPS",IF(AND(OR(LEFT(AA591,2)="L4",LEFT(AA591,2)="L5"),AND(AC591&lt;&gt;"",AC591&lt;&gt;"N/A")),"CONFORME - Control Efectivo ISO 27001","OBSERVACIÓN - Revisar Controles")))</f>
        <v/>
      </c>
    </row>
    <row r="592">
      <c r="A592" s="99" t="inlineStr">
        <is>
          <t>33-GTH</t>
        </is>
      </c>
      <c r="B592" s="10" t="inlineStr">
        <is>
          <t>APOYO</t>
        </is>
      </c>
      <c r="C592" s="10" t="inlineStr">
        <is>
          <t>Gestión del Talento Humano</t>
        </is>
      </c>
      <c r="D592" s="10" t="inlineStr">
        <is>
          <t>GTH</t>
        </is>
      </c>
      <c r="E592" s="10" t="inlineStr">
        <is>
          <t>Gestión de Seguridad y Salud Ocupacional</t>
        </is>
      </c>
      <c r="F592" s="10" t="inlineStr">
        <is>
          <t xml:space="preserve">Salud Ocupacional </t>
        </is>
      </c>
      <c r="G592" s="10" t="inlineStr">
        <is>
          <t>Control Médico Pre-Ocupacional / Periodico Ocupacional</t>
        </is>
      </c>
      <c r="H592" s="10" t="inlineStr">
        <is>
          <t>Certificado de aptitud</t>
        </is>
      </c>
      <c r="I592" s="10" t="inlineStr">
        <is>
          <t>Documento que muestra los datos personales del trabajador y el concepto de aptitud laboral</t>
        </is>
      </c>
      <c r="J592" s="10" t="inlineStr">
        <is>
          <t>Técnico en Seguridad y Salud Ocupacional</t>
        </is>
      </c>
      <c r="K592" s="10" t="inlineStr">
        <is>
          <t>Enfermera Ocupacional / Analista de Selección</t>
        </is>
      </c>
      <c r="L592" s="10" t="inlineStr">
        <is>
          <t>DOCUMENTOS FISICOS-ARCHIVOS DE LA OFICINA</t>
        </is>
      </c>
      <c r="M592" s="10" t="inlineStr">
        <is>
          <t>DOCUMENTO DE ARCHIVO-FÍSICO</t>
        </is>
      </c>
      <c r="N592" s="10" t="inlineStr">
        <is>
          <t>PRIMARIOS</t>
        </is>
      </c>
      <c r="O592" s="10" t="inlineStr">
        <is>
          <t>DOCUMENTOS TÉCNICOS</t>
        </is>
      </c>
      <c r="P592" s="10" t="inlineStr">
        <is>
          <t>USO INTERNO(2)</t>
        </is>
      </c>
      <c r="Q592" s="10" t="inlineStr">
        <is>
          <t>BAJA(1)</t>
        </is>
      </c>
      <c r="R592" s="10" t="inlineStr">
        <is>
          <t>MEDIA(2)</t>
        </is>
      </c>
      <c r="S592" s="10">
        <f>+(IF(P592="PUBLICA(1)",1,IF(P592="USO INTERNO(2)",2,IF(P592="RESTRINGIDO(3)",3,3))))+(IF(Q592="BAJA(1)",1,IF(Q592="MEDIA(2)",2,IF(Q592="ALTA(3)",3,3))))+(IF(R592="BAJA(1)",1,IF(R592="MEDIA(2)",2,IF(R592="ALTA(3)",3,3))))</f>
        <v/>
      </c>
      <c r="T592" s="10">
        <f>+IF(S592&lt;6,"BAJA",IF(S592&lt;8,"MEDIA","ALTA"))</f>
        <v/>
      </c>
      <c r="U592" s="10" t="inlineStr">
        <is>
          <t>-</t>
        </is>
      </c>
      <c r="V592" s="24" t="n">
        <v>45673</v>
      </c>
      <c r="W592" s="19" t="inlineStr">
        <is>
          <t>N/A</t>
        </is>
      </c>
      <c r="X592" s="10">
        <f>+IFERROR(IF(VLOOKUP(Tabla2[[#This Row],[ID]],'EVALUACION DE RIESGO'!A:A,1,FALSE)=Tabla2[[#This Row],[ID]],"SI","NO"),"NO")</f>
        <v/>
      </c>
      <c r="AD592">
        <f>IF(AND(Y592="",AA592=""),"",IF(OR(LEFT(AA592,2)="L0",LEFT(AA592,2)="L1",Y592="No Iniciado"),"CRÍTICO - Incumplimiento Normativo SEPS",IF(AND(OR(LEFT(AA592,2)="L4",LEFT(AA592,2)="L5"),AND(AC592&lt;&gt;"",AC592&lt;&gt;"N/A")),"CONFORME - Control Efectivo ISO 27001","OBSERVACIÓN - Revisar Controles")))</f>
        <v/>
      </c>
    </row>
    <row r="593">
      <c r="A593" s="99" t="inlineStr">
        <is>
          <t>34-GTH</t>
        </is>
      </c>
      <c r="B593" s="10" t="inlineStr">
        <is>
          <t>APOYO</t>
        </is>
      </c>
      <c r="C593" s="10" t="inlineStr">
        <is>
          <t>Gestión del Talento Humano</t>
        </is>
      </c>
      <c r="D593" s="10" t="inlineStr">
        <is>
          <t>GTH</t>
        </is>
      </c>
      <c r="E593" s="10" t="inlineStr">
        <is>
          <t>Gestión de Seguridad y Salud Ocupacional</t>
        </is>
      </c>
      <c r="F593" s="10" t="inlineStr">
        <is>
          <t xml:space="preserve">Salud Ocupacional </t>
        </is>
      </c>
      <c r="G593" s="10" t="inlineStr">
        <is>
          <t>Control Médico Pre-Ocupacional / Periodico Ocupacional</t>
        </is>
      </c>
      <c r="H593" s="10" t="inlineStr">
        <is>
          <t>Cuestionario de drogas y alcohol en espacios laborales</t>
        </is>
      </c>
      <c r="I593" s="10" t="inlineStr">
        <is>
          <t>Documento que indica el diagnostico de drogas y alcohol, que contiene fecha, cargo, información del empleado, estado civil, genera, etnia, discapacidad, hijos y test correspondiente</t>
        </is>
      </c>
      <c r="J593" s="10" t="inlineStr">
        <is>
          <t>Técnico en Seguridad y Salud Ocupacional</t>
        </is>
      </c>
      <c r="K593" s="10" t="inlineStr">
        <is>
          <t>Enfermera Ocupacional</t>
        </is>
      </c>
      <c r="L593" s="10" t="inlineStr">
        <is>
          <t>DOCUMENTOS FISICOS-ARCHIVOS DE LA OFICINA</t>
        </is>
      </c>
      <c r="M593" s="10" t="inlineStr">
        <is>
          <t>DOCUMENTO DE ARCHIVO-FÍSICO</t>
        </is>
      </c>
      <c r="N593" s="10" t="inlineStr">
        <is>
          <t>PRIMARIOS</t>
        </is>
      </c>
      <c r="O593" s="10" t="inlineStr">
        <is>
          <t>DOCUMENTOS TÉCNICOS</t>
        </is>
      </c>
      <c r="P593" s="10" t="inlineStr">
        <is>
          <t>RESTRINGIDO(3)</t>
        </is>
      </c>
      <c r="Q593" s="10" t="inlineStr">
        <is>
          <t>MEDIA(2)</t>
        </is>
      </c>
      <c r="R593" s="10" t="inlineStr">
        <is>
          <t>MEDIA(2)</t>
        </is>
      </c>
      <c r="S593" s="10">
        <f>+(IF(P593="PUBLICA(1)",1,IF(P593="USO INTERNO(2)",2,IF(P593="RESTRINGIDO(3)",3,3))))+(IF(Q593="BAJA(1)",1,IF(Q593="MEDIA(2)",2,IF(Q593="ALTA(3)",3,3))))+(IF(R593="BAJA(1)",1,IF(R593="MEDIA(2)",2,IF(R593="ALTA(3)",3,3))))</f>
        <v/>
      </c>
      <c r="T593" s="10">
        <f>+IF(S593&lt;6,"BAJA",IF(S593&lt;8,"MEDIA","ALTA"))</f>
        <v/>
      </c>
      <c r="U593" s="10" t="inlineStr">
        <is>
          <t>-</t>
        </is>
      </c>
      <c r="V593" s="24" t="n">
        <v>45673</v>
      </c>
      <c r="W593" s="19" t="inlineStr">
        <is>
          <t>N/A</t>
        </is>
      </c>
      <c r="X593" s="10">
        <f>+IFERROR(IF(VLOOKUP(Tabla2[[#This Row],[ID]],'EVALUACION DE RIESGO'!A:A,1,FALSE)=Tabla2[[#This Row],[ID]],"SI","NO"),"NO")</f>
        <v/>
      </c>
      <c r="AD593">
        <f>IF(AND(Y593="",AA593=""),"",IF(OR(LEFT(AA593,2)="L0",LEFT(AA593,2)="L1",Y593="No Iniciado"),"CRÍTICO - Incumplimiento Normativo SEPS",IF(AND(OR(LEFT(AA593,2)="L4",LEFT(AA593,2)="L5"),AND(AC593&lt;&gt;"",AC593&lt;&gt;"N/A")),"CONFORME - Control Efectivo ISO 27001","OBSERVACIÓN - Revisar Controles")))</f>
        <v/>
      </c>
    </row>
    <row r="594">
      <c r="A594" s="99" t="inlineStr">
        <is>
          <t>35-GTH</t>
        </is>
      </c>
      <c r="B594" s="10" t="inlineStr">
        <is>
          <t>APOYO</t>
        </is>
      </c>
      <c r="C594" s="10" t="inlineStr">
        <is>
          <t>Gestión del Talento Humano</t>
        </is>
      </c>
      <c r="D594" s="10" t="inlineStr">
        <is>
          <t>GTH</t>
        </is>
      </c>
      <c r="E594" s="10" t="inlineStr">
        <is>
          <t>Gestión de Seguridad y Salud Ocupacional</t>
        </is>
      </c>
      <c r="F594" s="10" t="inlineStr">
        <is>
          <t xml:space="preserve">Salud Ocupacional </t>
        </is>
      </c>
      <c r="G594" s="10" t="inlineStr">
        <is>
          <t>Control Médico Pre-Ocupacional / Periodico Ocupacional</t>
        </is>
      </c>
      <c r="H594" s="10" t="inlineStr">
        <is>
          <t>Registro diario de atención médica</t>
        </is>
      </c>
      <c r="I594" s="10" t="inlineStr">
        <is>
          <t>Registro de atenciones que gestiona el Médico Ocupacional, contiene datos del paciente, diagnostico</t>
        </is>
      </c>
      <c r="J594" s="10" t="inlineStr">
        <is>
          <t>Técnico en Seguridad y Salud Ocupacional</t>
        </is>
      </c>
      <c r="K594" s="10" t="inlineStr">
        <is>
          <t>Técnico en Seguridad y Salud Ocupacional</t>
        </is>
      </c>
      <c r="L594" s="10" t="inlineStr">
        <is>
          <t>DOCUMENTOS FISICOS-ARCHIVOS DE LA OFICINA</t>
        </is>
      </c>
      <c r="M594" s="10" t="inlineStr">
        <is>
          <t>DOCUMENTO DE ARCHIVO-FÍSICO</t>
        </is>
      </c>
      <c r="N594" s="10" t="inlineStr">
        <is>
          <t>PRIMARIOS</t>
        </is>
      </c>
      <c r="O594" s="10" t="inlineStr">
        <is>
          <t>DOCUMENTOS TÉCNICOS</t>
        </is>
      </c>
      <c r="P594" s="10" t="inlineStr">
        <is>
          <t>USO INTERNO(2)</t>
        </is>
      </c>
      <c r="Q594" s="10" t="inlineStr">
        <is>
          <t>BAJA(1)</t>
        </is>
      </c>
      <c r="R594" s="10" t="inlineStr">
        <is>
          <t>MEDIA(2)</t>
        </is>
      </c>
      <c r="S594" s="10">
        <f>+(IF(P594="PUBLICA(1)",1,IF(P594="USO INTERNO(2)",2,IF(P594="RESTRINGIDO(3)",3,3))))+(IF(Q594="BAJA(1)",1,IF(Q594="MEDIA(2)",2,IF(Q594="ALTA(3)",3,3))))+(IF(R594="BAJA(1)",1,IF(R594="MEDIA(2)",2,IF(R594="ALTA(3)",3,3))))</f>
        <v/>
      </c>
      <c r="T594" s="10">
        <f>+IF(S594&lt;6,"BAJA",IF(S594&lt;8,"MEDIA","ALTA"))</f>
        <v/>
      </c>
      <c r="U594" s="10" t="inlineStr">
        <is>
          <t>-</t>
        </is>
      </c>
      <c r="V594" s="24" t="n">
        <v>45673</v>
      </c>
      <c r="W594" s="19" t="inlineStr">
        <is>
          <t>N/A</t>
        </is>
      </c>
      <c r="X594" s="10">
        <f>+IFERROR(IF(VLOOKUP(Tabla2[[#This Row],[ID]],'EVALUACION DE RIESGO'!A:A,1,FALSE)=Tabla2[[#This Row],[ID]],"SI","NO"),"NO")</f>
        <v/>
      </c>
      <c r="AD594">
        <f>IF(AND(Y594="",AA594=""),"",IF(OR(LEFT(AA594,2)="L0",LEFT(AA594,2)="L1",Y594="No Iniciado"),"CRÍTICO - Incumplimiento Normativo SEPS",IF(AND(OR(LEFT(AA594,2)="L4",LEFT(AA594,2)="L5"),AND(AC594&lt;&gt;"",AC594&lt;&gt;"N/A")),"CONFORME - Control Efectivo ISO 27001","OBSERVACIÓN - Revisar Controles")))</f>
        <v/>
      </c>
    </row>
    <row r="595">
      <c r="A595" s="99" t="inlineStr">
        <is>
          <t>36-GTH</t>
        </is>
      </c>
      <c r="B595" s="10" t="inlineStr">
        <is>
          <t>APOYO</t>
        </is>
      </c>
      <c r="C595" s="10" t="inlineStr">
        <is>
          <t>Gestión del Talento Humano</t>
        </is>
      </c>
      <c r="D595" s="10" t="inlineStr">
        <is>
          <t>GTH</t>
        </is>
      </c>
      <c r="E595" s="10" t="inlineStr">
        <is>
          <t>Gestión de Seguridad y Salud Ocupacional</t>
        </is>
      </c>
      <c r="F595" s="10" t="inlineStr">
        <is>
          <t xml:space="preserve">Salud Ocupacional </t>
        </is>
      </c>
      <c r="G595" s="10" t="inlineStr">
        <is>
          <t>Control Médico Pre-Ocupacional / Periodico Ocupacional</t>
        </is>
      </c>
      <c r="H595" s="10" t="inlineStr">
        <is>
          <t>Matriz de Grupos Prioritarios</t>
        </is>
      </c>
      <c r="I595" s="10" t="inlineStr">
        <is>
          <t>Matriz donde se registran las personas con discapacidad y enfermedades crónicas no transmisibles.</t>
        </is>
      </c>
      <c r="J595" s="10" t="inlineStr">
        <is>
          <t>Técnico en Seguridad y Salud Ocupacional</t>
        </is>
      </c>
      <c r="K595" s="10" t="inlineStr">
        <is>
          <t>Técnico en Seguridad y Salud Ocupacional</t>
        </is>
      </c>
      <c r="L595" s="10" t="inlineStr">
        <is>
          <t>UBICACIÓN DIGITAL-EQUIPO DEL RESPONSABLE</t>
        </is>
      </c>
      <c r="M595" s="10" t="inlineStr">
        <is>
          <t>DISCOS DUROS, SERVIDORES, DISCOS O MEDIOS PORTÁTILES, CINTAS O MEDIOS DE VIDEO Y AUDIO, ETC.</t>
        </is>
      </c>
      <c r="N595" s="10" t="inlineStr">
        <is>
          <t>PRIMARIOS</t>
        </is>
      </c>
      <c r="O595" s="10" t="inlineStr">
        <is>
          <t>INFORMACIÓN DE SOCIOS Y CLIENTES</t>
        </is>
      </c>
      <c r="P595" s="10" t="inlineStr">
        <is>
          <t>RESTRINGIDO(3)</t>
        </is>
      </c>
      <c r="Q595" s="10" t="inlineStr">
        <is>
          <t>BAJA(1)</t>
        </is>
      </c>
      <c r="R595" s="10" t="inlineStr">
        <is>
          <t>MEDIA(2)</t>
        </is>
      </c>
      <c r="S595" s="10">
        <f>+(IF(P595="PUBLICA(1)",1,IF(P595="USO INTERNO(2)",2,IF(P595="RESTRINGIDO(3)",3,3))))+(IF(Q595="BAJA(1)",1,IF(Q595="MEDIA(2)",2,IF(Q595="ALTA(3)",3,3))))+(IF(R595="BAJA(1)",1,IF(R595="MEDIA(2)",2,IF(R595="ALTA(3)",3,3))))</f>
        <v/>
      </c>
      <c r="T595" s="10">
        <f>+IF(S595&lt;6,"BAJA",IF(S595&lt;8,"MEDIA","ALTA"))</f>
        <v/>
      </c>
      <c r="U595" s="10" t="inlineStr">
        <is>
          <t>-</t>
        </is>
      </c>
      <c r="V595" s="24" t="n">
        <v>45673</v>
      </c>
      <c r="W595" s="19" t="inlineStr">
        <is>
          <t>N/A</t>
        </is>
      </c>
      <c r="X595" s="10">
        <f>+IFERROR(IF(VLOOKUP(Tabla2[[#This Row],[ID]],'EVALUACION DE RIESGO'!A:A,1,FALSE)=Tabla2[[#This Row],[ID]],"SI","NO"),"NO")</f>
        <v/>
      </c>
      <c r="AD595">
        <f>IF(AND(Y595="",AA595=""),"",IF(OR(LEFT(AA595,2)="L0",LEFT(AA595,2)="L1",Y595="No Iniciado"),"CRÍTICO - Incumplimiento Normativo SEPS",IF(AND(OR(LEFT(AA595,2)="L4",LEFT(AA595,2)="L5"),AND(AC595&lt;&gt;"",AC595&lt;&gt;"N/A")),"CONFORME - Control Efectivo ISO 27001","OBSERVACIÓN - Revisar Controles")))</f>
        <v/>
      </c>
    </row>
    <row r="596">
      <c r="A596" s="99" t="inlineStr">
        <is>
          <t>37-GTH</t>
        </is>
      </c>
      <c r="B596" s="10" t="inlineStr">
        <is>
          <t>APOYO</t>
        </is>
      </c>
      <c r="C596" s="10" t="inlineStr">
        <is>
          <t>Gestión del Talento Humano</t>
        </is>
      </c>
      <c r="D596" s="10" t="inlineStr">
        <is>
          <t>GTH</t>
        </is>
      </c>
      <c r="E596" s="10" t="inlineStr">
        <is>
          <t>Gestión de Seguridad y Salud Ocupacional</t>
        </is>
      </c>
      <c r="F596" s="10" t="inlineStr">
        <is>
          <t xml:space="preserve">Salud Ocupacional </t>
        </is>
      </c>
      <c r="G596" s="10" t="inlineStr">
        <is>
          <t xml:space="preserve">Control Médico de Reintegro </t>
        </is>
      </c>
      <c r="H596" s="10" t="inlineStr">
        <is>
          <t>Evaluación de reintegro</t>
        </is>
      </c>
      <c r="I596" s="10" t="inlineStr">
        <is>
          <t>Ficha que se realiza a las personas que tienen un reposo médico superior a 7, 15 y 30 días, y personas que regresan del periodo de maternidad. Contiene información de certificación de reintegro, constantes vitales, examen físico general, diagnóstico y recomendaciones, aptitud médica</t>
        </is>
      </c>
      <c r="J596" s="10" t="inlineStr">
        <is>
          <t>Técnico en Seguridad y Salud Ocupacional</t>
        </is>
      </c>
      <c r="K596" s="10" t="inlineStr">
        <is>
          <t>Enfermera Ocupacional</t>
        </is>
      </c>
      <c r="L596" s="10" t="inlineStr">
        <is>
          <t>DOCUMENTOS FISICOS-ARCHIVOS DE LA OFICINA</t>
        </is>
      </c>
      <c r="M596" s="10" t="inlineStr">
        <is>
          <t>DOCUMENTO DE ARCHIVO-FÍSICO</t>
        </is>
      </c>
      <c r="N596" s="10" t="inlineStr">
        <is>
          <t>PRIMARIOS</t>
        </is>
      </c>
      <c r="O596" s="10" t="inlineStr">
        <is>
          <t>DOCUMENTOS TÉCNICOS</t>
        </is>
      </c>
      <c r="P596" s="10" t="inlineStr">
        <is>
          <t>USO INTERNO(2)</t>
        </is>
      </c>
      <c r="Q596" s="10" t="inlineStr">
        <is>
          <t>BAJA(1)</t>
        </is>
      </c>
      <c r="R596" s="10" t="inlineStr">
        <is>
          <t>MEDIA(2)</t>
        </is>
      </c>
      <c r="S596" s="10">
        <f>+(IF(P596="PUBLICA(1)",1,IF(P596="USO INTERNO(2)",2,IF(P596="RESTRINGIDO(3)",3,3))))+(IF(Q596="BAJA(1)",1,IF(Q596="MEDIA(2)",2,IF(Q596="ALTA(3)",3,3))))+(IF(R596="BAJA(1)",1,IF(R596="MEDIA(2)",2,IF(R596="ALTA(3)",3,3))))</f>
        <v/>
      </c>
      <c r="T596" s="10">
        <f>+IF(S596&lt;6,"BAJA",IF(S596&lt;8,"MEDIA","ALTA"))</f>
        <v/>
      </c>
      <c r="U596" s="10" t="inlineStr">
        <is>
          <t>-</t>
        </is>
      </c>
      <c r="V596" s="24" t="n">
        <v>45673</v>
      </c>
      <c r="W596" s="19" t="inlineStr">
        <is>
          <t>N/A</t>
        </is>
      </c>
      <c r="X596" s="10">
        <f>+IFERROR(IF(VLOOKUP(Tabla2[[#This Row],[ID]],'EVALUACION DE RIESGO'!A:A,1,FALSE)=Tabla2[[#This Row],[ID]],"SI","NO"),"NO")</f>
        <v/>
      </c>
      <c r="AD596">
        <f>IF(AND(Y596="",AA596=""),"",IF(OR(LEFT(AA596,2)="L0",LEFT(AA596,2)="L1",Y596="No Iniciado"),"CRÍTICO - Incumplimiento Normativo SEPS",IF(AND(OR(LEFT(AA596,2)="L4",LEFT(AA596,2)="L5"),AND(AC596&lt;&gt;"",AC596&lt;&gt;"N/A")),"CONFORME - Control Efectivo ISO 27001","OBSERVACIÓN - Revisar Controles")))</f>
        <v/>
      </c>
    </row>
    <row r="597">
      <c r="A597" s="99" t="inlineStr">
        <is>
          <t>38-GTH</t>
        </is>
      </c>
      <c r="B597" s="10" t="inlineStr">
        <is>
          <t>APOYO</t>
        </is>
      </c>
      <c r="C597" s="10" t="inlineStr">
        <is>
          <t>Gestión del Talento Humano</t>
        </is>
      </c>
      <c r="D597" s="10" t="inlineStr">
        <is>
          <t>GTH</t>
        </is>
      </c>
      <c r="E597" s="10" t="inlineStr">
        <is>
          <t>Gestión de Seguridad y Salud Ocupacional</t>
        </is>
      </c>
      <c r="F597" s="10" t="inlineStr">
        <is>
          <t xml:space="preserve">Salud Ocupacional </t>
        </is>
      </c>
      <c r="G597" s="10" t="inlineStr">
        <is>
          <t xml:space="preserve">Control Médico Post Ocupacional </t>
        </is>
      </c>
      <c r="H597" s="10" t="inlineStr">
        <is>
          <t>Evaluación médica de retiro</t>
        </is>
      </c>
      <c r="I597" s="10" t="inlineStr">
        <is>
          <t>Ficha que se realiza a las personas que de desvinculan. Contiene información de certificación de reintegro, constantes vitales, examen físico general, diagnóstico y recomendaciones, aptitud médica</t>
        </is>
      </c>
      <c r="J597" s="10" t="inlineStr">
        <is>
          <t>Técnico en Seguridad y Salud Ocupacional</t>
        </is>
      </c>
      <c r="K597" s="10" t="inlineStr">
        <is>
          <t>Enfermera Ocupacional</t>
        </is>
      </c>
      <c r="L597" s="10" t="inlineStr">
        <is>
          <t>DOCUMENTOS FISICOS-ARCHIVOS DE LA OFICINA</t>
        </is>
      </c>
      <c r="M597" s="10" t="inlineStr">
        <is>
          <t>DOCUMENTO DE ARCHIVO-FÍSICO</t>
        </is>
      </c>
      <c r="N597" s="10" t="inlineStr">
        <is>
          <t>PRIMARIOS</t>
        </is>
      </c>
      <c r="O597" s="10" t="inlineStr">
        <is>
          <t>DOCUMENTOS TÉCNICOS</t>
        </is>
      </c>
      <c r="P597" s="10" t="inlineStr">
        <is>
          <t>USO INTERNO(2)</t>
        </is>
      </c>
      <c r="Q597" s="10" t="inlineStr">
        <is>
          <t>BAJA(1)</t>
        </is>
      </c>
      <c r="R597" s="10" t="inlineStr">
        <is>
          <t>MEDIA(2)</t>
        </is>
      </c>
      <c r="S597" s="10">
        <f>+(IF(P597="PUBLICA(1)",1,IF(P597="USO INTERNO(2)",2,IF(P597="RESTRINGIDO(3)",3,3))))+(IF(Q597="BAJA(1)",1,IF(Q597="MEDIA(2)",2,IF(Q597="ALTA(3)",3,3))))+(IF(R597="BAJA(1)",1,IF(R597="MEDIA(2)",2,IF(R597="ALTA(3)",3,3))))</f>
        <v/>
      </c>
      <c r="T597" s="10">
        <f>+IF(S597&lt;6,"BAJA",IF(S597&lt;8,"MEDIA","ALTA"))</f>
        <v/>
      </c>
      <c r="U597" s="10" t="inlineStr">
        <is>
          <t>-</t>
        </is>
      </c>
      <c r="V597" s="24" t="n">
        <v>45673</v>
      </c>
      <c r="W597" s="19" t="inlineStr">
        <is>
          <t>N/A</t>
        </is>
      </c>
      <c r="X597" s="10">
        <f>+IFERROR(IF(VLOOKUP(Tabla2[[#This Row],[ID]],'EVALUACION DE RIESGO'!A:A,1,FALSE)=Tabla2[[#This Row],[ID]],"SI","NO"),"NO")</f>
        <v/>
      </c>
      <c r="AD597">
        <f>IF(AND(Y597="",AA597=""),"",IF(OR(LEFT(AA597,2)="L0",LEFT(AA597,2)="L1",Y597="No Iniciado"),"CRÍTICO - Incumplimiento Normativo SEPS",IF(AND(OR(LEFT(AA597,2)="L4",LEFT(AA597,2)="L5"),AND(AC597&lt;&gt;"",AC597&lt;&gt;"N/A")),"CONFORME - Control Efectivo ISO 27001","OBSERVACIÓN - Revisar Controles")))</f>
        <v/>
      </c>
    </row>
    <row r="598">
      <c r="A598" s="99" t="inlineStr">
        <is>
          <t>39-GTH</t>
        </is>
      </c>
      <c r="B598" s="10" t="inlineStr">
        <is>
          <t>APOYO</t>
        </is>
      </c>
      <c r="C598" s="10" t="inlineStr">
        <is>
          <t>Gestión del Talento Humano</t>
        </is>
      </c>
      <c r="D598" s="10" t="inlineStr">
        <is>
          <t>GTH</t>
        </is>
      </c>
      <c r="E598" s="10" t="inlineStr">
        <is>
          <t>Gestión de Seguridad y Salud Ocupacional</t>
        </is>
      </c>
      <c r="F598" s="10" t="inlineStr">
        <is>
          <t xml:space="preserve">Salud Ocupacional </t>
        </is>
      </c>
      <c r="G598" s="10" t="inlineStr">
        <is>
          <t xml:space="preserve">Seguimiento a Grupos Prioritarios   </t>
        </is>
      </c>
      <c r="H598" s="10" t="inlineStr">
        <is>
          <t>Registro de evolución del paciente</t>
        </is>
      </c>
      <c r="I598" s="10" t="inlineStr">
        <is>
          <t>Registro donde se indica la sintomatología del paciente y el médico ingres alas indicaciones que debe seguir el paciente</t>
        </is>
      </c>
      <c r="J598" s="10" t="inlineStr">
        <is>
          <t>Técnico en Seguridad y Salud Ocupacional</t>
        </is>
      </c>
      <c r="K598" s="10" t="inlineStr">
        <is>
          <t>Enfermera Ocupacional</t>
        </is>
      </c>
      <c r="L598" s="10" t="inlineStr">
        <is>
          <t>DOCUMENTOS FISICOS-ARCHIVOS DE LA OFICINA</t>
        </is>
      </c>
      <c r="M598" s="10" t="inlineStr">
        <is>
          <t>DOCUMENTO DE ARCHIVO-FÍSICO</t>
        </is>
      </c>
      <c r="N598" s="10" t="inlineStr">
        <is>
          <t>PRIMARIOS</t>
        </is>
      </c>
      <c r="O598" s="10" t="inlineStr">
        <is>
          <t>DOCUMENTOS TÉCNICOS</t>
        </is>
      </c>
      <c r="P598" s="10" t="inlineStr">
        <is>
          <t>RESTRINGIDO(3)</t>
        </is>
      </c>
      <c r="Q598" s="10" t="inlineStr">
        <is>
          <t>BAJA(1)</t>
        </is>
      </c>
      <c r="R598" s="10" t="inlineStr">
        <is>
          <t>MEDIA(2)</t>
        </is>
      </c>
      <c r="S598" s="10">
        <f>+(IF(P598="PUBLICA(1)",1,IF(P598="USO INTERNO(2)",2,IF(P598="RESTRINGIDO(3)",3,3))))+(IF(Q598="BAJA(1)",1,IF(Q598="MEDIA(2)",2,IF(Q598="ALTA(3)",3,3))))+(IF(R598="BAJA(1)",1,IF(R598="MEDIA(2)",2,IF(R598="ALTA(3)",3,3))))</f>
        <v/>
      </c>
      <c r="T598" s="10">
        <f>+IF(S598&lt;6,"BAJA",IF(S598&lt;8,"MEDIA","ALTA"))</f>
        <v/>
      </c>
      <c r="U598" s="10" t="inlineStr">
        <is>
          <t>-</t>
        </is>
      </c>
      <c r="V598" s="24" t="n">
        <v>45673</v>
      </c>
      <c r="W598" s="19" t="inlineStr">
        <is>
          <t>N/A</t>
        </is>
      </c>
      <c r="X598" s="10">
        <f>+IFERROR(IF(VLOOKUP(Tabla2[[#This Row],[ID]],'EVALUACION DE RIESGO'!A:A,1,FALSE)=Tabla2[[#This Row],[ID]],"SI","NO"),"NO")</f>
        <v/>
      </c>
      <c r="AD598">
        <f>IF(AND(Y598="",AA598=""),"",IF(OR(LEFT(AA598,2)="L0",LEFT(AA598,2)="L1",Y598="No Iniciado"),"CRÍTICO - Incumplimiento Normativo SEPS",IF(AND(OR(LEFT(AA598,2)="L4",LEFT(AA598,2)="L5"),AND(AC598&lt;&gt;"",AC598&lt;&gt;"N/A")),"CONFORME - Control Efectivo ISO 27001","OBSERVACIÓN - Revisar Controles")))</f>
        <v/>
      </c>
    </row>
    <row r="599">
      <c r="A599" s="99" t="inlineStr">
        <is>
          <t>40-GTH</t>
        </is>
      </c>
      <c r="B599" s="10" t="inlineStr">
        <is>
          <t>APOYO</t>
        </is>
      </c>
      <c r="C599" s="10" t="inlineStr">
        <is>
          <t>Gestión del Talento Humano</t>
        </is>
      </c>
      <c r="D599" s="10" t="inlineStr">
        <is>
          <t>GTH</t>
        </is>
      </c>
      <c r="E599" s="10" t="inlineStr">
        <is>
          <t>Gestión de Seguridad y Salud Ocupacional</t>
        </is>
      </c>
      <c r="F599" s="10" t="inlineStr">
        <is>
          <t xml:space="preserve">Salud Ocupacional </t>
        </is>
      </c>
      <c r="G599" s="10" t="inlineStr">
        <is>
          <t>Atenciones Médicas Generales</t>
        </is>
      </c>
      <c r="H599" s="10" t="inlineStr">
        <is>
          <t>Registro de entrega de medicamentos</t>
        </is>
      </c>
      <c r="I599" s="10" t="inlineStr">
        <is>
          <t>Se registra todo el descargo de los medicamentos, contiene el de detalle del medicamento, cantidad, nombre y firma del paciente</t>
        </is>
      </c>
      <c r="J599" s="10" t="inlineStr">
        <is>
          <t>Técnico en Seguridad y Salud Ocupacional</t>
        </is>
      </c>
      <c r="K599" s="10" t="inlineStr">
        <is>
          <t>Enfermera Ocupacional</t>
        </is>
      </c>
      <c r="L599" s="10" t="inlineStr">
        <is>
          <t>DOCUMENTOS FISICOS-ARCHIVOS DE LA OFICINA</t>
        </is>
      </c>
      <c r="M599" s="10" t="inlineStr">
        <is>
          <t>DOCUMENTO DE ARCHIVO-FÍSICO</t>
        </is>
      </c>
      <c r="N599" s="10" t="inlineStr">
        <is>
          <t>PRIMARIOS</t>
        </is>
      </c>
      <c r="O599" s="10" t="inlineStr">
        <is>
          <t>DOCUMENTOS TÉCNICOS</t>
        </is>
      </c>
      <c r="P599" s="10" t="inlineStr">
        <is>
          <t>PUBLICA(1)</t>
        </is>
      </c>
      <c r="Q599" s="10" t="inlineStr">
        <is>
          <t>BAJA(1)</t>
        </is>
      </c>
      <c r="R599" s="10" t="inlineStr">
        <is>
          <t>MEDIA(2)</t>
        </is>
      </c>
      <c r="S599" s="10">
        <f>+(IF(P599="PUBLICA(1)",1,IF(P599="USO INTERNO(2)",2,IF(P599="RESTRINGIDO(3)",3,3))))+(IF(Q599="BAJA(1)",1,IF(Q599="MEDIA(2)",2,IF(Q599="ALTA(3)",3,3))))+(IF(R599="BAJA(1)",1,IF(R599="MEDIA(2)",2,IF(R599="ALTA(3)",3,3))))</f>
        <v/>
      </c>
      <c r="T599" s="10">
        <f>+IF(S599&lt;6,"BAJA",IF(S599&lt;8,"MEDIA","ALTA"))</f>
        <v/>
      </c>
      <c r="U599" s="10" t="inlineStr">
        <is>
          <t>-</t>
        </is>
      </c>
      <c r="V599" s="24" t="n">
        <v>45673</v>
      </c>
      <c r="W599" s="19" t="inlineStr">
        <is>
          <t>N/A</t>
        </is>
      </c>
      <c r="X599" s="10">
        <f>+IFERROR(IF(VLOOKUP(Tabla2[[#This Row],[ID]],'EVALUACION DE RIESGO'!A:A,1,FALSE)=Tabla2[[#This Row],[ID]],"SI","NO"),"NO")</f>
        <v/>
      </c>
      <c r="AD599">
        <f>IF(AND(Y599="",AA599=""),"",IF(OR(LEFT(AA599,2)="L0",LEFT(AA599,2)="L1",Y599="No Iniciado"),"CRÍTICO - Incumplimiento Normativo SEPS",IF(AND(OR(LEFT(AA599,2)="L4",LEFT(AA599,2)="L5"),AND(AC599&lt;&gt;"",AC599&lt;&gt;"N/A")),"CONFORME - Control Efectivo ISO 27001","OBSERVACIÓN - Revisar Controles")))</f>
        <v/>
      </c>
    </row>
    <row r="600">
      <c r="A600" s="99" t="inlineStr">
        <is>
          <t>41-GTH</t>
        </is>
      </c>
      <c r="B600" s="10" t="inlineStr">
        <is>
          <t>APOYO</t>
        </is>
      </c>
      <c r="C600" s="10" t="inlineStr">
        <is>
          <t>Gestión del Talento Humano</t>
        </is>
      </c>
      <c r="D600" s="10" t="inlineStr">
        <is>
          <t>GTH</t>
        </is>
      </c>
      <c r="E600" s="10" t="inlineStr">
        <is>
          <t>Gestión de Seguridad y Salud Ocupacional</t>
        </is>
      </c>
      <c r="F600" s="10" t="inlineStr">
        <is>
          <t xml:space="preserve">Salud Ocupacional </t>
        </is>
      </c>
      <c r="G600" s="10" t="inlineStr">
        <is>
          <t xml:space="preserve">Administración de medicamentos  </t>
        </is>
      </c>
      <c r="H600" s="10" t="inlineStr">
        <is>
          <t>Matriz de medicamentos e insumos consultorio médico</t>
        </is>
      </c>
      <c r="I600" s="10" t="inlineStr">
        <is>
          <t>Matriz de inventario de lo existente y las nuevas adquisiciones con su respectivo descargo</t>
        </is>
      </c>
      <c r="J600" s="10" t="inlineStr">
        <is>
          <t>Técnico en Seguridad y Salud Ocupacional</t>
        </is>
      </c>
      <c r="K600" s="10" t="inlineStr">
        <is>
          <t>Enfermera Ocupacional</t>
        </is>
      </c>
      <c r="L600" s="10" t="inlineStr">
        <is>
          <t>UBICACIÓN DIGITAL-EQUIPO DEL RESPONSABLE</t>
        </is>
      </c>
      <c r="M600" s="10" t="inlineStr">
        <is>
          <t>DISCOS DUROS, SERVIDORES, DISCOS O MEDIOS PORTÁTILES, CINTAS O MEDIOS DE VIDEO Y AUDIO, ETC.</t>
        </is>
      </c>
      <c r="N600" s="10" t="inlineStr">
        <is>
          <t>PRIMARIOS</t>
        </is>
      </c>
      <c r="O600" s="10" t="inlineStr">
        <is>
          <t>DOCUMENTOS TÉCNICOS</t>
        </is>
      </c>
      <c r="P600" s="10" t="inlineStr">
        <is>
          <t>PUBLICA(1)</t>
        </is>
      </c>
      <c r="Q600" s="10" t="inlineStr">
        <is>
          <t>BAJA(1)</t>
        </is>
      </c>
      <c r="R600" s="10" t="inlineStr">
        <is>
          <t>BAJA(1)</t>
        </is>
      </c>
      <c r="S600" s="10">
        <f>+(IF(P600="PUBLICA(1)",1,IF(P600="USO INTERNO(2)",2,IF(P600="RESTRINGIDO(3)",3,3))))+(IF(Q600="BAJA(1)",1,IF(Q600="MEDIA(2)",2,IF(Q600="ALTA(3)",3,3))))+(IF(R600="BAJA(1)",1,IF(R600="MEDIA(2)",2,IF(R600="ALTA(3)",3,3))))</f>
        <v/>
      </c>
      <c r="T600" s="10">
        <f>+IF(S600&lt;6,"BAJA",IF(S600&lt;8,"MEDIA","ALTA"))</f>
        <v/>
      </c>
      <c r="U600" s="10" t="inlineStr">
        <is>
          <t>-</t>
        </is>
      </c>
      <c r="V600" s="24" t="n">
        <v>45673</v>
      </c>
      <c r="W600" s="19" t="inlineStr">
        <is>
          <t>N/A</t>
        </is>
      </c>
      <c r="X600" s="10">
        <f>+IFERROR(IF(VLOOKUP(Tabla2[[#This Row],[ID]],'EVALUACION DE RIESGO'!A:A,1,FALSE)=Tabla2[[#This Row],[ID]],"SI","NO"),"NO")</f>
        <v/>
      </c>
      <c r="AD600">
        <f>IF(AND(Y600="",AA600=""),"",IF(OR(LEFT(AA600,2)="L0",LEFT(AA600,2)="L1",Y600="No Iniciado"),"CRÍTICO - Incumplimiento Normativo SEPS",IF(AND(OR(LEFT(AA600,2)="L4",LEFT(AA600,2)="L5"),AND(AC600&lt;&gt;"",AC600&lt;&gt;"N/A")),"CONFORME - Control Efectivo ISO 27001","OBSERVACIÓN - Revisar Controles")))</f>
        <v/>
      </c>
    </row>
    <row r="601">
      <c r="A601" s="99" t="inlineStr">
        <is>
          <t>42-GTH</t>
        </is>
      </c>
      <c r="B601" s="10" t="inlineStr">
        <is>
          <t>APOYO</t>
        </is>
      </c>
      <c r="C601" s="10" t="inlineStr">
        <is>
          <t>Gestión del Talento Humano</t>
        </is>
      </c>
      <c r="D601" s="10" t="inlineStr">
        <is>
          <t>GTH</t>
        </is>
      </c>
      <c r="E601" s="10" t="inlineStr">
        <is>
          <t>Gestión de Seguridad y Salud Ocupacional</t>
        </is>
      </c>
      <c r="F601" s="10" t="inlineStr">
        <is>
          <t xml:space="preserve">Salud Ocupacional </t>
        </is>
      </c>
      <c r="G601" s="10" t="inlineStr">
        <is>
          <t>Investigación y notificación de enfermedades ocupacionales</t>
        </is>
      </c>
      <c r="H601" s="10" t="inlineStr">
        <is>
          <t>Reporte de aviso de enfermedad ocupacional</t>
        </is>
      </c>
      <c r="I601" s="10" t="inlineStr">
        <is>
          <t>Revisión inicial en Ficha Ocupacional Anual y seguimiento por parte del técnico en SSO</t>
        </is>
      </c>
      <c r="J601" s="10" t="inlineStr">
        <is>
          <t>Técnico en Seguridad y Salud Ocupacional</t>
        </is>
      </c>
      <c r="K601" s="10" t="inlineStr">
        <is>
          <t>Técnico en Seguridad y Salud Ocupacional</t>
        </is>
      </c>
      <c r="L601" s="10" t="inlineStr">
        <is>
          <t>DOCUMENTOS FISICOS-ARCHIVOS DE LA OFICINA</t>
        </is>
      </c>
      <c r="M601" s="10" t="inlineStr">
        <is>
          <t>DOCUMENTO DE ARCHIVO-FÍSICO</t>
        </is>
      </c>
      <c r="N601" s="10" t="inlineStr">
        <is>
          <t>PRIMARIOS</t>
        </is>
      </c>
      <c r="O601" s="10" t="inlineStr">
        <is>
          <t>DOCUMENTOS TÉCNICOS</t>
        </is>
      </c>
      <c r="P601" s="10" t="inlineStr">
        <is>
          <t>USO INTERNO(2)</t>
        </is>
      </c>
      <c r="Q601" s="10" t="inlineStr">
        <is>
          <t>BAJA(1)</t>
        </is>
      </c>
      <c r="R601" s="10" t="inlineStr">
        <is>
          <t>MEDIA(2)</t>
        </is>
      </c>
      <c r="S601" s="10">
        <f>+(IF(P601="PUBLICA(1)",1,IF(P601="USO INTERNO(2)",2,IF(P601="RESTRINGIDO(3)",3,3))))+(IF(Q601="BAJA(1)",1,IF(Q601="MEDIA(2)",2,IF(Q601="ALTA(3)",3,3))))+(IF(R601="BAJA(1)",1,IF(R601="MEDIA(2)",2,IF(R601="ALTA(3)",3,3))))</f>
        <v/>
      </c>
      <c r="T601" s="10">
        <f>+IF(S601&lt;6,"BAJA",IF(S601&lt;8,"MEDIA","ALTA"))</f>
        <v/>
      </c>
      <c r="U601" s="10" t="inlineStr">
        <is>
          <t>-</t>
        </is>
      </c>
      <c r="V601" s="24" t="n">
        <v>45673</v>
      </c>
      <c r="W601" s="19" t="inlineStr">
        <is>
          <t>N/A</t>
        </is>
      </c>
      <c r="X601" s="10">
        <f>+IFERROR(IF(VLOOKUP(Tabla2[[#This Row],[ID]],'EVALUACION DE RIESGO'!A:A,1,FALSE)=Tabla2[[#This Row],[ID]],"SI","NO"),"NO")</f>
        <v/>
      </c>
      <c r="AD601">
        <f>IF(AND(Y601="",AA601=""),"",IF(OR(LEFT(AA601,2)="L0",LEFT(AA601,2)="L1",Y601="No Iniciado"),"CRÍTICO - Incumplimiento Normativo SEPS",IF(AND(OR(LEFT(AA601,2)="L4",LEFT(AA601,2)="L5"),AND(AC601&lt;&gt;"",AC601&lt;&gt;"N/A")),"CONFORME - Control Efectivo ISO 27001","OBSERVACIÓN - Revisar Controles")))</f>
        <v/>
      </c>
    </row>
    <row r="602">
      <c r="A602" s="99" t="inlineStr">
        <is>
          <t>43-GTH</t>
        </is>
      </c>
      <c r="B602" s="10" t="inlineStr">
        <is>
          <t>APOYO</t>
        </is>
      </c>
      <c r="C602" s="10" t="inlineStr">
        <is>
          <t>Gestión del Talento Humano</t>
        </is>
      </c>
      <c r="D602" s="10" t="inlineStr">
        <is>
          <t>GTH</t>
        </is>
      </c>
      <c r="E602" s="10" t="inlineStr">
        <is>
          <t>Gestión de Seguridad y Salud Ocupacional</t>
        </is>
      </c>
      <c r="F602" s="10" t="inlineStr">
        <is>
          <t xml:space="preserve">Salud Ocupacional </t>
        </is>
      </c>
      <c r="G602" s="10" t="inlineStr">
        <is>
          <t>Investigación y notificación de enfermedades ocupacionales</t>
        </is>
      </c>
      <c r="H602" s="10" t="inlineStr">
        <is>
          <t>Sumilla de resoluciones</t>
        </is>
      </c>
      <c r="I602" s="10" t="inlineStr">
        <is>
          <t xml:space="preserve">Se presenta al Comité de SSO quienes emiten la resolución que consta es las actas de reunión </t>
        </is>
      </c>
      <c r="J602" s="10" t="inlineStr">
        <is>
          <t>Técnico en Seguridad y Salud Ocupacional</t>
        </is>
      </c>
      <c r="K602" s="10" t="inlineStr">
        <is>
          <t>Técnico en Seguridad y Salud Ocupacional</t>
        </is>
      </c>
      <c r="L602" s="10" t="inlineStr">
        <is>
          <t>UBICACIÓN DIGITAL-EQUIPO DEL RESPONSABLE</t>
        </is>
      </c>
      <c r="M602" s="10" t="inlineStr">
        <is>
          <t>DISCOS DUROS, SERVIDORES, DISCOS O MEDIOS PORTÁTILES, CINTAS O MEDIOS DE VIDEO Y AUDIO, ETC.</t>
        </is>
      </c>
      <c r="N602" s="10" t="inlineStr">
        <is>
          <t>PRIMARIOS</t>
        </is>
      </c>
      <c r="O602" s="10" t="inlineStr">
        <is>
          <t>DOCUMENTOS HABILITANTES</t>
        </is>
      </c>
      <c r="P602" s="10" t="inlineStr">
        <is>
          <t>USO INTERNO(2)</t>
        </is>
      </c>
      <c r="Q602" s="10" t="inlineStr">
        <is>
          <t>BAJA(1)</t>
        </is>
      </c>
      <c r="R602" s="10" t="inlineStr">
        <is>
          <t>BAJA(1)</t>
        </is>
      </c>
      <c r="S602" s="10">
        <f>+(IF(P602="PUBLICA(1)",1,IF(P602="USO INTERNO(2)",2,IF(P602="RESTRINGIDO(3)",3,3))))+(IF(Q602="BAJA(1)",1,IF(Q602="MEDIA(2)",2,IF(Q602="ALTA(3)",3,3))))+(IF(R602="BAJA(1)",1,IF(R602="MEDIA(2)",2,IF(R602="ALTA(3)",3,3))))</f>
        <v/>
      </c>
      <c r="T602" s="10">
        <f>+IF(S602&lt;6,"BAJA",IF(S602&lt;8,"MEDIA","ALTA"))</f>
        <v/>
      </c>
      <c r="U602" s="10" t="inlineStr">
        <is>
          <t>-</t>
        </is>
      </c>
      <c r="V602" s="24" t="n">
        <v>45673</v>
      </c>
      <c r="W602" s="19" t="inlineStr">
        <is>
          <t>N/A</t>
        </is>
      </c>
      <c r="X602" s="10">
        <f>+IFERROR(IF(VLOOKUP(Tabla2[[#This Row],[ID]],'EVALUACION DE RIESGO'!A:A,1,FALSE)=Tabla2[[#This Row],[ID]],"SI","NO"),"NO")</f>
        <v/>
      </c>
      <c r="AD602">
        <f>IF(AND(Y602="",AA602=""),"",IF(OR(LEFT(AA602,2)="L0",LEFT(AA602,2)="L1",Y602="No Iniciado"),"CRÍTICO - Incumplimiento Normativo SEPS",IF(AND(OR(LEFT(AA602,2)="L4",LEFT(AA602,2)="L5"),AND(AC602&lt;&gt;"",AC602&lt;&gt;"N/A")),"CONFORME - Control Efectivo ISO 27001","OBSERVACIÓN - Revisar Controles")))</f>
        <v/>
      </c>
    </row>
    <row r="603">
      <c r="A603" s="99" t="inlineStr">
        <is>
          <t>44-GTH</t>
        </is>
      </c>
      <c r="B603" s="10" t="inlineStr">
        <is>
          <t>APOYO</t>
        </is>
      </c>
      <c r="C603" s="10" t="inlineStr">
        <is>
          <t>Gestión del Talento Humano</t>
        </is>
      </c>
      <c r="D603" s="10" t="inlineStr">
        <is>
          <t>GTH</t>
        </is>
      </c>
      <c r="E603" s="10" t="inlineStr">
        <is>
          <t>Gestión de Seguridad y Salud Ocupacional</t>
        </is>
      </c>
      <c r="F603" s="10" t="inlineStr">
        <is>
          <t xml:space="preserve">Salud Ocupacional </t>
        </is>
      </c>
      <c r="G603" s="10" t="inlineStr">
        <is>
          <t>Investigación y notificación de enfermedades ocupacionales</t>
        </is>
      </c>
      <c r="H603" s="10" t="inlineStr">
        <is>
          <t>Calificación de enfermedad ocupacional</t>
        </is>
      </c>
      <c r="I603" s="10" t="inlineStr">
        <is>
          <t>Revisión inicial en Ficha Ocupacional Anual y seguimiento por parte del técnico en SSO</t>
        </is>
      </c>
      <c r="J603" s="10" t="inlineStr">
        <is>
          <t>Técnico en Seguridad y Salud Ocupacional</t>
        </is>
      </c>
      <c r="K603" s="10" t="inlineStr">
        <is>
          <t>Técnico en Seguridad y Salud Ocupacional</t>
        </is>
      </c>
      <c r="L603" s="10" t="inlineStr">
        <is>
          <t>DOCUMENTOS FISICOS-ARCHIVOS DE LA OFICINA</t>
        </is>
      </c>
      <c r="M603" s="10" t="inlineStr">
        <is>
          <t>DOCUMENTO DE ARCHIVO-FÍSICO</t>
        </is>
      </c>
      <c r="N603" s="10" t="inlineStr">
        <is>
          <t>PRIMARIOS</t>
        </is>
      </c>
      <c r="O603" s="10" t="inlineStr">
        <is>
          <t>DOCUMENTOS TÉCNICOS</t>
        </is>
      </c>
      <c r="P603" s="10" t="inlineStr">
        <is>
          <t>PUBLICA(1)</t>
        </is>
      </c>
      <c r="Q603" s="10" t="inlineStr">
        <is>
          <t>BAJA(1)</t>
        </is>
      </c>
      <c r="R603" s="10" t="inlineStr">
        <is>
          <t>MEDIA(2)</t>
        </is>
      </c>
      <c r="S603" s="10">
        <f>+(IF(P603="PUBLICA(1)",1,IF(P603="USO INTERNO(2)",2,IF(P603="RESTRINGIDO(3)",3,3))))+(IF(Q603="BAJA(1)",1,IF(Q603="MEDIA(2)",2,IF(Q603="ALTA(3)",3,3))))+(IF(R603="BAJA(1)",1,IF(R603="MEDIA(2)",2,IF(R603="ALTA(3)",3,3))))</f>
        <v/>
      </c>
      <c r="T603" s="10">
        <f>+IF(S603&lt;6,"BAJA",IF(S603&lt;8,"MEDIA","ALTA"))</f>
        <v/>
      </c>
      <c r="U603" s="10" t="inlineStr">
        <is>
          <t>-</t>
        </is>
      </c>
      <c r="V603" s="24" t="n">
        <v>45673</v>
      </c>
      <c r="W603" s="19" t="inlineStr">
        <is>
          <t>N/A</t>
        </is>
      </c>
      <c r="X603" s="10">
        <f>+IFERROR(IF(VLOOKUP(Tabla2[[#This Row],[ID]],'EVALUACION DE RIESGO'!A:A,1,FALSE)=Tabla2[[#This Row],[ID]],"SI","NO"),"NO")</f>
        <v/>
      </c>
      <c r="AD603">
        <f>IF(AND(Y603="",AA603=""),"",IF(OR(LEFT(AA603,2)="L0",LEFT(AA603,2)="L1",Y603="No Iniciado"),"CRÍTICO - Incumplimiento Normativo SEPS",IF(AND(OR(LEFT(AA603,2)="L4",LEFT(AA603,2)="L5"),AND(AC603&lt;&gt;"",AC603&lt;&gt;"N/A")),"CONFORME - Control Efectivo ISO 27001","OBSERVACIÓN - Revisar Controles")))</f>
        <v/>
      </c>
    </row>
    <row r="604">
      <c r="A604" s="99" t="inlineStr">
        <is>
          <t>45-GTH</t>
        </is>
      </c>
      <c r="B604" s="10" t="inlineStr">
        <is>
          <t>APOYO</t>
        </is>
      </c>
      <c r="C604" s="10" t="inlineStr">
        <is>
          <t>Gestión del Talento Humano</t>
        </is>
      </c>
      <c r="D604" s="10" t="inlineStr">
        <is>
          <t>GTH</t>
        </is>
      </c>
      <c r="E604" s="10" t="inlineStr">
        <is>
          <t>Gestión de Seguridad y Salud Ocupacional</t>
        </is>
      </c>
      <c r="F604" s="10" t="inlineStr">
        <is>
          <t xml:space="preserve">Salud Ocupacional </t>
        </is>
      </c>
      <c r="G604" s="10" t="inlineStr">
        <is>
          <t>Investigación y notificación de enfermedades ocupacionales</t>
        </is>
      </c>
      <c r="H604" s="10" t="inlineStr">
        <is>
          <t>Notificación de estado de salud</t>
        </is>
      </c>
      <c r="I604" s="10" t="inlineStr">
        <is>
          <t>Evaluación médica, evaluación del Técnico de SSO y evaluación ergonómica</t>
        </is>
      </c>
      <c r="J604" s="10" t="inlineStr">
        <is>
          <t>Técnico en Seguridad y Salud Ocupacional</t>
        </is>
      </c>
      <c r="K604" s="10" t="inlineStr">
        <is>
          <t>Técnico en Seguridad y Salud Ocupacional</t>
        </is>
      </c>
      <c r="L604" s="10" t="inlineStr">
        <is>
          <t>DOCUMENTOS FISICOS-ARCHIVOS DE LA OFICINA</t>
        </is>
      </c>
      <c r="M604" s="10" t="inlineStr">
        <is>
          <t>DOCUMENTO DE ARCHIVO-FÍSICO</t>
        </is>
      </c>
      <c r="N604" s="10" t="inlineStr">
        <is>
          <t>PRIMARIOS</t>
        </is>
      </c>
      <c r="O604" s="10" t="inlineStr">
        <is>
          <t>COMUNICACIÓN INTERNA</t>
        </is>
      </c>
      <c r="P604" s="10" t="inlineStr">
        <is>
          <t>RESTRINGIDO(3)</t>
        </is>
      </c>
      <c r="Q604" s="10" t="inlineStr">
        <is>
          <t>BAJA(1)</t>
        </is>
      </c>
      <c r="R604" s="10" t="inlineStr">
        <is>
          <t>MEDIA(2)</t>
        </is>
      </c>
      <c r="S604" s="10">
        <f>+(IF(P604="PUBLICA(1)",1,IF(P604="USO INTERNO(2)",2,IF(P604="RESTRINGIDO(3)",3,3))))+(IF(Q604="BAJA(1)",1,IF(Q604="MEDIA(2)",2,IF(Q604="ALTA(3)",3,3))))+(IF(R604="BAJA(1)",1,IF(R604="MEDIA(2)",2,IF(R604="ALTA(3)",3,3))))</f>
        <v/>
      </c>
      <c r="T604" s="10">
        <f>+IF(S604&lt;6,"BAJA",IF(S604&lt;8,"MEDIA","ALTA"))</f>
        <v/>
      </c>
      <c r="U604" s="10" t="inlineStr">
        <is>
          <t>-</t>
        </is>
      </c>
      <c r="V604" s="24" t="n">
        <v>45673</v>
      </c>
      <c r="W604" s="19" t="inlineStr">
        <is>
          <t>N/A</t>
        </is>
      </c>
      <c r="X604" s="10">
        <f>+IFERROR(IF(VLOOKUP(Tabla2[[#This Row],[ID]],'EVALUACION DE RIESGO'!A:A,1,FALSE)=Tabla2[[#This Row],[ID]],"SI","NO"),"NO")</f>
        <v/>
      </c>
      <c r="AD604">
        <f>IF(AND(Y604="",AA604=""),"",IF(OR(LEFT(AA604,2)="L0",LEFT(AA604,2)="L1",Y604="No Iniciado"),"CRÍTICO - Incumplimiento Normativo SEPS",IF(AND(OR(LEFT(AA604,2)="L4",LEFT(AA604,2)="L5"),AND(AC604&lt;&gt;"",AC604&lt;&gt;"N/A")),"CONFORME - Control Efectivo ISO 27001","OBSERVACIÓN - Revisar Controles")))</f>
        <v/>
      </c>
    </row>
    <row r="605">
      <c r="A605" s="99" t="inlineStr">
        <is>
          <t>46-GTH</t>
        </is>
      </c>
      <c r="B605" s="10" t="inlineStr">
        <is>
          <t>APOYO</t>
        </is>
      </c>
      <c r="C605" s="10" t="inlineStr">
        <is>
          <t>Gestión del Talento Humano</t>
        </is>
      </c>
      <c r="D605" s="10" t="inlineStr">
        <is>
          <t>GTH</t>
        </is>
      </c>
      <c r="E605" s="10" t="inlineStr">
        <is>
          <t>Gestión de Seguridad y Salud Ocupacional</t>
        </is>
      </c>
      <c r="F605" s="10" t="inlineStr">
        <is>
          <t xml:space="preserve">Salud Ocupacional </t>
        </is>
      </c>
      <c r="G605" s="10" t="inlineStr">
        <is>
          <t>Manejo de desechos del Consultorio Médico</t>
        </is>
      </c>
      <c r="H605" s="10" t="inlineStr">
        <is>
          <t>Registro de recolección de desechos del consultorio médico</t>
        </is>
      </c>
      <c r="I605" s="10" t="inlineStr">
        <is>
          <t>Control de los desechos infecciosos, cortopunzantes y especiales con firmas de responsabilidad</t>
        </is>
      </c>
      <c r="J605" s="10" t="inlineStr">
        <is>
          <t>Técnico en Seguridad y Salud Ocupacional</t>
        </is>
      </c>
      <c r="K605" s="10" t="inlineStr">
        <is>
          <t>Enfermera Ocupacional</t>
        </is>
      </c>
      <c r="L605" s="10" t="inlineStr">
        <is>
          <t>DOCUMENTOS FISICOS-ARCHIVOS DE LA OFICINA</t>
        </is>
      </c>
      <c r="M605" s="10" t="inlineStr">
        <is>
          <t>DOCUMENTO DE ARCHIVO-FÍSICO</t>
        </is>
      </c>
      <c r="N605" s="10" t="inlineStr">
        <is>
          <t>PRIMARIOS</t>
        </is>
      </c>
      <c r="O605" s="10" t="inlineStr">
        <is>
          <t>DOCUMENTOS TÉCNICOS</t>
        </is>
      </c>
      <c r="P605" s="10" t="inlineStr">
        <is>
          <t>PUBLICA(1)</t>
        </is>
      </c>
      <c r="Q605" s="10" t="inlineStr">
        <is>
          <t>BAJA(1)</t>
        </is>
      </c>
      <c r="R605" s="10" t="inlineStr">
        <is>
          <t>BAJA(1)</t>
        </is>
      </c>
      <c r="S605" s="10">
        <f>+(IF(P605="PUBLICA(1)",1,IF(P605="USO INTERNO(2)",2,IF(P605="RESTRINGIDO(3)",3,3))))+(IF(Q605="BAJA(1)",1,IF(Q605="MEDIA(2)",2,IF(Q605="ALTA(3)",3,3))))+(IF(R605="BAJA(1)",1,IF(R605="MEDIA(2)",2,IF(R605="ALTA(3)",3,3))))</f>
        <v/>
      </c>
      <c r="T605" s="10">
        <f>+IF(S605&lt;6,"BAJA",IF(S605&lt;8,"MEDIA","ALTA"))</f>
        <v/>
      </c>
      <c r="U605" s="10" t="inlineStr">
        <is>
          <t>-</t>
        </is>
      </c>
      <c r="V605" s="24" t="n">
        <v>45673</v>
      </c>
      <c r="W605" s="19" t="inlineStr">
        <is>
          <t>N/A</t>
        </is>
      </c>
      <c r="X605" s="10">
        <f>+IFERROR(IF(VLOOKUP(Tabla2[[#This Row],[ID]],'EVALUACION DE RIESGO'!A:A,1,FALSE)=Tabla2[[#This Row],[ID]],"SI","NO"),"NO")</f>
        <v/>
      </c>
      <c r="AD605">
        <f>IF(AND(Y605="",AA605=""),"",IF(OR(LEFT(AA605,2)="L0",LEFT(AA605,2)="L1",Y605="No Iniciado"),"CRÍTICO - Incumplimiento Normativo SEPS",IF(AND(OR(LEFT(AA605,2)="L4",LEFT(AA605,2)="L5"),AND(AC605&lt;&gt;"",AC605&lt;&gt;"N/A")),"CONFORME - Control Efectivo ISO 27001","OBSERVACIÓN - Revisar Controles")))</f>
        <v/>
      </c>
    </row>
    <row r="606">
      <c r="A606" s="99" t="inlineStr">
        <is>
          <t>47-GTH</t>
        </is>
      </c>
      <c r="B606" s="10" t="inlineStr">
        <is>
          <t>APOYO</t>
        </is>
      </c>
      <c r="C606" s="10" t="inlineStr">
        <is>
          <t>Gestión del Talento Humano</t>
        </is>
      </c>
      <c r="D606" s="10" t="inlineStr">
        <is>
          <t>GTH</t>
        </is>
      </c>
      <c r="E606" s="10" t="inlineStr">
        <is>
          <t>Gestión de Seguridad y Salud Ocupacional</t>
        </is>
      </c>
      <c r="F606" s="10" t="inlineStr">
        <is>
          <t xml:space="preserve">Salud Ocupacional </t>
        </is>
      </c>
      <c r="G606" s="10" t="inlineStr">
        <is>
          <t>Derivación, monitoreo y reinserción del personal del tratamiento por consumo de drogas</t>
        </is>
      </c>
      <c r="H606" s="10" t="inlineStr">
        <is>
          <t>Carta de compromiso de sujeción al tratamiento</t>
        </is>
      </c>
      <c r="I606" s="10" t="inlineStr">
        <is>
          <t>Matriz de diagnóstico inicial del Programa de Drogas alcohol y tabaco</t>
        </is>
      </c>
      <c r="J606" s="10" t="inlineStr">
        <is>
          <t>Técnico en Seguridad y Salud Ocupacional</t>
        </is>
      </c>
      <c r="K606" s="10" t="inlineStr">
        <is>
          <t>Técnico en Seguridad y Salud Ocupacional</t>
        </is>
      </c>
      <c r="L606" s="10" t="inlineStr">
        <is>
          <t>UBICACIÓN DIGITAL-EQUIPO DEL RESPONSABLE</t>
        </is>
      </c>
      <c r="M606" s="10" t="inlineStr">
        <is>
          <t>DISCOS DUROS, SERVIDORES, DISCOS O MEDIOS PORTÁTILES, CINTAS O MEDIOS DE VIDEO Y AUDIO, ETC.</t>
        </is>
      </c>
      <c r="N606" s="10" t="inlineStr">
        <is>
          <t>PRIMARIOS</t>
        </is>
      </c>
      <c r="O606" s="10" t="inlineStr">
        <is>
          <t>DOCUMENTOS TÉCNICOS</t>
        </is>
      </c>
      <c r="P606" s="10" t="inlineStr">
        <is>
          <t>USO INTERNO(2)</t>
        </is>
      </c>
      <c r="Q606" s="10" t="inlineStr">
        <is>
          <t>BAJA(1)</t>
        </is>
      </c>
      <c r="R606" s="10" t="inlineStr">
        <is>
          <t>BAJA(1)</t>
        </is>
      </c>
      <c r="S606" s="10">
        <f>+(IF(P606="PUBLICA(1)",1,IF(P606="USO INTERNO(2)",2,IF(P606="RESTRINGIDO(3)",3,3))))+(IF(Q606="BAJA(1)",1,IF(Q606="MEDIA(2)",2,IF(Q606="ALTA(3)",3,3))))+(IF(R606="BAJA(1)",1,IF(R606="MEDIA(2)",2,IF(R606="ALTA(3)",3,3))))</f>
        <v/>
      </c>
      <c r="T606" s="10">
        <f>+IF(S606&lt;6,"BAJA",IF(S606&lt;8,"MEDIA","ALTA"))</f>
        <v/>
      </c>
      <c r="U606" s="10" t="inlineStr">
        <is>
          <t>-</t>
        </is>
      </c>
      <c r="V606" s="24" t="n">
        <v>45673</v>
      </c>
      <c r="W606" s="19" t="inlineStr">
        <is>
          <t>N/A</t>
        </is>
      </c>
      <c r="X606" s="10">
        <f>+IFERROR(IF(VLOOKUP(Tabla2[[#This Row],[ID]],'EVALUACION DE RIESGO'!A:A,1,FALSE)=Tabla2[[#This Row],[ID]],"SI","NO"),"NO")</f>
        <v/>
      </c>
      <c r="AD606">
        <f>IF(AND(Y606="",AA606=""),"",IF(OR(LEFT(AA606,2)="L0",LEFT(AA606,2)="L1",Y606="No Iniciado"),"CRÍTICO - Incumplimiento Normativo SEPS",IF(AND(OR(LEFT(AA606,2)="L4",LEFT(AA606,2)="L5"),AND(AC606&lt;&gt;"",AC606&lt;&gt;"N/A")),"CONFORME - Control Efectivo ISO 27001","OBSERVACIÓN - Revisar Controles")))</f>
        <v/>
      </c>
    </row>
    <row r="607">
      <c r="A607" s="99" t="inlineStr">
        <is>
          <t>48-GTH</t>
        </is>
      </c>
      <c r="B607" s="10" t="inlineStr">
        <is>
          <t>APOYO</t>
        </is>
      </c>
      <c r="C607" s="10" t="inlineStr">
        <is>
          <t>Gestión del Talento Humano</t>
        </is>
      </c>
      <c r="D607" s="10" t="inlineStr">
        <is>
          <t>GTH</t>
        </is>
      </c>
      <c r="E607" s="10" t="inlineStr">
        <is>
          <t>Gestión de Seguridad y Salud Ocupacional</t>
        </is>
      </c>
      <c r="F607" s="10" t="inlineStr">
        <is>
          <t xml:space="preserve">Salud Ocupacional </t>
        </is>
      </c>
      <c r="G607" s="10" t="inlineStr">
        <is>
          <t>Derivación, monitoreo y reinserción del personal del tratamiento por consumo de drogas</t>
        </is>
      </c>
      <c r="H607" s="10" t="inlineStr">
        <is>
          <t>Acuerdo para cancelar la nómina a los familiares del trabajador rehabilitado.</t>
        </is>
      </c>
      <c r="I607" s="10" t="inlineStr">
        <is>
          <t>Matriz de diagnóstico inicial del Programa de Drogas alcohol y tabaco</t>
        </is>
      </c>
      <c r="J607" s="10" t="inlineStr">
        <is>
          <t>Técnico en Seguridad y Salud Ocupacional</t>
        </is>
      </c>
      <c r="K607" s="10" t="inlineStr">
        <is>
          <t>Técnico en Seguridad y Salud Ocupacional</t>
        </is>
      </c>
      <c r="L607" s="10" t="inlineStr">
        <is>
          <t>UBICACIÓN DIGITAL-EQUIPO DEL RESPONSABLE</t>
        </is>
      </c>
      <c r="M607" s="10" t="inlineStr">
        <is>
          <t>DISCOS DUROS, SERVIDORES, DISCOS O MEDIOS PORTÁTILES, CINTAS O MEDIOS DE VIDEO Y AUDIO, ETC.</t>
        </is>
      </c>
      <c r="N607" s="10" t="inlineStr">
        <is>
          <t>PRIMARIOS</t>
        </is>
      </c>
      <c r="O607" s="10" t="inlineStr">
        <is>
          <t>DOCUMENTOS TÉCNICOS</t>
        </is>
      </c>
      <c r="P607" s="10" t="inlineStr">
        <is>
          <t>PUBLICA(1)</t>
        </is>
      </c>
      <c r="Q607" s="10" t="inlineStr">
        <is>
          <t>BAJA(1)</t>
        </is>
      </c>
      <c r="R607" s="10" t="inlineStr">
        <is>
          <t>BAJA(1)</t>
        </is>
      </c>
      <c r="S607" s="10">
        <f>+(IF(P607="PUBLICA(1)",1,IF(P607="USO INTERNO(2)",2,IF(P607="RESTRINGIDO(3)",3,3))))+(IF(Q607="BAJA(1)",1,IF(Q607="MEDIA(2)",2,IF(Q607="ALTA(3)",3,3))))+(IF(R607="BAJA(1)",1,IF(R607="MEDIA(2)",2,IF(R607="ALTA(3)",3,3))))</f>
        <v/>
      </c>
      <c r="T607" s="10">
        <f>+IF(S607&lt;6,"BAJA",IF(S607&lt;8,"MEDIA","ALTA"))</f>
        <v/>
      </c>
      <c r="U607" s="10" t="inlineStr">
        <is>
          <t>-</t>
        </is>
      </c>
      <c r="V607" s="24" t="n">
        <v>45673</v>
      </c>
      <c r="W607" s="19" t="inlineStr">
        <is>
          <t>N/A</t>
        </is>
      </c>
      <c r="X607" s="10">
        <f>+IFERROR(IF(VLOOKUP(Tabla2[[#This Row],[ID]],'EVALUACION DE RIESGO'!A:A,1,FALSE)=Tabla2[[#This Row],[ID]],"SI","NO"),"NO")</f>
        <v/>
      </c>
      <c r="AD607">
        <f>IF(AND(Y607="",AA607=""),"",IF(OR(LEFT(AA607,2)="L0",LEFT(AA607,2)="L1",Y607="No Iniciado"),"CRÍTICO - Incumplimiento Normativo SEPS",IF(AND(OR(LEFT(AA607,2)="L4",LEFT(AA607,2)="L5"),AND(AC607&lt;&gt;"",AC607&lt;&gt;"N/A")),"CONFORME - Control Efectivo ISO 27001","OBSERVACIÓN - Revisar Controles")))</f>
        <v/>
      </c>
    </row>
    <row r="608">
      <c r="A608" s="99" t="inlineStr">
        <is>
          <t>49-GTH</t>
        </is>
      </c>
      <c r="B608" s="10" t="inlineStr">
        <is>
          <t>APOYO</t>
        </is>
      </c>
      <c r="C608" s="10" t="inlineStr">
        <is>
          <t>Gestión del Talento Humano</t>
        </is>
      </c>
      <c r="D608" s="10" t="inlineStr">
        <is>
          <t>GTH</t>
        </is>
      </c>
      <c r="E608" s="10" t="inlineStr">
        <is>
          <t>Gestión de Seguridad y Salud Ocupacional</t>
        </is>
      </c>
      <c r="F608" s="10" t="inlineStr">
        <is>
          <t xml:space="preserve">Salud Ocupacional </t>
        </is>
      </c>
      <c r="G608" s="10" t="inlineStr">
        <is>
          <t xml:space="preserve">Implementación, administración y control del apoyo a la lactancia materna </t>
        </is>
      </c>
      <c r="H608" s="10" t="inlineStr">
        <is>
          <t>Registro de control de uso de Lactario</t>
        </is>
      </c>
      <c r="I608" s="10" t="inlineStr">
        <is>
          <t>Registro de asistentes físico que indica la fecha , motivo, nombre y firma</t>
        </is>
      </c>
      <c r="J608" s="10" t="inlineStr">
        <is>
          <t>Técnico en Seguridad y Salud Ocupacional</t>
        </is>
      </c>
      <c r="K608" s="10" t="inlineStr">
        <is>
          <t>Técnico en Seguridad y Salud Ocupacional</t>
        </is>
      </c>
      <c r="L608" s="10" t="inlineStr">
        <is>
          <t>DOCUMENTOS FISICOS-ARCHIVOS DE LA OFICINA</t>
        </is>
      </c>
      <c r="M608" s="10" t="inlineStr">
        <is>
          <t>DOCUMENTO DE ARCHIVO-FÍSICO</t>
        </is>
      </c>
      <c r="N608" s="10" t="inlineStr">
        <is>
          <t>PRIMARIOS</t>
        </is>
      </c>
      <c r="O608" s="10" t="inlineStr">
        <is>
          <t>COMUNICACIÓN INTERNA</t>
        </is>
      </c>
      <c r="P608" s="10" t="inlineStr">
        <is>
          <t>PUBLICA(1)</t>
        </is>
      </c>
      <c r="Q608" s="10" t="inlineStr">
        <is>
          <t>BAJA(1)</t>
        </is>
      </c>
      <c r="R608" s="10" t="inlineStr">
        <is>
          <t>BAJA(1)</t>
        </is>
      </c>
      <c r="S608" s="10">
        <f>+(IF(P608="PUBLICA(1)",1,IF(P608="USO INTERNO(2)",2,IF(P608="RESTRINGIDO(3)",3,3))))+(IF(Q608="BAJA(1)",1,IF(Q608="MEDIA(2)",2,IF(Q608="ALTA(3)",3,3))))+(IF(R608="BAJA(1)",1,IF(R608="MEDIA(2)",2,IF(R608="ALTA(3)",3,3))))</f>
        <v/>
      </c>
      <c r="T608" s="10">
        <f>+IF(S608&lt;6,"BAJA",IF(S608&lt;8,"MEDIA","ALTA"))</f>
        <v/>
      </c>
      <c r="U608" s="10" t="inlineStr">
        <is>
          <t>-</t>
        </is>
      </c>
      <c r="V608" s="24" t="n">
        <v>45673</v>
      </c>
      <c r="W608" s="19" t="inlineStr">
        <is>
          <t>N/A</t>
        </is>
      </c>
      <c r="X608" s="10">
        <f>+IFERROR(IF(VLOOKUP(Tabla2[[#This Row],[ID]],'EVALUACION DE RIESGO'!A:A,1,FALSE)=Tabla2[[#This Row],[ID]],"SI","NO"),"NO")</f>
        <v/>
      </c>
      <c r="AD608">
        <f>IF(AND(Y608="",AA608=""),"",IF(OR(LEFT(AA608,2)="L0",LEFT(AA608,2)="L1",Y608="No Iniciado"),"CRÍTICO - Incumplimiento Normativo SEPS",IF(AND(OR(LEFT(AA608,2)="L4",LEFT(AA608,2)="L5"),AND(AC608&lt;&gt;"",AC608&lt;&gt;"N/A")),"CONFORME - Control Efectivo ISO 27001","OBSERVACIÓN - Revisar Controles")))</f>
        <v/>
      </c>
    </row>
    <row r="609">
      <c r="A609" s="99" t="inlineStr">
        <is>
          <t>50-GTH</t>
        </is>
      </c>
      <c r="B609" s="10" t="inlineStr">
        <is>
          <t>APOYO</t>
        </is>
      </c>
      <c r="C609" s="10" t="inlineStr">
        <is>
          <t>Gestión del Talento Humano</t>
        </is>
      </c>
      <c r="D609" s="10" t="inlineStr">
        <is>
          <t>GTH</t>
        </is>
      </c>
      <c r="E609" s="10" t="inlineStr">
        <is>
          <t>Gestión de Seguridad y Salud Ocupacional</t>
        </is>
      </c>
      <c r="F609" s="10" t="inlineStr">
        <is>
          <t xml:space="preserve">Salud Ocupacional </t>
        </is>
      </c>
      <c r="G609" s="10" t="inlineStr">
        <is>
          <t xml:space="preserve">Programa de inmunización </t>
        </is>
      </c>
      <c r="H609" s="10" t="inlineStr">
        <is>
          <t>Registro de inmunizaciones</t>
        </is>
      </c>
      <c r="I609" s="10" t="inlineStr">
        <is>
          <t>Cronograma de planificación de inmunizaciones para el personal interno aprobado reportado al técnico de Seguridad y Salud</t>
        </is>
      </c>
      <c r="J609" s="10" t="inlineStr">
        <is>
          <t>Técnico en Seguridad y Salud Ocupacional</t>
        </is>
      </c>
      <c r="K609" s="10" t="inlineStr">
        <is>
          <t>Técnico en Seguridad y Salud Ocupacional</t>
        </is>
      </c>
      <c r="L609" s="10" t="inlineStr">
        <is>
          <t>UBICACIÓN DIGITAL-EQUIPO DEL CUSTODIO</t>
        </is>
      </c>
      <c r="M609" s="10" t="inlineStr">
        <is>
          <t>DISCOS DUROS, SERVIDORES, DISCOS O MEDIOS PORTÁTILES, CINTAS O MEDIOS DE VIDEO Y AUDIO, ETC.</t>
        </is>
      </c>
      <c r="N609" s="10" t="inlineStr">
        <is>
          <t>PRIMARIOS</t>
        </is>
      </c>
      <c r="O609" s="10" t="inlineStr">
        <is>
          <t>DOCUMENTOS TÉCNICOS</t>
        </is>
      </c>
      <c r="P609" s="10" t="inlineStr">
        <is>
          <t>USO INTERNO(2)</t>
        </is>
      </c>
      <c r="Q609" s="10" t="inlineStr">
        <is>
          <t>BAJA(1)</t>
        </is>
      </c>
      <c r="R609" s="10" t="inlineStr">
        <is>
          <t>MEDIA(2)</t>
        </is>
      </c>
      <c r="S609" s="10">
        <f>+(IF(P609="PUBLICA(1)",1,IF(P609="USO INTERNO(2)",2,IF(P609="RESTRINGIDO(3)",3,3))))+(IF(Q609="BAJA(1)",1,IF(Q609="MEDIA(2)",2,IF(Q609="ALTA(3)",3,3))))+(IF(R609="BAJA(1)",1,IF(R609="MEDIA(2)",2,IF(R609="ALTA(3)",3,3))))</f>
        <v/>
      </c>
      <c r="T609" s="10">
        <f>+IF(S609&lt;6,"BAJA",IF(S609&lt;8,"MEDIA","ALTA"))</f>
        <v/>
      </c>
      <c r="U609" s="10" t="inlineStr">
        <is>
          <t>-</t>
        </is>
      </c>
      <c r="V609" s="24" t="n">
        <v>45673</v>
      </c>
      <c r="W609" s="19" t="inlineStr">
        <is>
          <t>N/A</t>
        </is>
      </c>
      <c r="X609" s="10">
        <f>+IFERROR(IF(VLOOKUP(Tabla2[[#This Row],[ID]],'EVALUACION DE RIESGO'!A:A,1,FALSE)=Tabla2[[#This Row],[ID]],"SI","NO"),"NO")</f>
        <v/>
      </c>
      <c r="AD609">
        <f>IF(AND(Y609="",AA609=""),"",IF(OR(LEFT(AA609,2)="L0",LEFT(AA609,2)="L1",Y609="No Iniciado"),"CRÍTICO - Incumplimiento Normativo SEPS",IF(AND(OR(LEFT(AA609,2)="L4",LEFT(AA609,2)="L5"),AND(AC609&lt;&gt;"",AC609&lt;&gt;"N/A")),"CONFORME - Control Efectivo ISO 27001","OBSERVACIÓN - Revisar Controles")))</f>
        <v/>
      </c>
    </row>
    <row r="610">
      <c r="A610" s="99" t="inlineStr">
        <is>
          <t>51-GTH</t>
        </is>
      </c>
      <c r="B610" s="10" t="inlineStr">
        <is>
          <t>APOYO</t>
        </is>
      </c>
      <c r="C610" s="10" t="inlineStr">
        <is>
          <t>Gestión del Talento Humano</t>
        </is>
      </c>
      <c r="D610" s="10" t="inlineStr">
        <is>
          <t>GTH</t>
        </is>
      </c>
      <c r="E610" s="10" t="inlineStr">
        <is>
          <t>Gestión de Seguridad y Salud Ocupacional</t>
        </is>
      </c>
      <c r="F610" s="10" t="inlineStr">
        <is>
          <t xml:space="preserve">Salud Ocupacional </t>
        </is>
      </c>
      <c r="G610" s="10" t="inlineStr">
        <is>
          <t>N/A</t>
        </is>
      </c>
      <c r="H610" s="10" t="inlineStr">
        <is>
          <t>Equipos de computación de Técnico de SSO</t>
        </is>
      </c>
      <c r="I610" s="10" t="inlineStr">
        <is>
          <t>Equipos de computación donde se realiza la gestión del área</t>
        </is>
      </c>
      <c r="J610" s="10" t="inlineStr">
        <is>
          <t>Técnico en Seguridad y Salud Ocupacional</t>
        </is>
      </c>
      <c r="K610" s="10" t="inlineStr">
        <is>
          <t>Técnico en Seguridad y Salud Ocupacional</t>
        </is>
      </c>
      <c r="L610" s="10" t="inlineStr">
        <is>
          <t>UBICACIÓN DIGITAL-EQUIPO DEL RESPONSABLE</t>
        </is>
      </c>
      <c r="M610" s="10" t="inlineStr">
        <is>
          <t>DISCOS DUROS, SERVIDORES, DISCOS O MEDIOS PORTÁTILES, CINTAS O MEDIOS DE VIDEO Y AUDIO, ETC.</t>
        </is>
      </c>
      <c r="N610" s="10" t="inlineStr">
        <is>
          <t>APOYO</t>
        </is>
      </c>
      <c r="O610" s="10" t="inlineStr">
        <is>
          <t>HARDWARE</t>
        </is>
      </c>
      <c r="P610" s="10" t="inlineStr">
        <is>
          <t>USO INTERNO(2)</t>
        </is>
      </c>
      <c r="Q610" s="10" t="inlineStr">
        <is>
          <t>BAJA(1)</t>
        </is>
      </c>
      <c r="R610" s="10" t="inlineStr">
        <is>
          <t>MEDIA(2)</t>
        </is>
      </c>
      <c r="S610" s="10">
        <f>+(IF(P610="PUBLICA(1)",1,IF(P610="USO INTERNO(2)",2,IF(P610="RESTRINGIDO(3)",3,3))))+(IF(Q610="BAJA(1)",1,IF(Q610="MEDIA(2)",2,IF(Q610="ALTA(3)",3,3))))+(IF(R610="BAJA(1)",1,IF(R610="MEDIA(2)",2,IF(R610="ALTA(3)",3,3))))</f>
        <v/>
      </c>
      <c r="T610" s="10">
        <f>+IF(S610&lt;6,"BAJA",IF(S610&lt;8,"MEDIA","ALTA"))</f>
        <v/>
      </c>
      <c r="U610" s="10" t="inlineStr">
        <is>
          <t>-</t>
        </is>
      </c>
      <c r="V610" s="24" t="n">
        <v>45673</v>
      </c>
      <c r="W610" s="19" t="inlineStr">
        <is>
          <t>N/A</t>
        </is>
      </c>
      <c r="X610" s="10">
        <f>+IFERROR(IF(VLOOKUP(Tabla2[[#This Row],[ID]],'EVALUACION DE RIESGO'!A:A,1,FALSE)=Tabla2[[#This Row],[ID]],"SI","NO"),"NO")</f>
        <v/>
      </c>
      <c r="AD610">
        <f>IF(AND(Y610="",AA610=""),"",IF(OR(LEFT(AA610,2)="L0",LEFT(AA610,2)="L1",Y610="No Iniciado"),"CRÍTICO - Incumplimiento Normativo SEPS",IF(AND(OR(LEFT(AA610,2)="L4",LEFT(AA610,2)="L5"),AND(AC610&lt;&gt;"",AC610&lt;&gt;"N/A")),"CONFORME - Control Efectivo ISO 27001","OBSERVACIÓN - Revisar Controles")))</f>
        <v/>
      </c>
    </row>
    <row r="611">
      <c r="A611" s="99" t="inlineStr">
        <is>
          <t>52-GTH</t>
        </is>
      </c>
      <c r="B611" s="10" t="inlineStr">
        <is>
          <t>APOYO</t>
        </is>
      </c>
      <c r="C611" s="10" t="inlineStr">
        <is>
          <t>Gestión del Talento Humano</t>
        </is>
      </c>
      <c r="D611" s="10" t="inlineStr">
        <is>
          <t>GTH</t>
        </is>
      </c>
      <c r="E611" s="10" t="inlineStr">
        <is>
          <t>Gestión de Seguridad y Salud Ocupacional</t>
        </is>
      </c>
      <c r="F611" s="10" t="inlineStr">
        <is>
          <t xml:space="preserve">Salud Ocupacional </t>
        </is>
      </c>
      <c r="G611" s="10" t="inlineStr">
        <is>
          <t>N/A</t>
        </is>
      </c>
      <c r="H611" s="10" t="inlineStr">
        <is>
          <t>Técnico de SSO</t>
        </is>
      </c>
      <c r="I611" s="10" t="inlineStr">
        <is>
          <t>N/A</t>
        </is>
      </c>
      <c r="J611" s="10" t="inlineStr">
        <is>
          <t>Técnico en Seguridad y Salud Ocupacional</t>
        </is>
      </c>
      <c r="K611" s="10" t="inlineStr">
        <is>
          <t>Técnico en Seguridad y Salud Ocupacional</t>
        </is>
      </c>
      <c r="L611" s="10" t="inlineStr">
        <is>
          <t>N/A</t>
        </is>
      </c>
      <c r="M611" s="10" t="inlineStr">
        <is>
          <t>N/A</t>
        </is>
      </c>
      <c r="N611" s="10" t="inlineStr">
        <is>
          <t>APOYO</t>
        </is>
      </c>
      <c r="O611" s="10" t="inlineStr">
        <is>
          <t>RECURSO HUMANO</t>
        </is>
      </c>
      <c r="P611" s="10" t="inlineStr">
        <is>
          <t>USO INTERNO(2)</t>
        </is>
      </c>
      <c r="Q611" s="10" t="inlineStr">
        <is>
          <t>BAJA(1)</t>
        </is>
      </c>
      <c r="R611" s="10" t="inlineStr">
        <is>
          <t>MEDIA(2)</t>
        </is>
      </c>
      <c r="S611" s="10">
        <f>+(IF(P611="PUBLICA(1)",1,IF(P611="USO INTERNO(2)",2,IF(P611="RESTRINGIDO(3)",3,3))))+(IF(Q611="BAJA(1)",1,IF(Q611="MEDIA(2)",2,IF(Q611="ALTA(3)",3,3))))+(IF(R611="BAJA(1)",1,IF(R611="MEDIA(2)",2,IF(R611="ALTA(3)",3,3))))</f>
        <v/>
      </c>
      <c r="T611" s="10">
        <f>+IF(S611&lt;6,"BAJA",IF(S611&lt;8,"MEDIA","ALTA"))</f>
        <v/>
      </c>
      <c r="U611" s="10" t="inlineStr">
        <is>
          <t>-</t>
        </is>
      </c>
      <c r="V611" s="24" t="n">
        <v>45672</v>
      </c>
      <c r="W611" s="19" t="inlineStr">
        <is>
          <t>N/A</t>
        </is>
      </c>
      <c r="X611" s="10">
        <f>+IFERROR(IF(VLOOKUP(Tabla2[[#This Row],[ID]],'EVALUACION DE RIESGO'!A:A,1,FALSE)=Tabla2[[#This Row],[ID]],"SI","NO"),"NO")</f>
        <v/>
      </c>
      <c r="AD611">
        <f>IF(AND(Y611="",AA611=""),"",IF(OR(LEFT(AA611,2)="L0",LEFT(AA611,2)="L1",Y611="No Iniciado"),"CRÍTICO - Incumplimiento Normativo SEPS",IF(AND(OR(LEFT(AA611,2)="L4",LEFT(AA611,2)="L5"),AND(AC611&lt;&gt;"",AC611&lt;&gt;"N/A")),"CONFORME - Control Efectivo ISO 27001","OBSERVACIÓN - Revisar Controles")))</f>
        <v/>
      </c>
    </row>
    <row r="612">
      <c r="A612" s="99" t="inlineStr">
        <is>
          <t>53-GTH</t>
        </is>
      </c>
      <c r="B612" s="10" t="inlineStr">
        <is>
          <t>APOYO</t>
        </is>
      </c>
      <c r="C612" s="10" t="inlineStr">
        <is>
          <t>Gestión del Talento Humano</t>
        </is>
      </c>
      <c r="D612" s="10" t="inlineStr">
        <is>
          <t>GTH</t>
        </is>
      </c>
      <c r="E612" s="10" t="inlineStr">
        <is>
          <t>Diseño y Planificación del Personal</t>
        </is>
      </c>
      <c r="F612" s="10" t="inlineStr">
        <is>
          <t>-</t>
        </is>
      </c>
      <c r="G612" s="10" t="inlineStr">
        <is>
          <t>Planificación de Personal</t>
        </is>
      </c>
      <c r="H612" s="10" t="inlineStr">
        <is>
          <t>Informe de capacidad operativa</t>
        </is>
      </c>
      <c r="I612" s="10" t="inlineStr">
        <is>
          <t>Documento de reporte de análisis de de plantilla mínima individual, detalla el tiempo de cada actividad de un cargo</t>
        </is>
      </c>
      <c r="J612" s="10" t="inlineStr">
        <is>
          <t>Gerente de Talento Humano</t>
        </is>
      </c>
      <c r="K612" s="10" t="inlineStr">
        <is>
          <t>Analista de Desarrollo</t>
        </is>
      </c>
      <c r="L612" s="10" t="inlineStr">
        <is>
          <t>UBICACIÓN DIGITAL-EQUIPO DEL CUSTODIO</t>
        </is>
      </c>
      <c r="M612" s="10" t="inlineStr">
        <is>
          <t>DISCOS DUROS, SERVIDORES, DISCOS O MEDIOS PORTÁTILES, CINTAS O MEDIOS DE VIDEO Y AUDIO, ETC.</t>
        </is>
      </c>
      <c r="N612" s="10" t="inlineStr">
        <is>
          <t>PRIMARIOS</t>
        </is>
      </c>
      <c r="O612" s="10" t="inlineStr">
        <is>
          <t>DOCUMENTOS TÉCNICOS</t>
        </is>
      </c>
      <c r="P612" s="10" t="inlineStr">
        <is>
          <t>USO INTERNO(2)</t>
        </is>
      </c>
      <c r="Q612" s="10" t="inlineStr">
        <is>
          <t>BAJA(1)</t>
        </is>
      </c>
      <c r="R612" s="10" t="inlineStr">
        <is>
          <t>BAJA(1)</t>
        </is>
      </c>
      <c r="S612" s="10">
        <f>+(IF(P612="PUBLICA(1)",1,IF(P612="USO INTERNO(2)",2,IF(P612="RESTRINGIDO(3)",3,3))))+(IF(Q612="BAJA(1)",1,IF(Q612="MEDIA(2)",2,IF(Q612="ALTA(3)",3,3))))+(IF(R612="BAJA(1)",1,IF(R612="MEDIA(2)",2,IF(R612="ALTA(3)",3,3))))</f>
        <v/>
      </c>
      <c r="T612" s="10">
        <f>+IF(S612&lt;6,"BAJA",IF(S612&lt;8,"MEDIA","ALTA"))</f>
        <v/>
      </c>
      <c r="U612" s="10" t="inlineStr">
        <is>
          <t>-</t>
        </is>
      </c>
      <c r="V612" s="24" t="n">
        <v>45687</v>
      </c>
      <c r="W612" s="19" t="inlineStr">
        <is>
          <t>N/A</t>
        </is>
      </c>
      <c r="X612" s="10">
        <f>+IFERROR(IF(VLOOKUP(Tabla2[[#This Row],[ID]],'EVALUACION DE RIESGO'!A:A,1,FALSE)=Tabla2[[#This Row],[ID]],"SI","NO"),"NO")</f>
        <v/>
      </c>
      <c r="AD612">
        <f>IF(AND(Y612="",AA612=""),"",IF(OR(LEFT(AA612,2)="L0",LEFT(AA612,2)="L1",Y612="No Iniciado"),"CRÍTICO - Incumplimiento Normativo SEPS",IF(AND(OR(LEFT(AA612,2)="L4",LEFT(AA612,2)="L5"),AND(AC612&lt;&gt;"",AC612&lt;&gt;"N/A")),"CONFORME - Control Efectivo ISO 27001","OBSERVACIÓN - Revisar Controles")))</f>
        <v/>
      </c>
    </row>
    <row r="613">
      <c r="A613" s="99" t="inlineStr">
        <is>
          <t>54-GTH</t>
        </is>
      </c>
      <c r="B613" s="10" t="inlineStr">
        <is>
          <t>APOYO</t>
        </is>
      </c>
      <c r="C613" s="10" t="inlineStr">
        <is>
          <t>Gestión del Talento Humano</t>
        </is>
      </c>
      <c r="D613" s="10" t="inlineStr">
        <is>
          <t>GTH</t>
        </is>
      </c>
      <c r="E613" s="10" t="inlineStr">
        <is>
          <t>Diseño y Planificación del Personal</t>
        </is>
      </c>
      <c r="F613" s="10" t="inlineStr">
        <is>
          <t>-</t>
        </is>
      </c>
      <c r="G613" s="10" t="inlineStr">
        <is>
          <t>Planificación de Personal</t>
        </is>
      </c>
      <c r="H613" s="10" t="inlineStr">
        <is>
          <t>Solicitud de personal</t>
        </is>
      </c>
      <c r="I613" s="10" t="inlineStr">
        <is>
          <t>Informe del Jefe donde se requiere personal adicional, donde se evalúa la factibilidad de las funciones y detalle de actividades</t>
        </is>
      </c>
      <c r="J613" s="10" t="inlineStr">
        <is>
          <t>Gerente de Talento Humano</t>
        </is>
      </c>
      <c r="K613" s="10" t="inlineStr">
        <is>
          <t>Analista de Desarrollo</t>
        </is>
      </c>
      <c r="L613" s="10" t="inlineStr">
        <is>
          <t>UBICACIÓN DIGITAL-EQUIPO DEL CUSTODIO</t>
        </is>
      </c>
      <c r="M613" s="10" t="inlineStr">
        <is>
          <t>DISCOS DUROS, SERVIDORES, DISCOS O MEDIOS PORTÁTILES, CINTAS O MEDIOS DE VIDEO Y AUDIO, ETC.</t>
        </is>
      </c>
      <c r="N613" s="10" t="inlineStr">
        <is>
          <t>PRIMARIOS</t>
        </is>
      </c>
      <c r="O613" s="10" t="inlineStr">
        <is>
          <t>DOCUMENTOS TÉCNICOS</t>
        </is>
      </c>
      <c r="P613" s="10" t="inlineStr">
        <is>
          <t>USO INTERNO(2)</t>
        </is>
      </c>
      <c r="Q613" s="10" t="inlineStr">
        <is>
          <t>BAJA(1)</t>
        </is>
      </c>
      <c r="R613" s="10" t="inlineStr">
        <is>
          <t>BAJA(1)</t>
        </is>
      </c>
      <c r="S613" s="10">
        <f>+(IF(P613="PUBLICA(1)",1,IF(P613="USO INTERNO(2)",2,IF(P613="RESTRINGIDO(3)",3,3))))+(IF(Q613="BAJA(1)",1,IF(Q613="MEDIA(2)",2,IF(Q613="ALTA(3)",3,3))))+(IF(R613="BAJA(1)",1,IF(R613="MEDIA(2)",2,IF(R613="ALTA(3)",3,3))))</f>
        <v/>
      </c>
      <c r="T613" s="10">
        <f>+IF(S613&lt;6,"BAJA",IF(S613&lt;8,"MEDIA","ALTA"))</f>
        <v/>
      </c>
      <c r="U613" s="10" t="inlineStr">
        <is>
          <t>-</t>
        </is>
      </c>
      <c r="V613" s="24" t="n">
        <v>45687</v>
      </c>
      <c r="W613" s="19" t="inlineStr">
        <is>
          <t>N/A</t>
        </is>
      </c>
      <c r="X613" s="10">
        <f>+IFERROR(IF(VLOOKUP(Tabla2[[#This Row],[ID]],'EVALUACION DE RIESGO'!A:A,1,FALSE)=Tabla2[[#This Row],[ID]],"SI","NO"),"NO")</f>
        <v/>
      </c>
      <c r="AD613">
        <f>IF(AND(Y613="",AA613=""),"",IF(OR(LEFT(AA613,2)="L0",LEFT(AA613,2)="L1",Y613="No Iniciado"),"CRÍTICO - Incumplimiento Normativo SEPS",IF(AND(OR(LEFT(AA613,2)="L4",LEFT(AA613,2)="L5"),AND(AC613&lt;&gt;"",AC613&lt;&gt;"N/A")),"CONFORME - Control Efectivo ISO 27001","OBSERVACIÓN - Revisar Controles")))</f>
        <v/>
      </c>
    </row>
    <row r="614">
      <c r="A614" s="99" t="inlineStr">
        <is>
          <t>55-GTH</t>
        </is>
      </c>
      <c r="B614" s="10" t="inlineStr">
        <is>
          <t>APOYO</t>
        </is>
      </c>
      <c r="C614" s="10" t="inlineStr">
        <is>
          <t>Gestión del Talento Humano</t>
        </is>
      </c>
      <c r="D614" s="10" t="inlineStr">
        <is>
          <t>GTH</t>
        </is>
      </c>
      <c r="E614" s="10" t="inlineStr">
        <is>
          <t>Diseño y Planificación del Personal</t>
        </is>
      </c>
      <c r="F614" s="10" t="inlineStr">
        <is>
          <t>-</t>
        </is>
      </c>
      <c r="G614" s="10" t="inlineStr">
        <is>
          <t>Planificación de Personal</t>
        </is>
      </c>
      <c r="H614" s="10" t="inlineStr">
        <is>
          <t>Presupuesto de gasto de personal/Planificación de personal</t>
        </is>
      </c>
      <c r="I614" s="10" t="inlineStr">
        <is>
          <t>Presupuesto general de gastos de personal anual, donde está el incremento de personal, gasto desglosado, detalla por oficina, por cargo, y valores anualizados.</t>
        </is>
      </c>
      <c r="J614" s="10" t="inlineStr">
        <is>
          <t>Gerente de Talento Humano</t>
        </is>
      </c>
      <c r="K614" s="10" t="inlineStr">
        <is>
          <t>Analista de Desarrollo</t>
        </is>
      </c>
      <c r="L614" s="10" t="inlineStr">
        <is>
          <t>UBICACIÓN DIGITAL-EQUIPO DEL CUSTODIO</t>
        </is>
      </c>
      <c r="M614" s="10" t="inlineStr">
        <is>
          <t>DISCOS DUROS, SERVIDORES, DISCOS O MEDIOS PORTÁTILES, CINTAS O MEDIOS DE VIDEO Y AUDIO, ETC.</t>
        </is>
      </c>
      <c r="N614" s="10" t="inlineStr">
        <is>
          <t>PRIMARIOS</t>
        </is>
      </c>
      <c r="O614" s="10" t="inlineStr">
        <is>
          <t>DOCUMENTOS TÉCNICOS</t>
        </is>
      </c>
      <c r="P614" s="10" t="inlineStr">
        <is>
          <t>USO INTERNO(2)</t>
        </is>
      </c>
      <c r="Q614" s="10" t="inlineStr">
        <is>
          <t>BAJA(1)</t>
        </is>
      </c>
      <c r="R614" s="10" t="inlineStr">
        <is>
          <t>MEDIA(2)</t>
        </is>
      </c>
      <c r="S614" s="10">
        <f>+(IF(P614="PUBLICA(1)",1,IF(P614="USO INTERNO(2)",2,IF(P614="RESTRINGIDO(3)",3,3))))+(IF(Q614="BAJA(1)",1,IF(Q614="MEDIA(2)",2,IF(Q614="ALTA(3)",3,3))))+(IF(R614="BAJA(1)",1,IF(R614="MEDIA(2)",2,IF(R614="ALTA(3)",3,3))))</f>
        <v/>
      </c>
      <c r="T614" s="10">
        <f>+IF(S614&lt;6,"BAJA",IF(S614&lt;8,"MEDIA","ALTA"))</f>
        <v/>
      </c>
      <c r="U614" s="10" t="inlineStr">
        <is>
          <t>-</t>
        </is>
      </c>
      <c r="V614" s="24" t="n">
        <v>45687</v>
      </c>
      <c r="W614" s="19" t="inlineStr">
        <is>
          <t>N/A</t>
        </is>
      </c>
      <c r="X614" s="10">
        <f>+IFERROR(IF(VLOOKUP(Tabla2[[#This Row],[ID]],'EVALUACION DE RIESGO'!A:A,1,FALSE)=Tabla2[[#This Row],[ID]],"SI","NO"),"NO")</f>
        <v/>
      </c>
      <c r="AD614">
        <f>IF(AND(Y614="",AA614=""),"",IF(OR(LEFT(AA614,2)="L0",LEFT(AA614,2)="L1",Y614="No Iniciado"),"CRÍTICO - Incumplimiento Normativo SEPS",IF(AND(OR(LEFT(AA614,2)="L4",LEFT(AA614,2)="L5"),AND(AC614&lt;&gt;"",AC614&lt;&gt;"N/A")),"CONFORME - Control Efectivo ISO 27001","OBSERVACIÓN - Revisar Controles")))</f>
        <v/>
      </c>
    </row>
    <row r="615">
      <c r="A615" s="99" t="inlineStr">
        <is>
          <t>56-GTH</t>
        </is>
      </c>
      <c r="B615" s="10" t="inlineStr">
        <is>
          <t>APOYO</t>
        </is>
      </c>
      <c r="C615" s="10" t="inlineStr">
        <is>
          <t>Gestión del Talento Humano</t>
        </is>
      </c>
      <c r="D615" s="10" t="inlineStr">
        <is>
          <t>GTH</t>
        </is>
      </c>
      <c r="E615" s="10" t="inlineStr">
        <is>
          <t>Diseño y Planificación del Personal</t>
        </is>
      </c>
      <c r="F615" s="10" t="inlineStr">
        <is>
          <t>-</t>
        </is>
      </c>
      <c r="G615" s="10" t="inlineStr">
        <is>
          <t>Creación de cargos</t>
        </is>
      </c>
      <c r="H615" s="10" t="inlineStr">
        <is>
          <t>Organigrama posicional y estructural</t>
        </is>
      </c>
      <c r="I615" s="10" t="inlineStr">
        <is>
          <t>Documento de organigrama realizado y formalizado con el área de Procesos, donde se detallan los cargos y rangos de cada uno</t>
        </is>
      </c>
      <c r="J615" s="10" t="inlineStr">
        <is>
          <t>Gerente de Talento Humano</t>
        </is>
      </c>
      <c r="K615" s="10" t="inlineStr">
        <is>
          <t>Analista de Desarrollo</t>
        </is>
      </c>
      <c r="L615" s="10" t="inlineStr">
        <is>
          <t>UBICACIÓN DIGITAL-WEBCOOP</t>
        </is>
      </c>
      <c r="M615" s="10" t="inlineStr">
        <is>
          <t>DOCUMENTO DE ARCHIVO-ELECTRÓNICO</t>
        </is>
      </c>
      <c r="N615" s="10" t="inlineStr">
        <is>
          <t>PRIMARIOS</t>
        </is>
      </c>
      <c r="O615" s="10" t="inlineStr">
        <is>
          <t>DOCUMENTOS HABILITANTES</t>
        </is>
      </c>
      <c r="P615" s="10" t="inlineStr">
        <is>
          <t>PUBLICA(1)</t>
        </is>
      </c>
      <c r="Q615" s="10" t="inlineStr">
        <is>
          <t>BAJA(1)</t>
        </is>
      </c>
      <c r="R615" s="10" t="inlineStr">
        <is>
          <t>MEDIA(2)</t>
        </is>
      </c>
      <c r="S615" s="10">
        <f>+(IF(P615="PUBLICA(1)",1,IF(P615="USO INTERNO(2)",2,IF(P615="RESTRINGIDO(3)",3,3))))+(IF(Q615="BAJA(1)",1,IF(Q615="MEDIA(2)",2,IF(Q615="ALTA(3)",3,3))))+(IF(R615="BAJA(1)",1,IF(R615="MEDIA(2)",2,IF(R615="ALTA(3)",3,3))))</f>
        <v/>
      </c>
      <c r="T615" s="10">
        <f>+IF(S615&lt;6,"BAJA",IF(S615&lt;8,"MEDIA","ALTA"))</f>
        <v/>
      </c>
      <c r="U615" s="10" t="inlineStr">
        <is>
          <t>-</t>
        </is>
      </c>
      <c r="V615" s="24" t="n">
        <v>45687</v>
      </c>
      <c r="W615" s="19" t="inlineStr">
        <is>
          <t>N/A</t>
        </is>
      </c>
      <c r="X615" s="10">
        <f>+IFERROR(IF(VLOOKUP(Tabla2[[#This Row],[ID]],'EVALUACION DE RIESGO'!A:A,1,FALSE)=Tabla2[[#This Row],[ID]],"SI","NO"),"NO")</f>
        <v/>
      </c>
      <c r="AD615">
        <f>IF(AND(Y615="",AA615=""),"",IF(OR(LEFT(AA615,2)="L0",LEFT(AA615,2)="L1",Y615="No Iniciado"),"CRÍTICO - Incumplimiento Normativo SEPS",IF(AND(OR(LEFT(AA615,2)="L4",LEFT(AA615,2)="L5"),AND(AC615&lt;&gt;"",AC615&lt;&gt;"N/A")),"CONFORME - Control Efectivo ISO 27001","OBSERVACIÓN - Revisar Controles")))</f>
        <v/>
      </c>
    </row>
    <row r="616">
      <c r="A616" s="99" t="inlineStr">
        <is>
          <t>57-GTH</t>
        </is>
      </c>
      <c r="B616" s="10" t="inlineStr">
        <is>
          <t>APOYO</t>
        </is>
      </c>
      <c r="C616" s="10" t="inlineStr">
        <is>
          <t>Gestión del Talento Humano</t>
        </is>
      </c>
      <c r="D616" s="10" t="inlineStr">
        <is>
          <t>GTH</t>
        </is>
      </c>
      <c r="E616" s="10" t="inlineStr">
        <is>
          <t>Diseño y Planificación del Personal</t>
        </is>
      </c>
      <c r="F616" s="10" t="inlineStr">
        <is>
          <t>-</t>
        </is>
      </c>
      <c r="G616" s="10" t="inlineStr">
        <is>
          <t>Creación de cargos</t>
        </is>
      </c>
      <c r="H616" s="10" t="inlineStr">
        <is>
          <t>Certificación de aprobación de organigrama</t>
        </is>
      </c>
      <c r="I616" s="10" t="inlineStr">
        <is>
          <t>Certificación otorgada por el Consejo de Administración a través de una resolución.</t>
        </is>
      </c>
      <c r="J616" s="10" t="inlineStr">
        <is>
          <t>Gerente de Talento Humano</t>
        </is>
      </c>
      <c r="K616" s="10" t="inlineStr">
        <is>
          <t>Analista de Desarrollo</t>
        </is>
      </c>
      <c r="L616" s="10" t="inlineStr">
        <is>
          <t>UBICACIÓN DIGITAL-WEBCOOP</t>
        </is>
      </c>
      <c r="M616" s="10" t="inlineStr">
        <is>
          <t>DOCUMENTO DE ARCHIVO-ELECTRÓNICO</t>
        </is>
      </c>
      <c r="N616" s="10" t="inlineStr">
        <is>
          <t>PRIMARIOS</t>
        </is>
      </c>
      <c r="O616" s="10" t="inlineStr">
        <is>
          <t>DOCUMENTOS HABILITANTES</t>
        </is>
      </c>
      <c r="P616" s="10" t="inlineStr">
        <is>
          <t>PUBLICA(1)</t>
        </is>
      </c>
      <c r="Q616" s="10" t="inlineStr">
        <is>
          <t>BAJA(1)</t>
        </is>
      </c>
      <c r="R616" s="10" t="inlineStr">
        <is>
          <t>MEDIA(2)</t>
        </is>
      </c>
      <c r="S616" s="10">
        <f>+(IF(P616="PUBLICA(1)",1,IF(P616="USO INTERNO(2)",2,IF(P616="RESTRINGIDO(3)",3,3))))+(IF(Q616="BAJA(1)",1,IF(Q616="MEDIA(2)",2,IF(Q616="ALTA(3)",3,3))))+(IF(R616="BAJA(1)",1,IF(R616="MEDIA(2)",2,IF(R616="ALTA(3)",3,3))))</f>
        <v/>
      </c>
      <c r="T616" s="10">
        <f>+IF(S616&lt;6,"BAJA",IF(S616&lt;8,"MEDIA","ALTA"))</f>
        <v/>
      </c>
      <c r="U616" s="10" t="inlineStr">
        <is>
          <t>-</t>
        </is>
      </c>
      <c r="V616" s="24" t="n">
        <v>45687</v>
      </c>
      <c r="W616" s="19" t="inlineStr">
        <is>
          <t>N/A</t>
        </is>
      </c>
      <c r="X616" s="10">
        <f>+IFERROR(IF(VLOOKUP(Tabla2[[#This Row],[ID]],'EVALUACION DE RIESGO'!A:A,1,FALSE)=Tabla2[[#This Row],[ID]],"SI","NO"),"NO")</f>
        <v/>
      </c>
      <c r="AD616">
        <f>IF(AND(Y616="",AA616=""),"",IF(OR(LEFT(AA616,2)="L0",LEFT(AA616,2)="L1",Y616="No Iniciado"),"CRÍTICO - Incumplimiento Normativo SEPS",IF(AND(OR(LEFT(AA616,2)="L4",LEFT(AA616,2)="L5"),AND(AC616&lt;&gt;"",AC616&lt;&gt;"N/A")),"CONFORME - Control Efectivo ISO 27001","OBSERVACIÓN - Revisar Controles")))</f>
        <v/>
      </c>
    </row>
    <row r="617">
      <c r="A617" s="99" t="inlineStr">
        <is>
          <t>58-GTH</t>
        </is>
      </c>
      <c r="B617" s="10" t="inlineStr">
        <is>
          <t>APOYO</t>
        </is>
      </c>
      <c r="C617" s="10" t="inlineStr">
        <is>
          <t>Gestión del Talento Humano</t>
        </is>
      </c>
      <c r="D617" s="10" t="inlineStr">
        <is>
          <t>GTH</t>
        </is>
      </c>
      <c r="E617" s="10" t="inlineStr">
        <is>
          <t>Diseño y Planificación del Personal</t>
        </is>
      </c>
      <c r="F617" s="10" t="inlineStr">
        <is>
          <t>-</t>
        </is>
      </c>
      <c r="G617" s="10" t="inlineStr">
        <is>
          <t>Creación de cargos</t>
        </is>
      </c>
      <c r="H617" s="10" t="inlineStr">
        <is>
          <t>Certificación de aprobación del manual de funciones</t>
        </is>
      </c>
      <c r="I617" s="10" t="inlineStr">
        <is>
          <t>Certificación gestionada en conjunto con el área de Procesos, es un documento adjunto agregado a cada manual de funciones de cada departamento</t>
        </is>
      </c>
      <c r="J617" s="10" t="inlineStr">
        <is>
          <t>Gerente de Talento Humano</t>
        </is>
      </c>
      <c r="K617" s="10" t="inlineStr">
        <is>
          <t>Analista de Desarrollo</t>
        </is>
      </c>
      <c r="L617" s="10" t="inlineStr">
        <is>
          <t>UBICACIÓN DIGITAL-WEBCOOP</t>
        </is>
      </c>
      <c r="M617" s="10" t="inlineStr">
        <is>
          <t>DOCUMENTO DE ARCHIVO-ELECTRÓNICO</t>
        </is>
      </c>
      <c r="N617" s="10" t="inlineStr">
        <is>
          <t>PRIMARIOS</t>
        </is>
      </c>
      <c r="O617" s="10" t="inlineStr">
        <is>
          <t>DOCUMENTOS HABILITANTES</t>
        </is>
      </c>
      <c r="P617" s="10" t="inlineStr">
        <is>
          <t>PUBLICA(1)</t>
        </is>
      </c>
      <c r="Q617" s="10" t="inlineStr">
        <is>
          <t>BAJA(1)</t>
        </is>
      </c>
      <c r="R617" s="10" t="inlineStr">
        <is>
          <t>MEDIA(2)</t>
        </is>
      </c>
      <c r="S617" s="10">
        <f>+(IF(P617="PUBLICA(1)",1,IF(P617="USO INTERNO(2)",2,IF(P617="RESTRINGIDO(3)",3,3))))+(IF(Q617="BAJA(1)",1,IF(Q617="MEDIA(2)",2,IF(Q617="ALTA(3)",3,3))))+(IF(R617="BAJA(1)",1,IF(R617="MEDIA(2)",2,IF(R617="ALTA(3)",3,3))))</f>
        <v/>
      </c>
      <c r="T617" s="10">
        <f>+IF(S617&lt;6,"BAJA",IF(S617&lt;8,"MEDIA","ALTA"))</f>
        <v/>
      </c>
      <c r="U617" s="10" t="inlineStr">
        <is>
          <t>-</t>
        </is>
      </c>
      <c r="V617" s="24" t="n">
        <v>45687</v>
      </c>
      <c r="W617" s="19" t="inlineStr">
        <is>
          <t>N/A</t>
        </is>
      </c>
      <c r="X617" s="10">
        <f>+IFERROR(IF(VLOOKUP(Tabla2[[#This Row],[ID]],'EVALUACION DE RIESGO'!A:A,1,FALSE)=Tabla2[[#This Row],[ID]],"SI","NO"),"NO")</f>
        <v/>
      </c>
      <c r="AD617">
        <f>IF(AND(Y617="",AA617=""),"",IF(OR(LEFT(AA617,2)="L0",LEFT(AA617,2)="L1",Y617="No Iniciado"),"CRÍTICO - Incumplimiento Normativo SEPS",IF(AND(OR(LEFT(AA617,2)="L4",LEFT(AA617,2)="L5"),AND(AC617&lt;&gt;"",AC617&lt;&gt;"N/A")),"CONFORME - Control Efectivo ISO 27001","OBSERVACIÓN - Revisar Controles")))</f>
        <v/>
      </c>
    </row>
    <row r="618">
      <c r="A618" s="99" t="inlineStr">
        <is>
          <t>59-GTH</t>
        </is>
      </c>
      <c r="B618" s="10" t="inlineStr">
        <is>
          <t>APOYO</t>
        </is>
      </c>
      <c r="C618" s="10" t="inlineStr">
        <is>
          <t>Gestión del Talento Humano</t>
        </is>
      </c>
      <c r="D618" s="10" t="inlineStr">
        <is>
          <t>GTH</t>
        </is>
      </c>
      <c r="E618" s="10" t="inlineStr">
        <is>
          <t>Diseño y Planificación del Personal</t>
        </is>
      </c>
      <c r="F618" s="10" t="inlineStr">
        <is>
          <t>-</t>
        </is>
      </c>
      <c r="G618" s="10" t="inlineStr">
        <is>
          <t>Creación de cargos</t>
        </is>
      </c>
      <c r="H618" s="10" t="inlineStr">
        <is>
          <t>Manual de funciones</t>
        </is>
      </c>
      <c r="I618" s="10" t="inlineStr">
        <is>
          <t>Documentos que se detallan las actividades específicas de cada cargo</t>
        </is>
      </c>
      <c r="J618" s="10" t="inlineStr">
        <is>
          <t>Gerente de Talento Humano</t>
        </is>
      </c>
      <c r="K618" s="10" t="inlineStr">
        <is>
          <t>Analista de Desarrollo</t>
        </is>
      </c>
      <c r="L618" s="10" t="inlineStr">
        <is>
          <t>UBICACIÓN DIGITAL-WEBCOOP</t>
        </is>
      </c>
      <c r="M618" s="10" t="inlineStr">
        <is>
          <t>DOCUMENTO DE ARCHIVO-ELECTRÓNICO</t>
        </is>
      </c>
      <c r="N618" s="10" t="inlineStr">
        <is>
          <t>PRIMARIOS</t>
        </is>
      </c>
      <c r="O618" s="10" t="inlineStr">
        <is>
          <t>DOCUMENTOS TÉCNICOS</t>
        </is>
      </c>
      <c r="P618" s="10" t="inlineStr">
        <is>
          <t>PUBLICA(1)</t>
        </is>
      </c>
      <c r="Q618" s="10" t="inlineStr">
        <is>
          <t>BAJA(1)</t>
        </is>
      </c>
      <c r="R618" s="10" t="inlineStr">
        <is>
          <t>MEDIA(2)</t>
        </is>
      </c>
      <c r="S618" s="10">
        <f>+(IF(P618="PUBLICA(1)",1,IF(P618="USO INTERNO(2)",2,IF(P618="RESTRINGIDO(3)",3,3))))+(IF(Q618="BAJA(1)",1,IF(Q618="MEDIA(2)",2,IF(Q618="ALTA(3)",3,3))))+(IF(R618="BAJA(1)",1,IF(R618="MEDIA(2)",2,IF(R618="ALTA(3)",3,3))))</f>
        <v/>
      </c>
      <c r="T618" s="10">
        <f>+IF(S618&lt;6,"BAJA",IF(S618&lt;8,"MEDIA","ALTA"))</f>
        <v/>
      </c>
      <c r="U618" s="10" t="inlineStr">
        <is>
          <t>-</t>
        </is>
      </c>
      <c r="V618" s="24" t="n">
        <v>45687</v>
      </c>
      <c r="W618" s="19" t="inlineStr">
        <is>
          <t>N/A</t>
        </is>
      </c>
      <c r="X618" s="10">
        <f>+IFERROR(IF(VLOOKUP(Tabla2[[#This Row],[ID]],'EVALUACION DE RIESGO'!A:A,1,FALSE)=Tabla2[[#This Row],[ID]],"SI","NO"),"NO")</f>
        <v/>
      </c>
      <c r="AD618">
        <f>IF(AND(Y618="",AA618=""),"",IF(OR(LEFT(AA618,2)="L0",LEFT(AA618,2)="L1",Y618="No Iniciado"),"CRÍTICO - Incumplimiento Normativo SEPS",IF(AND(OR(LEFT(AA618,2)="L4",LEFT(AA618,2)="L5"),AND(AC618&lt;&gt;"",AC618&lt;&gt;"N/A")),"CONFORME - Control Efectivo ISO 27001","OBSERVACIÓN - Revisar Controles")))</f>
        <v/>
      </c>
    </row>
    <row r="619">
      <c r="A619" s="99" t="inlineStr">
        <is>
          <t>60-GTH</t>
        </is>
      </c>
      <c r="B619" s="10" t="inlineStr">
        <is>
          <t>APOYO</t>
        </is>
      </c>
      <c r="C619" s="10" t="inlineStr">
        <is>
          <t>Gestión del Talento Humano</t>
        </is>
      </c>
      <c r="D619" s="10" t="inlineStr">
        <is>
          <t>GTH</t>
        </is>
      </c>
      <c r="E619" s="10" t="inlineStr">
        <is>
          <t>Diseño y Planificación del Personal</t>
        </is>
      </c>
      <c r="F619" s="10" t="inlineStr">
        <is>
          <t>-</t>
        </is>
      </c>
      <c r="G619" s="10" t="inlineStr">
        <is>
          <t xml:space="preserve">Análisis y valoración de cargos   </t>
        </is>
      </c>
      <c r="H619" s="10" t="inlineStr">
        <is>
          <t>Actas de resoluciones</t>
        </is>
      </c>
      <c r="I619" s="10" t="inlineStr">
        <is>
          <t>Documentos de resoluciones emitidas para la valoración del cargo, se emiten de forma interna o por personal externa según el estudio de mercado.</t>
        </is>
      </c>
      <c r="J619" s="10" t="inlineStr">
        <is>
          <t>Gerente de Talento Humano</t>
        </is>
      </c>
      <c r="K619" s="10" t="inlineStr">
        <is>
          <t>Analista de Desarrollo</t>
        </is>
      </c>
      <c r="L619" s="10" t="inlineStr">
        <is>
          <t>UBICACIÓN DIGITAL-EQUIPO DEL CUSTODIO</t>
        </is>
      </c>
      <c r="M619" s="10" t="inlineStr">
        <is>
          <t>DISCOS DUROS, SERVIDORES, DISCOS O MEDIOS PORTÁTILES, CINTAS O MEDIOS DE VIDEO Y AUDIO, ETC.</t>
        </is>
      </c>
      <c r="N619" s="10" t="inlineStr">
        <is>
          <t>PRIMARIOS</t>
        </is>
      </c>
      <c r="O619" s="10" t="inlineStr">
        <is>
          <t>DOCUMENTOS HABILITANTES</t>
        </is>
      </c>
      <c r="P619" s="10" t="inlineStr">
        <is>
          <t>USO INTERNO(2)</t>
        </is>
      </c>
      <c r="Q619" s="10" t="inlineStr">
        <is>
          <t>BAJA(1)</t>
        </is>
      </c>
      <c r="R619" s="10" t="inlineStr">
        <is>
          <t>MEDIA(2)</t>
        </is>
      </c>
      <c r="S619" s="10">
        <f>+(IF(P619="PUBLICA(1)",1,IF(P619="USO INTERNO(2)",2,IF(P619="RESTRINGIDO(3)",3,3))))+(IF(Q619="BAJA(1)",1,IF(Q619="MEDIA(2)",2,IF(Q619="ALTA(3)",3,3))))+(IF(R619="BAJA(1)",1,IF(R619="MEDIA(2)",2,IF(R619="ALTA(3)",3,3))))</f>
        <v/>
      </c>
      <c r="T619" s="10">
        <f>+IF(S619&lt;6,"BAJA",IF(S619&lt;8,"MEDIA","ALTA"))</f>
        <v/>
      </c>
      <c r="U619" s="10" t="inlineStr">
        <is>
          <t>-</t>
        </is>
      </c>
      <c r="V619" s="24" t="n">
        <v>45687</v>
      </c>
      <c r="W619" s="19" t="inlineStr">
        <is>
          <t>N/A</t>
        </is>
      </c>
      <c r="X619" s="10">
        <f>+IFERROR(IF(VLOOKUP(Tabla2[[#This Row],[ID]],'EVALUACION DE RIESGO'!A:A,1,FALSE)=Tabla2[[#This Row],[ID]],"SI","NO"),"NO")</f>
        <v/>
      </c>
      <c r="AD619">
        <f>IF(AND(Y619="",AA619=""),"",IF(OR(LEFT(AA619,2)="L0",LEFT(AA619,2)="L1",Y619="No Iniciado"),"CRÍTICO - Incumplimiento Normativo SEPS",IF(AND(OR(LEFT(AA619,2)="L4",LEFT(AA619,2)="L5"),AND(AC619&lt;&gt;"",AC619&lt;&gt;"N/A")),"CONFORME - Control Efectivo ISO 27001","OBSERVACIÓN - Revisar Controles")))</f>
        <v/>
      </c>
    </row>
    <row r="620">
      <c r="A620" s="99" t="inlineStr">
        <is>
          <t>61-GTH</t>
        </is>
      </c>
      <c r="B620" s="10" t="inlineStr">
        <is>
          <t>APOYO</t>
        </is>
      </c>
      <c r="C620" s="10" t="inlineStr">
        <is>
          <t>Gestión del Talento Humano</t>
        </is>
      </c>
      <c r="D620" s="10" t="inlineStr">
        <is>
          <t>GTH</t>
        </is>
      </c>
      <c r="E620" s="10" t="inlineStr">
        <is>
          <t>Diseño y Planificación del Personal</t>
        </is>
      </c>
      <c r="F620" s="10" t="inlineStr">
        <is>
          <t>-</t>
        </is>
      </c>
      <c r="G620" s="10" t="inlineStr">
        <is>
          <t xml:space="preserve">Análisis y valoración de cargos   </t>
        </is>
      </c>
      <c r="H620" s="10" t="inlineStr">
        <is>
          <t>Informe de valoración de cargos / Propuesta de niveles salariales</t>
        </is>
      </c>
      <c r="I620" s="10" t="inlineStr">
        <is>
          <t>Informe de propuesta de incremento salarial, contiene enfoque metodológico, empresas participantes en el estudio de comparación salarial, detalle de incrementos salariales, propuesta de valor.</t>
        </is>
      </c>
      <c r="J620" s="10" t="inlineStr">
        <is>
          <t>Gerente de Talento Humano</t>
        </is>
      </c>
      <c r="K620" s="10" t="inlineStr">
        <is>
          <t>Analista de Desarrollo</t>
        </is>
      </c>
      <c r="L620" s="10" t="inlineStr">
        <is>
          <t>UBICACIÓN DIGITAL-EQUIPO DEL CUSTODIO</t>
        </is>
      </c>
      <c r="M620" s="10" t="inlineStr">
        <is>
          <t>DISCOS DUROS, SERVIDORES, DISCOS O MEDIOS PORTÁTILES, CINTAS O MEDIOS DE VIDEO Y AUDIO, ETC.</t>
        </is>
      </c>
      <c r="N620" s="10" t="inlineStr">
        <is>
          <t>PRIMARIOS</t>
        </is>
      </c>
      <c r="O620" s="10" t="inlineStr">
        <is>
          <t>DOCUMENTOS TÉCNICOS</t>
        </is>
      </c>
      <c r="P620" s="10" t="inlineStr">
        <is>
          <t>PUBLICA(1)</t>
        </is>
      </c>
      <c r="Q620" s="10" t="inlineStr">
        <is>
          <t>BAJA(1)</t>
        </is>
      </c>
      <c r="R620" s="10" t="inlineStr">
        <is>
          <t>BAJA(1)</t>
        </is>
      </c>
      <c r="S620" s="10">
        <f>+(IF(P620="PUBLICA(1)",1,IF(P620="USO INTERNO(2)",2,IF(P620="RESTRINGIDO(3)",3,3))))+(IF(Q620="BAJA(1)",1,IF(Q620="MEDIA(2)",2,IF(Q620="ALTA(3)",3,3))))+(IF(R620="BAJA(1)",1,IF(R620="MEDIA(2)",2,IF(R620="ALTA(3)",3,3))))</f>
        <v/>
      </c>
      <c r="T620" s="10">
        <f>+IF(S620&lt;6,"BAJA",IF(S620&lt;8,"MEDIA","ALTA"))</f>
        <v/>
      </c>
      <c r="U620" s="10" t="inlineStr">
        <is>
          <t>-</t>
        </is>
      </c>
      <c r="V620" s="24" t="n">
        <v>45687</v>
      </c>
      <c r="W620" s="19" t="inlineStr">
        <is>
          <t>N/A</t>
        </is>
      </c>
      <c r="X620" s="10">
        <f>+IFERROR(IF(VLOOKUP(Tabla2[[#This Row],[ID]],'EVALUACION DE RIESGO'!A:A,1,FALSE)=Tabla2[[#This Row],[ID]],"SI","NO"),"NO")</f>
        <v/>
      </c>
      <c r="AD620">
        <f>IF(AND(Y620="",AA620=""),"",IF(OR(LEFT(AA620,2)="L0",LEFT(AA620,2)="L1",Y620="No Iniciado"),"CRÍTICO - Incumplimiento Normativo SEPS",IF(AND(OR(LEFT(AA620,2)="L4",LEFT(AA620,2)="L5"),AND(AC620&lt;&gt;"",AC620&lt;&gt;"N/A")),"CONFORME - Control Efectivo ISO 27001","OBSERVACIÓN - Revisar Controles")))</f>
        <v/>
      </c>
    </row>
    <row r="621">
      <c r="A621" s="99" t="inlineStr">
        <is>
          <t>62-GTH</t>
        </is>
      </c>
      <c r="B621" s="10" t="inlineStr">
        <is>
          <t>APOYO</t>
        </is>
      </c>
      <c r="C621" s="10" t="inlineStr">
        <is>
          <t>Gestión del Talento Humano</t>
        </is>
      </c>
      <c r="D621" s="10" t="inlineStr">
        <is>
          <t>GTH</t>
        </is>
      </c>
      <c r="E621" s="10" t="inlineStr">
        <is>
          <t>Diseño y Planificación del Personal</t>
        </is>
      </c>
      <c r="F621" s="10" t="inlineStr">
        <is>
          <t>-</t>
        </is>
      </c>
      <c r="G621" s="10" t="inlineStr">
        <is>
          <t xml:space="preserve">Análisis y valoración de cargos   </t>
        </is>
      </c>
      <c r="H621" s="10" t="inlineStr">
        <is>
          <t>Certificación de aprobación</t>
        </is>
      </c>
      <c r="I621" s="10" t="inlineStr">
        <is>
          <t>Certificación de resolución emitida por el Consejo de Administración de acuerdo al informe emitido</t>
        </is>
      </c>
      <c r="J621" s="10" t="inlineStr">
        <is>
          <t>Gerente de Talento Humano</t>
        </is>
      </c>
      <c r="K621" s="10" t="inlineStr">
        <is>
          <t>Analista de Desarrollo</t>
        </is>
      </c>
      <c r="L621" s="10" t="inlineStr">
        <is>
          <t>UBICACIÓN DIGITAL-EQUIPO DEL CUSTODIO</t>
        </is>
      </c>
      <c r="M621" s="10" t="inlineStr">
        <is>
          <t>DISCOS DUROS, SERVIDORES, DISCOS O MEDIOS PORTÁTILES, CINTAS O MEDIOS DE VIDEO Y AUDIO, ETC.</t>
        </is>
      </c>
      <c r="N621" s="10" t="inlineStr">
        <is>
          <t>PRIMARIOS</t>
        </is>
      </c>
      <c r="O621" s="10" t="inlineStr">
        <is>
          <t>DOCUMENTOS HABILITANTES</t>
        </is>
      </c>
      <c r="P621" s="10" t="inlineStr">
        <is>
          <t>USO INTERNO(2)</t>
        </is>
      </c>
      <c r="Q621" s="10" t="inlineStr">
        <is>
          <t>BAJA(1)</t>
        </is>
      </c>
      <c r="R621" s="10" t="inlineStr">
        <is>
          <t>MEDIA(2)</t>
        </is>
      </c>
      <c r="S621" s="10">
        <f>+(IF(P621="PUBLICA(1)",1,IF(P621="USO INTERNO(2)",2,IF(P621="RESTRINGIDO(3)",3,3))))+(IF(Q621="BAJA(1)",1,IF(Q621="MEDIA(2)",2,IF(Q621="ALTA(3)",3,3))))+(IF(R621="BAJA(1)",1,IF(R621="MEDIA(2)",2,IF(R621="ALTA(3)",3,3))))</f>
        <v/>
      </c>
      <c r="T621" s="10">
        <f>+IF(S621&lt;6,"BAJA",IF(S621&lt;8,"MEDIA","ALTA"))</f>
        <v/>
      </c>
      <c r="U621" s="10" t="inlineStr">
        <is>
          <t>-</t>
        </is>
      </c>
      <c r="V621" s="24" t="n">
        <v>45687</v>
      </c>
      <c r="W621" s="19" t="inlineStr">
        <is>
          <t>N/A</t>
        </is>
      </c>
      <c r="X621" s="10">
        <f>+IFERROR(IF(VLOOKUP(Tabla2[[#This Row],[ID]],'EVALUACION DE RIESGO'!A:A,1,FALSE)=Tabla2[[#This Row],[ID]],"SI","NO"),"NO")</f>
        <v/>
      </c>
      <c r="AD621">
        <f>IF(AND(Y621="",AA621=""),"",IF(OR(LEFT(AA621,2)="L0",LEFT(AA621,2)="L1",Y621="No Iniciado"),"CRÍTICO - Incumplimiento Normativo SEPS",IF(AND(OR(LEFT(AA621,2)="L4",LEFT(AA621,2)="L5"),AND(AC621&lt;&gt;"",AC621&lt;&gt;"N/A")),"CONFORME - Control Efectivo ISO 27001","OBSERVACIÓN - Revisar Controles")))</f>
        <v/>
      </c>
    </row>
    <row r="622">
      <c r="A622" s="99" t="inlineStr">
        <is>
          <t>63-GTH</t>
        </is>
      </c>
      <c r="B622" s="10" t="inlineStr">
        <is>
          <t>APOYO</t>
        </is>
      </c>
      <c r="C622" s="10" t="inlineStr">
        <is>
          <t>Gestión del Talento Humano</t>
        </is>
      </c>
      <c r="D622" s="10" t="inlineStr">
        <is>
          <t>GTH</t>
        </is>
      </c>
      <c r="E622" s="10" t="inlineStr">
        <is>
          <t>Diseño y Planificación del Personal</t>
        </is>
      </c>
      <c r="F622" s="10" t="inlineStr">
        <is>
          <t>-</t>
        </is>
      </c>
      <c r="G622" s="10" t="inlineStr">
        <is>
          <t xml:space="preserve">Revisión y actualización de manuales de funciones </t>
        </is>
      </c>
      <c r="H622" s="10" t="inlineStr">
        <is>
          <t>Manual de funciones</t>
        </is>
      </c>
      <c r="I622" s="10" t="inlineStr">
        <is>
          <t>Documentos que detallas las actividades específicas de cada cargo</t>
        </is>
      </c>
      <c r="J622" s="10" t="inlineStr">
        <is>
          <t>Gerente de Talento Humano</t>
        </is>
      </c>
      <c r="K622" s="10" t="inlineStr">
        <is>
          <t>Analista de Desarrollo</t>
        </is>
      </c>
      <c r="L622" s="10" t="inlineStr">
        <is>
          <t>UBICACIÓN DIGITAL-WEBCOOP</t>
        </is>
      </c>
      <c r="M622" s="10" t="inlineStr">
        <is>
          <t>DOCUMENTO DE ARCHIVO-ELECTRÓNICO</t>
        </is>
      </c>
      <c r="N622" s="10" t="inlineStr">
        <is>
          <t>PRIMARIOS</t>
        </is>
      </c>
      <c r="O622" s="10" t="inlineStr">
        <is>
          <t>DOCUMENTOS TÉCNICOS</t>
        </is>
      </c>
      <c r="P622" s="10" t="inlineStr">
        <is>
          <t>PUBLICA(1)</t>
        </is>
      </c>
      <c r="Q622" s="10" t="inlineStr">
        <is>
          <t>BAJA(1)</t>
        </is>
      </c>
      <c r="R622" s="10" t="inlineStr">
        <is>
          <t>MEDIA(2)</t>
        </is>
      </c>
      <c r="S622" s="10">
        <f>+(IF(P622="PUBLICA(1)",1,IF(P622="USO INTERNO(2)",2,IF(P622="RESTRINGIDO(3)",3,3))))+(IF(Q622="BAJA(1)",1,IF(Q622="MEDIA(2)",2,IF(Q622="ALTA(3)",3,3))))+(IF(R622="BAJA(1)",1,IF(R622="MEDIA(2)",2,IF(R622="ALTA(3)",3,3))))</f>
        <v/>
      </c>
      <c r="T622" s="10">
        <f>+IF(S622&lt;6,"BAJA",IF(S622&lt;8,"MEDIA","ALTA"))</f>
        <v/>
      </c>
      <c r="U622" s="10" t="inlineStr">
        <is>
          <t>-</t>
        </is>
      </c>
      <c r="V622" s="24" t="n">
        <v>45687</v>
      </c>
      <c r="W622" s="19" t="inlineStr">
        <is>
          <t>N/A</t>
        </is>
      </c>
      <c r="X622" s="10">
        <f>+IFERROR(IF(VLOOKUP(Tabla2[[#This Row],[ID]],'EVALUACION DE RIESGO'!A:A,1,FALSE)=Tabla2[[#This Row],[ID]],"SI","NO"),"NO")</f>
        <v/>
      </c>
      <c r="AD622">
        <f>IF(AND(Y622="",AA622=""),"",IF(OR(LEFT(AA622,2)="L0",LEFT(AA622,2)="L1",Y622="No Iniciado"),"CRÍTICO - Incumplimiento Normativo SEPS",IF(AND(OR(LEFT(AA622,2)="L4",LEFT(AA622,2)="L5"),AND(AC622&lt;&gt;"",AC622&lt;&gt;"N/A")),"CONFORME - Control Efectivo ISO 27001","OBSERVACIÓN - Revisar Controles")))</f>
        <v/>
      </c>
    </row>
    <row r="623">
      <c r="A623" s="99" t="inlineStr">
        <is>
          <t>64-GTH</t>
        </is>
      </c>
      <c r="B623" s="10" t="inlineStr">
        <is>
          <t>APOYO</t>
        </is>
      </c>
      <c r="C623" s="10" t="inlineStr">
        <is>
          <t>Gestión del Talento Humano</t>
        </is>
      </c>
      <c r="D623" s="10" t="inlineStr">
        <is>
          <t>GTH</t>
        </is>
      </c>
      <c r="E623" s="10" t="inlineStr">
        <is>
          <t>Permanencia y Desarrollo del Personal</t>
        </is>
      </c>
      <c r="F623" s="10" t="inlineStr">
        <is>
          <t>-</t>
        </is>
      </c>
      <c r="G623" s="10" t="inlineStr">
        <is>
          <t xml:space="preserve">Evaluación de desempeño   </t>
        </is>
      </c>
      <c r="H623" s="10" t="inlineStr">
        <is>
          <t>Plan de evaluación de desempeño</t>
        </is>
      </c>
      <c r="I623" s="10" t="inlineStr">
        <is>
          <t>Plan desarrollado en el sistema COMPERS, contiene reporte de competencias general, reporte de análisis para recursos humanos, empleado, periodo, área, competencias, tabla de evaluación global al perfil del cargo</t>
        </is>
      </c>
      <c r="J623" s="10" t="inlineStr">
        <is>
          <t>Gerente de Talento Humano</t>
        </is>
      </c>
      <c r="K623" s="10" t="inlineStr">
        <is>
          <t>Analista de Nómina</t>
        </is>
      </c>
      <c r="L623" s="10" t="inlineStr">
        <is>
          <t>UBICACIÓN DIGITAL-EQUIPO DEL CUSTODIO</t>
        </is>
      </c>
      <c r="M623" s="10" t="inlineStr">
        <is>
          <t>DISCOS DUROS, SERVIDORES, DISCOS O MEDIOS PORTÁTILES, CINTAS O MEDIOS DE VIDEO Y AUDIO, ETC.</t>
        </is>
      </c>
      <c r="N623" s="10" t="inlineStr">
        <is>
          <t>PRIMARIOS</t>
        </is>
      </c>
      <c r="O623" s="10" t="inlineStr">
        <is>
          <t>DOCUMENTOS TÉCNICOS</t>
        </is>
      </c>
      <c r="P623" s="10" t="inlineStr">
        <is>
          <t>PUBLICA(1)</t>
        </is>
      </c>
      <c r="Q623" s="10" t="inlineStr">
        <is>
          <t>BAJA(1)</t>
        </is>
      </c>
      <c r="R623" s="10" t="inlineStr">
        <is>
          <t>BAJA(1)</t>
        </is>
      </c>
      <c r="S623" s="10">
        <f>+(IF(P623="PUBLICA(1)",1,IF(P623="USO INTERNO(2)",2,IF(P623="RESTRINGIDO(3)",3,3))))+(IF(Q623="BAJA(1)",1,IF(Q623="MEDIA(2)",2,IF(Q623="ALTA(3)",3,3))))+(IF(R623="BAJA(1)",1,IF(R623="MEDIA(2)",2,IF(R623="ALTA(3)",3,3))))</f>
        <v/>
      </c>
      <c r="T623" s="10">
        <f>+IF(S623&lt;6,"BAJA",IF(S623&lt;8,"MEDIA","ALTA"))</f>
        <v/>
      </c>
      <c r="U623" s="10" t="inlineStr">
        <is>
          <t>-</t>
        </is>
      </c>
      <c r="V623" s="24" t="n">
        <v>45687</v>
      </c>
      <c r="W623" s="19" t="inlineStr">
        <is>
          <t>N/A</t>
        </is>
      </c>
      <c r="X623" s="10">
        <f>+IFERROR(IF(VLOOKUP(Tabla2[[#This Row],[ID]],'EVALUACION DE RIESGO'!A:A,1,FALSE)=Tabla2[[#This Row],[ID]],"SI","NO"),"NO")</f>
        <v/>
      </c>
      <c r="AD623">
        <f>IF(AND(Y623="",AA623=""),"",IF(OR(LEFT(AA623,2)="L0",LEFT(AA623,2)="L1",Y623="No Iniciado"),"CRÍTICO - Incumplimiento Normativo SEPS",IF(AND(OR(LEFT(AA623,2)="L4",LEFT(AA623,2)="L5"),AND(AC623&lt;&gt;"",AC623&lt;&gt;"N/A")),"CONFORME - Control Efectivo ISO 27001","OBSERVACIÓN - Revisar Controles")))</f>
        <v/>
      </c>
    </row>
    <row r="624">
      <c r="A624" s="99" t="inlineStr">
        <is>
          <t>65-GTH</t>
        </is>
      </c>
      <c r="B624" s="10" t="inlineStr">
        <is>
          <t>APOYO</t>
        </is>
      </c>
      <c r="C624" s="10" t="inlineStr">
        <is>
          <t>Gestión del Talento Humano</t>
        </is>
      </c>
      <c r="D624" s="10" t="inlineStr">
        <is>
          <t>GTH</t>
        </is>
      </c>
      <c r="E624" s="10" t="inlineStr">
        <is>
          <t>Permanencia y Desarrollo del Personal</t>
        </is>
      </c>
      <c r="F624" s="10" t="inlineStr">
        <is>
          <t>-</t>
        </is>
      </c>
      <c r="G624" s="10" t="inlineStr">
        <is>
          <t xml:space="preserve">Evaluación de desempeño   </t>
        </is>
      </c>
      <c r="H624" s="10" t="inlineStr">
        <is>
          <t>Evaluaciones de desempeño</t>
        </is>
      </c>
      <c r="I624" s="10" t="inlineStr">
        <is>
          <t>Entregable sistema COMPERS, contiene reporte de competencias general, reporte de análisis para recursos humanos, empleado, periodo, área, competencias, tabla de evaluación global al perfil del cargo</t>
        </is>
      </c>
      <c r="J624" s="10" t="inlineStr">
        <is>
          <t>Gerente de Talento Humano</t>
        </is>
      </c>
      <c r="K624" s="10" t="inlineStr">
        <is>
          <t>Analista de Nómina</t>
        </is>
      </c>
      <c r="L624" s="10" t="inlineStr">
        <is>
          <t>UBICACIÓN DIGITAL-EQUIPO DEL CUSTODIO</t>
        </is>
      </c>
      <c r="M624" s="10" t="inlineStr">
        <is>
          <t>DISCOS DUROS, SERVIDORES, DISCOS O MEDIOS PORTÁTILES, CINTAS O MEDIOS DE VIDEO Y AUDIO, ETC.</t>
        </is>
      </c>
      <c r="N624" s="10" t="inlineStr">
        <is>
          <t>PRIMARIOS</t>
        </is>
      </c>
      <c r="O624" s="10" t="inlineStr">
        <is>
          <t>DOCUMENTOS TÉCNICOS</t>
        </is>
      </c>
      <c r="P624" s="10" t="inlineStr">
        <is>
          <t>USO INTERNO(2)</t>
        </is>
      </c>
      <c r="Q624" s="10" t="inlineStr">
        <is>
          <t>BAJA(1)</t>
        </is>
      </c>
      <c r="R624" s="10" t="inlineStr">
        <is>
          <t>BAJA(1)</t>
        </is>
      </c>
      <c r="S624" s="10">
        <f>+(IF(P624="PUBLICA(1)",1,IF(P624="USO INTERNO(2)",2,IF(P624="RESTRINGIDO(3)",3,3))))+(IF(Q624="BAJA(1)",1,IF(Q624="MEDIA(2)",2,IF(Q624="ALTA(3)",3,3))))+(IF(R624="BAJA(1)",1,IF(R624="MEDIA(2)",2,IF(R624="ALTA(3)",3,3))))</f>
        <v/>
      </c>
      <c r="T624" s="10">
        <f>+IF(S624&lt;6,"BAJA",IF(S624&lt;8,"MEDIA","ALTA"))</f>
        <v/>
      </c>
      <c r="U624" s="10" t="inlineStr">
        <is>
          <t>-</t>
        </is>
      </c>
      <c r="V624" s="24" t="n">
        <v>45687</v>
      </c>
      <c r="W624" s="19" t="inlineStr">
        <is>
          <t>N/A</t>
        </is>
      </c>
      <c r="X624" s="10">
        <f>+IFERROR(IF(VLOOKUP(Tabla2[[#This Row],[ID]],'EVALUACION DE RIESGO'!A:A,1,FALSE)=Tabla2[[#This Row],[ID]],"SI","NO"),"NO")</f>
        <v/>
      </c>
      <c r="AD624">
        <f>IF(AND(Y624="",AA624=""),"",IF(OR(LEFT(AA624,2)="L0",LEFT(AA624,2)="L1",Y624="No Iniciado"),"CRÍTICO - Incumplimiento Normativo SEPS",IF(AND(OR(LEFT(AA624,2)="L4",LEFT(AA624,2)="L5"),AND(AC624&lt;&gt;"",AC624&lt;&gt;"N/A")),"CONFORME - Control Efectivo ISO 27001","OBSERVACIÓN - Revisar Controles")))</f>
        <v/>
      </c>
    </row>
    <row r="625">
      <c r="A625" s="99" t="inlineStr">
        <is>
          <t>66-GTH</t>
        </is>
      </c>
      <c r="B625" s="10" t="inlineStr">
        <is>
          <t>APOYO</t>
        </is>
      </c>
      <c r="C625" s="10" t="inlineStr">
        <is>
          <t>Gestión del Talento Humano</t>
        </is>
      </c>
      <c r="D625" s="10" t="inlineStr">
        <is>
          <t>GTH</t>
        </is>
      </c>
      <c r="E625" s="10" t="inlineStr">
        <is>
          <t>Permanencia y Desarrollo del Personal</t>
        </is>
      </c>
      <c r="F625" s="10" t="inlineStr">
        <is>
          <t>-</t>
        </is>
      </c>
      <c r="G625" s="10" t="inlineStr">
        <is>
          <t xml:space="preserve">Evaluación de desempeño   </t>
        </is>
      </c>
      <c r="H625" s="10" t="inlineStr">
        <is>
          <t>Informe de evaluación de desempeño</t>
        </is>
      </c>
      <c r="I625" s="10" t="inlineStr">
        <is>
          <t>Informe de evaluación que contiene evaluación de acuerdo a las necesidades con información por departamento, grupo ocupacional, oficinas, área operativas</t>
        </is>
      </c>
      <c r="J625" s="10" t="inlineStr">
        <is>
          <t>Gerente de Talento Humano</t>
        </is>
      </c>
      <c r="K625" s="10" t="inlineStr">
        <is>
          <t>Analista de Nómina</t>
        </is>
      </c>
      <c r="L625" s="10" t="inlineStr">
        <is>
          <t>UBICACIÓN DIGITAL-EQUIPO DEL CUSTODIO</t>
        </is>
      </c>
      <c r="M625" s="10" t="inlineStr">
        <is>
          <t>DISCOS DUROS, SERVIDORES, DISCOS O MEDIOS PORTÁTILES, CINTAS O MEDIOS DE VIDEO Y AUDIO, ETC.</t>
        </is>
      </c>
      <c r="N625" s="10" t="inlineStr">
        <is>
          <t>PRIMARIOS</t>
        </is>
      </c>
      <c r="O625" s="10" t="inlineStr">
        <is>
          <t>DOCUMENTOS TÉCNICOS</t>
        </is>
      </c>
      <c r="P625" s="10" t="inlineStr">
        <is>
          <t>USO INTERNO(2)</t>
        </is>
      </c>
      <c r="Q625" s="10" t="inlineStr">
        <is>
          <t>BAJA(1)</t>
        </is>
      </c>
      <c r="R625" s="10" t="inlineStr">
        <is>
          <t>BAJA(1)</t>
        </is>
      </c>
      <c r="S625" s="10">
        <f>+(IF(P625="PUBLICA(1)",1,IF(P625="USO INTERNO(2)",2,IF(P625="RESTRINGIDO(3)",3,3))))+(IF(Q625="BAJA(1)",1,IF(Q625="MEDIA(2)",2,IF(Q625="ALTA(3)",3,3))))+(IF(R625="BAJA(1)",1,IF(R625="MEDIA(2)",2,IF(R625="ALTA(3)",3,3))))</f>
        <v/>
      </c>
      <c r="T625" s="10">
        <f>+IF(S625&lt;6,"BAJA",IF(S625&lt;8,"MEDIA","ALTA"))</f>
        <v/>
      </c>
      <c r="U625" s="10" t="inlineStr">
        <is>
          <t>-</t>
        </is>
      </c>
      <c r="V625" s="24" t="n">
        <v>45687</v>
      </c>
      <c r="W625" s="19" t="inlineStr">
        <is>
          <t>N/A</t>
        </is>
      </c>
      <c r="X625" s="10">
        <f>+IFERROR(IF(VLOOKUP(Tabla2[[#This Row],[ID]],'EVALUACION DE RIESGO'!A:A,1,FALSE)=Tabla2[[#This Row],[ID]],"SI","NO"),"NO")</f>
        <v/>
      </c>
      <c r="AD625">
        <f>IF(AND(Y625="",AA625=""),"",IF(OR(LEFT(AA625,2)="L0",LEFT(AA625,2)="L1",Y625="No Iniciado"),"CRÍTICO - Incumplimiento Normativo SEPS",IF(AND(OR(LEFT(AA625,2)="L4",LEFT(AA625,2)="L5"),AND(AC625&lt;&gt;"",AC625&lt;&gt;"N/A")),"CONFORME - Control Efectivo ISO 27001","OBSERVACIÓN - Revisar Controles")))</f>
        <v/>
      </c>
    </row>
    <row r="626">
      <c r="A626" s="99" t="inlineStr">
        <is>
          <t>67-GTH</t>
        </is>
      </c>
      <c r="B626" s="10" t="inlineStr">
        <is>
          <t>APOYO</t>
        </is>
      </c>
      <c r="C626" s="10" t="inlineStr">
        <is>
          <t>Gestión del Talento Humano</t>
        </is>
      </c>
      <c r="D626" s="10" t="inlineStr">
        <is>
          <t>GTH</t>
        </is>
      </c>
      <c r="E626" s="10" t="inlineStr">
        <is>
          <t>Permanencia y Desarrollo del Personal</t>
        </is>
      </c>
      <c r="F626" s="10" t="inlineStr">
        <is>
          <t>-</t>
        </is>
      </c>
      <c r="G626" s="10" t="inlineStr">
        <is>
          <t xml:space="preserve">Evaluación de desempeño   </t>
        </is>
      </c>
      <c r="H626" s="10" t="inlineStr">
        <is>
          <t>Plan de formación y desarrollo</t>
        </is>
      </c>
      <c r="I626" s="10" t="inlineStr">
        <is>
          <t xml:space="preserve">Plan anual de desarrollo que contiene el análisis de las personas que tiene un nivel bajo de competencias, actividades, competencias, </t>
        </is>
      </c>
      <c r="J626" s="10" t="inlineStr">
        <is>
          <t>Gerente de Talento Humano</t>
        </is>
      </c>
      <c r="K626" s="10" t="inlineStr">
        <is>
          <t>Analista de Nómina</t>
        </is>
      </c>
      <c r="L626" s="10" t="inlineStr">
        <is>
          <t>UBICACIÓN DIGITAL-EQUIPO DEL CUSTODIO</t>
        </is>
      </c>
      <c r="M626" s="10" t="inlineStr">
        <is>
          <t>DISCOS DUROS, SERVIDORES, DISCOS O MEDIOS PORTÁTILES, CINTAS O MEDIOS DE VIDEO Y AUDIO, ETC.</t>
        </is>
      </c>
      <c r="N626" s="10" t="inlineStr">
        <is>
          <t>PRIMARIOS</t>
        </is>
      </c>
      <c r="O626" s="10" t="inlineStr">
        <is>
          <t>DOCUMENTOS TÉCNICOS</t>
        </is>
      </c>
      <c r="P626" s="10" t="inlineStr">
        <is>
          <t>PUBLICA(1)</t>
        </is>
      </c>
      <c r="Q626" s="10" t="inlineStr">
        <is>
          <t>BAJA(1)</t>
        </is>
      </c>
      <c r="R626" s="10" t="inlineStr">
        <is>
          <t>BAJA(1)</t>
        </is>
      </c>
      <c r="S626" s="10">
        <f>+(IF(P626="PUBLICA(1)",1,IF(P626="USO INTERNO(2)",2,IF(P626="RESTRINGIDO(3)",3,3))))+(IF(Q626="BAJA(1)",1,IF(Q626="MEDIA(2)",2,IF(Q626="ALTA(3)",3,3))))+(IF(R626="BAJA(1)",1,IF(R626="MEDIA(2)",2,IF(R626="ALTA(3)",3,3))))</f>
        <v/>
      </c>
      <c r="T626" s="10">
        <f>+IF(S626&lt;6,"BAJA",IF(S626&lt;8,"MEDIA","ALTA"))</f>
        <v/>
      </c>
      <c r="U626" s="10" t="inlineStr">
        <is>
          <t>-</t>
        </is>
      </c>
      <c r="V626" s="24" t="n">
        <v>45687</v>
      </c>
      <c r="W626" s="19" t="inlineStr">
        <is>
          <t>N/A</t>
        </is>
      </c>
      <c r="X626" s="10">
        <f>+IFERROR(IF(VLOOKUP(Tabla2[[#This Row],[ID]],'EVALUACION DE RIESGO'!A:A,1,FALSE)=Tabla2[[#This Row],[ID]],"SI","NO"),"NO")</f>
        <v/>
      </c>
      <c r="AD626">
        <f>IF(AND(Y626="",AA626=""),"",IF(OR(LEFT(AA626,2)="L0",LEFT(AA626,2)="L1",Y626="No Iniciado"),"CRÍTICO - Incumplimiento Normativo SEPS",IF(AND(OR(LEFT(AA626,2)="L4",LEFT(AA626,2)="L5"),AND(AC626&lt;&gt;"",AC626&lt;&gt;"N/A")),"CONFORME - Control Efectivo ISO 27001","OBSERVACIÓN - Revisar Controles")))</f>
        <v/>
      </c>
    </row>
    <row r="627">
      <c r="A627" s="99" t="inlineStr">
        <is>
          <t>68-GTH</t>
        </is>
      </c>
      <c r="B627" s="10" t="inlineStr">
        <is>
          <t>APOYO</t>
        </is>
      </c>
      <c r="C627" s="10" t="inlineStr">
        <is>
          <t>Gestión del Talento Humano</t>
        </is>
      </c>
      <c r="D627" s="10" t="inlineStr">
        <is>
          <t>GTH</t>
        </is>
      </c>
      <c r="E627" s="10" t="inlineStr">
        <is>
          <t>Permanencia y Desarrollo del Personal</t>
        </is>
      </c>
      <c r="F627" s="10" t="inlineStr">
        <is>
          <t>-</t>
        </is>
      </c>
      <c r="G627" s="10" t="inlineStr">
        <is>
          <t xml:space="preserve">Plan de capacitación anual   </t>
        </is>
      </c>
      <c r="H627" s="10" t="inlineStr">
        <is>
          <t>Plan de capacitación anual</t>
        </is>
      </c>
      <c r="I627" s="10" t="inlineStr">
        <is>
          <t>Plan de capacitación anual, contiene áreas, departamentos, tema, objetivo, para que?, participantes, genero, presupuesto</t>
        </is>
      </c>
      <c r="J627" s="10" t="inlineStr">
        <is>
          <t>Gerente de Talento Humano</t>
        </is>
      </c>
      <c r="K627" s="10" t="inlineStr">
        <is>
          <t>Analista de Desarrollo</t>
        </is>
      </c>
      <c r="L627" s="10" t="inlineStr">
        <is>
          <t>UBICACIÓN DIGITAL-EQUIPO DEL CUSTODIO</t>
        </is>
      </c>
      <c r="M627" s="10" t="inlineStr">
        <is>
          <t>DISCOS DUROS, SERVIDORES, DISCOS O MEDIOS PORTÁTILES, CINTAS O MEDIOS DE VIDEO Y AUDIO, ETC.</t>
        </is>
      </c>
      <c r="N627" s="10" t="inlineStr">
        <is>
          <t>PRIMARIOS</t>
        </is>
      </c>
      <c r="O627" s="10" t="inlineStr">
        <is>
          <t>DOCUMENTOS TÉCNICOS</t>
        </is>
      </c>
      <c r="P627" s="10" t="inlineStr">
        <is>
          <t>PUBLICA(1)</t>
        </is>
      </c>
      <c r="Q627" s="10" t="inlineStr">
        <is>
          <t>BAJA(1)</t>
        </is>
      </c>
      <c r="R627" s="10" t="inlineStr">
        <is>
          <t>BAJA(1)</t>
        </is>
      </c>
      <c r="S627" s="10">
        <f>+(IF(P627="PUBLICA(1)",1,IF(P627="USO INTERNO(2)",2,IF(P627="RESTRINGIDO(3)",3,3))))+(IF(Q627="BAJA(1)",1,IF(Q627="MEDIA(2)",2,IF(Q627="ALTA(3)",3,3))))+(IF(R627="BAJA(1)",1,IF(R627="MEDIA(2)",2,IF(R627="ALTA(3)",3,3))))</f>
        <v/>
      </c>
      <c r="T627" s="10">
        <f>+IF(S627&lt;6,"BAJA",IF(S627&lt;8,"MEDIA","ALTA"))</f>
        <v/>
      </c>
      <c r="U627" s="10" t="inlineStr">
        <is>
          <t>-</t>
        </is>
      </c>
      <c r="V627" s="24" t="n">
        <v>45687</v>
      </c>
      <c r="W627" s="19" t="inlineStr">
        <is>
          <t>N/A</t>
        </is>
      </c>
      <c r="X627" s="10">
        <f>+IFERROR(IF(VLOOKUP(Tabla2[[#This Row],[ID]],'EVALUACION DE RIESGO'!A:A,1,FALSE)=Tabla2[[#This Row],[ID]],"SI","NO"),"NO")</f>
        <v/>
      </c>
      <c r="AD627">
        <f>IF(AND(Y627="",AA627=""),"",IF(OR(LEFT(AA627,2)="L0",LEFT(AA627,2)="L1",Y627="No Iniciado"),"CRÍTICO - Incumplimiento Normativo SEPS",IF(AND(OR(LEFT(AA627,2)="L4",LEFT(AA627,2)="L5"),AND(AC627&lt;&gt;"",AC627&lt;&gt;"N/A")),"CONFORME - Control Efectivo ISO 27001","OBSERVACIÓN - Revisar Controles")))</f>
        <v/>
      </c>
    </row>
    <row r="628">
      <c r="A628" s="99" t="inlineStr">
        <is>
          <t>69-GTH</t>
        </is>
      </c>
      <c r="B628" s="10" t="inlineStr">
        <is>
          <t>APOYO</t>
        </is>
      </c>
      <c r="C628" s="10" t="inlineStr">
        <is>
          <t>Gestión del Talento Humano</t>
        </is>
      </c>
      <c r="D628" s="10" t="inlineStr">
        <is>
          <t>GTH</t>
        </is>
      </c>
      <c r="E628" s="10" t="inlineStr">
        <is>
          <t>Permanencia y Desarrollo del Personal</t>
        </is>
      </c>
      <c r="F628" s="10" t="inlineStr">
        <is>
          <t>-</t>
        </is>
      </c>
      <c r="G628" s="10" t="inlineStr">
        <is>
          <t xml:space="preserve">Plan de capacitación anual   </t>
        </is>
      </c>
      <c r="H628" s="10" t="inlineStr">
        <is>
          <t>Certificación plan de capacitación</t>
        </is>
      </c>
      <c r="I628" s="10" t="inlineStr">
        <is>
          <t>Certificación emitida por el Consejo de Administración</t>
        </is>
      </c>
      <c r="J628" s="10" t="inlineStr">
        <is>
          <t>Gerente de Talento Humano</t>
        </is>
      </c>
      <c r="K628" s="10" t="inlineStr">
        <is>
          <t>Analista de Desarrollo</t>
        </is>
      </c>
      <c r="L628" s="10" t="inlineStr">
        <is>
          <t>UBICACIÓN DIGITAL-EQUIPO DEL CUSTODIO</t>
        </is>
      </c>
      <c r="M628" s="10" t="inlineStr">
        <is>
          <t>DISCOS DUROS, SERVIDORES, DISCOS O MEDIOS PORTÁTILES, CINTAS O MEDIOS DE VIDEO Y AUDIO, ETC.</t>
        </is>
      </c>
      <c r="N628" s="10" t="inlineStr">
        <is>
          <t>PRIMARIOS</t>
        </is>
      </c>
      <c r="O628" s="10" t="inlineStr">
        <is>
          <t>DOCUMENTOS HABILITANTES</t>
        </is>
      </c>
      <c r="P628" s="10" t="inlineStr">
        <is>
          <t>PUBLICA(1)</t>
        </is>
      </c>
      <c r="Q628" s="10" t="inlineStr">
        <is>
          <t>BAJA(1)</t>
        </is>
      </c>
      <c r="R628" s="10" t="inlineStr">
        <is>
          <t>MEDIA(2)</t>
        </is>
      </c>
      <c r="S628" s="10">
        <f>+(IF(P628="PUBLICA(1)",1,IF(P628="USO INTERNO(2)",2,IF(P628="RESTRINGIDO(3)",3,3))))+(IF(Q628="BAJA(1)",1,IF(Q628="MEDIA(2)",2,IF(Q628="ALTA(3)",3,3))))+(IF(R628="BAJA(1)",1,IF(R628="MEDIA(2)",2,IF(R628="ALTA(3)",3,3))))</f>
        <v/>
      </c>
      <c r="T628" s="10">
        <f>+IF(S628&lt;6,"BAJA",IF(S628&lt;8,"MEDIA","ALTA"))</f>
        <v/>
      </c>
      <c r="U628" s="10" t="inlineStr">
        <is>
          <t>-</t>
        </is>
      </c>
      <c r="V628" s="24" t="n">
        <v>45687</v>
      </c>
      <c r="W628" s="19" t="inlineStr">
        <is>
          <t>N/A</t>
        </is>
      </c>
      <c r="X628" s="10">
        <f>+IFERROR(IF(VLOOKUP(Tabla2[[#This Row],[ID]],'EVALUACION DE RIESGO'!A:A,1,FALSE)=Tabla2[[#This Row],[ID]],"SI","NO"),"NO")</f>
        <v/>
      </c>
      <c r="AD628">
        <f>IF(AND(Y628="",AA628=""),"",IF(OR(LEFT(AA628,2)="L0",LEFT(AA628,2)="L1",Y628="No Iniciado"),"CRÍTICO - Incumplimiento Normativo SEPS",IF(AND(OR(LEFT(AA628,2)="L4",LEFT(AA628,2)="L5"),AND(AC628&lt;&gt;"",AC628&lt;&gt;"N/A")),"CONFORME - Control Efectivo ISO 27001","OBSERVACIÓN - Revisar Controles")))</f>
        <v/>
      </c>
    </row>
    <row r="629">
      <c r="A629" s="99" t="inlineStr">
        <is>
          <t>70-GTH</t>
        </is>
      </c>
      <c r="B629" s="10" t="inlineStr">
        <is>
          <t>APOYO</t>
        </is>
      </c>
      <c r="C629" s="10" t="inlineStr">
        <is>
          <t>Gestión del Talento Humano</t>
        </is>
      </c>
      <c r="D629" s="10" t="inlineStr">
        <is>
          <t>GTH</t>
        </is>
      </c>
      <c r="E629" s="10" t="inlineStr">
        <is>
          <t>Permanencia y Desarrollo del Personal</t>
        </is>
      </c>
      <c r="F629" s="10" t="inlineStr">
        <is>
          <t>-</t>
        </is>
      </c>
      <c r="G629" s="10" t="inlineStr">
        <is>
          <t>Solicitud y aprobación de capacitaciones</t>
        </is>
      </c>
      <c r="H629" s="10" t="inlineStr">
        <is>
          <t>Formulario de evaluaciones del evento de capacitación</t>
        </is>
      </c>
      <c r="I629" s="10" t="inlineStr">
        <is>
          <t>Solicitud realizada por el webcoop y correo electrónico de capacitación, detalla el personal a capacitar y proveedor</t>
        </is>
      </c>
      <c r="J629" s="10" t="inlineStr">
        <is>
          <t>Gerente de Talento Humano</t>
        </is>
      </c>
      <c r="K629" s="10" t="inlineStr">
        <is>
          <t>Analista de Desarrollo</t>
        </is>
      </c>
      <c r="L629" s="10" t="inlineStr">
        <is>
          <t>UBICACIÓN DIGITAL-EQUIPO DEL CUSTODIO</t>
        </is>
      </c>
      <c r="M629" s="10" t="inlineStr">
        <is>
          <t>DISCOS DUROS, SERVIDORES, DISCOS O MEDIOS PORTÁTILES, CINTAS O MEDIOS DE VIDEO Y AUDIO, ETC.</t>
        </is>
      </c>
      <c r="N629" s="10" t="inlineStr">
        <is>
          <t>PRIMARIOS</t>
        </is>
      </c>
      <c r="O629" s="10" t="inlineStr">
        <is>
          <t>COMUNICACIÓN INTERNA</t>
        </is>
      </c>
      <c r="P629" s="10" t="inlineStr">
        <is>
          <t>PUBLICA(1)</t>
        </is>
      </c>
      <c r="Q629" s="10" t="inlineStr">
        <is>
          <t>BAJA(1)</t>
        </is>
      </c>
      <c r="R629" s="10" t="inlineStr">
        <is>
          <t>BAJA(1)</t>
        </is>
      </c>
      <c r="S629" s="10">
        <f>+(IF(P629="PUBLICA(1)",1,IF(P629="USO INTERNO(2)",2,IF(P629="RESTRINGIDO(3)",3,3))))+(IF(Q629="BAJA(1)",1,IF(Q629="MEDIA(2)",2,IF(Q629="ALTA(3)",3,3))))+(IF(R629="BAJA(1)",1,IF(R629="MEDIA(2)",2,IF(R629="ALTA(3)",3,3))))</f>
        <v/>
      </c>
      <c r="T629" s="10">
        <f>+IF(S629&lt;6,"BAJA",IF(S629&lt;8,"MEDIA","ALTA"))</f>
        <v/>
      </c>
      <c r="U629" s="10" t="inlineStr">
        <is>
          <t>-</t>
        </is>
      </c>
      <c r="V629" s="24" t="n">
        <v>45687</v>
      </c>
      <c r="W629" s="19" t="inlineStr">
        <is>
          <t>N/A</t>
        </is>
      </c>
      <c r="X629" s="10">
        <f>+IFERROR(IF(VLOOKUP(Tabla2[[#This Row],[ID]],'EVALUACION DE RIESGO'!A:A,1,FALSE)=Tabla2[[#This Row],[ID]],"SI","NO"),"NO")</f>
        <v/>
      </c>
      <c r="AD629">
        <f>IF(AND(Y629="",AA629=""),"",IF(OR(LEFT(AA629,2)="L0",LEFT(AA629,2)="L1",Y629="No Iniciado"),"CRÍTICO - Incumplimiento Normativo SEPS",IF(AND(OR(LEFT(AA629,2)="L4",LEFT(AA629,2)="L5"),AND(AC629&lt;&gt;"",AC629&lt;&gt;"N/A")),"CONFORME - Control Efectivo ISO 27001","OBSERVACIÓN - Revisar Controles")))</f>
        <v/>
      </c>
    </row>
    <row r="630">
      <c r="A630" s="99" t="inlineStr">
        <is>
          <t>71-GTH</t>
        </is>
      </c>
      <c r="B630" s="10" t="inlineStr">
        <is>
          <t>APOYO</t>
        </is>
      </c>
      <c r="C630" s="10" t="inlineStr">
        <is>
          <t>Gestión del Talento Humano</t>
        </is>
      </c>
      <c r="D630" s="10" t="inlineStr">
        <is>
          <t>GTH</t>
        </is>
      </c>
      <c r="E630" s="10" t="inlineStr">
        <is>
          <t>Permanencia y Desarrollo del Personal</t>
        </is>
      </c>
      <c r="F630" s="10" t="inlineStr">
        <is>
          <t>-</t>
        </is>
      </c>
      <c r="G630" s="10" t="inlineStr">
        <is>
          <t>Solicitud y aprobación de capacitaciones</t>
        </is>
      </c>
      <c r="H630" s="10" t="inlineStr">
        <is>
          <t>File de capacitación</t>
        </is>
      </c>
      <c r="I630" s="10" t="inlineStr">
        <is>
          <t>Conjunto de archivos de respaldo de las capacitaciones, desde su planificación hasta su finalización.(temática, participantes)</t>
        </is>
      </c>
      <c r="J630" s="10" t="inlineStr">
        <is>
          <t>Gerente de Talento Humano</t>
        </is>
      </c>
      <c r="K630" s="10" t="inlineStr">
        <is>
          <t>Analista de Desarrollo</t>
        </is>
      </c>
      <c r="L630" s="10" t="inlineStr">
        <is>
          <t>UBICACIÓN DIGITAL-EQUIPO DEL CUSTODIO</t>
        </is>
      </c>
      <c r="M630" s="10" t="inlineStr">
        <is>
          <t>DISCOS DUROS, SERVIDORES, DISCOS O MEDIOS PORTÁTILES, CINTAS O MEDIOS DE VIDEO Y AUDIO, ETC.</t>
        </is>
      </c>
      <c r="N630" s="10" t="inlineStr">
        <is>
          <t>PRIMARIOS</t>
        </is>
      </c>
      <c r="O630" s="10" t="inlineStr">
        <is>
          <t>DOCUMENTOS TÉCNICOS</t>
        </is>
      </c>
      <c r="P630" s="10" t="inlineStr">
        <is>
          <t>PUBLICA(1)</t>
        </is>
      </c>
      <c r="Q630" s="10" t="inlineStr">
        <is>
          <t>BAJA(1)</t>
        </is>
      </c>
      <c r="R630" s="10" t="inlineStr">
        <is>
          <t>BAJA(1)</t>
        </is>
      </c>
      <c r="S630" s="10">
        <f>+(IF(P630="PUBLICA(1)",1,IF(P630="USO INTERNO(2)",2,IF(P630="RESTRINGIDO(3)",3,3))))+(IF(Q630="BAJA(1)",1,IF(Q630="MEDIA(2)",2,IF(Q630="ALTA(3)",3,3))))+(IF(R630="BAJA(1)",1,IF(R630="MEDIA(2)",2,IF(R630="ALTA(3)",3,3))))</f>
        <v/>
      </c>
      <c r="T630" s="10">
        <f>+IF(S630&lt;6,"BAJA",IF(S630&lt;8,"MEDIA","ALTA"))</f>
        <v/>
      </c>
      <c r="U630" s="10" t="inlineStr">
        <is>
          <t>-</t>
        </is>
      </c>
      <c r="V630" s="24" t="n">
        <v>45687</v>
      </c>
      <c r="W630" s="19" t="inlineStr">
        <is>
          <t>N/A</t>
        </is>
      </c>
      <c r="X630" s="10">
        <f>+IFERROR(IF(VLOOKUP(Tabla2[[#This Row],[ID]],'EVALUACION DE RIESGO'!A:A,1,FALSE)=Tabla2[[#This Row],[ID]],"SI","NO"),"NO")</f>
        <v/>
      </c>
      <c r="AD630">
        <f>IF(AND(Y630="",AA630=""),"",IF(OR(LEFT(AA630,2)="L0",LEFT(AA630,2)="L1",Y630="No Iniciado"),"CRÍTICO - Incumplimiento Normativo SEPS",IF(AND(OR(LEFT(AA630,2)="L4",LEFT(AA630,2)="L5"),AND(AC630&lt;&gt;"",AC630&lt;&gt;"N/A")),"CONFORME - Control Efectivo ISO 27001","OBSERVACIÓN - Revisar Controles")))</f>
        <v/>
      </c>
    </row>
    <row r="631">
      <c r="A631" s="99" t="inlineStr">
        <is>
          <t>72-GTH</t>
        </is>
      </c>
      <c r="B631" s="10" t="inlineStr">
        <is>
          <t>APOYO</t>
        </is>
      </c>
      <c r="C631" s="10" t="inlineStr">
        <is>
          <t>Gestión del Talento Humano</t>
        </is>
      </c>
      <c r="D631" s="10" t="inlineStr">
        <is>
          <t>GTH</t>
        </is>
      </c>
      <c r="E631" s="10" t="inlineStr">
        <is>
          <t>Permanencia y Desarrollo del Personal</t>
        </is>
      </c>
      <c r="F631" s="10" t="inlineStr">
        <is>
          <t>-</t>
        </is>
      </c>
      <c r="G631" s="10" t="inlineStr">
        <is>
          <t>Solicitud y aprobación de capacitaciones</t>
        </is>
      </c>
      <c r="H631" s="10" t="inlineStr">
        <is>
          <t>Matriz de seguimiento de plan de capacitación anual</t>
        </is>
      </c>
      <c r="I631" s="10" t="inlineStr">
        <is>
          <t>Reporte diseñado en Power BI que contiene cumplimiento por horas, departamentos, presupuesto, gastos, horas de capacitación, detalle de curso, grupo ocupacional</t>
        </is>
      </c>
      <c r="J631" s="10" t="inlineStr">
        <is>
          <t>Gerente de Talento Humano</t>
        </is>
      </c>
      <c r="K631" s="10" t="inlineStr">
        <is>
          <t>Analista de Desarrollo</t>
        </is>
      </c>
      <c r="L631" s="10" t="inlineStr">
        <is>
          <t>UBICACIÓN DIGITAL-EQUIPO DEL CUSTODIO</t>
        </is>
      </c>
      <c r="M631" s="10" t="inlineStr">
        <is>
          <t>DISCOS DUROS, SERVIDORES, DISCOS O MEDIOS PORTÁTILES, CINTAS O MEDIOS DE VIDEO Y AUDIO, ETC.</t>
        </is>
      </c>
      <c r="N631" s="10" t="inlineStr">
        <is>
          <t>PRIMARIOS</t>
        </is>
      </c>
      <c r="O631" s="10" t="inlineStr">
        <is>
          <t>DOCUMENTOS TÉCNICOS</t>
        </is>
      </c>
      <c r="P631" s="10" t="inlineStr">
        <is>
          <t>PUBLICA(1)</t>
        </is>
      </c>
      <c r="Q631" s="10" t="inlineStr">
        <is>
          <t>BAJA(1)</t>
        </is>
      </c>
      <c r="R631" s="10" t="inlineStr">
        <is>
          <t>BAJA(1)</t>
        </is>
      </c>
      <c r="S631" s="10">
        <f>+(IF(P631="PUBLICA(1)",1,IF(P631="USO INTERNO(2)",2,IF(P631="RESTRINGIDO(3)",3,3))))+(IF(Q631="BAJA(1)",1,IF(Q631="MEDIA(2)",2,IF(Q631="ALTA(3)",3,3))))+(IF(R631="BAJA(1)",1,IF(R631="MEDIA(2)",2,IF(R631="ALTA(3)",3,3))))</f>
        <v/>
      </c>
      <c r="T631" s="10">
        <f>+IF(S631&lt;6,"BAJA",IF(S631&lt;8,"MEDIA","ALTA"))</f>
        <v/>
      </c>
      <c r="U631" s="10" t="inlineStr">
        <is>
          <t>-</t>
        </is>
      </c>
      <c r="V631" s="24" t="n">
        <v>45687</v>
      </c>
      <c r="W631" s="19" t="inlineStr">
        <is>
          <t>N/A</t>
        </is>
      </c>
      <c r="X631" s="10">
        <f>+IFERROR(IF(VLOOKUP(Tabla2[[#This Row],[ID]],'EVALUACION DE RIESGO'!A:A,1,FALSE)=Tabla2[[#This Row],[ID]],"SI","NO"),"NO")</f>
        <v/>
      </c>
      <c r="AD631">
        <f>IF(AND(Y631="",AA631=""),"",IF(OR(LEFT(AA631,2)="L0",LEFT(AA631,2)="L1",Y631="No Iniciado"),"CRÍTICO - Incumplimiento Normativo SEPS",IF(AND(OR(LEFT(AA631,2)="L4",LEFT(AA631,2)="L5"),AND(AC631&lt;&gt;"",AC631&lt;&gt;"N/A")),"CONFORME - Control Efectivo ISO 27001","OBSERVACIÓN - Revisar Controles")))</f>
        <v/>
      </c>
    </row>
    <row r="632">
      <c r="A632" s="99" t="inlineStr">
        <is>
          <t>73-GTH</t>
        </is>
      </c>
      <c r="B632" s="10" t="inlineStr">
        <is>
          <t>APOYO</t>
        </is>
      </c>
      <c r="C632" s="10" t="inlineStr">
        <is>
          <t>Gestión del Talento Humano</t>
        </is>
      </c>
      <c r="D632" s="10" t="inlineStr">
        <is>
          <t>GTH</t>
        </is>
      </c>
      <c r="E632" s="10" t="inlineStr">
        <is>
          <t>Permanencia y Desarrollo del Personal</t>
        </is>
      </c>
      <c r="F632" s="10" t="inlineStr">
        <is>
          <t>-</t>
        </is>
      </c>
      <c r="G632" s="10" t="inlineStr">
        <is>
          <t xml:space="preserve">Promoción de Personal </t>
        </is>
      </c>
      <c r="H632" s="10" t="inlineStr">
        <is>
          <t>Informe para la promoción de personal por el área requirente</t>
        </is>
      </c>
      <c r="I632" s="10" t="inlineStr">
        <is>
          <t xml:space="preserve">MATRIZ de ajuste al perfil, contiene datos del empleado, criterios de aprobación, Perfil duro, perfil blando, porcentaje resultante de ajuste al cargo </t>
        </is>
      </c>
      <c r="J632" s="10" t="inlineStr">
        <is>
          <t>Gerente de Talento Humano</t>
        </is>
      </c>
      <c r="K632" s="10" t="inlineStr">
        <is>
          <t>Analista de Desarrollo</t>
        </is>
      </c>
      <c r="L632" s="10" t="inlineStr">
        <is>
          <t>UBICACIÓN DIGITAL-EQUIPO DEL CUSTODIO</t>
        </is>
      </c>
      <c r="M632" s="10" t="inlineStr">
        <is>
          <t>DISCOS DUROS, SERVIDORES, DISCOS O MEDIOS PORTÁTILES, CINTAS O MEDIOS DE VIDEO Y AUDIO, ETC.</t>
        </is>
      </c>
      <c r="N632" s="10" t="inlineStr">
        <is>
          <t>PRIMARIOS</t>
        </is>
      </c>
      <c r="O632" s="10" t="inlineStr">
        <is>
          <t>DOCUMENTOS TÉCNICOS</t>
        </is>
      </c>
      <c r="P632" s="10" t="inlineStr">
        <is>
          <t>PUBLICA(1)</t>
        </is>
      </c>
      <c r="Q632" s="10" t="inlineStr">
        <is>
          <t>BAJA(1)</t>
        </is>
      </c>
      <c r="R632" s="10" t="inlineStr">
        <is>
          <t>BAJA(1)</t>
        </is>
      </c>
      <c r="S632" s="10">
        <f>+(IF(P632="PUBLICA(1)",1,IF(P632="USO INTERNO(2)",2,IF(P632="RESTRINGIDO(3)",3,3))))+(IF(Q632="BAJA(1)",1,IF(Q632="MEDIA(2)",2,IF(Q632="ALTA(3)",3,3))))+(IF(R632="BAJA(1)",1,IF(R632="MEDIA(2)",2,IF(R632="ALTA(3)",3,3))))</f>
        <v/>
      </c>
      <c r="T632" s="10">
        <f>+IF(S632&lt;6,"BAJA",IF(S632&lt;8,"MEDIA","ALTA"))</f>
        <v/>
      </c>
      <c r="U632" s="10" t="inlineStr">
        <is>
          <t>-</t>
        </is>
      </c>
      <c r="V632" s="24" t="n">
        <v>45687</v>
      </c>
      <c r="W632" s="19" t="inlineStr">
        <is>
          <t>N/A</t>
        </is>
      </c>
      <c r="X632" s="10">
        <f>+IFERROR(IF(VLOOKUP(Tabla2[[#This Row],[ID]],'EVALUACION DE RIESGO'!A:A,1,FALSE)=Tabla2[[#This Row],[ID]],"SI","NO"),"NO")</f>
        <v/>
      </c>
      <c r="AD632">
        <f>IF(AND(Y632="",AA632=""),"",IF(OR(LEFT(AA632,2)="L0",LEFT(AA632,2)="L1",Y632="No Iniciado"),"CRÍTICO - Incumplimiento Normativo SEPS",IF(AND(OR(LEFT(AA632,2)="L4",LEFT(AA632,2)="L5"),AND(AC632&lt;&gt;"",AC632&lt;&gt;"N/A")),"CONFORME - Control Efectivo ISO 27001","OBSERVACIÓN - Revisar Controles")))</f>
        <v/>
      </c>
    </row>
    <row r="633">
      <c r="A633" s="99" t="inlineStr">
        <is>
          <t>74-GTH</t>
        </is>
      </c>
      <c r="B633" s="10" t="inlineStr">
        <is>
          <t>APOYO</t>
        </is>
      </c>
      <c r="C633" s="10" t="inlineStr">
        <is>
          <t>Gestión del Talento Humano</t>
        </is>
      </c>
      <c r="D633" s="10" t="inlineStr">
        <is>
          <t>GTH</t>
        </is>
      </c>
      <c r="E633" s="10" t="inlineStr">
        <is>
          <t>Permanencia y Desarrollo del Personal</t>
        </is>
      </c>
      <c r="F633" s="10" t="inlineStr">
        <is>
          <t>-</t>
        </is>
      </c>
      <c r="G633" s="10" t="inlineStr">
        <is>
          <t xml:space="preserve">Promoción de Personal </t>
        </is>
      </c>
      <c r="H633" s="10" t="inlineStr">
        <is>
          <t>Adenda al contrato de trabajo</t>
        </is>
      </c>
      <c r="I633" s="10" t="inlineStr">
        <is>
          <t>Adenda del contrato laboral legalizado dando una reforma al contrato inicial.</t>
        </is>
      </c>
      <c r="J633" s="10" t="inlineStr">
        <is>
          <t>Gerente de Talento Humano</t>
        </is>
      </c>
      <c r="K633" s="10" t="inlineStr">
        <is>
          <t>Analista de Nomina</t>
        </is>
      </c>
      <c r="L633" s="10" t="inlineStr">
        <is>
          <t>N/A</t>
        </is>
      </c>
      <c r="M633" s="10" t="inlineStr">
        <is>
          <t>SISTEMAS DE INFORMACIÓN CORPORATIVOS</t>
        </is>
      </c>
      <c r="N633" s="10" t="inlineStr">
        <is>
          <t>PRIMARIOS</t>
        </is>
      </c>
      <c r="O633" s="10" t="inlineStr">
        <is>
          <t>DOCUMENTOS HABILITANTES</t>
        </is>
      </c>
      <c r="P633" s="10" t="inlineStr">
        <is>
          <t>USO INTERNO(2)</t>
        </is>
      </c>
      <c r="Q633" s="10" t="inlineStr">
        <is>
          <t>BAJA(1)</t>
        </is>
      </c>
      <c r="R633" s="10" t="inlineStr">
        <is>
          <t>MEDIA(2)</t>
        </is>
      </c>
      <c r="S633" s="10">
        <f>+(IF(P633="PUBLICA(1)",1,IF(P633="USO INTERNO(2)",2,IF(P633="RESTRINGIDO(3)",3,3))))+(IF(Q633="BAJA(1)",1,IF(Q633="MEDIA(2)",2,IF(Q633="ALTA(3)",3,3))))+(IF(R633="BAJA(1)",1,IF(R633="MEDIA(2)",2,IF(R633="ALTA(3)",3,3))))</f>
        <v/>
      </c>
      <c r="T633" s="10">
        <f>+IF(S633&lt;6,"BAJA",IF(S633&lt;8,"MEDIA","ALTA"))</f>
        <v/>
      </c>
      <c r="U633" s="10" t="inlineStr">
        <is>
          <t>-</t>
        </is>
      </c>
      <c r="V633" s="24" t="n">
        <v>45687</v>
      </c>
      <c r="W633" s="19" t="inlineStr">
        <is>
          <t>N/A</t>
        </is>
      </c>
      <c r="X633" s="10">
        <f>+IFERROR(IF(VLOOKUP(Tabla2[[#This Row],[ID]],'EVALUACION DE RIESGO'!A:A,1,FALSE)=Tabla2[[#This Row],[ID]],"SI","NO"),"NO")</f>
        <v/>
      </c>
      <c r="AD633">
        <f>IF(AND(Y633="",AA633=""),"",IF(OR(LEFT(AA633,2)="L0",LEFT(AA633,2)="L1",Y633="No Iniciado"),"CRÍTICO - Incumplimiento Normativo SEPS",IF(AND(OR(LEFT(AA633,2)="L4",LEFT(AA633,2)="L5"),AND(AC633&lt;&gt;"",AC633&lt;&gt;"N/A")),"CONFORME - Control Efectivo ISO 27001","OBSERVACIÓN - Revisar Controles")))</f>
        <v/>
      </c>
    </row>
    <row r="634">
      <c r="A634" s="99" t="inlineStr">
        <is>
          <t>75-GTH</t>
        </is>
      </c>
      <c r="B634" s="10" t="inlineStr">
        <is>
          <t>APOYO</t>
        </is>
      </c>
      <c r="C634" s="10" t="inlineStr">
        <is>
          <t>Gestión del Talento Humano</t>
        </is>
      </c>
      <c r="D634" s="10" t="inlineStr">
        <is>
          <t>GTH</t>
        </is>
      </c>
      <c r="E634" s="10" t="inlineStr">
        <is>
          <t>Permanencia y Desarrollo del Personal</t>
        </is>
      </c>
      <c r="F634" s="10" t="inlineStr">
        <is>
          <t>-</t>
        </is>
      </c>
      <c r="G634" s="10" t="inlineStr">
        <is>
          <t>Designación de reemplazos y subrogaciones</t>
        </is>
      </c>
      <c r="H634" s="10" t="inlineStr">
        <is>
          <t>Registro de remplazo</t>
        </is>
      </c>
      <c r="I634" s="10" t="inlineStr">
        <is>
          <t>Registro de remplazos implementado en el core financiero</t>
        </is>
      </c>
      <c r="J634" s="10" t="inlineStr">
        <is>
          <t>Gerente de Talento Humano</t>
        </is>
      </c>
      <c r="K634" s="10" t="inlineStr">
        <is>
          <t>Analista de Nomina</t>
        </is>
      </c>
      <c r="L634" s="10" t="inlineStr">
        <is>
          <t>N/A</t>
        </is>
      </c>
      <c r="M634" s="10" t="inlineStr">
        <is>
          <t>SISTEMAS DE INFORMACIÓN CORPORATIVOS</t>
        </is>
      </c>
      <c r="N634" s="10" t="inlineStr">
        <is>
          <t>PRIMARIOS</t>
        </is>
      </c>
      <c r="O634" s="10" t="inlineStr">
        <is>
          <t>DOCUMENTOS HABILITANTES</t>
        </is>
      </c>
      <c r="P634" s="10" t="inlineStr">
        <is>
          <t>PUBLICA(1)</t>
        </is>
      </c>
      <c r="Q634" s="10" t="inlineStr">
        <is>
          <t>BAJA(1)</t>
        </is>
      </c>
      <c r="R634" s="10" t="inlineStr">
        <is>
          <t>MEDIA(2)</t>
        </is>
      </c>
      <c r="S634" s="10">
        <f>+(IF(P634="PUBLICA(1)",1,IF(P634="USO INTERNO(2)",2,IF(P634="RESTRINGIDO(3)",3,3))))+(IF(Q634="BAJA(1)",1,IF(Q634="MEDIA(2)",2,IF(Q634="ALTA(3)",3,3))))+(IF(R634="BAJA(1)",1,IF(R634="MEDIA(2)",2,IF(R634="ALTA(3)",3,3))))</f>
        <v/>
      </c>
      <c r="T634" s="10">
        <f>+IF(S634&lt;6,"BAJA",IF(S634&lt;8,"MEDIA","ALTA"))</f>
        <v/>
      </c>
      <c r="U634" s="10" t="inlineStr">
        <is>
          <t>-</t>
        </is>
      </c>
      <c r="V634" s="24" t="n">
        <v>45687</v>
      </c>
      <c r="W634" s="19" t="inlineStr">
        <is>
          <t>N/A</t>
        </is>
      </c>
      <c r="X634" s="10">
        <f>+IFERROR(IF(VLOOKUP(Tabla2[[#This Row],[ID]],'EVALUACION DE RIESGO'!A:A,1,FALSE)=Tabla2[[#This Row],[ID]],"SI","NO"),"NO")</f>
        <v/>
      </c>
      <c r="AD634">
        <f>IF(AND(Y634="",AA634=""),"",IF(OR(LEFT(AA634,2)="L0",LEFT(AA634,2)="L1",Y634="No Iniciado"),"CRÍTICO - Incumplimiento Normativo SEPS",IF(AND(OR(LEFT(AA634,2)="L4",LEFT(AA634,2)="L5"),AND(AC634&lt;&gt;"",AC634&lt;&gt;"N/A")),"CONFORME - Control Efectivo ISO 27001","OBSERVACIÓN - Revisar Controles")))</f>
        <v/>
      </c>
    </row>
    <row r="635">
      <c r="A635" s="99" t="inlineStr">
        <is>
          <t>76-GTH</t>
        </is>
      </c>
      <c r="B635" s="10" t="inlineStr">
        <is>
          <t>APOYO</t>
        </is>
      </c>
      <c r="C635" s="10" t="inlineStr">
        <is>
          <t>Gestión del Talento Humano</t>
        </is>
      </c>
      <c r="D635" s="10" t="inlineStr">
        <is>
          <t>GTH</t>
        </is>
      </c>
      <c r="E635" s="10" t="inlineStr">
        <is>
          <t>Permanencia y Desarrollo del Personal</t>
        </is>
      </c>
      <c r="F635" s="10" t="inlineStr">
        <is>
          <t>-</t>
        </is>
      </c>
      <c r="G635" s="10" t="inlineStr">
        <is>
          <t>Rotación del personal front Office</t>
        </is>
      </c>
      <c r="H635" s="10" t="inlineStr">
        <is>
          <t>Solicitud de rotación del personal / Acta entrega recepción del cargo</t>
        </is>
      </c>
      <c r="I635" s="10" t="inlineStr">
        <is>
          <t>Solicitud enviada por correo electrónico para la rotación del personal, detalla empleados y oficinas destino</t>
        </is>
      </c>
      <c r="J635" s="10" t="inlineStr">
        <is>
          <t>Gerente de Talento Humano</t>
        </is>
      </c>
      <c r="K635" s="10" t="inlineStr">
        <is>
          <t>Analista de Nomina</t>
        </is>
      </c>
      <c r="L635" s="10" t="inlineStr">
        <is>
          <t>UBICACIÓN DIGITAL-EQUIPO DEL CUSTODIO</t>
        </is>
      </c>
      <c r="M635" s="10" t="inlineStr">
        <is>
          <t>DISCOS DUROS, SERVIDORES, DISCOS O MEDIOS PORTÁTILES, CINTAS O MEDIOS DE VIDEO Y AUDIO, ETC.</t>
        </is>
      </c>
      <c r="N635" s="10" t="inlineStr">
        <is>
          <t>PRIMARIOS</t>
        </is>
      </c>
      <c r="O635" s="10" t="inlineStr">
        <is>
          <t>COMUNICACIÓN INTERNA</t>
        </is>
      </c>
      <c r="P635" s="10" t="inlineStr">
        <is>
          <t>PUBLICA(1)</t>
        </is>
      </c>
      <c r="Q635" s="10" t="inlineStr">
        <is>
          <t>BAJA(1)</t>
        </is>
      </c>
      <c r="R635" s="10" t="inlineStr">
        <is>
          <t>BAJA(1)</t>
        </is>
      </c>
      <c r="S635" s="10">
        <f>+(IF(P635="PUBLICA(1)",1,IF(P635="USO INTERNO(2)",2,IF(P635="RESTRINGIDO(3)",3,3))))+(IF(Q635="BAJA(1)",1,IF(Q635="MEDIA(2)",2,IF(Q635="ALTA(3)",3,3))))+(IF(R635="BAJA(1)",1,IF(R635="MEDIA(2)",2,IF(R635="ALTA(3)",3,3))))</f>
        <v/>
      </c>
      <c r="T635" s="10">
        <f>+IF(S635&lt;6,"BAJA",IF(S635&lt;8,"MEDIA","ALTA"))</f>
        <v/>
      </c>
      <c r="U635" s="10" t="inlineStr">
        <is>
          <t>-</t>
        </is>
      </c>
      <c r="V635" s="24" t="n">
        <v>45687</v>
      </c>
      <c r="W635" s="19" t="inlineStr">
        <is>
          <t>N/A</t>
        </is>
      </c>
      <c r="X635" s="10">
        <f>+IFERROR(IF(VLOOKUP(Tabla2[[#This Row],[ID]],'EVALUACION DE RIESGO'!A:A,1,FALSE)=Tabla2[[#This Row],[ID]],"SI","NO"),"NO")</f>
        <v/>
      </c>
      <c r="AD635">
        <f>IF(AND(Y635="",AA635=""),"",IF(OR(LEFT(AA635,2)="L0",LEFT(AA635,2)="L1",Y635="No Iniciado"),"CRÍTICO - Incumplimiento Normativo SEPS",IF(AND(OR(LEFT(AA635,2)="L4",LEFT(AA635,2)="L5"),AND(AC635&lt;&gt;"",AC635&lt;&gt;"N/A")),"CONFORME - Control Efectivo ISO 27001","OBSERVACIÓN - Revisar Controles")))</f>
        <v/>
      </c>
    </row>
    <row r="636">
      <c r="A636" s="99" t="inlineStr">
        <is>
          <t>77-GTH</t>
        </is>
      </c>
      <c r="B636" s="10" t="inlineStr">
        <is>
          <t>APOYO</t>
        </is>
      </c>
      <c r="C636" s="10" t="inlineStr">
        <is>
          <t>Gestión del Talento Humano</t>
        </is>
      </c>
      <c r="D636" s="10" t="inlineStr">
        <is>
          <t>GTH</t>
        </is>
      </c>
      <c r="E636" s="10" t="inlineStr">
        <is>
          <t>Permanencia y Desarrollo del Personal</t>
        </is>
      </c>
      <c r="F636" s="10" t="inlineStr">
        <is>
          <t>-</t>
        </is>
      </c>
      <c r="G636" s="10" t="inlineStr">
        <is>
          <t>Preparación de nómina</t>
        </is>
      </c>
      <c r="H636" s="10" t="inlineStr">
        <is>
          <t>Registros de rol de pagos</t>
        </is>
      </c>
      <c r="I636" s="10" t="inlineStr">
        <is>
          <t>Rol de pagos consolidado realizado internamente que contiene empleados y valor acreditado</t>
        </is>
      </c>
      <c r="J636" s="10" t="inlineStr">
        <is>
          <t>Gerente de Talento Humano</t>
        </is>
      </c>
      <c r="K636" s="10" t="inlineStr">
        <is>
          <t>Analista de Nomina</t>
        </is>
      </c>
      <c r="L636" s="10" t="inlineStr">
        <is>
          <t>UBICACIÓN DIGITAL-EQUIPO DEL CUSTODIO</t>
        </is>
      </c>
      <c r="M636" s="10" t="inlineStr">
        <is>
          <t>DISCOS DUROS, SERVIDORES, DISCOS O MEDIOS PORTÁTILES, CINTAS O MEDIOS DE VIDEO Y AUDIO, ETC.</t>
        </is>
      </c>
      <c r="N636" s="10" t="inlineStr">
        <is>
          <t>PRIMARIOS</t>
        </is>
      </c>
      <c r="O636" s="10" t="inlineStr">
        <is>
          <t>DOCUMENTOS HABILITANTES</t>
        </is>
      </c>
      <c r="P636" s="10" t="inlineStr">
        <is>
          <t>RESTRINGIDO(3)</t>
        </is>
      </c>
      <c r="Q636" s="10" t="inlineStr">
        <is>
          <t>BAJA(1)</t>
        </is>
      </c>
      <c r="R636" s="10" t="inlineStr">
        <is>
          <t>MEDIA(2)</t>
        </is>
      </c>
      <c r="S636" s="10">
        <f>+(IF(P636="PUBLICA(1)",1,IF(P636="USO INTERNO(2)",2,IF(P636="RESTRINGIDO(3)",3,3))))+(IF(Q636="BAJA(1)",1,IF(Q636="MEDIA(2)",2,IF(Q636="ALTA(3)",3,3))))+(IF(R636="BAJA(1)",1,IF(R636="MEDIA(2)",2,IF(R636="ALTA(3)",3,3))))</f>
        <v/>
      </c>
      <c r="T636" s="10">
        <f>+IF(S636&lt;6,"BAJA",IF(S636&lt;8,"MEDIA","ALTA"))</f>
        <v/>
      </c>
      <c r="U636" s="10" t="inlineStr">
        <is>
          <t>-</t>
        </is>
      </c>
      <c r="V636" s="24" t="n">
        <v>45687</v>
      </c>
      <c r="W636" s="19" t="inlineStr">
        <is>
          <t>N/A</t>
        </is>
      </c>
      <c r="X636" s="10">
        <f>+IFERROR(IF(VLOOKUP(Tabla2[[#This Row],[ID]],'EVALUACION DE RIESGO'!A:A,1,FALSE)=Tabla2[[#This Row],[ID]],"SI","NO"),"NO")</f>
        <v/>
      </c>
      <c r="AD636">
        <f>IF(AND(Y636="",AA636=""),"",IF(OR(LEFT(AA636,2)="L0",LEFT(AA636,2)="L1",Y636="No Iniciado"),"CRÍTICO - Incumplimiento Normativo SEPS",IF(AND(OR(LEFT(AA636,2)="L4",LEFT(AA636,2)="L5"),AND(AC636&lt;&gt;"",AC636&lt;&gt;"N/A")),"CONFORME - Control Efectivo ISO 27001","OBSERVACIÓN - Revisar Controles")))</f>
        <v/>
      </c>
    </row>
    <row r="637">
      <c r="A637" s="99" t="inlineStr">
        <is>
          <t>78-GTH</t>
        </is>
      </c>
      <c r="B637" s="10" t="inlineStr">
        <is>
          <t>APOYO</t>
        </is>
      </c>
      <c r="C637" s="10" t="inlineStr">
        <is>
          <t>Gestión del Talento Humano</t>
        </is>
      </c>
      <c r="D637" s="10" t="inlineStr">
        <is>
          <t>GTH</t>
        </is>
      </c>
      <c r="E637" s="10" t="inlineStr">
        <is>
          <t>Permanencia y Desarrollo del Personal</t>
        </is>
      </c>
      <c r="F637" s="10" t="inlineStr">
        <is>
          <t>-</t>
        </is>
      </c>
      <c r="G637" s="10" t="inlineStr">
        <is>
          <t>Generación y pago de nómina</t>
        </is>
      </c>
      <c r="H637" s="10" t="inlineStr">
        <is>
          <t>Roles de pago y reportes de sustento</t>
        </is>
      </c>
      <c r="I637" s="10" t="inlineStr">
        <is>
          <t>Rol de pagos compartido a las áreas de acreditación de forma quincenal, contiene empleados y valor acreditado</t>
        </is>
      </c>
      <c r="J637" s="10" t="inlineStr">
        <is>
          <t>Gerente de Talento Humano</t>
        </is>
      </c>
      <c r="K637" s="10" t="inlineStr">
        <is>
          <t>Analista de Nomina</t>
        </is>
      </c>
      <c r="L637" s="10" t="inlineStr">
        <is>
          <t>UBICACIÓN DIGITAL-EQUIPO DEL CUSTODIO</t>
        </is>
      </c>
      <c r="M637" s="10" t="inlineStr">
        <is>
          <t>DISCOS DUROS, SERVIDORES, DISCOS O MEDIOS PORTÁTILES, CINTAS O MEDIOS DE VIDEO Y AUDIO, ETC.</t>
        </is>
      </c>
      <c r="N637" s="10" t="inlineStr">
        <is>
          <t>PRIMARIOS</t>
        </is>
      </c>
      <c r="O637" s="10" t="inlineStr">
        <is>
          <t>DOCUMENTOS HABILITANTES</t>
        </is>
      </c>
      <c r="P637" s="10" t="inlineStr">
        <is>
          <t>RESTRINGIDO(3)</t>
        </is>
      </c>
      <c r="Q637" s="10" t="inlineStr">
        <is>
          <t>BAJA(1)</t>
        </is>
      </c>
      <c r="R637" s="10" t="inlineStr">
        <is>
          <t>MEDIA(2)</t>
        </is>
      </c>
      <c r="S637" s="10">
        <f>+(IF(P637="PUBLICA(1)",1,IF(P637="USO INTERNO(2)",2,IF(P637="RESTRINGIDO(3)",3,3))))+(IF(Q637="BAJA(1)",1,IF(Q637="MEDIA(2)",2,IF(Q637="ALTA(3)",3,3))))+(IF(R637="BAJA(1)",1,IF(R637="MEDIA(2)",2,IF(R637="ALTA(3)",3,3))))</f>
        <v/>
      </c>
      <c r="T637" s="10">
        <f>+IF(S637&lt;6,"BAJA",IF(S637&lt;8,"MEDIA","ALTA"))</f>
        <v/>
      </c>
      <c r="U637" s="10" t="inlineStr">
        <is>
          <t>-</t>
        </is>
      </c>
      <c r="V637" s="24" t="n">
        <v>45687</v>
      </c>
      <c r="W637" s="19" t="inlineStr">
        <is>
          <t>N/A</t>
        </is>
      </c>
      <c r="X637" s="10">
        <f>+IFERROR(IF(VLOOKUP(Tabla2[[#This Row],[ID]],'EVALUACION DE RIESGO'!A:A,1,FALSE)=Tabla2[[#This Row],[ID]],"SI","NO"),"NO")</f>
        <v/>
      </c>
      <c r="AD637">
        <f>IF(AND(Y637="",AA637=""),"",IF(OR(LEFT(AA637,2)="L0",LEFT(AA637,2)="L1",Y637="No Iniciado"),"CRÍTICO - Incumplimiento Normativo SEPS",IF(AND(OR(LEFT(AA637,2)="L4",LEFT(AA637,2)="L5"),AND(AC637&lt;&gt;"",AC637&lt;&gt;"N/A")),"CONFORME - Control Efectivo ISO 27001","OBSERVACIÓN - Revisar Controles")))</f>
        <v/>
      </c>
    </row>
    <row r="638">
      <c r="A638" s="99" t="inlineStr">
        <is>
          <t>79-GTH</t>
        </is>
      </c>
      <c r="B638" s="10" t="inlineStr">
        <is>
          <t>APOYO</t>
        </is>
      </c>
      <c r="C638" s="10" t="inlineStr">
        <is>
          <t>Gestión del Talento Humano</t>
        </is>
      </c>
      <c r="D638" s="10" t="inlineStr">
        <is>
          <t>GTH</t>
        </is>
      </c>
      <c r="E638" s="10" t="inlineStr">
        <is>
          <t>Permanencia y Desarrollo del Personal</t>
        </is>
      </c>
      <c r="F638" s="10" t="inlineStr">
        <is>
          <t>-</t>
        </is>
      </c>
      <c r="G638" s="10" t="inlineStr">
        <is>
          <t>Generación y pago de nómina</t>
        </is>
      </c>
      <c r="H638" s="10" t="inlineStr">
        <is>
          <t>Reporte de impuesto a la renta en relación de dependencia</t>
        </is>
      </c>
      <c r="I638" s="10" t="inlineStr">
        <is>
          <t>Reportes de impuestos retenidos y no retenidos obtenido del sistema que contiene datos de empleados y valores</t>
        </is>
      </c>
      <c r="J638" s="10" t="inlineStr">
        <is>
          <t>Gerente de Talento Humano</t>
        </is>
      </c>
      <c r="K638" s="10" t="inlineStr">
        <is>
          <t>Analista de Nomina</t>
        </is>
      </c>
      <c r="L638" s="10" t="inlineStr">
        <is>
          <t>UBICACIÓN DIGITAL-EQUIPO DEL CUSTODIO</t>
        </is>
      </c>
      <c r="M638" s="10" t="inlineStr">
        <is>
          <t>DISCOS DUROS, SERVIDORES, DISCOS O MEDIOS PORTÁTILES, CINTAS O MEDIOS DE VIDEO Y AUDIO, ETC.</t>
        </is>
      </c>
      <c r="N638" s="10" t="inlineStr">
        <is>
          <t>PRIMARIOS</t>
        </is>
      </c>
      <c r="O638" s="10" t="inlineStr">
        <is>
          <t>DOCUMENTOS TÉCNICOS</t>
        </is>
      </c>
      <c r="P638" s="10" t="inlineStr">
        <is>
          <t>USO INTERNO(2)</t>
        </is>
      </c>
      <c r="Q638" s="10" t="inlineStr">
        <is>
          <t>BAJA(1)</t>
        </is>
      </c>
      <c r="R638" s="10" t="inlineStr">
        <is>
          <t>MEDIA(2)</t>
        </is>
      </c>
      <c r="S638" s="10">
        <f>+(IF(P638="PUBLICA(1)",1,IF(P638="USO INTERNO(2)",2,IF(P638="RESTRINGIDO(3)",3,3))))+(IF(Q638="BAJA(1)",1,IF(Q638="MEDIA(2)",2,IF(Q638="ALTA(3)",3,3))))+(IF(R638="BAJA(1)",1,IF(R638="MEDIA(2)",2,IF(R638="ALTA(3)",3,3))))</f>
        <v/>
      </c>
      <c r="T638" s="10">
        <f>+IF(S638&lt;6,"BAJA",IF(S638&lt;8,"MEDIA","ALTA"))</f>
        <v/>
      </c>
      <c r="U638" s="10" t="inlineStr">
        <is>
          <t>-</t>
        </is>
      </c>
      <c r="V638" s="24" t="n">
        <v>45687</v>
      </c>
      <c r="W638" s="19" t="inlineStr">
        <is>
          <t>N/A</t>
        </is>
      </c>
      <c r="X638" s="10">
        <f>+IFERROR(IF(VLOOKUP(Tabla2[[#This Row],[ID]],'EVALUACION DE RIESGO'!A:A,1,FALSE)=Tabla2[[#This Row],[ID]],"SI","NO"),"NO")</f>
        <v/>
      </c>
      <c r="AD638">
        <f>IF(AND(Y638="",AA638=""),"",IF(OR(LEFT(AA638,2)="L0",LEFT(AA638,2)="L1",Y638="No Iniciado"),"CRÍTICO - Incumplimiento Normativo SEPS",IF(AND(OR(LEFT(AA638,2)="L4",LEFT(AA638,2)="L5"),AND(AC638&lt;&gt;"",AC638&lt;&gt;"N/A")),"CONFORME - Control Efectivo ISO 27001","OBSERVACIÓN - Revisar Controles")))</f>
        <v/>
      </c>
    </row>
    <row r="639">
      <c r="A639" s="99" t="inlineStr">
        <is>
          <t>80-GTH</t>
        </is>
      </c>
      <c r="B639" s="10" t="inlineStr">
        <is>
          <t>APOYO</t>
        </is>
      </c>
      <c r="C639" s="10" t="inlineStr">
        <is>
          <t>Gestión del Talento Humano</t>
        </is>
      </c>
      <c r="D639" s="10" t="inlineStr">
        <is>
          <t>GTH</t>
        </is>
      </c>
      <c r="E639" s="10" t="inlineStr">
        <is>
          <t>Permanencia y Desarrollo del Personal</t>
        </is>
      </c>
      <c r="F639" s="10" t="inlineStr">
        <is>
          <t>-</t>
        </is>
      </c>
      <c r="G639" s="10" t="inlineStr">
        <is>
          <t>Generación y pago de nómina</t>
        </is>
      </c>
      <c r="H639" s="10" t="inlineStr">
        <is>
          <t>Solicitud de acreditación de Fondos de Terceros, Jubilaciones Patronales, débitos Gerencia, SUPA.</t>
        </is>
      </c>
      <c r="I639" s="10" t="inlineStr">
        <is>
          <t xml:space="preserve">Memorando de requerimiento de pagos a realizar enviado a contabilidad/contiene información del cliente motivo y valor </t>
        </is>
      </c>
      <c r="J639" s="10" t="inlineStr">
        <is>
          <t>Gerente de Talento Humano</t>
        </is>
      </c>
      <c r="K639" s="10" t="inlineStr">
        <is>
          <t>Analista de Nomina</t>
        </is>
      </c>
      <c r="L639" s="10" t="inlineStr">
        <is>
          <t>UBICACIÓN DIGITAL-EQUIPO DEL CUSTODIO</t>
        </is>
      </c>
      <c r="M639" s="10" t="inlineStr">
        <is>
          <t>DISCOS DUROS, SERVIDORES, DISCOS O MEDIOS PORTÁTILES, CINTAS O MEDIOS DE VIDEO Y AUDIO, ETC.</t>
        </is>
      </c>
      <c r="N639" s="10" t="inlineStr">
        <is>
          <t>PRIMARIOS</t>
        </is>
      </c>
      <c r="O639" s="10" t="inlineStr">
        <is>
          <t>NORMATIVA INTERNA</t>
        </is>
      </c>
      <c r="P639" s="10" t="inlineStr">
        <is>
          <t>USO INTERNO(2)</t>
        </is>
      </c>
      <c r="Q639" s="10" t="inlineStr">
        <is>
          <t>BAJA(1)</t>
        </is>
      </c>
      <c r="R639" s="10" t="inlineStr">
        <is>
          <t>MEDIA(2)</t>
        </is>
      </c>
      <c r="S639" s="10">
        <f>+(IF(P639="PUBLICA(1)",1,IF(P639="USO INTERNO(2)",2,IF(P639="RESTRINGIDO(3)",3,3))))+(IF(Q639="BAJA(1)",1,IF(Q639="MEDIA(2)",2,IF(Q639="ALTA(3)",3,3))))+(IF(R639="BAJA(1)",1,IF(R639="MEDIA(2)",2,IF(R639="ALTA(3)",3,3))))</f>
        <v/>
      </c>
      <c r="T639" s="10">
        <f>+IF(S639&lt;6,"BAJA",IF(S639&lt;8,"MEDIA","ALTA"))</f>
        <v/>
      </c>
      <c r="U639" s="10" t="inlineStr">
        <is>
          <t>-</t>
        </is>
      </c>
      <c r="V639" s="24" t="n">
        <v>45687</v>
      </c>
      <c r="W639" s="19" t="inlineStr">
        <is>
          <t>N/A</t>
        </is>
      </c>
      <c r="X639" s="10">
        <f>+IFERROR(IF(VLOOKUP(Tabla2[[#This Row],[ID]],'EVALUACION DE RIESGO'!A:A,1,FALSE)=Tabla2[[#This Row],[ID]],"SI","NO"),"NO")</f>
        <v/>
      </c>
      <c r="AD639">
        <f>IF(AND(Y639="",AA639=""),"",IF(OR(LEFT(AA639,2)="L0",LEFT(AA639,2)="L1",Y639="No Iniciado"),"CRÍTICO - Incumplimiento Normativo SEPS",IF(AND(OR(LEFT(AA639,2)="L4",LEFT(AA639,2)="L5"),AND(AC639&lt;&gt;"",AC639&lt;&gt;"N/A")),"CONFORME - Control Efectivo ISO 27001","OBSERVACIÓN - Revisar Controles")))</f>
        <v/>
      </c>
    </row>
    <row r="640">
      <c r="A640" s="99" t="inlineStr">
        <is>
          <t>81-GTH</t>
        </is>
      </c>
      <c r="B640" s="10" t="inlineStr">
        <is>
          <t>APOYO</t>
        </is>
      </c>
      <c r="C640" s="10" t="inlineStr">
        <is>
          <t>Gestión del Talento Humano</t>
        </is>
      </c>
      <c r="D640" s="10" t="inlineStr">
        <is>
          <t>GTH</t>
        </is>
      </c>
      <c r="E640" s="10" t="inlineStr">
        <is>
          <t>Permanencia y Desarrollo del Personal</t>
        </is>
      </c>
      <c r="F640" s="10" t="inlineStr">
        <is>
          <t>-</t>
        </is>
      </c>
      <c r="G640" s="10" t="inlineStr">
        <is>
          <t>Pago de viáticos</t>
        </is>
      </c>
      <c r="H640" s="10" t="inlineStr">
        <is>
          <t>Formulario de solicitud de viáticos</t>
        </is>
      </c>
      <c r="I640" s="10" t="inlineStr">
        <is>
          <t xml:space="preserve">Documento físico enviado a contabilidad que contiene información de solicitante, actividades, detalle de facturas, valores, firmas </t>
        </is>
      </c>
      <c r="J640" s="10" t="inlineStr">
        <is>
          <t>Gerente de Talento Humano</t>
        </is>
      </c>
      <c r="K640" s="10" t="inlineStr">
        <is>
          <t>Analista de Nomina</t>
        </is>
      </c>
      <c r="L640" s="10" t="inlineStr">
        <is>
          <t>DOCUMENTOS FISICOS-ARCHIVOS DE LA OFICINA</t>
        </is>
      </c>
      <c r="M640" s="10" t="inlineStr">
        <is>
          <t>DOCUMENTO DE ARCHIVO-FÍSICO</t>
        </is>
      </c>
      <c r="N640" s="10" t="inlineStr">
        <is>
          <t>PRIMARIOS</t>
        </is>
      </c>
      <c r="O640" s="10" t="inlineStr">
        <is>
          <t>DOCUMENTOS TÉCNICOS</t>
        </is>
      </c>
      <c r="P640" s="10" t="inlineStr">
        <is>
          <t>PUBLICA(1)</t>
        </is>
      </c>
      <c r="Q640" s="10" t="inlineStr">
        <is>
          <t>BAJA(1)</t>
        </is>
      </c>
      <c r="R640" s="10" t="inlineStr">
        <is>
          <t>BAJA(1)</t>
        </is>
      </c>
      <c r="S640" s="10">
        <f>+(IF(P640="PUBLICA(1)",1,IF(P640="USO INTERNO(2)",2,IF(P640="RESTRINGIDO(3)",3,3))))+(IF(Q640="BAJA(1)",1,IF(Q640="MEDIA(2)",2,IF(Q640="ALTA(3)",3,3))))+(IF(R640="BAJA(1)",1,IF(R640="MEDIA(2)",2,IF(R640="ALTA(3)",3,3))))</f>
        <v/>
      </c>
      <c r="T640" s="10">
        <f>+IF(S640&lt;6,"BAJA",IF(S640&lt;8,"MEDIA","ALTA"))</f>
        <v/>
      </c>
      <c r="U640" s="10" t="inlineStr">
        <is>
          <t>-</t>
        </is>
      </c>
      <c r="V640" s="24" t="n">
        <v>45687</v>
      </c>
      <c r="W640" s="19" t="inlineStr">
        <is>
          <t>N/A</t>
        </is>
      </c>
      <c r="X640" s="10">
        <f>+IFERROR(IF(VLOOKUP(Tabla2[[#This Row],[ID]],'EVALUACION DE RIESGO'!A:A,1,FALSE)=Tabla2[[#This Row],[ID]],"SI","NO"),"NO")</f>
        <v/>
      </c>
      <c r="AD640">
        <f>IF(AND(Y640="",AA640=""),"",IF(OR(LEFT(AA640,2)="L0",LEFT(AA640,2)="L1",Y640="No Iniciado"),"CRÍTICO - Incumplimiento Normativo SEPS",IF(AND(OR(LEFT(AA640,2)="L4",LEFT(AA640,2)="L5"),AND(AC640&lt;&gt;"",AC640&lt;&gt;"N/A")),"CONFORME - Control Efectivo ISO 27001","OBSERVACIÓN - Revisar Controles")))</f>
        <v/>
      </c>
    </row>
    <row r="641">
      <c r="A641" s="99" t="inlineStr">
        <is>
          <t>82-GTH</t>
        </is>
      </c>
      <c r="B641" s="10" t="inlineStr">
        <is>
          <t>APOYO</t>
        </is>
      </c>
      <c r="C641" s="10" t="inlineStr">
        <is>
          <t>Gestión del Talento Humano</t>
        </is>
      </c>
      <c r="D641" s="10" t="inlineStr">
        <is>
          <t>GTH</t>
        </is>
      </c>
      <c r="E641" s="10" t="inlineStr">
        <is>
          <t>Permanencia y Desarrollo del Personal</t>
        </is>
      </c>
      <c r="F641" s="10" t="inlineStr">
        <is>
          <t>-</t>
        </is>
      </c>
      <c r="G641" s="10" t="inlineStr">
        <is>
          <t>Pago de viáticos</t>
        </is>
      </c>
      <c r="H641" s="10" t="inlineStr">
        <is>
          <t>Comprobantes de venta autorizados</t>
        </is>
      </c>
      <c r="I641" s="10" t="inlineStr">
        <is>
          <t>Comprobantes de facturas y recibos de los gastos realizados</t>
        </is>
      </c>
      <c r="J641" s="10" t="inlineStr">
        <is>
          <t>Gerente de Talento Humano</t>
        </is>
      </c>
      <c r="K641" s="10" t="inlineStr">
        <is>
          <t>Analista de Nomina</t>
        </is>
      </c>
      <c r="L641" s="10" t="inlineStr">
        <is>
          <t>DOCUMENTOS FISICOS-ARCHIVOS DE LA OFICINA</t>
        </is>
      </c>
      <c r="M641" s="10" t="inlineStr">
        <is>
          <t>DOCUMENTO DE ARCHIVO-FÍSICO</t>
        </is>
      </c>
      <c r="N641" s="10" t="inlineStr">
        <is>
          <t>PRIMARIOS</t>
        </is>
      </c>
      <c r="O641" s="10" t="inlineStr">
        <is>
          <t>DOCUMENTOS TÉCNICOS</t>
        </is>
      </c>
      <c r="P641" s="10" t="inlineStr">
        <is>
          <t>USO INTERNO(2)</t>
        </is>
      </c>
      <c r="Q641" s="10" t="inlineStr">
        <is>
          <t>BAJA(1)</t>
        </is>
      </c>
      <c r="R641" s="10" t="inlineStr">
        <is>
          <t>MEDIA(2)</t>
        </is>
      </c>
      <c r="S641" s="10">
        <f>+(IF(P641="PUBLICA(1)",1,IF(P641="USO INTERNO(2)",2,IF(P641="RESTRINGIDO(3)",3,3))))+(IF(Q641="BAJA(1)",1,IF(Q641="MEDIA(2)",2,IF(Q641="ALTA(3)",3,3))))+(IF(R641="BAJA(1)",1,IF(R641="MEDIA(2)",2,IF(R641="ALTA(3)",3,3))))</f>
        <v/>
      </c>
      <c r="T641" s="10">
        <f>+IF(S641&lt;6,"BAJA",IF(S641&lt;8,"MEDIA","ALTA"))</f>
        <v/>
      </c>
      <c r="U641" s="10" t="inlineStr">
        <is>
          <t>-</t>
        </is>
      </c>
      <c r="V641" s="24" t="n">
        <v>45687</v>
      </c>
      <c r="W641" s="19" t="inlineStr">
        <is>
          <t>N/A</t>
        </is>
      </c>
      <c r="X641" s="10">
        <f>+IFERROR(IF(VLOOKUP(Tabla2[[#This Row],[ID]],'EVALUACION DE RIESGO'!A:A,1,FALSE)=Tabla2[[#This Row],[ID]],"SI","NO"),"NO")</f>
        <v/>
      </c>
      <c r="AD641">
        <f>IF(AND(Y641="",AA641=""),"",IF(OR(LEFT(AA641,2)="L0",LEFT(AA641,2)="L1",Y641="No Iniciado"),"CRÍTICO - Incumplimiento Normativo SEPS",IF(AND(OR(LEFT(AA641,2)="L4",LEFT(AA641,2)="L5"),AND(AC641&lt;&gt;"",AC641&lt;&gt;"N/A")),"CONFORME - Control Efectivo ISO 27001","OBSERVACIÓN - Revisar Controles")))</f>
        <v/>
      </c>
    </row>
    <row r="642">
      <c r="A642" s="99" t="inlineStr">
        <is>
          <t>83-GTH</t>
        </is>
      </c>
      <c r="B642" s="10" t="inlineStr">
        <is>
          <t>APOYO</t>
        </is>
      </c>
      <c r="C642" s="10" t="inlineStr">
        <is>
          <t>Gestión del Talento Humano</t>
        </is>
      </c>
      <c r="D642" s="10" t="inlineStr">
        <is>
          <t>GTH</t>
        </is>
      </c>
      <c r="E642" s="10" t="inlineStr">
        <is>
          <t>Permanencia y Desarrollo del Personal</t>
        </is>
      </c>
      <c r="F642" s="10" t="inlineStr">
        <is>
          <t>-</t>
        </is>
      </c>
      <c r="G642" s="10" t="inlineStr">
        <is>
          <t>Pago de viáticos</t>
        </is>
      </c>
      <c r="H642" s="10" t="inlineStr">
        <is>
          <t>Comprobantes de depósito</t>
        </is>
      </c>
      <c r="I642" s="10" t="inlineStr">
        <is>
          <t>Comprobante o factura generada por contabilidad hacia el solicitante</t>
        </is>
      </c>
      <c r="J642" s="10" t="inlineStr">
        <is>
          <t>Gerente de Talento Humano</t>
        </is>
      </c>
      <c r="K642" s="10" t="inlineStr">
        <is>
          <t>Analista de Nomina</t>
        </is>
      </c>
      <c r="L642" s="10" t="inlineStr">
        <is>
          <t>UBICACIÓN DIGITAL-EQUIPO DEL CUSTODIO</t>
        </is>
      </c>
      <c r="M642" s="10" t="inlineStr">
        <is>
          <t>DISCOS DUROS, SERVIDORES, DISCOS O MEDIOS PORTÁTILES, CINTAS O MEDIOS DE VIDEO Y AUDIO, ETC.</t>
        </is>
      </c>
      <c r="N642" s="10" t="inlineStr">
        <is>
          <t>PRIMARIOS</t>
        </is>
      </c>
      <c r="O642" s="10" t="inlineStr">
        <is>
          <t>DOCUMENTOS HABILITANTES</t>
        </is>
      </c>
      <c r="P642" s="10" t="inlineStr">
        <is>
          <t>USO INTERNO(2)</t>
        </is>
      </c>
      <c r="Q642" s="10" t="inlineStr">
        <is>
          <t>BAJA(1)</t>
        </is>
      </c>
      <c r="R642" s="10" t="inlineStr">
        <is>
          <t>MEDIA(2)</t>
        </is>
      </c>
      <c r="S642" s="10">
        <f>+(IF(P642="PUBLICA(1)",1,IF(P642="USO INTERNO(2)",2,IF(P642="RESTRINGIDO(3)",3,3))))+(IF(Q642="BAJA(1)",1,IF(Q642="MEDIA(2)",2,IF(Q642="ALTA(3)",3,3))))+(IF(R642="BAJA(1)",1,IF(R642="MEDIA(2)",2,IF(R642="ALTA(3)",3,3))))</f>
        <v/>
      </c>
      <c r="T642" s="10">
        <f>+IF(S642&lt;6,"BAJA",IF(S642&lt;8,"MEDIA","ALTA"))</f>
        <v/>
      </c>
      <c r="U642" s="10" t="inlineStr">
        <is>
          <t>-</t>
        </is>
      </c>
      <c r="V642" s="24" t="n">
        <v>45687</v>
      </c>
      <c r="W642" s="19" t="inlineStr">
        <is>
          <t>N/A</t>
        </is>
      </c>
      <c r="X642" s="10">
        <f>+IFERROR(IF(VLOOKUP(Tabla2[[#This Row],[ID]],'EVALUACION DE RIESGO'!A:A,1,FALSE)=Tabla2[[#This Row],[ID]],"SI","NO"),"NO")</f>
        <v/>
      </c>
      <c r="AD642">
        <f>IF(AND(Y642="",AA642=""),"",IF(OR(LEFT(AA642,2)="L0",LEFT(AA642,2)="L1",Y642="No Iniciado"),"CRÍTICO - Incumplimiento Normativo SEPS",IF(AND(OR(LEFT(AA642,2)="L4",LEFT(AA642,2)="L5"),AND(AC642&lt;&gt;"",AC642&lt;&gt;"N/A")),"CONFORME - Control Efectivo ISO 27001","OBSERVACIÓN - Revisar Controles")))</f>
        <v/>
      </c>
    </row>
    <row r="643">
      <c r="A643" s="99" t="inlineStr">
        <is>
          <t>84-GTH</t>
        </is>
      </c>
      <c r="B643" s="10" t="inlineStr">
        <is>
          <t>APOYO</t>
        </is>
      </c>
      <c r="C643" s="10" t="inlineStr">
        <is>
          <t>Gestión del Talento Humano</t>
        </is>
      </c>
      <c r="D643" s="10" t="inlineStr">
        <is>
          <t>GTH</t>
        </is>
      </c>
      <c r="E643" s="10" t="inlineStr">
        <is>
          <t>Permanencia y Desarrollo del Personal</t>
        </is>
      </c>
      <c r="F643" s="10" t="inlineStr">
        <is>
          <t>-</t>
        </is>
      </c>
      <c r="G643" s="10" t="inlineStr">
        <is>
          <t>Anticipos de sueldos</t>
        </is>
      </c>
      <c r="H643" s="10" t="inlineStr">
        <is>
          <t>Solicitud de anticipo de sueldo</t>
        </is>
      </c>
      <c r="I643" s="10" t="inlineStr">
        <is>
          <t xml:space="preserve">Registros de solicitud cargados al sistema Webcoop, contiene información del solicitante, motivo y valor </t>
        </is>
      </c>
      <c r="J643" s="10" t="inlineStr">
        <is>
          <t>Gerente de Talento Humano</t>
        </is>
      </c>
      <c r="K643" s="10" t="inlineStr">
        <is>
          <t>Analista de Nomina</t>
        </is>
      </c>
      <c r="L643" s="10" t="inlineStr">
        <is>
          <t>N/A</t>
        </is>
      </c>
      <c r="M643" s="10" t="inlineStr">
        <is>
          <t>SISTEMAS DE INFORMACIÓN CORPORATIVOS</t>
        </is>
      </c>
      <c r="N643" s="10" t="inlineStr">
        <is>
          <t>PRIMARIOS</t>
        </is>
      </c>
      <c r="O643" s="10" t="inlineStr">
        <is>
          <t>DOCUMENTOS TÉCNICOS</t>
        </is>
      </c>
      <c r="P643" s="10" t="inlineStr">
        <is>
          <t>USO INTERNO(2)</t>
        </is>
      </c>
      <c r="Q643" s="10" t="inlineStr">
        <is>
          <t>BAJA(1)</t>
        </is>
      </c>
      <c r="R643" s="10" t="inlineStr">
        <is>
          <t>BAJA(1)</t>
        </is>
      </c>
      <c r="S643" s="10">
        <f>+(IF(P643="PUBLICA(1)",1,IF(P643="USO INTERNO(2)",2,IF(P643="RESTRINGIDO(3)",3,3))))+(IF(Q643="BAJA(1)",1,IF(Q643="MEDIA(2)",2,IF(Q643="ALTA(3)",3,3))))+(IF(R643="BAJA(1)",1,IF(R643="MEDIA(2)",2,IF(R643="ALTA(3)",3,3))))</f>
        <v/>
      </c>
      <c r="T643" s="10">
        <f>+IF(S643&lt;6,"BAJA",IF(S643&lt;8,"MEDIA","ALTA"))</f>
        <v/>
      </c>
      <c r="U643" s="10" t="inlineStr">
        <is>
          <t>-</t>
        </is>
      </c>
      <c r="V643" s="24" t="n">
        <v>45687</v>
      </c>
      <c r="W643" s="19" t="inlineStr">
        <is>
          <t>N/A</t>
        </is>
      </c>
      <c r="X643" s="10">
        <f>+IFERROR(IF(VLOOKUP(Tabla2[[#This Row],[ID]],'EVALUACION DE RIESGO'!A:A,1,FALSE)=Tabla2[[#This Row],[ID]],"SI","NO"),"NO")</f>
        <v/>
      </c>
      <c r="AD643">
        <f>IF(AND(Y643="",AA643=""),"",IF(OR(LEFT(AA643,2)="L0",LEFT(AA643,2)="L1",Y643="No Iniciado"),"CRÍTICO - Incumplimiento Normativo SEPS",IF(AND(OR(LEFT(AA643,2)="L4",LEFT(AA643,2)="L5"),AND(AC643&lt;&gt;"",AC643&lt;&gt;"N/A")),"CONFORME - Control Efectivo ISO 27001","OBSERVACIÓN - Revisar Controles")))</f>
        <v/>
      </c>
    </row>
    <row r="644">
      <c r="A644" s="99" t="inlineStr">
        <is>
          <t>85-GTH</t>
        </is>
      </c>
      <c r="B644" s="10" t="inlineStr">
        <is>
          <t>APOYO</t>
        </is>
      </c>
      <c r="C644" s="10" t="inlineStr">
        <is>
          <t>Gestión del Talento Humano</t>
        </is>
      </c>
      <c r="D644" s="10" t="inlineStr">
        <is>
          <t>GTH</t>
        </is>
      </c>
      <c r="E644" s="10" t="inlineStr">
        <is>
          <t>Permanencia y Desarrollo del Personal</t>
        </is>
      </c>
      <c r="F644" s="10" t="inlineStr">
        <is>
          <t>-</t>
        </is>
      </c>
      <c r="G644" s="10" t="inlineStr">
        <is>
          <t>Anticipos de sueldos</t>
        </is>
      </c>
      <c r="H644" s="10" t="inlineStr">
        <is>
          <t>Nota de crédito por anticipo de sueldo</t>
        </is>
      </c>
      <c r="I644" s="10" t="inlineStr">
        <is>
          <t>Nota de crédito obtenida del sistema FIT, contiene información del solicitante motivo, valor</t>
        </is>
      </c>
      <c r="J644" s="10" t="inlineStr">
        <is>
          <t>Gerente de Talento Humano</t>
        </is>
      </c>
      <c r="K644" s="10" t="inlineStr">
        <is>
          <t>Analista de Nomina</t>
        </is>
      </c>
      <c r="L644" s="10" t="inlineStr">
        <is>
          <t>UBICACIÓN DIGITAL-EQUIPO DEL CUSTODIO</t>
        </is>
      </c>
      <c r="M644" s="10" t="inlineStr">
        <is>
          <t>DISCOS DUROS, SERVIDORES, DISCOS O MEDIOS PORTÁTILES, CINTAS O MEDIOS DE VIDEO Y AUDIO, ETC.</t>
        </is>
      </c>
      <c r="N644" s="10" t="inlineStr">
        <is>
          <t>PRIMARIOS</t>
        </is>
      </c>
      <c r="O644" s="10" t="inlineStr">
        <is>
          <t>DOCUMENTOS HABILITANTES</t>
        </is>
      </c>
      <c r="P644" s="10" t="inlineStr">
        <is>
          <t>USO INTERNO(2)</t>
        </is>
      </c>
      <c r="Q644" s="10" t="inlineStr">
        <is>
          <t>BAJA(1)</t>
        </is>
      </c>
      <c r="R644" s="10" t="inlineStr">
        <is>
          <t>MEDIA(2)</t>
        </is>
      </c>
      <c r="S644" s="10">
        <f>+(IF(P644="PUBLICA(1)",1,IF(P644="USO INTERNO(2)",2,IF(P644="RESTRINGIDO(3)",3,3))))+(IF(Q644="BAJA(1)",1,IF(Q644="MEDIA(2)",2,IF(Q644="ALTA(3)",3,3))))+(IF(R644="BAJA(1)",1,IF(R644="MEDIA(2)",2,IF(R644="ALTA(3)",3,3))))</f>
        <v/>
      </c>
      <c r="T644" s="10">
        <f>+IF(S644&lt;6,"BAJA",IF(S644&lt;8,"MEDIA","ALTA"))</f>
        <v/>
      </c>
      <c r="U644" s="10" t="inlineStr">
        <is>
          <t>-</t>
        </is>
      </c>
      <c r="V644" s="24" t="n">
        <v>45687</v>
      </c>
      <c r="W644" s="19" t="inlineStr">
        <is>
          <t>N/A</t>
        </is>
      </c>
      <c r="X644" s="10">
        <f>+IFERROR(IF(VLOOKUP(Tabla2[[#This Row],[ID]],'EVALUACION DE RIESGO'!A:A,1,FALSE)=Tabla2[[#This Row],[ID]],"SI","NO"),"NO")</f>
        <v/>
      </c>
      <c r="AD644">
        <f>IF(AND(Y644="",AA644=""),"",IF(OR(LEFT(AA644,2)="L0",LEFT(AA644,2)="L1",Y644="No Iniciado"),"CRÍTICO - Incumplimiento Normativo SEPS",IF(AND(OR(LEFT(AA644,2)="L4",LEFT(AA644,2)="L5"),AND(AC644&lt;&gt;"",AC644&lt;&gt;"N/A")),"CONFORME - Control Efectivo ISO 27001","OBSERVACIÓN - Revisar Controles")))</f>
        <v/>
      </c>
    </row>
    <row r="645">
      <c r="A645" s="99" t="inlineStr">
        <is>
          <t>86-GTH</t>
        </is>
      </c>
      <c r="B645" s="10" t="inlineStr">
        <is>
          <t>APOYO</t>
        </is>
      </c>
      <c r="C645" s="10" t="inlineStr">
        <is>
          <t>Gestión del Talento Humano</t>
        </is>
      </c>
      <c r="D645" s="10" t="inlineStr">
        <is>
          <t>GTH</t>
        </is>
      </c>
      <c r="E645" s="10" t="inlineStr">
        <is>
          <t>Permanencia y Desarrollo del Personal</t>
        </is>
      </c>
      <c r="F645" s="10" t="inlineStr">
        <is>
          <t>-</t>
        </is>
      </c>
      <c r="G645" s="10" t="inlineStr">
        <is>
          <t>Anticipos de sueldos</t>
        </is>
      </c>
      <c r="H645" s="10" t="inlineStr">
        <is>
          <t>Registro de anticipo de sueldo</t>
        </is>
      </c>
      <c r="I645" s="10" t="inlineStr">
        <is>
          <t>Registro contable que se realiza en el sistema FIT</t>
        </is>
      </c>
      <c r="J645" s="10" t="inlineStr">
        <is>
          <t>Gerente de Talento Humano</t>
        </is>
      </c>
      <c r="K645" s="10" t="inlineStr">
        <is>
          <t>Analista de Nomina</t>
        </is>
      </c>
      <c r="L645" s="10" t="inlineStr">
        <is>
          <t>UBICACIÓN DIGITAL-EQUIPO DEL CUSTODIO</t>
        </is>
      </c>
      <c r="M645" s="10" t="inlineStr">
        <is>
          <t>DISCOS DUROS, SERVIDORES, DISCOS O MEDIOS PORTÁTILES, CINTAS O MEDIOS DE VIDEO Y AUDIO, ETC.</t>
        </is>
      </c>
      <c r="N645" s="10" t="inlineStr">
        <is>
          <t>PRIMARIOS</t>
        </is>
      </c>
      <c r="O645" s="10" t="inlineStr">
        <is>
          <t>DOCUMENTOS HABILITANTES</t>
        </is>
      </c>
      <c r="P645" s="10" t="inlineStr">
        <is>
          <t>PUBLICA(1)</t>
        </is>
      </c>
      <c r="Q645" s="10" t="inlineStr">
        <is>
          <t>BAJA(1)</t>
        </is>
      </c>
      <c r="R645" s="10" t="inlineStr">
        <is>
          <t>BAJA(1)</t>
        </is>
      </c>
      <c r="S645" s="10">
        <f>+(IF(P645="PUBLICA(1)",1,IF(P645="USO INTERNO(2)",2,IF(P645="RESTRINGIDO(3)",3,3))))+(IF(Q645="BAJA(1)",1,IF(Q645="MEDIA(2)",2,IF(Q645="ALTA(3)",3,3))))+(IF(R645="BAJA(1)",1,IF(R645="MEDIA(2)",2,IF(R645="ALTA(3)",3,3))))</f>
        <v/>
      </c>
      <c r="T645" s="10">
        <f>+IF(S645&lt;6,"BAJA",IF(S645&lt;8,"MEDIA","ALTA"))</f>
        <v/>
      </c>
      <c r="U645" s="10" t="inlineStr">
        <is>
          <t>-</t>
        </is>
      </c>
      <c r="V645" s="24" t="n">
        <v>45687</v>
      </c>
      <c r="W645" s="19" t="inlineStr">
        <is>
          <t>N/A</t>
        </is>
      </c>
      <c r="X645" s="10">
        <f>+IFERROR(IF(VLOOKUP(Tabla2[[#This Row],[ID]],'EVALUACION DE RIESGO'!A:A,1,FALSE)=Tabla2[[#This Row],[ID]],"SI","NO"),"NO")</f>
        <v/>
      </c>
      <c r="AD645">
        <f>IF(AND(Y645="",AA645=""),"",IF(OR(LEFT(AA645,2)="L0",LEFT(AA645,2)="L1",Y645="No Iniciado"),"CRÍTICO - Incumplimiento Normativo SEPS",IF(AND(OR(LEFT(AA645,2)="L4",LEFT(AA645,2)="L5"),AND(AC645&lt;&gt;"",AC645&lt;&gt;"N/A")),"CONFORME - Control Efectivo ISO 27001","OBSERVACIÓN - Revisar Controles")))</f>
        <v/>
      </c>
    </row>
    <row r="646">
      <c r="A646" s="99" t="inlineStr">
        <is>
          <t>87-GTH</t>
        </is>
      </c>
      <c r="B646" s="10" t="inlineStr">
        <is>
          <t>APOYO</t>
        </is>
      </c>
      <c r="C646" s="10" t="inlineStr">
        <is>
          <t>Gestión del Talento Humano</t>
        </is>
      </c>
      <c r="D646" s="10" t="inlineStr">
        <is>
          <t>GTH</t>
        </is>
      </c>
      <c r="E646" s="10" t="inlineStr">
        <is>
          <t>Permanencia y Desarrollo del Personal</t>
        </is>
      </c>
      <c r="F646" s="10" t="inlineStr">
        <is>
          <t>-</t>
        </is>
      </c>
      <c r="G646" s="10" t="inlineStr">
        <is>
          <t>Pago de utilidades</t>
        </is>
      </c>
      <c r="H646" s="10" t="inlineStr">
        <is>
          <t>Rol de participación de utilidades</t>
        </is>
      </c>
      <c r="I646" s="10" t="inlineStr">
        <is>
          <t xml:space="preserve">Archivo digital que se obtiene del sistema FIT, </t>
        </is>
      </c>
      <c r="J646" s="10" t="inlineStr">
        <is>
          <t>Gerente de Talento Humano</t>
        </is>
      </c>
      <c r="K646" s="10" t="inlineStr">
        <is>
          <t>Analista de Nomina</t>
        </is>
      </c>
      <c r="L646" s="10" t="inlineStr">
        <is>
          <t>UBICACIÓN DIGITAL-EQUIPO DEL CUSTODIO</t>
        </is>
      </c>
      <c r="M646" s="10" t="inlineStr">
        <is>
          <t>DISCOS DUROS, SERVIDORES, DISCOS O MEDIOS PORTÁTILES, CINTAS O MEDIOS DE VIDEO Y AUDIO, ETC.</t>
        </is>
      </c>
      <c r="N646" s="10" t="inlineStr">
        <is>
          <t>PRIMARIOS</t>
        </is>
      </c>
      <c r="O646" s="10" t="inlineStr">
        <is>
          <t>DOCUMENTOS TÉCNICOS</t>
        </is>
      </c>
      <c r="P646" s="10" t="inlineStr">
        <is>
          <t>USO INTERNO(2)</t>
        </is>
      </c>
      <c r="Q646" s="10" t="inlineStr">
        <is>
          <t>BAJA(1)</t>
        </is>
      </c>
      <c r="R646" s="10" t="inlineStr">
        <is>
          <t>MEDIA(2)</t>
        </is>
      </c>
      <c r="S646" s="10">
        <f>+(IF(P646="PUBLICA(1)",1,IF(P646="USO INTERNO(2)",2,IF(P646="RESTRINGIDO(3)",3,3))))+(IF(Q646="BAJA(1)",1,IF(Q646="MEDIA(2)",2,IF(Q646="ALTA(3)",3,3))))+(IF(R646="BAJA(1)",1,IF(R646="MEDIA(2)",2,IF(R646="ALTA(3)",3,3))))</f>
        <v/>
      </c>
      <c r="T646" s="10">
        <f>+IF(S646&lt;6,"BAJA",IF(S646&lt;8,"MEDIA","ALTA"))</f>
        <v/>
      </c>
      <c r="U646" s="10" t="inlineStr">
        <is>
          <t>-</t>
        </is>
      </c>
      <c r="V646" s="24" t="n">
        <v>45687</v>
      </c>
      <c r="W646" s="19" t="inlineStr">
        <is>
          <t>N/A</t>
        </is>
      </c>
      <c r="X646" s="10">
        <f>+IFERROR(IF(VLOOKUP(Tabla2[[#This Row],[ID]],'EVALUACION DE RIESGO'!A:A,1,FALSE)=Tabla2[[#This Row],[ID]],"SI","NO"),"NO")</f>
        <v/>
      </c>
      <c r="AD646">
        <f>IF(AND(Y646="",AA646=""),"",IF(OR(LEFT(AA646,2)="L0",LEFT(AA646,2)="L1",Y646="No Iniciado"),"CRÍTICO - Incumplimiento Normativo SEPS",IF(AND(OR(LEFT(AA646,2)="L4",LEFT(AA646,2)="L5"),AND(AC646&lt;&gt;"",AC646&lt;&gt;"N/A")),"CONFORME - Control Efectivo ISO 27001","OBSERVACIÓN - Revisar Controles")))</f>
        <v/>
      </c>
    </row>
    <row r="647">
      <c r="A647" s="99" t="inlineStr">
        <is>
          <t>88-GTH</t>
        </is>
      </c>
      <c r="B647" s="10" t="inlineStr">
        <is>
          <t>APOYO</t>
        </is>
      </c>
      <c r="C647" s="10" t="inlineStr">
        <is>
          <t>Gestión del Talento Humano</t>
        </is>
      </c>
      <c r="D647" s="10" t="inlineStr">
        <is>
          <t>GTH</t>
        </is>
      </c>
      <c r="E647" s="10" t="inlineStr">
        <is>
          <t>Permanencia y Desarrollo del Personal</t>
        </is>
      </c>
      <c r="F647" s="10" t="inlineStr">
        <is>
          <t>-</t>
        </is>
      </c>
      <c r="G647" s="10" t="inlineStr">
        <is>
          <t>Pago de utilidades</t>
        </is>
      </c>
      <c r="H647" s="10" t="inlineStr">
        <is>
          <t>Informe individual sobre el pago de utilidades</t>
        </is>
      </c>
      <c r="I647" s="10" t="inlineStr">
        <is>
          <t>Resumen de participación utilidades institucional, contiene el detalle valor a distribuir, numero de personas, cargas familiares, valores, retenciones por supa, transferencias internas e interbancarias</t>
        </is>
      </c>
      <c r="J647" s="10" t="inlineStr">
        <is>
          <t>Gerente de Talento Humano</t>
        </is>
      </c>
      <c r="K647" s="10" t="inlineStr">
        <is>
          <t>Analista de Nomina</t>
        </is>
      </c>
      <c r="L647" s="10" t="inlineStr">
        <is>
          <t>UBICACIÓN DIGITAL-EQUIPO DEL CUSTODIO</t>
        </is>
      </c>
      <c r="M647" s="10" t="inlineStr">
        <is>
          <t>DISCOS DUROS, SERVIDORES, DISCOS O MEDIOS PORTÁTILES, CINTAS O MEDIOS DE VIDEO Y AUDIO, ETC.</t>
        </is>
      </c>
      <c r="N647" s="10" t="inlineStr">
        <is>
          <t>PRIMARIOS</t>
        </is>
      </c>
      <c r="O647" s="10" t="inlineStr">
        <is>
          <t>DOCUMENTOS TÉCNICOS</t>
        </is>
      </c>
      <c r="P647" s="10" t="inlineStr">
        <is>
          <t>USO INTERNO(2)</t>
        </is>
      </c>
      <c r="Q647" s="10" t="inlineStr">
        <is>
          <t>BAJA(1)</t>
        </is>
      </c>
      <c r="R647" s="10" t="inlineStr">
        <is>
          <t>MEDIA(2)</t>
        </is>
      </c>
      <c r="S647" s="10">
        <f>+(IF(P647="PUBLICA(1)",1,IF(P647="USO INTERNO(2)",2,IF(P647="RESTRINGIDO(3)",3,3))))+(IF(Q647="BAJA(1)",1,IF(Q647="MEDIA(2)",2,IF(Q647="ALTA(3)",3,3))))+(IF(R647="BAJA(1)",1,IF(R647="MEDIA(2)",2,IF(R647="ALTA(3)",3,3))))</f>
        <v/>
      </c>
      <c r="T647" s="10">
        <f>+IF(S647&lt;6,"BAJA",IF(S647&lt;8,"MEDIA","ALTA"))</f>
        <v/>
      </c>
      <c r="U647" s="10" t="inlineStr">
        <is>
          <t>-</t>
        </is>
      </c>
      <c r="V647" s="24" t="n">
        <v>45687</v>
      </c>
      <c r="W647" s="19" t="inlineStr">
        <is>
          <t>N/A</t>
        </is>
      </c>
      <c r="X647" s="10">
        <f>+IFERROR(IF(VLOOKUP(Tabla2[[#This Row],[ID]],'EVALUACION DE RIESGO'!A:A,1,FALSE)=Tabla2[[#This Row],[ID]],"SI","NO"),"NO")</f>
        <v/>
      </c>
      <c r="AD647">
        <f>IF(AND(Y647="",AA647=""),"",IF(OR(LEFT(AA647,2)="L0",LEFT(AA647,2)="L1",Y647="No Iniciado"),"CRÍTICO - Incumplimiento Normativo SEPS",IF(AND(OR(LEFT(AA647,2)="L4",LEFT(AA647,2)="L5"),AND(AC647&lt;&gt;"",AC647&lt;&gt;"N/A")),"CONFORME - Control Efectivo ISO 27001","OBSERVACIÓN - Revisar Controles")))</f>
        <v/>
      </c>
    </row>
    <row r="648">
      <c r="A648" s="99" t="inlineStr">
        <is>
          <t>89-GTH</t>
        </is>
      </c>
      <c r="B648" s="10" t="inlineStr">
        <is>
          <t>APOYO</t>
        </is>
      </c>
      <c r="C648" s="10" t="inlineStr">
        <is>
          <t>Gestión del Talento Humano</t>
        </is>
      </c>
      <c r="D648" s="10" t="inlineStr">
        <is>
          <t>GTH</t>
        </is>
      </c>
      <c r="E648" s="10" t="inlineStr">
        <is>
          <t>Permanencia y Desarrollo del Personal</t>
        </is>
      </c>
      <c r="F648" s="10" t="inlineStr">
        <is>
          <t>-</t>
        </is>
      </c>
      <c r="G648" s="10" t="inlineStr">
        <is>
          <t xml:space="preserve">Política de incentivos </t>
        </is>
      </c>
      <c r="H648" s="10" t="inlineStr">
        <is>
          <t>Propuesta de beneficios</t>
        </is>
      </c>
      <c r="I648" s="10" t="inlineStr">
        <is>
          <t xml:space="preserve">Documento de Reglamento Interno donde se indica los beneficios de los trabajadores donde se enlistan por artículos </t>
        </is>
      </c>
      <c r="J648" s="10" t="inlineStr">
        <is>
          <t>Gerente de Talento Humano</t>
        </is>
      </c>
      <c r="K648" s="10" t="inlineStr">
        <is>
          <t>Analista de Desarrollo</t>
        </is>
      </c>
      <c r="L648" s="10" t="inlineStr">
        <is>
          <t>UBICACIÓN DIGITAL-WEBCOOP</t>
        </is>
      </c>
      <c r="M648" s="10" t="inlineStr">
        <is>
          <t>DOCUMENTO DE ARCHIVO-ELECTRÓNICO</t>
        </is>
      </c>
      <c r="N648" s="10" t="inlineStr">
        <is>
          <t>PRIMARIOS</t>
        </is>
      </c>
      <c r="O648" s="10" t="inlineStr">
        <is>
          <t>DOCUMENTOS TÉCNICOS</t>
        </is>
      </c>
      <c r="P648" s="10" t="inlineStr">
        <is>
          <t>USO INTERNO(2)</t>
        </is>
      </c>
      <c r="Q648" s="10" t="inlineStr">
        <is>
          <t>BAJA(1)</t>
        </is>
      </c>
      <c r="R648" s="10" t="inlineStr">
        <is>
          <t>MEDIA(2)</t>
        </is>
      </c>
      <c r="S648" s="10">
        <f>+(IF(P648="PUBLICA(1)",1,IF(P648="USO INTERNO(2)",2,IF(P648="RESTRINGIDO(3)",3,3))))+(IF(Q648="BAJA(1)",1,IF(Q648="MEDIA(2)",2,IF(Q648="ALTA(3)",3,3))))+(IF(R648="BAJA(1)",1,IF(R648="MEDIA(2)",2,IF(R648="ALTA(3)",3,3))))</f>
        <v/>
      </c>
      <c r="T648" s="10">
        <f>+IF(S648&lt;6,"BAJA",IF(S648&lt;8,"MEDIA","ALTA"))</f>
        <v/>
      </c>
      <c r="U648" s="10" t="inlineStr">
        <is>
          <t>-</t>
        </is>
      </c>
      <c r="V648" s="24" t="n">
        <v>45687</v>
      </c>
      <c r="W648" s="19" t="inlineStr">
        <is>
          <t>N/A</t>
        </is>
      </c>
      <c r="X648" s="10">
        <f>+IFERROR(IF(VLOOKUP(Tabla2[[#This Row],[ID]],'EVALUACION DE RIESGO'!A:A,1,FALSE)=Tabla2[[#This Row],[ID]],"SI","NO"),"NO")</f>
        <v/>
      </c>
      <c r="AD648">
        <f>IF(AND(Y648="",AA648=""),"",IF(OR(LEFT(AA648,2)="L0",LEFT(AA648,2)="L1",Y648="No Iniciado"),"CRÍTICO - Incumplimiento Normativo SEPS",IF(AND(OR(LEFT(AA648,2)="L4",LEFT(AA648,2)="L5"),AND(AC648&lt;&gt;"",AC648&lt;&gt;"N/A")),"CONFORME - Control Efectivo ISO 27001","OBSERVACIÓN - Revisar Controles")))</f>
        <v/>
      </c>
    </row>
    <row r="649">
      <c r="A649" s="99" t="inlineStr">
        <is>
          <t>90-GTH</t>
        </is>
      </c>
      <c r="B649" s="10" t="inlineStr">
        <is>
          <t>APOYO</t>
        </is>
      </c>
      <c r="C649" s="10" t="inlineStr">
        <is>
          <t>Gestión del Talento Humano</t>
        </is>
      </c>
      <c r="D649" s="10" t="inlineStr">
        <is>
          <t>GTH</t>
        </is>
      </c>
      <c r="E649" s="10" t="inlineStr">
        <is>
          <t>Permanencia y Desarrollo del Personal</t>
        </is>
      </c>
      <c r="F649" s="10" t="inlineStr">
        <is>
          <t>-</t>
        </is>
      </c>
      <c r="G649" s="10" t="inlineStr">
        <is>
          <t xml:space="preserve">Política de incentivos </t>
        </is>
      </c>
      <c r="H649" s="10" t="inlineStr">
        <is>
          <t>Certificación del Consejo de Administración</t>
        </is>
      </c>
      <c r="I649" s="10" t="inlineStr">
        <is>
          <t>Certificación emitida por el Consejo de Administración</t>
        </is>
      </c>
      <c r="J649" s="10" t="inlineStr">
        <is>
          <t>Gerente de Talento Humano</t>
        </is>
      </c>
      <c r="K649" s="10" t="inlineStr">
        <is>
          <t>Analista de Desarrollo</t>
        </is>
      </c>
      <c r="L649" s="10" t="inlineStr">
        <is>
          <t>UBICACIÓN DIGITAL-EQUIPO DEL CUSTODIO</t>
        </is>
      </c>
      <c r="M649" s="10" t="inlineStr">
        <is>
          <t>DISCOS DUROS, SERVIDORES, DISCOS O MEDIOS PORTÁTILES, CINTAS O MEDIOS DE VIDEO Y AUDIO, ETC.</t>
        </is>
      </c>
      <c r="N649" s="10" t="inlineStr">
        <is>
          <t>PRIMARIOS</t>
        </is>
      </c>
      <c r="O649" s="10" t="inlineStr">
        <is>
          <t>DOCUMENTOS HABILITANTES</t>
        </is>
      </c>
      <c r="P649" s="10" t="inlineStr">
        <is>
          <t>USO INTERNO(2)</t>
        </is>
      </c>
      <c r="Q649" s="10" t="inlineStr">
        <is>
          <t>BAJA(1)</t>
        </is>
      </c>
      <c r="R649" s="10" t="inlineStr">
        <is>
          <t>MEDIA(2)</t>
        </is>
      </c>
      <c r="S649" s="10">
        <f>+(IF(P649="PUBLICA(1)",1,IF(P649="USO INTERNO(2)",2,IF(P649="RESTRINGIDO(3)",3,3))))+(IF(Q649="BAJA(1)",1,IF(Q649="MEDIA(2)",2,IF(Q649="ALTA(3)",3,3))))+(IF(R649="BAJA(1)",1,IF(R649="MEDIA(2)",2,IF(R649="ALTA(3)",3,3))))</f>
        <v/>
      </c>
      <c r="T649" s="10">
        <f>+IF(S649&lt;6,"BAJA",IF(S649&lt;8,"MEDIA","ALTA"))</f>
        <v/>
      </c>
      <c r="U649" s="10" t="inlineStr">
        <is>
          <t>-</t>
        </is>
      </c>
      <c r="V649" s="24" t="n">
        <v>45687</v>
      </c>
      <c r="W649" s="19" t="inlineStr">
        <is>
          <t>N/A</t>
        </is>
      </c>
      <c r="X649" s="10">
        <f>+IFERROR(IF(VLOOKUP(Tabla2[[#This Row],[ID]],'EVALUACION DE RIESGO'!A:A,1,FALSE)=Tabla2[[#This Row],[ID]],"SI","NO"),"NO")</f>
        <v/>
      </c>
      <c r="AD649">
        <f>IF(AND(Y649="",AA649=""),"",IF(OR(LEFT(AA649,2)="L0",LEFT(AA649,2)="L1",Y649="No Iniciado"),"CRÍTICO - Incumplimiento Normativo SEPS",IF(AND(OR(LEFT(AA649,2)="L4",LEFT(AA649,2)="L5"),AND(AC649&lt;&gt;"",AC649&lt;&gt;"N/A")),"CONFORME - Control Efectivo ISO 27001","OBSERVACIÓN - Revisar Controles")))</f>
        <v/>
      </c>
    </row>
    <row r="650">
      <c r="A650" s="99" t="inlineStr">
        <is>
          <t>91-GTH</t>
        </is>
      </c>
      <c r="B650" s="10" t="inlineStr">
        <is>
          <t>APOYO</t>
        </is>
      </c>
      <c r="C650" s="10" t="inlineStr">
        <is>
          <t>Gestión del Talento Humano</t>
        </is>
      </c>
      <c r="D650" s="10" t="inlineStr">
        <is>
          <t>GTH</t>
        </is>
      </c>
      <c r="E650" s="10" t="inlineStr">
        <is>
          <t>Permanencia y Desarrollo del Personal</t>
        </is>
      </c>
      <c r="F650" s="10" t="inlineStr">
        <is>
          <t>-</t>
        </is>
      </c>
      <c r="G650" s="10" t="inlineStr">
        <is>
          <t>Pago de décimo tercero y  décimo cuarto</t>
        </is>
      </c>
      <c r="H650" s="10" t="inlineStr">
        <is>
          <t>Rol de decimotercero o decimocuarto sueldo</t>
        </is>
      </c>
      <c r="I650" s="10" t="inlineStr">
        <is>
          <t>Archivo de reporte de rol de decimotercero y decimocuarto que contiene información de empleados y valores.</t>
        </is>
      </c>
      <c r="J650" s="10" t="inlineStr">
        <is>
          <t>Gerente de Talento Humano</t>
        </is>
      </c>
      <c r="K650" s="10" t="inlineStr">
        <is>
          <t>Analista de Nomina</t>
        </is>
      </c>
      <c r="L650" s="10" t="inlineStr">
        <is>
          <t>UBICACIÓN DIGITAL-CORE FINANCIERO</t>
        </is>
      </c>
      <c r="M650" s="10" t="inlineStr">
        <is>
          <t>SISTEMAS DE INFORMACIÓN CORPORATIVOS</t>
        </is>
      </c>
      <c r="N650" s="10" t="inlineStr">
        <is>
          <t>PRIMARIOS</t>
        </is>
      </c>
      <c r="O650" s="10" t="inlineStr">
        <is>
          <t>DOCUMENTOS HABILITANTES</t>
        </is>
      </c>
      <c r="P650" s="10" t="inlineStr">
        <is>
          <t>USO INTERNO(2)</t>
        </is>
      </c>
      <c r="Q650" s="10" t="inlineStr">
        <is>
          <t>BAJA(1)</t>
        </is>
      </c>
      <c r="R650" s="10" t="inlineStr">
        <is>
          <t>MEDIA(2)</t>
        </is>
      </c>
      <c r="S650" s="10">
        <f>+(IF(P650="PUBLICA(1)",1,IF(P650="USO INTERNO(2)",2,IF(P650="RESTRINGIDO(3)",3,3))))+(IF(Q650="BAJA(1)",1,IF(Q650="MEDIA(2)",2,IF(Q650="ALTA(3)",3,3))))+(IF(R650="BAJA(1)",1,IF(R650="MEDIA(2)",2,IF(R650="ALTA(3)",3,3))))</f>
        <v/>
      </c>
      <c r="T650" s="10">
        <f>+IF(S650&lt;6,"BAJA",IF(S650&lt;8,"MEDIA","ALTA"))</f>
        <v/>
      </c>
      <c r="U650" s="10" t="inlineStr">
        <is>
          <t>-</t>
        </is>
      </c>
      <c r="V650" s="24" t="n">
        <v>45687</v>
      </c>
      <c r="W650" s="19" t="inlineStr">
        <is>
          <t>N/A</t>
        </is>
      </c>
      <c r="X650" s="10">
        <f>+IFERROR(IF(VLOOKUP(Tabla2[[#This Row],[ID]],'EVALUACION DE RIESGO'!A:A,1,FALSE)=Tabla2[[#This Row],[ID]],"SI","NO"),"NO")</f>
        <v/>
      </c>
      <c r="AD650">
        <f>IF(AND(Y650="",AA650=""),"",IF(OR(LEFT(AA650,2)="L0",LEFT(AA650,2)="L1",Y650="No Iniciado"),"CRÍTICO - Incumplimiento Normativo SEPS",IF(AND(OR(LEFT(AA650,2)="L4",LEFT(AA650,2)="L5"),AND(AC650&lt;&gt;"",AC650&lt;&gt;"N/A")),"CONFORME - Control Efectivo ISO 27001","OBSERVACIÓN - Revisar Controles")))</f>
        <v/>
      </c>
    </row>
    <row r="651">
      <c r="A651" s="99" t="inlineStr">
        <is>
          <t>92-GTH</t>
        </is>
      </c>
      <c r="B651" s="10" t="inlineStr">
        <is>
          <t>APOYO</t>
        </is>
      </c>
      <c r="C651" s="10" t="inlineStr">
        <is>
          <t>Gestión del Talento Humano</t>
        </is>
      </c>
      <c r="D651" s="10" t="inlineStr">
        <is>
          <t>GTH</t>
        </is>
      </c>
      <c r="E651" s="10" t="inlineStr">
        <is>
          <t>Permanencia y Desarrollo del Personal</t>
        </is>
      </c>
      <c r="F651" s="10" t="inlineStr">
        <is>
          <t>-</t>
        </is>
      </c>
      <c r="G651" s="10" t="inlineStr">
        <is>
          <t>Pago de décimo tercero y  décimo cuarto</t>
        </is>
      </c>
      <c r="H651" s="10" t="inlineStr">
        <is>
          <t>Informe individual sobre el pago de decimotercer o decimocuarta remuneración</t>
        </is>
      </c>
      <c r="I651" s="10" t="inlineStr">
        <is>
          <t>Resumen de pagos realizados por empleado</t>
        </is>
      </c>
      <c r="J651" s="10" t="inlineStr">
        <is>
          <t>Gerente de Talento Humano</t>
        </is>
      </c>
      <c r="K651" s="10" t="inlineStr">
        <is>
          <t>Analista de Nomina</t>
        </is>
      </c>
      <c r="L651" s="10" t="inlineStr">
        <is>
          <t>UBICACIÓN DIGITAL-CORE FINANCIERO</t>
        </is>
      </c>
      <c r="M651" s="10" t="inlineStr">
        <is>
          <t>SISTEMAS DE INFORMACIÓN CORPORATIVOS</t>
        </is>
      </c>
      <c r="N651" s="10" t="inlineStr">
        <is>
          <t>PRIMARIOS</t>
        </is>
      </c>
      <c r="O651" s="10" t="inlineStr">
        <is>
          <t>DOCUMENTOS TÉCNICOS</t>
        </is>
      </c>
      <c r="P651" s="10" t="inlineStr">
        <is>
          <t>USO INTERNO(2)</t>
        </is>
      </c>
      <c r="Q651" s="10" t="inlineStr">
        <is>
          <t>BAJA(1)</t>
        </is>
      </c>
      <c r="R651" s="10" t="inlineStr">
        <is>
          <t>MEDIA(2)</t>
        </is>
      </c>
      <c r="S651" s="10">
        <f>+(IF(P651="PUBLICA(1)",1,IF(P651="USO INTERNO(2)",2,IF(P651="RESTRINGIDO(3)",3,3))))+(IF(Q651="BAJA(1)",1,IF(Q651="MEDIA(2)",2,IF(Q651="ALTA(3)",3,3))))+(IF(R651="BAJA(1)",1,IF(R651="MEDIA(2)",2,IF(R651="ALTA(3)",3,3))))</f>
        <v/>
      </c>
      <c r="T651" s="10">
        <f>+IF(S651&lt;6,"BAJA",IF(S651&lt;8,"MEDIA","ALTA"))</f>
        <v/>
      </c>
      <c r="U651" s="10" t="inlineStr">
        <is>
          <t>-</t>
        </is>
      </c>
      <c r="V651" s="24" t="n">
        <v>45687</v>
      </c>
      <c r="W651" s="19" t="inlineStr">
        <is>
          <t>N/A</t>
        </is>
      </c>
      <c r="X651" s="10">
        <f>+IFERROR(IF(VLOOKUP(Tabla2[[#This Row],[ID]],'EVALUACION DE RIESGO'!A:A,1,FALSE)=Tabla2[[#This Row],[ID]],"SI","NO"),"NO")</f>
        <v/>
      </c>
      <c r="AD651">
        <f>IF(AND(Y651="",AA651=""),"",IF(OR(LEFT(AA651,2)="L0",LEFT(AA651,2)="L1",Y651="No Iniciado"),"CRÍTICO - Incumplimiento Normativo SEPS",IF(AND(OR(LEFT(AA651,2)="L4",LEFT(AA651,2)="L5"),AND(AC651&lt;&gt;"",AC651&lt;&gt;"N/A")),"CONFORME - Control Efectivo ISO 27001","OBSERVACIÓN - Revisar Controles")))</f>
        <v/>
      </c>
    </row>
    <row r="652">
      <c r="A652" s="99" t="inlineStr">
        <is>
          <t>93-GTH</t>
        </is>
      </c>
      <c r="B652" s="10" t="inlineStr">
        <is>
          <t>APOYO</t>
        </is>
      </c>
      <c r="C652" s="10" t="inlineStr">
        <is>
          <t>Gestión del Talento Humano</t>
        </is>
      </c>
      <c r="D652" s="10" t="inlineStr">
        <is>
          <t>GTH</t>
        </is>
      </c>
      <c r="E652" s="10" t="inlineStr">
        <is>
          <t>Permanencia y Desarrollo del Personal</t>
        </is>
      </c>
      <c r="F652" s="10" t="inlineStr">
        <is>
          <t>-</t>
        </is>
      </c>
      <c r="G652" s="10" t="inlineStr">
        <is>
          <t>Solicitud de licencias, permisos y vacaciones</t>
        </is>
      </c>
      <c r="H652" s="10" t="inlineStr">
        <is>
          <t>Registro digital del permiso</t>
        </is>
      </c>
      <c r="I652" s="10" t="inlineStr">
        <is>
          <t>Registro que el empleado realiza en el sistema WebCoop, contiene información del solicitante y descripción</t>
        </is>
      </c>
      <c r="J652" s="10" t="inlineStr">
        <is>
          <t>Gerente de Talento Humano</t>
        </is>
      </c>
      <c r="K652" s="10" t="inlineStr">
        <is>
          <t>Analista de Nomina</t>
        </is>
      </c>
      <c r="L652" s="10" t="inlineStr">
        <is>
          <t>UBICACIÓN DIGITAL-CORE FINANCIERO</t>
        </is>
      </c>
      <c r="M652" s="10" t="inlineStr">
        <is>
          <t>SISTEMAS DE INFORMACIÓN CORPORATIVOS</t>
        </is>
      </c>
      <c r="N652" s="10" t="inlineStr">
        <is>
          <t>PRIMARIOS</t>
        </is>
      </c>
      <c r="O652" s="10" t="inlineStr">
        <is>
          <t>DOCUMENTOS TÉCNICOS</t>
        </is>
      </c>
      <c r="P652" s="10" t="inlineStr">
        <is>
          <t>PUBLICA(1)</t>
        </is>
      </c>
      <c r="Q652" s="10" t="inlineStr">
        <is>
          <t>BAJA(1)</t>
        </is>
      </c>
      <c r="R652" s="10" t="inlineStr">
        <is>
          <t>BAJA(1)</t>
        </is>
      </c>
      <c r="S652" s="10">
        <f>+(IF(P652="PUBLICA(1)",1,IF(P652="USO INTERNO(2)",2,IF(P652="RESTRINGIDO(3)",3,3))))+(IF(Q652="BAJA(1)",1,IF(Q652="MEDIA(2)",2,IF(Q652="ALTA(3)",3,3))))+(IF(R652="BAJA(1)",1,IF(R652="MEDIA(2)",2,IF(R652="ALTA(3)",3,3))))</f>
        <v/>
      </c>
      <c r="T652" s="10">
        <f>+IF(S652&lt;6,"BAJA",IF(S652&lt;8,"MEDIA","ALTA"))</f>
        <v/>
      </c>
      <c r="U652" s="10" t="inlineStr">
        <is>
          <t>-</t>
        </is>
      </c>
      <c r="V652" s="24" t="n">
        <v>45687</v>
      </c>
      <c r="W652" s="19" t="inlineStr">
        <is>
          <t>N/A</t>
        </is>
      </c>
      <c r="X652" s="10">
        <f>+IFERROR(IF(VLOOKUP(Tabla2[[#This Row],[ID]],'EVALUACION DE RIESGO'!A:A,1,FALSE)=Tabla2[[#This Row],[ID]],"SI","NO"),"NO")</f>
        <v/>
      </c>
      <c r="AD652">
        <f>IF(AND(Y652="",AA652=""),"",IF(OR(LEFT(AA652,2)="L0",LEFT(AA652,2)="L1",Y652="No Iniciado"),"CRÍTICO - Incumplimiento Normativo SEPS",IF(AND(OR(LEFT(AA652,2)="L4",LEFT(AA652,2)="L5"),AND(AC652&lt;&gt;"",AC652&lt;&gt;"N/A")),"CONFORME - Control Efectivo ISO 27001","OBSERVACIÓN - Revisar Controles")))</f>
        <v/>
      </c>
    </row>
    <row r="653">
      <c r="A653" s="99" t="inlineStr">
        <is>
          <t>94-GTH</t>
        </is>
      </c>
      <c r="B653" s="10" t="inlineStr">
        <is>
          <t>APOYO</t>
        </is>
      </c>
      <c r="C653" s="10" t="inlineStr">
        <is>
          <t>Gestión del Talento Humano</t>
        </is>
      </c>
      <c r="D653" s="10" t="inlineStr">
        <is>
          <t>GTH</t>
        </is>
      </c>
      <c r="E653" s="10" t="inlineStr">
        <is>
          <t>Permanencia y Desarrollo del Personal</t>
        </is>
      </c>
      <c r="F653" s="10" t="inlineStr">
        <is>
          <t>-</t>
        </is>
      </c>
      <c r="G653" s="10" t="inlineStr">
        <is>
          <t>Control de asistencia</t>
        </is>
      </c>
      <c r="H653" s="10" t="inlineStr">
        <is>
          <t>Reporte de asistencias</t>
        </is>
      </c>
      <c r="I653" s="10" t="inlineStr">
        <is>
          <t>Reporte de asistencias que se genere del sistema cuando el empleado ingresa y sale de las oficinas</t>
        </is>
      </c>
      <c r="J653" s="10" t="inlineStr">
        <is>
          <t>Gerente de Talento Humano</t>
        </is>
      </c>
      <c r="K653" s="10" t="inlineStr">
        <is>
          <t>Analista de Nomina</t>
        </is>
      </c>
      <c r="L653" s="10" t="inlineStr">
        <is>
          <t>N/A</t>
        </is>
      </c>
      <c r="M653" s="10" t="inlineStr">
        <is>
          <t>SISTEMAS DE INFORMACIÓN CORPORATIVOS</t>
        </is>
      </c>
      <c r="N653" s="10" t="inlineStr">
        <is>
          <t>PRIMARIOS</t>
        </is>
      </c>
      <c r="O653" s="10" t="inlineStr">
        <is>
          <t>COMUNICACIÓN INTERNA</t>
        </is>
      </c>
      <c r="P653" s="10" t="inlineStr">
        <is>
          <t>PUBLICA(1)</t>
        </is>
      </c>
      <c r="Q653" s="10" t="inlineStr">
        <is>
          <t>BAJA(1)</t>
        </is>
      </c>
      <c r="R653" s="10" t="inlineStr">
        <is>
          <t>MEDIA(2)</t>
        </is>
      </c>
      <c r="S653" s="10">
        <f>+(IF(P653="PUBLICA(1)",1,IF(P653="USO INTERNO(2)",2,IF(P653="RESTRINGIDO(3)",3,3))))+(IF(Q653="BAJA(1)",1,IF(Q653="MEDIA(2)",2,IF(Q653="ALTA(3)",3,3))))+(IF(R653="BAJA(1)",1,IF(R653="MEDIA(2)",2,IF(R653="ALTA(3)",3,3))))</f>
        <v/>
      </c>
      <c r="T653" s="10">
        <f>+IF(S653&lt;6,"BAJA",IF(S653&lt;8,"MEDIA","ALTA"))</f>
        <v/>
      </c>
      <c r="U653" s="10" t="inlineStr">
        <is>
          <t>-</t>
        </is>
      </c>
      <c r="V653" s="24" t="n">
        <v>45687</v>
      </c>
      <c r="W653" s="19" t="inlineStr">
        <is>
          <t>N/A</t>
        </is>
      </c>
      <c r="X653" s="10">
        <f>+IFERROR(IF(VLOOKUP(Tabla2[[#This Row],[ID]],'EVALUACION DE RIESGO'!A:A,1,FALSE)=Tabla2[[#This Row],[ID]],"SI","NO"),"NO")</f>
        <v/>
      </c>
      <c r="AD653">
        <f>IF(AND(Y653="",AA653=""),"",IF(OR(LEFT(AA653,2)="L0",LEFT(AA653,2)="L1",Y653="No Iniciado"),"CRÍTICO - Incumplimiento Normativo SEPS",IF(AND(OR(LEFT(AA653,2)="L4",LEFT(AA653,2)="L5"),AND(AC653&lt;&gt;"",AC653&lt;&gt;"N/A")),"CONFORME - Control Efectivo ISO 27001","OBSERVACIÓN - Revisar Controles")))</f>
        <v/>
      </c>
    </row>
    <row r="654">
      <c r="A654" s="99" t="inlineStr">
        <is>
          <t>95-GTH</t>
        </is>
      </c>
      <c r="B654" s="10" t="inlineStr">
        <is>
          <t>APOYO</t>
        </is>
      </c>
      <c r="C654" s="10" t="inlineStr">
        <is>
          <t>Gestión del Talento Humano</t>
        </is>
      </c>
      <c r="D654" s="10" t="inlineStr">
        <is>
          <t>GTH</t>
        </is>
      </c>
      <c r="E654" s="10" t="inlineStr">
        <is>
          <t>Permanencia y Desarrollo del Personal</t>
        </is>
      </c>
      <c r="F654" s="10" t="inlineStr">
        <is>
          <t>-</t>
        </is>
      </c>
      <c r="G654" s="10" t="inlineStr">
        <is>
          <t>Control del cronograma de vacaciones</t>
        </is>
      </c>
      <c r="H654" s="10" t="inlineStr">
        <is>
          <t>Reporte de vacaciones</t>
        </is>
      </c>
      <c r="I654" s="10" t="inlineStr">
        <is>
          <t>Reporte de salidas obtenida a partir de los registros de solicitud en el sistema WebCoop</t>
        </is>
      </c>
      <c r="J654" s="10" t="inlineStr">
        <is>
          <t>Gerente de Talento Humano</t>
        </is>
      </c>
      <c r="K654" s="10" t="inlineStr">
        <is>
          <t>Analista de Nomina</t>
        </is>
      </c>
      <c r="L654" s="10" t="inlineStr">
        <is>
          <t>UBICACIÓN DIGITAL-CORE FINANCIERO</t>
        </is>
      </c>
      <c r="M654" s="10" t="inlineStr">
        <is>
          <t>SISTEMAS DE INFORMACIÓN CORPORATIVOS</t>
        </is>
      </c>
      <c r="N654" s="10" t="inlineStr">
        <is>
          <t>PRIMARIOS</t>
        </is>
      </c>
      <c r="O654" s="10" t="inlineStr">
        <is>
          <t>COMUNICACIÓN INTERNA</t>
        </is>
      </c>
      <c r="P654" s="10" t="inlineStr">
        <is>
          <t>PUBLICA(1)</t>
        </is>
      </c>
      <c r="Q654" s="10" t="inlineStr">
        <is>
          <t>BAJA(1)</t>
        </is>
      </c>
      <c r="R654" s="10" t="inlineStr">
        <is>
          <t>BAJA(1)</t>
        </is>
      </c>
      <c r="S654" s="10">
        <f>+(IF(P654="PUBLICA(1)",1,IF(P654="USO INTERNO(2)",2,IF(P654="RESTRINGIDO(3)",3,3))))+(IF(Q654="BAJA(1)",1,IF(Q654="MEDIA(2)",2,IF(Q654="ALTA(3)",3,3))))+(IF(R654="BAJA(1)",1,IF(R654="MEDIA(2)",2,IF(R654="ALTA(3)",3,3))))</f>
        <v/>
      </c>
      <c r="T654" s="10">
        <f>+IF(S654&lt;6,"BAJA",IF(S654&lt;8,"MEDIA","ALTA"))</f>
        <v/>
      </c>
      <c r="U654" s="10" t="inlineStr">
        <is>
          <t>-</t>
        </is>
      </c>
      <c r="V654" s="24" t="n">
        <v>45687</v>
      </c>
      <c r="W654" s="19" t="inlineStr">
        <is>
          <t>N/A</t>
        </is>
      </c>
      <c r="X654" s="10">
        <f>+IFERROR(IF(VLOOKUP(Tabla2[[#This Row],[ID]],'EVALUACION DE RIESGO'!A:A,1,FALSE)=Tabla2[[#This Row],[ID]],"SI","NO"),"NO")</f>
        <v/>
      </c>
      <c r="AD654">
        <f>IF(AND(Y654="",AA654=""),"",IF(OR(LEFT(AA654,2)="L0",LEFT(AA654,2)="L1",Y654="No Iniciado"),"CRÍTICO - Incumplimiento Normativo SEPS",IF(AND(OR(LEFT(AA654,2)="L4",LEFT(AA654,2)="L5"),AND(AC654&lt;&gt;"",AC654&lt;&gt;"N/A")),"CONFORME - Control Efectivo ISO 27001","OBSERVACIÓN - Revisar Controles")))</f>
        <v/>
      </c>
    </row>
    <row r="655">
      <c r="A655" s="99" t="inlineStr">
        <is>
          <t>96-GTH</t>
        </is>
      </c>
      <c r="B655" s="10" t="inlineStr">
        <is>
          <t>APOYO</t>
        </is>
      </c>
      <c r="C655" s="10" t="inlineStr">
        <is>
          <t>Gestión del Talento Humano</t>
        </is>
      </c>
      <c r="D655" s="10" t="inlineStr">
        <is>
          <t>GTH</t>
        </is>
      </c>
      <c r="E655" s="10" t="inlineStr">
        <is>
          <t>Permanencia y Desarrollo del Personal</t>
        </is>
      </c>
      <c r="F655" s="10" t="inlineStr">
        <is>
          <t>-</t>
        </is>
      </c>
      <c r="G655" s="10" t="inlineStr">
        <is>
          <t>Control del cronograma de vacaciones</t>
        </is>
      </c>
      <c r="H655" s="10" t="inlineStr">
        <is>
          <t>Informe de salida de vacaciones del personal</t>
        </is>
      </c>
      <c r="I655" s="10" t="inlineStr">
        <is>
          <t>Resumen de solicitudes procesadas</t>
        </is>
      </c>
      <c r="J655" s="10" t="inlineStr">
        <is>
          <t>Gerente de Talento Humano</t>
        </is>
      </c>
      <c r="K655" s="10" t="inlineStr">
        <is>
          <t>Analista de Nomina</t>
        </is>
      </c>
      <c r="L655" s="10" t="inlineStr">
        <is>
          <t>N/A</t>
        </is>
      </c>
      <c r="M655" s="10" t="inlineStr">
        <is>
          <t>SISTEMAS DE INFORMACIÓN CORPORATIVOS</t>
        </is>
      </c>
      <c r="N655" s="10" t="inlineStr">
        <is>
          <t>PRIMARIOS</t>
        </is>
      </c>
      <c r="O655" s="10" t="inlineStr">
        <is>
          <t>COMUNICACIÓN INTERNA</t>
        </is>
      </c>
      <c r="P655" s="10" t="inlineStr">
        <is>
          <t>PUBLICA(1)</t>
        </is>
      </c>
      <c r="Q655" s="10" t="inlineStr">
        <is>
          <t>BAJA(1)</t>
        </is>
      </c>
      <c r="R655" s="10" t="inlineStr">
        <is>
          <t>MEDIA(2)</t>
        </is>
      </c>
      <c r="S655" s="10">
        <f>+(IF(P655="PUBLICA(1)",1,IF(P655="USO INTERNO(2)",2,IF(P655="RESTRINGIDO(3)",3,3))))+(IF(Q655="BAJA(1)",1,IF(Q655="MEDIA(2)",2,IF(Q655="ALTA(3)",3,3))))+(IF(R655="BAJA(1)",1,IF(R655="MEDIA(2)",2,IF(R655="ALTA(3)",3,3))))</f>
        <v/>
      </c>
      <c r="T655" s="10">
        <f>+IF(S655&lt;6,"BAJA",IF(S655&lt;8,"MEDIA","ALTA"))</f>
        <v/>
      </c>
      <c r="U655" s="10" t="inlineStr">
        <is>
          <t>-</t>
        </is>
      </c>
      <c r="V655" s="24" t="n">
        <v>45687</v>
      </c>
      <c r="W655" s="19" t="inlineStr">
        <is>
          <t>N/A</t>
        </is>
      </c>
      <c r="X655" s="10">
        <f>+IFERROR(IF(VLOOKUP(Tabla2[[#This Row],[ID]],'EVALUACION DE RIESGO'!A:A,1,FALSE)=Tabla2[[#This Row],[ID]],"SI","NO"),"NO")</f>
        <v/>
      </c>
      <c r="AD655">
        <f>IF(AND(Y655="",AA655=""),"",IF(OR(LEFT(AA655,2)="L0",LEFT(AA655,2)="L1",Y655="No Iniciado"),"CRÍTICO - Incumplimiento Normativo SEPS",IF(AND(OR(LEFT(AA655,2)="L4",LEFT(AA655,2)="L5"),AND(AC655&lt;&gt;"",AC655&lt;&gt;"N/A")),"CONFORME - Control Efectivo ISO 27001","OBSERVACIÓN - Revisar Controles")))</f>
        <v/>
      </c>
    </row>
    <row r="656">
      <c r="A656" s="99" t="inlineStr">
        <is>
          <t>97-GTH</t>
        </is>
      </c>
      <c r="B656" s="10" t="inlineStr">
        <is>
          <t>APOYO</t>
        </is>
      </c>
      <c r="C656" s="10" t="inlineStr">
        <is>
          <t>Gestión del Talento Humano</t>
        </is>
      </c>
      <c r="D656" s="10" t="inlineStr">
        <is>
          <t>GTH</t>
        </is>
      </c>
      <c r="E656" s="10" t="inlineStr">
        <is>
          <t>Permanencia y Desarrollo del Personal</t>
        </is>
      </c>
      <c r="F656" s="10" t="inlineStr">
        <is>
          <t>-</t>
        </is>
      </c>
      <c r="G656" s="10" t="inlineStr">
        <is>
          <t>Cumplimiento de la política conozca a su empleado administrador</t>
        </is>
      </c>
      <c r="H656" s="10" t="inlineStr">
        <is>
          <t>Análisis para la prevención de lavado de activos de los trabajadores</t>
        </is>
      </c>
      <c r="I656" s="10" t="inlineStr">
        <is>
          <t>Informe de señales de alerta política conozca su colaborador- administrador contiene antecedente, desarrollo, análisis, novedades reportadas por jefes</t>
        </is>
      </c>
      <c r="J656" s="10" t="inlineStr">
        <is>
          <t>Gerente de Talento Humano</t>
        </is>
      </c>
      <c r="K656" s="10" t="inlineStr">
        <is>
          <t>Analista de Nomina</t>
        </is>
      </c>
      <c r="L656" s="10" t="inlineStr">
        <is>
          <t>UBICACIÓN DIGITAL-EQUIPO DEL CUSTODIO</t>
        </is>
      </c>
      <c r="M656" s="10" t="inlineStr">
        <is>
          <t>DISCOS DUROS, SERVIDORES, DISCOS O MEDIOS PORTÁTILES, CINTAS O MEDIOS DE VIDEO Y AUDIO, ETC.</t>
        </is>
      </c>
      <c r="N656" s="10" t="inlineStr">
        <is>
          <t>PRIMARIOS</t>
        </is>
      </c>
      <c r="O656" s="10" t="inlineStr">
        <is>
          <t>DOCUMENTOS TÉCNICOS</t>
        </is>
      </c>
      <c r="P656" s="10" t="inlineStr">
        <is>
          <t>USO INTERNO(2)</t>
        </is>
      </c>
      <c r="Q656" s="10" t="inlineStr">
        <is>
          <t>BAJA(1)</t>
        </is>
      </c>
      <c r="R656" s="10" t="inlineStr">
        <is>
          <t>MEDIA(2)</t>
        </is>
      </c>
      <c r="S656" s="10">
        <f>+(IF(P656="PUBLICA(1)",1,IF(P656="USO INTERNO(2)",2,IF(P656="RESTRINGIDO(3)",3,3))))+(IF(Q656="BAJA(1)",1,IF(Q656="MEDIA(2)",2,IF(Q656="ALTA(3)",3,3))))+(IF(R656="BAJA(1)",1,IF(R656="MEDIA(2)",2,IF(R656="ALTA(3)",3,3))))</f>
        <v/>
      </c>
      <c r="T656" s="10">
        <f>+IF(S656&lt;6,"BAJA",IF(S656&lt;8,"MEDIA","ALTA"))</f>
        <v/>
      </c>
      <c r="U656" s="10" t="inlineStr">
        <is>
          <t>-</t>
        </is>
      </c>
      <c r="V656" s="24" t="n">
        <v>45687</v>
      </c>
      <c r="W656" s="19" t="inlineStr">
        <is>
          <t>N/A</t>
        </is>
      </c>
      <c r="X656" s="10">
        <f>+IFERROR(IF(VLOOKUP(Tabla2[[#This Row],[ID]],'EVALUACION DE RIESGO'!A:A,1,FALSE)=Tabla2[[#This Row],[ID]],"SI","NO"),"NO")</f>
        <v/>
      </c>
      <c r="AD656">
        <f>IF(AND(Y656="",AA656=""),"",IF(OR(LEFT(AA656,2)="L0",LEFT(AA656,2)="L1",Y656="No Iniciado"),"CRÍTICO - Incumplimiento Normativo SEPS",IF(AND(OR(LEFT(AA656,2)="L4",LEFT(AA656,2)="L5"),AND(AC656&lt;&gt;"",AC656&lt;&gt;"N/A")),"CONFORME - Control Efectivo ISO 27001","OBSERVACIÓN - Revisar Controles")))</f>
        <v/>
      </c>
    </row>
    <row r="657">
      <c r="A657" s="99" t="inlineStr">
        <is>
          <t>98-GTH</t>
        </is>
      </c>
      <c r="B657" s="10" t="inlineStr">
        <is>
          <t>APOYO</t>
        </is>
      </c>
      <c r="C657" s="10" t="inlineStr">
        <is>
          <t>Gestión del Talento Humano</t>
        </is>
      </c>
      <c r="D657" s="10" t="inlineStr">
        <is>
          <t>GTH</t>
        </is>
      </c>
      <c r="E657" s="10" t="inlineStr">
        <is>
          <t>Permanencia y Desarrollo del Personal</t>
        </is>
      </c>
      <c r="F657" s="10" t="inlineStr">
        <is>
          <t>-</t>
        </is>
      </c>
      <c r="G657" s="10" t="inlineStr">
        <is>
          <t>Estudio de clima laboral</t>
        </is>
      </c>
      <c r="H657" s="10" t="inlineStr">
        <is>
          <t>Encuestas</t>
        </is>
      </c>
      <c r="I657" s="10" t="inlineStr">
        <is>
          <t>Encuestas realizadas dependiendo de la herramienta de ejecución, puede ser en línea digital o física</t>
        </is>
      </c>
      <c r="J657" s="10" t="inlineStr">
        <is>
          <t>Gerente de Talento Humano</t>
        </is>
      </c>
      <c r="K657" s="10" t="inlineStr">
        <is>
          <t>Analista de Desarrollo</t>
        </is>
      </c>
      <c r="L657" s="10" t="inlineStr">
        <is>
          <t>UBICACIÓN DIGITAL-EQUIPO DEL CUSTODIO</t>
        </is>
      </c>
      <c r="M657" s="10" t="inlineStr">
        <is>
          <t>DISCOS DUROS, SERVIDORES, DISCOS O MEDIOS PORTÁTILES, CINTAS O MEDIOS DE VIDEO Y AUDIO, ETC.</t>
        </is>
      </c>
      <c r="N657" s="10" t="inlineStr">
        <is>
          <t>PRIMARIOS</t>
        </is>
      </c>
      <c r="O657" s="10" t="inlineStr">
        <is>
          <t>COMUNICACIÓN INTERNA</t>
        </is>
      </c>
      <c r="P657" s="10" t="inlineStr">
        <is>
          <t>PUBLICA(1)</t>
        </is>
      </c>
      <c r="Q657" s="10" t="inlineStr">
        <is>
          <t>BAJA(1)</t>
        </is>
      </c>
      <c r="R657" s="10" t="inlineStr">
        <is>
          <t>BAJA(1)</t>
        </is>
      </c>
      <c r="S657" s="10">
        <f>+(IF(P657="PUBLICA(1)",1,IF(P657="USO INTERNO(2)",2,IF(P657="RESTRINGIDO(3)",3,3))))+(IF(Q657="BAJA(1)",1,IF(Q657="MEDIA(2)",2,IF(Q657="ALTA(3)",3,3))))+(IF(R657="BAJA(1)",1,IF(R657="MEDIA(2)",2,IF(R657="ALTA(3)",3,3))))</f>
        <v/>
      </c>
      <c r="T657" s="10">
        <f>+IF(S657&lt;6,"BAJA",IF(S657&lt;8,"MEDIA","ALTA"))</f>
        <v/>
      </c>
      <c r="U657" s="10" t="inlineStr">
        <is>
          <t>-</t>
        </is>
      </c>
      <c r="V657" s="24" t="n">
        <v>45687</v>
      </c>
      <c r="W657" s="19" t="inlineStr">
        <is>
          <t>N/A</t>
        </is>
      </c>
      <c r="X657" s="10">
        <f>+IFERROR(IF(VLOOKUP(Tabla2[[#This Row],[ID]],'EVALUACION DE RIESGO'!A:A,1,FALSE)=Tabla2[[#This Row],[ID]],"SI","NO"),"NO")</f>
        <v/>
      </c>
      <c r="AD657">
        <f>IF(AND(Y657="",AA657=""),"",IF(OR(LEFT(AA657,2)="L0",LEFT(AA657,2)="L1",Y657="No Iniciado"),"CRÍTICO - Incumplimiento Normativo SEPS",IF(AND(OR(LEFT(AA657,2)="L4",LEFT(AA657,2)="L5"),AND(AC657&lt;&gt;"",AC657&lt;&gt;"N/A")),"CONFORME - Control Efectivo ISO 27001","OBSERVACIÓN - Revisar Controles")))</f>
        <v/>
      </c>
    </row>
    <row r="658">
      <c r="A658" s="99" t="inlineStr">
        <is>
          <t>99-GTH</t>
        </is>
      </c>
      <c r="B658" s="10" t="inlineStr">
        <is>
          <t>APOYO</t>
        </is>
      </c>
      <c r="C658" s="10" t="inlineStr">
        <is>
          <t>Gestión del Talento Humano</t>
        </is>
      </c>
      <c r="D658" s="10" t="inlineStr">
        <is>
          <t>GTH</t>
        </is>
      </c>
      <c r="E658" s="10" t="inlineStr">
        <is>
          <t>Permanencia y Desarrollo del Personal</t>
        </is>
      </c>
      <c r="F658" s="10" t="inlineStr">
        <is>
          <t>-</t>
        </is>
      </c>
      <c r="G658" s="10" t="inlineStr">
        <is>
          <t>Estudio de clima laboral</t>
        </is>
      </c>
      <c r="H658" s="10" t="inlineStr">
        <is>
          <t>Informe de resultados del clima laboral</t>
        </is>
      </c>
      <c r="I658" s="10" t="inlineStr">
        <is>
          <t>Informe estado del clima laboral, contiene objetivos y criterios, población, resultados comparativos, resultados de factores de la cooperativa, factores de medición, demografía, resultados por área, agencia, fortalezas y oportunidades de mejora</t>
        </is>
      </c>
      <c r="J658" s="10" t="inlineStr">
        <is>
          <t>Gerente de Talento Humano</t>
        </is>
      </c>
      <c r="K658" s="10" t="inlineStr">
        <is>
          <t>Analista de Desarrollo</t>
        </is>
      </c>
      <c r="L658" s="10" t="inlineStr">
        <is>
          <t>UBICACIÓN DIGITAL-EQUIPO DEL CUSTODIO</t>
        </is>
      </c>
      <c r="M658" s="10" t="inlineStr">
        <is>
          <t>DISCOS DUROS, SERVIDORES, DISCOS O MEDIOS PORTÁTILES, CINTAS O MEDIOS DE VIDEO Y AUDIO, ETC.</t>
        </is>
      </c>
      <c r="N658" s="10" t="inlineStr">
        <is>
          <t>PRIMARIOS</t>
        </is>
      </c>
      <c r="O658" s="10" t="inlineStr">
        <is>
          <t>DOCUMENTOS TÉCNICOS</t>
        </is>
      </c>
      <c r="P658" s="10" t="inlineStr">
        <is>
          <t>USO INTERNO(2)</t>
        </is>
      </c>
      <c r="Q658" s="10" t="inlineStr">
        <is>
          <t>BAJA(1)</t>
        </is>
      </c>
      <c r="R658" s="10" t="inlineStr">
        <is>
          <t>BAJA(1)</t>
        </is>
      </c>
      <c r="S658" s="10">
        <f>+(IF(P658="PUBLICA(1)",1,IF(P658="USO INTERNO(2)",2,IF(P658="RESTRINGIDO(3)",3,3))))+(IF(Q658="BAJA(1)",1,IF(Q658="MEDIA(2)",2,IF(Q658="ALTA(3)",3,3))))+(IF(R658="BAJA(1)",1,IF(R658="MEDIA(2)",2,IF(R658="ALTA(3)",3,3))))</f>
        <v/>
      </c>
      <c r="T658" s="10">
        <f>+IF(S658&lt;6,"BAJA",IF(S658&lt;8,"MEDIA","ALTA"))</f>
        <v/>
      </c>
      <c r="U658" s="10" t="inlineStr">
        <is>
          <t>-</t>
        </is>
      </c>
      <c r="V658" s="24" t="n">
        <v>45687</v>
      </c>
      <c r="W658" s="19" t="inlineStr">
        <is>
          <t>N/A</t>
        </is>
      </c>
      <c r="X658" s="10">
        <f>+IFERROR(IF(VLOOKUP(Tabla2[[#This Row],[ID]],'EVALUACION DE RIESGO'!A:A,1,FALSE)=Tabla2[[#This Row],[ID]],"SI","NO"),"NO")</f>
        <v/>
      </c>
      <c r="AD658">
        <f>IF(AND(Y658="",AA658=""),"",IF(OR(LEFT(AA658,2)="L0",LEFT(AA658,2)="L1",Y658="No Iniciado"),"CRÍTICO - Incumplimiento Normativo SEPS",IF(AND(OR(LEFT(AA658,2)="L4",LEFT(AA658,2)="L5"),AND(AC658&lt;&gt;"",AC658&lt;&gt;"N/A")),"CONFORME - Control Efectivo ISO 27001","OBSERVACIÓN - Revisar Controles")))</f>
        <v/>
      </c>
    </row>
    <row r="659">
      <c r="A659" s="99" t="inlineStr">
        <is>
          <t>100-GTH</t>
        </is>
      </c>
      <c r="B659" s="10" t="inlineStr">
        <is>
          <t>APOYO</t>
        </is>
      </c>
      <c r="C659" s="10" t="inlineStr">
        <is>
          <t>Gestión del Talento Humano</t>
        </is>
      </c>
      <c r="D659" s="10" t="inlineStr">
        <is>
          <t>GTH</t>
        </is>
      </c>
      <c r="E659" s="10" t="inlineStr">
        <is>
          <t>Permanencia y Desarrollo del Personal</t>
        </is>
      </c>
      <c r="F659" s="10" t="inlineStr">
        <is>
          <t>-</t>
        </is>
      </c>
      <c r="G659" s="10" t="inlineStr">
        <is>
          <t>Generación del reporte para RDEP</t>
        </is>
      </c>
      <c r="H659" s="10" t="inlineStr">
        <is>
          <t>Formulario 107</t>
        </is>
      </c>
      <c r="I659" s="10" t="inlineStr">
        <is>
          <t>Formularios con información de empleados que contiene ingresos y gastos en el ultimo año.</t>
        </is>
      </c>
      <c r="J659" s="10" t="inlineStr">
        <is>
          <t>Gerente de Talento Humano</t>
        </is>
      </c>
      <c r="K659" s="10" t="inlineStr">
        <is>
          <t>Analista de Nomina</t>
        </is>
      </c>
      <c r="L659" s="10" t="inlineStr">
        <is>
          <t>UBICACIÓN DIGITAL-EQUIPO DEL CUSTODIO</t>
        </is>
      </c>
      <c r="M659" s="10" t="inlineStr">
        <is>
          <t>DOCUMENTO DE ARCHIVO-FÍSICO</t>
        </is>
      </c>
      <c r="N659" s="10" t="inlineStr">
        <is>
          <t>PRIMARIOS</t>
        </is>
      </c>
      <c r="O659" s="10" t="inlineStr">
        <is>
          <t>DOCUMENTOS TÉCNICOS</t>
        </is>
      </c>
      <c r="P659" s="10" t="inlineStr">
        <is>
          <t>USO INTERNO(2)</t>
        </is>
      </c>
      <c r="Q659" s="10" t="inlineStr">
        <is>
          <t>BAJA(1)</t>
        </is>
      </c>
      <c r="R659" s="10" t="inlineStr">
        <is>
          <t>MEDIA(2)</t>
        </is>
      </c>
      <c r="S659" s="10">
        <f>+(IF(P659="PUBLICA(1)",1,IF(P659="USO INTERNO(2)",2,IF(P659="RESTRINGIDO(3)",3,3))))+(IF(Q659="BAJA(1)",1,IF(Q659="MEDIA(2)",2,IF(Q659="ALTA(3)",3,3))))+(IF(R659="BAJA(1)",1,IF(R659="MEDIA(2)",2,IF(R659="ALTA(3)",3,3))))</f>
        <v/>
      </c>
      <c r="T659" s="10">
        <f>+IF(S659&lt;6,"BAJA",IF(S659&lt;8,"MEDIA","ALTA"))</f>
        <v/>
      </c>
      <c r="U659" s="10" t="inlineStr">
        <is>
          <t>-</t>
        </is>
      </c>
      <c r="V659" s="24" t="n">
        <v>45687</v>
      </c>
      <c r="W659" s="19" t="inlineStr">
        <is>
          <t>N/A</t>
        </is>
      </c>
      <c r="X659" s="10">
        <f>+IFERROR(IF(VLOOKUP(Tabla2[[#This Row],[ID]],'EVALUACION DE RIESGO'!A:A,1,FALSE)=Tabla2[[#This Row],[ID]],"SI","NO"),"NO")</f>
        <v/>
      </c>
      <c r="AD659">
        <f>IF(AND(Y659="",AA659=""),"",IF(OR(LEFT(AA659,2)="L0",LEFT(AA659,2)="L1",Y659="No Iniciado"),"CRÍTICO - Incumplimiento Normativo SEPS",IF(AND(OR(LEFT(AA659,2)="L4",LEFT(AA659,2)="L5"),AND(AC659&lt;&gt;"",AC659&lt;&gt;"N/A")),"CONFORME - Control Efectivo ISO 27001","OBSERVACIÓN - Revisar Controles")))</f>
        <v/>
      </c>
    </row>
    <row r="660">
      <c r="A660" s="99" t="inlineStr">
        <is>
          <t>101-GTH</t>
        </is>
      </c>
      <c r="B660" s="10" t="inlineStr">
        <is>
          <t>APOYO</t>
        </is>
      </c>
      <c r="C660" s="10" t="inlineStr">
        <is>
          <t>Gestión del Talento Humano</t>
        </is>
      </c>
      <c r="D660" s="10" t="inlineStr">
        <is>
          <t>GTH</t>
        </is>
      </c>
      <c r="E660" s="10" t="inlineStr">
        <is>
          <t>Permanencia y Desarrollo del Personal</t>
        </is>
      </c>
      <c r="F660" s="10" t="inlineStr">
        <is>
          <t>-</t>
        </is>
      </c>
      <c r="G660" s="10" t="inlineStr">
        <is>
          <t>Estudio de Cultura Laboral</t>
        </is>
      </c>
      <c r="H660" s="10" t="inlineStr">
        <is>
          <t>Encuestas</t>
        </is>
      </c>
      <c r="I660" s="10" t="inlineStr">
        <is>
          <t>Encuestas realizadas dependiendo de la herramienta de ejecución, puede ser en línea digital o física</t>
        </is>
      </c>
      <c r="J660" s="10" t="inlineStr">
        <is>
          <t>Gerente de Talento Humano</t>
        </is>
      </c>
      <c r="K660" s="10" t="inlineStr">
        <is>
          <t>Analista de Desarrollo</t>
        </is>
      </c>
      <c r="L660" s="10" t="inlineStr">
        <is>
          <t>UBICACIÓN DIGITAL-EQUIPO DEL CUSTODIO</t>
        </is>
      </c>
      <c r="M660" s="10" t="inlineStr">
        <is>
          <t>DISCOS DUROS, SERVIDORES, DISCOS O MEDIOS PORTÁTILES, CINTAS O MEDIOS DE VIDEO Y AUDIO, ETC.</t>
        </is>
      </c>
      <c r="N660" s="10" t="inlineStr">
        <is>
          <t>PRIMARIOS</t>
        </is>
      </c>
      <c r="O660" s="10" t="inlineStr">
        <is>
          <t>COMUNICACIÓN INTERNA</t>
        </is>
      </c>
      <c r="P660" s="10" t="inlineStr">
        <is>
          <t>PUBLICA(1)</t>
        </is>
      </c>
      <c r="Q660" s="10" t="inlineStr">
        <is>
          <t>BAJA(1)</t>
        </is>
      </c>
      <c r="R660" s="10" t="inlineStr">
        <is>
          <t>BAJA(1)</t>
        </is>
      </c>
      <c r="S660" s="10">
        <f>+(IF(P660="PUBLICA(1)",1,IF(P660="USO INTERNO(2)",2,IF(P660="RESTRINGIDO(3)",3,3))))+(IF(Q660="BAJA(1)",1,IF(Q660="MEDIA(2)",2,IF(Q660="ALTA(3)",3,3))))+(IF(R660="BAJA(1)",1,IF(R660="MEDIA(2)",2,IF(R660="ALTA(3)",3,3))))</f>
        <v/>
      </c>
      <c r="T660" s="10">
        <f>+IF(S660&lt;6,"BAJA",IF(S660&lt;8,"MEDIA","ALTA"))</f>
        <v/>
      </c>
      <c r="U660" s="10" t="inlineStr">
        <is>
          <t>-</t>
        </is>
      </c>
      <c r="V660" s="24" t="n">
        <v>45687</v>
      </c>
      <c r="W660" s="19" t="inlineStr">
        <is>
          <t>N/A</t>
        </is>
      </c>
      <c r="X660" s="10">
        <f>+IFERROR(IF(VLOOKUP(Tabla2[[#This Row],[ID]],'EVALUACION DE RIESGO'!A:A,1,FALSE)=Tabla2[[#This Row],[ID]],"SI","NO"),"NO")</f>
        <v/>
      </c>
      <c r="AD660">
        <f>IF(AND(Y660="",AA660=""),"",IF(OR(LEFT(AA660,2)="L0",LEFT(AA660,2)="L1",Y660="No Iniciado"),"CRÍTICO - Incumplimiento Normativo SEPS",IF(AND(OR(LEFT(AA660,2)="L4",LEFT(AA660,2)="L5"),AND(AC660&lt;&gt;"",AC660&lt;&gt;"N/A")),"CONFORME - Control Efectivo ISO 27001","OBSERVACIÓN - Revisar Controles")))</f>
        <v/>
      </c>
    </row>
    <row r="661">
      <c r="A661" s="99" t="inlineStr">
        <is>
          <t>102-GTH</t>
        </is>
      </c>
      <c r="B661" s="10" t="inlineStr">
        <is>
          <t>APOYO</t>
        </is>
      </c>
      <c r="C661" s="10" t="inlineStr">
        <is>
          <t>Gestión del Talento Humano</t>
        </is>
      </c>
      <c r="D661" s="10" t="inlineStr">
        <is>
          <t>GTH</t>
        </is>
      </c>
      <c r="E661" s="10" t="inlineStr">
        <is>
          <t>Permanencia y Desarrollo del Personal</t>
        </is>
      </c>
      <c r="F661" s="10" t="inlineStr">
        <is>
          <t>-</t>
        </is>
      </c>
      <c r="G661" s="10" t="inlineStr">
        <is>
          <t>Estudio de Cultura Laboral</t>
        </is>
      </c>
      <c r="H661" s="10" t="inlineStr">
        <is>
          <t>Informes de resultados de las diferentes fases de modelamiento de cultura laboral</t>
        </is>
      </c>
      <c r="I661" s="10" t="inlineStr">
        <is>
          <t>Plan de intervención del clima laboral, detalla el cronograma de actividades</t>
        </is>
      </c>
      <c r="J661" s="10" t="inlineStr">
        <is>
          <t>Gerente de Talento Humano</t>
        </is>
      </c>
      <c r="K661" s="10" t="inlineStr">
        <is>
          <t>Analista de Desarrollo</t>
        </is>
      </c>
      <c r="L661" s="10" t="inlineStr">
        <is>
          <t>UBICACIÓN DIGITAL-EQUIPO DEL CUSTODIO</t>
        </is>
      </c>
      <c r="M661" s="10" t="inlineStr">
        <is>
          <t>DISCOS DUROS, SERVIDORES, DISCOS O MEDIOS PORTÁTILES, CINTAS O MEDIOS DE VIDEO Y AUDIO, ETC.</t>
        </is>
      </c>
      <c r="N661" s="10" t="inlineStr">
        <is>
          <t>PRIMARIOS</t>
        </is>
      </c>
      <c r="O661" s="10" t="inlineStr">
        <is>
          <t>DOCUMENTOS TÉCNICOS</t>
        </is>
      </c>
      <c r="P661" s="10" t="inlineStr">
        <is>
          <t>PUBLICA(1)</t>
        </is>
      </c>
      <c r="Q661" s="10" t="inlineStr">
        <is>
          <t>BAJA(1)</t>
        </is>
      </c>
      <c r="R661" s="10" t="inlineStr">
        <is>
          <t>MEDIA(2)</t>
        </is>
      </c>
      <c r="S661" s="10">
        <f>+(IF(P661="PUBLICA(1)",1,IF(P661="USO INTERNO(2)",2,IF(P661="RESTRINGIDO(3)",3,3))))+(IF(Q661="BAJA(1)",1,IF(Q661="MEDIA(2)",2,IF(Q661="ALTA(3)",3,3))))+(IF(R661="BAJA(1)",1,IF(R661="MEDIA(2)",2,IF(R661="ALTA(3)",3,3))))</f>
        <v/>
      </c>
      <c r="T661" s="10">
        <f>+IF(S661&lt;6,"BAJA",IF(S661&lt;8,"MEDIA","ALTA"))</f>
        <v/>
      </c>
      <c r="U661" s="10" t="inlineStr">
        <is>
          <t>-</t>
        </is>
      </c>
      <c r="V661" s="24" t="n">
        <v>45687</v>
      </c>
      <c r="W661" s="19" t="inlineStr">
        <is>
          <t>N/A</t>
        </is>
      </c>
      <c r="X661" s="10">
        <f>+IFERROR(IF(VLOOKUP(Tabla2[[#This Row],[ID]],'EVALUACION DE RIESGO'!A:A,1,FALSE)=Tabla2[[#This Row],[ID]],"SI","NO"),"NO")</f>
        <v/>
      </c>
      <c r="AD661">
        <f>IF(AND(Y661="",AA661=""),"",IF(OR(LEFT(AA661,2)="L0",LEFT(AA661,2)="L1",Y661="No Iniciado"),"CRÍTICO - Incumplimiento Normativo SEPS",IF(AND(OR(LEFT(AA661,2)="L4",LEFT(AA661,2)="L5"),AND(AC661&lt;&gt;"",AC661&lt;&gt;"N/A")),"CONFORME - Control Efectivo ISO 27001","OBSERVACIÓN - Revisar Controles")))</f>
        <v/>
      </c>
    </row>
    <row r="662">
      <c r="A662" s="99" t="inlineStr">
        <is>
          <t>103-GTH</t>
        </is>
      </c>
      <c r="B662" s="10" t="inlineStr">
        <is>
          <t>APOYO</t>
        </is>
      </c>
      <c r="C662" s="10" t="inlineStr">
        <is>
          <t>Gestión del Talento Humano</t>
        </is>
      </c>
      <c r="D662" s="10" t="inlineStr">
        <is>
          <t>GTH</t>
        </is>
      </c>
      <c r="E662" s="10" t="inlineStr">
        <is>
          <t>Permanencia y Desarrollo del Personal</t>
        </is>
      </c>
      <c r="F662" s="10" t="inlineStr">
        <is>
          <t>-</t>
        </is>
      </c>
      <c r="G662" s="10" t="inlineStr">
        <is>
          <t>Estudio de Cultura Laboral</t>
        </is>
      </c>
      <c r="H662" s="10" t="inlineStr">
        <is>
          <t>Plan estratégico y operativo de modelamiento de cultura laboral</t>
        </is>
      </c>
      <c r="I662" s="10" t="inlineStr">
        <is>
          <t>Informe dase cohesión con un diagnostico inicial, análisis, calculo de tendencias, ejes de trabajo, o modelamiento, resultados, acciones principales, manifiesto y recomendaciones</t>
        </is>
      </c>
      <c r="J662" s="10" t="inlineStr">
        <is>
          <t>Gerente de Talento Humano</t>
        </is>
      </c>
      <c r="K662" s="10" t="inlineStr">
        <is>
          <t>Analista de Desarrollo</t>
        </is>
      </c>
      <c r="L662" s="10" t="inlineStr">
        <is>
          <t>UBICACIÓN DIGITAL-EQUIPO DEL CUSTODIO</t>
        </is>
      </c>
      <c r="M662" s="10" t="inlineStr">
        <is>
          <t>DISCOS DUROS, SERVIDORES, DISCOS O MEDIOS PORTÁTILES, CINTAS O MEDIOS DE VIDEO Y AUDIO, ETC.</t>
        </is>
      </c>
      <c r="N662" s="10" t="inlineStr">
        <is>
          <t>PRIMARIOS</t>
        </is>
      </c>
      <c r="O662" s="10" t="inlineStr">
        <is>
          <t>DOCUMENTOS TÉCNICOS</t>
        </is>
      </c>
      <c r="P662" s="10" t="inlineStr">
        <is>
          <t>PUBLICA(1)</t>
        </is>
      </c>
      <c r="Q662" s="10" t="inlineStr">
        <is>
          <t>BAJA(1)</t>
        </is>
      </c>
      <c r="R662" s="10" t="inlineStr">
        <is>
          <t>BAJA(1)</t>
        </is>
      </c>
      <c r="S662" s="10">
        <f>+(IF(P662="PUBLICA(1)",1,IF(P662="USO INTERNO(2)",2,IF(P662="RESTRINGIDO(3)",3,3))))+(IF(Q662="BAJA(1)",1,IF(Q662="MEDIA(2)",2,IF(Q662="ALTA(3)",3,3))))+(IF(R662="BAJA(1)",1,IF(R662="MEDIA(2)",2,IF(R662="ALTA(3)",3,3))))</f>
        <v/>
      </c>
      <c r="T662" s="10">
        <f>+IF(S662&lt;6,"BAJA",IF(S662&lt;8,"MEDIA","ALTA"))</f>
        <v/>
      </c>
      <c r="U662" s="10" t="inlineStr">
        <is>
          <t>-</t>
        </is>
      </c>
      <c r="V662" s="24" t="n">
        <v>45687</v>
      </c>
      <c r="W662" s="19" t="inlineStr">
        <is>
          <t>N/A</t>
        </is>
      </c>
      <c r="X662" s="10">
        <f>+IFERROR(IF(VLOOKUP(Tabla2[[#This Row],[ID]],'EVALUACION DE RIESGO'!A:A,1,FALSE)=Tabla2[[#This Row],[ID]],"SI","NO"),"NO")</f>
        <v/>
      </c>
      <c r="AD662">
        <f>IF(AND(Y662="",AA662=""),"",IF(OR(LEFT(AA662,2)="L0",LEFT(AA662,2)="L1",Y662="No Iniciado"),"CRÍTICO - Incumplimiento Normativo SEPS",IF(AND(OR(LEFT(AA662,2)="L4",LEFT(AA662,2)="L5"),AND(AC662&lt;&gt;"",AC662&lt;&gt;"N/A")),"CONFORME - Control Efectivo ISO 27001","OBSERVACIÓN - Revisar Controles")))</f>
        <v/>
      </c>
    </row>
    <row r="663">
      <c r="A663" s="99" t="inlineStr">
        <is>
          <t>104-GTH</t>
        </is>
      </c>
      <c r="B663" s="10" t="inlineStr">
        <is>
          <t>APOYO</t>
        </is>
      </c>
      <c r="C663" s="10" t="inlineStr">
        <is>
          <t>Gestión del Talento Humano</t>
        </is>
      </c>
      <c r="D663" s="10" t="inlineStr">
        <is>
          <t>GTH</t>
        </is>
      </c>
      <c r="E663" s="10" t="inlineStr">
        <is>
          <t xml:space="preserve">Vinculación y Desvinculación </t>
        </is>
      </c>
      <c r="F663" s="10" t="inlineStr">
        <is>
          <t>-</t>
        </is>
      </c>
      <c r="G663" s="10" t="inlineStr">
        <is>
          <t>Selección de personal</t>
        </is>
      </c>
      <c r="H663" s="10" t="inlineStr">
        <is>
          <t>Hoja de vida de los aspirantes</t>
        </is>
      </c>
      <c r="I663" s="10" t="inlineStr">
        <is>
          <t>Documento receptado por el aspirante que contiene información personal, contactos, experiencia, certificaciones.</t>
        </is>
      </c>
      <c r="J663" s="10" t="inlineStr">
        <is>
          <t>Gerente de Talento Humano</t>
        </is>
      </c>
      <c r="K663" s="10" t="inlineStr">
        <is>
          <t>Analista de Selección</t>
        </is>
      </c>
      <c r="L663" s="10" t="inlineStr">
        <is>
          <t>DOCUMENTOS FISICOS-ARCHIVOS DE LA OFICINA</t>
        </is>
      </c>
      <c r="M663" s="10" t="inlineStr">
        <is>
          <t>DOCUMENTO DE ARCHIVO-FÍSICO</t>
        </is>
      </c>
      <c r="N663" s="10" t="inlineStr">
        <is>
          <t>PRIMARIOS</t>
        </is>
      </c>
      <c r="O663" s="10" t="inlineStr">
        <is>
          <t>DOCUMENTOS TÉCNICOS</t>
        </is>
      </c>
      <c r="P663" s="10" t="inlineStr">
        <is>
          <t>USO INTERNO(2)</t>
        </is>
      </c>
      <c r="Q663" s="10" t="inlineStr">
        <is>
          <t>BAJA(1)</t>
        </is>
      </c>
      <c r="R663" s="10" t="inlineStr">
        <is>
          <t>MEDIA(2)</t>
        </is>
      </c>
      <c r="S663" s="10">
        <f>+(IF(P663="PUBLICA(1)",1,IF(P663="USO INTERNO(2)",2,IF(P663="RESTRINGIDO(3)",3,3))))+(IF(Q663="BAJA(1)",1,IF(Q663="MEDIA(2)",2,IF(Q663="ALTA(3)",3,3))))+(IF(R663="BAJA(1)",1,IF(R663="MEDIA(2)",2,IF(R663="ALTA(3)",3,3))))</f>
        <v/>
      </c>
      <c r="T663" s="10">
        <f>+IF(S663&lt;6,"BAJA",IF(S663&lt;8,"MEDIA","ALTA"))</f>
        <v/>
      </c>
      <c r="U663" s="10" t="inlineStr">
        <is>
          <t>-</t>
        </is>
      </c>
      <c r="V663" s="24" t="n">
        <v>45687</v>
      </c>
      <c r="W663" s="19" t="inlineStr">
        <is>
          <t>N/A</t>
        </is>
      </c>
      <c r="X663" s="10">
        <f>+IFERROR(IF(VLOOKUP(Tabla2[[#This Row],[ID]],'EVALUACION DE RIESGO'!A:A,1,FALSE)=Tabla2[[#This Row],[ID]],"SI","NO"),"NO")</f>
        <v/>
      </c>
      <c r="AD663">
        <f>IF(AND(Y663="",AA663=""),"",IF(OR(LEFT(AA663,2)="L0",LEFT(AA663,2)="L1",Y663="No Iniciado"),"CRÍTICO - Incumplimiento Normativo SEPS",IF(AND(OR(LEFT(AA663,2)="L4",LEFT(AA663,2)="L5"),AND(AC663&lt;&gt;"",AC663&lt;&gt;"N/A")),"CONFORME - Control Efectivo ISO 27001","OBSERVACIÓN - Revisar Controles")))</f>
        <v/>
      </c>
    </row>
    <row r="664">
      <c r="A664" s="99" t="inlineStr">
        <is>
          <t>105-GTH</t>
        </is>
      </c>
      <c r="B664" s="10" t="inlineStr">
        <is>
          <t>APOYO</t>
        </is>
      </c>
      <c r="C664" s="10" t="inlineStr">
        <is>
          <t>Gestión del Talento Humano</t>
        </is>
      </c>
      <c r="D664" s="10" t="inlineStr">
        <is>
          <t>GTH</t>
        </is>
      </c>
      <c r="E664" s="10" t="inlineStr">
        <is>
          <t xml:space="preserve">Vinculación y Desvinculación </t>
        </is>
      </c>
      <c r="F664" s="10" t="inlineStr">
        <is>
          <t>-</t>
        </is>
      </c>
      <c r="G664" s="10" t="inlineStr">
        <is>
          <t>Selección de personal</t>
        </is>
      </c>
      <c r="H664" s="10" t="inlineStr">
        <is>
          <t>Prueba técnica</t>
        </is>
      </c>
      <c r="I664" s="10" t="inlineStr">
        <is>
          <t>Contiene los conocimientos generales del cargo elaborado por el Jefe Inmediato</t>
        </is>
      </c>
      <c r="J664" s="10" t="inlineStr">
        <is>
          <t>Gerente de Talento Humano</t>
        </is>
      </c>
      <c r="K664" s="10" t="inlineStr">
        <is>
          <t>Analista de Selección</t>
        </is>
      </c>
      <c r="L664" s="10" t="inlineStr">
        <is>
          <t>DOCUMENTOS FISICOS-ARCHIVOS DE LA OFICINA</t>
        </is>
      </c>
      <c r="M664" s="10" t="inlineStr">
        <is>
          <t>DOCUMENTO DE ARCHIVO-FÍSICO</t>
        </is>
      </c>
      <c r="N664" s="10" t="inlineStr">
        <is>
          <t>PRIMARIOS</t>
        </is>
      </c>
      <c r="O664" s="10" t="inlineStr">
        <is>
          <t>DOCUMENTOS TÉCNICOS</t>
        </is>
      </c>
      <c r="P664" s="10" t="inlineStr">
        <is>
          <t>USO INTERNO(2)</t>
        </is>
      </c>
      <c r="Q664" s="10" t="inlineStr">
        <is>
          <t>BAJA(1)</t>
        </is>
      </c>
      <c r="R664" s="10" t="inlineStr">
        <is>
          <t>MEDIA(2)</t>
        </is>
      </c>
      <c r="S664" s="10">
        <f>+(IF(P664="PUBLICA(1)",1,IF(P664="USO INTERNO(2)",2,IF(P664="RESTRINGIDO(3)",3,3))))+(IF(Q664="BAJA(1)",1,IF(Q664="MEDIA(2)",2,IF(Q664="ALTA(3)",3,3))))+(IF(R664="BAJA(1)",1,IF(R664="MEDIA(2)",2,IF(R664="ALTA(3)",3,3))))</f>
        <v/>
      </c>
      <c r="T664" s="10">
        <f>+IF(S664&lt;6,"BAJA",IF(S664&lt;8,"MEDIA","ALTA"))</f>
        <v/>
      </c>
      <c r="U664" s="10" t="inlineStr">
        <is>
          <t>-</t>
        </is>
      </c>
      <c r="V664" s="24" t="n">
        <v>45687</v>
      </c>
      <c r="W664" s="19" t="inlineStr">
        <is>
          <t>N/A</t>
        </is>
      </c>
      <c r="X664" s="10">
        <f>+IFERROR(IF(VLOOKUP(Tabla2[[#This Row],[ID]],'EVALUACION DE RIESGO'!A:A,1,FALSE)=Tabla2[[#This Row],[ID]],"SI","NO"),"NO")</f>
        <v/>
      </c>
      <c r="AD664">
        <f>IF(AND(Y664="",AA664=""),"",IF(OR(LEFT(AA664,2)="L0",LEFT(AA664,2)="L1",Y664="No Iniciado"),"CRÍTICO - Incumplimiento Normativo SEPS",IF(AND(OR(LEFT(AA664,2)="L4",LEFT(AA664,2)="L5"),AND(AC664&lt;&gt;"",AC664&lt;&gt;"N/A")),"CONFORME - Control Efectivo ISO 27001","OBSERVACIÓN - Revisar Controles")))</f>
        <v/>
      </c>
    </row>
    <row r="665">
      <c r="A665" s="99" t="inlineStr">
        <is>
          <t>106-GTH</t>
        </is>
      </c>
      <c r="B665" s="10" t="inlineStr">
        <is>
          <t>APOYO</t>
        </is>
      </c>
      <c r="C665" s="10" t="inlineStr">
        <is>
          <t>Gestión del Talento Humano</t>
        </is>
      </c>
      <c r="D665" s="10" t="inlineStr">
        <is>
          <t>GTH</t>
        </is>
      </c>
      <c r="E665" s="10" t="inlineStr">
        <is>
          <t xml:space="preserve">Vinculación y Desvinculación </t>
        </is>
      </c>
      <c r="F665" s="10" t="inlineStr">
        <is>
          <t>-</t>
        </is>
      </c>
      <c r="G665" s="10" t="inlineStr">
        <is>
          <t>Selección de personal</t>
        </is>
      </c>
      <c r="H665" s="10" t="inlineStr">
        <is>
          <t>Formulario de evaluación de entrevistas / Assessment Center</t>
        </is>
      </c>
      <c r="I665" s="10" t="inlineStr">
        <is>
          <t>Formulario que contiene las competencias del cargo a desempeñar</t>
        </is>
      </c>
      <c r="J665" s="10" t="inlineStr">
        <is>
          <t>Gerente de Talento Humano</t>
        </is>
      </c>
      <c r="K665" s="10" t="inlineStr">
        <is>
          <t>Analista de Selección</t>
        </is>
      </c>
      <c r="L665" s="10" t="inlineStr">
        <is>
          <t>DOCUMENTOS FISICOS-ARCHIVOS DE LA OFICINA</t>
        </is>
      </c>
      <c r="M665" s="10" t="inlineStr">
        <is>
          <t>DOCUMENTO DE ARCHIVO-FÍSICO</t>
        </is>
      </c>
      <c r="N665" s="10" t="inlineStr">
        <is>
          <t>PRIMARIOS</t>
        </is>
      </c>
      <c r="O665" s="10" t="inlineStr">
        <is>
          <t>COMUNICACIÓN INTERNA</t>
        </is>
      </c>
      <c r="P665" s="10" t="inlineStr">
        <is>
          <t>USO INTERNO(2)</t>
        </is>
      </c>
      <c r="Q665" s="10" t="inlineStr">
        <is>
          <t>BAJA(1)</t>
        </is>
      </c>
      <c r="R665" s="10" t="inlineStr">
        <is>
          <t>MEDIA(2)</t>
        </is>
      </c>
      <c r="S665" s="10">
        <f>+(IF(P665="PUBLICA(1)",1,IF(P665="USO INTERNO(2)",2,IF(P665="RESTRINGIDO(3)",3,3))))+(IF(Q665="BAJA(1)",1,IF(Q665="MEDIA(2)",2,IF(Q665="ALTA(3)",3,3))))+(IF(R665="BAJA(1)",1,IF(R665="MEDIA(2)",2,IF(R665="ALTA(3)",3,3))))</f>
        <v/>
      </c>
      <c r="T665" s="10">
        <f>+IF(S665&lt;6,"BAJA",IF(S665&lt;8,"MEDIA","ALTA"))</f>
        <v/>
      </c>
      <c r="U665" s="10" t="inlineStr">
        <is>
          <t>-</t>
        </is>
      </c>
      <c r="V665" s="24" t="n">
        <v>45687</v>
      </c>
      <c r="W665" s="19" t="inlineStr">
        <is>
          <t>N/A</t>
        </is>
      </c>
      <c r="X665" s="10">
        <f>+IFERROR(IF(VLOOKUP(Tabla2[[#This Row],[ID]],'EVALUACION DE RIESGO'!A:A,1,FALSE)=Tabla2[[#This Row],[ID]],"SI","NO"),"NO")</f>
        <v/>
      </c>
      <c r="AD665">
        <f>IF(AND(Y665="",AA665=""),"",IF(OR(LEFT(AA665,2)="L0",LEFT(AA665,2)="L1",Y665="No Iniciado"),"CRÍTICO - Incumplimiento Normativo SEPS",IF(AND(OR(LEFT(AA665,2)="L4",LEFT(AA665,2)="L5"),AND(AC665&lt;&gt;"",AC665&lt;&gt;"N/A")),"CONFORME - Control Efectivo ISO 27001","OBSERVACIÓN - Revisar Controles")))</f>
        <v/>
      </c>
    </row>
    <row r="666">
      <c r="A666" s="99" t="inlineStr">
        <is>
          <t>107-GTH</t>
        </is>
      </c>
      <c r="B666" s="10" t="inlineStr">
        <is>
          <t>APOYO</t>
        </is>
      </c>
      <c r="C666" s="10" t="inlineStr">
        <is>
          <t>Gestión del Talento Humano</t>
        </is>
      </c>
      <c r="D666" s="10" t="inlineStr">
        <is>
          <t>GTH</t>
        </is>
      </c>
      <c r="E666" s="10" t="inlineStr">
        <is>
          <t xml:space="preserve">Vinculación y Desvinculación </t>
        </is>
      </c>
      <c r="F666" s="10" t="inlineStr">
        <is>
          <t>-</t>
        </is>
      </c>
      <c r="G666" s="10" t="inlineStr">
        <is>
          <t>Selección de personal</t>
        </is>
      </c>
      <c r="H666" s="10" t="inlineStr">
        <is>
          <t>Autorización de central de riesgos</t>
        </is>
      </c>
      <c r="I666" s="10" t="inlineStr">
        <is>
          <t>Forma de autorización del aspirante para realizar la revisión en la central de riesgos.</t>
        </is>
      </c>
      <c r="J666" s="10" t="inlineStr">
        <is>
          <t>Gerente de Talento Humano</t>
        </is>
      </c>
      <c r="K666" s="10" t="inlineStr">
        <is>
          <t>Analista de Selección</t>
        </is>
      </c>
      <c r="L666" s="10" t="inlineStr">
        <is>
          <t>DOCUMENTOS FISICOS-ARCHIVOS DE LA OFICINA</t>
        </is>
      </c>
      <c r="M666" s="10" t="inlineStr">
        <is>
          <t>DOCUMENTO DE ARCHIVO-FÍSICO</t>
        </is>
      </c>
      <c r="N666" s="10" t="inlineStr">
        <is>
          <t>PRIMARIOS</t>
        </is>
      </c>
      <c r="O666" s="10" t="inlineStr">
        <is>
          <t>DOCUMENTOS TÉCNICOS</t>
        </is>
      </c>
      <c r="P666" s="10" t="inlineStr">
        <is>
          <t>USO INTERNO(2)</t>
        </is>
      </c>
      <c r="Q666" s="10" t="inlineStr">
        <is>
          <t>BAJA(1)</t>
        </is>
      </c>
      <c r="R666" s="10" t="inlineStr">
        <is>
          <t>MEDIA(2)</t>
        </is>
      </c>
      <c r="S666" s="10">
        <f>+(IF(P666="PUBLICA(1)",1,IF(P666="USO INTERNO(2)",2,IF(P666="RESTRINGIDO(3)",3,3))))+(IF(Q666="BAJA(1)",1,IF(Q666="MEDIA(2)",2,IF(Q666="ALTA(3)",3,3))))+(IF(R666="BAJA(1)",1,IF(R666="MEDIA(2)",2,IF(R666="ALTA(3)",3,3))))</f>
        <v/>
      </c>
      <c r="T666" s="10">
        <f>+IF(S666&lt;6,"BAJA",IF(S666&lt;8,"MEDIA","ALTA"))</f>
        <v/>
      </c>
      <c r="U666" s="10" t="inlineStr">
        <is>
          <t>-</t>
        </is>
      </c>
      <c r="V666" s="24" t="n">
        <v>45687</v>
      </c>
      <c r="W666" s="19" t="inlineStr">
        <is>
          <t>N/A</t>
        </is>
      </c>
      <c r="X666" s="10">
        <f>+IFERROR(IF(VLOOKUP(Tabla2[[#This Row],[ID]],'EVALUACION DE RIESGO'!A:A,1,FALSE)=Tabla2[[#This Row],[ID]],"SI","NO"),"NO")</f>
        <v/>
      </c>
      <c r="AD666">
        <f>IF(AND(Y666="",AA666=""),"",IF(OR(LEFT(AA666,2)="L0",LEFT(AA666,2)="L1",Y666="No Iniciado"),"CRÍTICO - Incumplimiento Normativo SEPS",IF(AND(OR(LEFT(AA666,2)="L4",LEFT(AA666,2)="L5"),AND(AC666&lt;&gt;"",AC666&lt;&gt;"N/A")),"CONFORME - Control Efectivo ISO 27001","OBSERVACIÓN - Revisar Controles")))</f>
        <v/>
      </c>
    </row>
    <row r="667">
      <c r="A667" s="99" t="inlineStr">
        <is>
          <t>108-GTH</t>
        </is>
      </c>
      <c r="B667" s="10" t="inlineStr">
        <is>
          <t>APOYO</t>
        </is>
      </c>
      <c r="C667" s="10" t="inlineStr">
        <is>
          <t>Gestión del Talento Humano</t>
        </is>
      </c>
      <c r="D667" s="10" t="inlineStr">
        <is>
          <t>GTH</t>
        </is>
      </c>
      <c r="E667" s="10" t="inlineStr">
        <is>
          <t xml:space="preserve">Vinculación y Desvinculación </t>
        </is>
      </c>
      <c r="F667" s="10" t="inlineStr">
        <is>
          <t>-</t>
        </is>
      </c>
      <c r="G667" s="10" t="inlineStr">
        <is>
          <t>Selección de personal</t>
        </is>
      </c>
      <c r="H667" s="10" t="inlineStr">
        <is>
          <t>Formulario de inhabilitados</t>
        </is>
      </c>
      <c r="I667" s="10" t="inlineStr">
        <is>
          <t xml:space="preserve">Autorización por parte del aspirante para revisar las listas de control   de los sistemas internos. </t>
        </is>
      </c>
      <c r="J667" s="10" t="inlineStr">
        <is>
          <t>Gerente de Talento Humano</t>
        </is>
      </c>
      <c r="K667" s="10" t="inlineStr">
        <is>
          <t>Analista de Selección</t>
        </is>
      </c>
      <c r="L667" s="10" t="inlineStr">
        <is>
          <t>DOCUMENTOS FISICOS-ARCHIVOS DE LA OFICINA</t>
        </is>
      </c>
      <c r="M667" s="10" t="inlineStr">
        <is>
          <t>DOCUMENTO DE ARCHIVO-FÍSICO</t>
        </is>
      </c>
      <c r="N667" s="10" t="inlineStr">
        <is>
          <t>PRIMARIOS</t>
        </is>
      </c>
      <c r="O667" s="10" t="inlineStr">
        <is>
          <t>DOCUMENTOS TÉCNICOS</t>
        </is>
      </c>
      <c r="P667" s="10" t="inlineStr">
        <is>
          <t>USO INTERNO(2)</t>
        </is>
      </c>
      <c r="Q667" s="10" t="inlineStr">
        <is>
          <t>BAJA(1)</t>
        </is>
      </c>
      <c r="R667" s="10" t="inlineStr">
        <is>
          <t>MEDIA(2)</t>
        </is>
      </c>
      <c r="S667" s="10">
        <f>+(IF(P667="PUBLICA(1)",1,IF(P667="USO INTERNO(2)",2,IF(P667="RESTRINGIDO(3)",3,3))))+(IF(Q667="BAJA(1)",1,IF(Q667="MEDIA(2)",2,IF(Q667="ALTA(3)",3,3))))+(IF(R667="BAJA(1)",1,IF(R667="MEDIA(2)",2,IF(R667="ALTA(3)",3,3))))</f>
        <v/>
      </c>
      <c r="T667" s="10">
        <f>+IF(S667&lt;6,"BAJA",IF(S667&lt;8,"MEDIA","ALTA"))</f>
        <v/>
      </c>
      <c r="U667" s="10" t="inlineStr">
        <is>
          <t>-</t>
        </is>
      </c>
      <c r="V667" s="24" t="n">
        <v>45687</v>
      </c>
      <c r="W667" s="19" t="inlineStr">
        <is>
          <t>N/A</t>
        </is>
      </c>
      <c r="X667" s="10">
        <f>+IFERROR(IF(VLOOKUP(Tabla2[[#This Row],[ID]],'EVALUACION DE RIESGO'!A:A,1,FALSE)=Tabla2[[#This Row],[ID]],"SI","NO"),"NO")</f>
        <v/>
      </c>
      <c r="AD667">
        <f>IF(AND(Y667="",AA667=""),"",IF(OR(LEFT(AA667,2)="L0",LEFT(AA667,2)="L1",Y667="No Iniciado"),"CRÍTICO - Incumplimiento Normativo SEPS",IF(AND(OR(LEFT(AA667,2)="L4",LEFT(AA667,2)="L5"),AND(AC667&lt;&gt;"",AC667&lt;&gt;"N/A")),"CONFORME - Control Efectivo ISO 27001","OBSERVACIÓN - Revisar Controles")))</f>
        <v/>
      </c>
    </row>
    <row r="668">
      <c r="A668" s="99" t="inlineStr">
        <is>
          <t>109-GTH</t>
        </is>
      </c>
      <c r="B668" s="10" t="inlineStr">
        <is>
          <t>APOYO</t>
        </is>
      </c>
      <c r="C668" s="10" t="inlineStr">
        <is>
          <t>Gestión del Talento Humano</t>
        </is>
      </c>
      <c r="D668" s="10" t="inlineStr">
        <is>
          <t>GTH</t>
        </is>
      </c>
      <c r="E668" s="10" t="inlineStr">
        <is>
          <t xml:space="preserve">Vinculación y Desvinculación </t>
        </is>
      </c>
      <c r="F668" s="10" t="inlineStr">
        <is>
          <t>-</t>
        </is>
      </c>
      <c r="G668" s="10" t="inlineStr">
        <is>
          <t>Selección de personal</t>
        </is>
      </c>
      <c r="H668" s="10" t="inlineStr">
        <is>
          <t>Pruebas psicométricas</t>
        </is>
      </c>
      <c r="I668" s="10" t="inlineStr">
        <is>
          <t>Resultados de competencias del aspirante de acuerdo al perfil del cargo</t>
        </is>
      </c>
      <c r="J668" s="10" t="inlineStr">
        <is>
          <t>Gerente de Talento Humano</t>
        </is>
      </c>
      <c r="K668" s="10" t="inlineStr">
        <is>
          <t>Analista de Selección</t>
        </is>
      </c>
      <c r="L668" s="10" t="inlineStr">
        <is>
          <t>UBICACIÓN DIGITAL-EQUIPO DEL CUSTODIO</t>
        </is>
      </c>
      <c r="M668" s="10" t="inlineStr">
        <is>
          <t>DISCOS DUROS, SERVIDORES, DISCOS O MEDIOS PORTÁTILES, CINTAS O MEDIOS DE VIDEO Y AUDIO, ETC.</t>
        </is>
      </c>
      <c r="N668" s="10" t="inlineStr">
        <is>
          <t>PRIMARIOS</t>
        </is>
      </c>
      <c r="O668" s="10" t="inlineStr">
        <is>
          <t>DOCUMENTOS TÉCNICOS</t>
        </is>
      </c>
      <c r="P668" s="10" t="inlineStr">
        <is>
          <t>USO INTERNO(2)</t>
        </is>
      </c>
      <c r="Q668" s="10" t="inlineStr">
        <is>
          <t>BAJA(1)</t>
        </is>
      </c>
      <c r="R668" s="10" t="inlineStr">
        <is>
          <t>MEDIA(2)</t>
        </is>
      </c>
      <c r="S668" s="10">
        <f>+(IF(P668="PUBLICA(1)",1,IF(P668="USO INTERNO(2)",2,IF(P668="RESTRINGIDO(3)",3,3))))+(IF(Q668="BAJA(1)",1,IF(Q668="MEDIA(2)",2,IF(Q668="ALTA(3)",3,3))))+(IF(R668="BAJA(1)",1,IF(R668="MEDIA(2)",2,IF(R668="ALTA(3)",3,3))))</f>
        <v/>
      </c>
      <c r="T668" s="10">
        <f>+IF(S668&lt;6,"BAJA",IF(S668&lt;8,"MEDIA","ALTA"))</f>
        <v/>
      </c>
      <c r="U668" s="10" t="inlineStr">
        <is>
          <t>-</t>
        </is>
      </c>
      <c r="V668" s="24" t="n">
        <v>45687</v>
      </c>
      <c r="W668" s="19" t="inlineStr">
        <is>
          <t>N/A</t>
        </is>
      </c>
      <c r="X668" s="10">
        <f>+IFERROR(IF(VLOOKUP(Tabla2[[#This Row],[ID]],'EVALUACION DE RIESGO'!A:A,1,FALSE)=Tabla2[[#This Row],[ID]],"SI","NO"),"NO")</f>
        <v/>
      </c>
      <c r="AD668">
        <f>IF(AND(Y668="",AA668=""),"",IF(OR(LEFT(AA668,2)="L0",LEFT(AA668,2)="L1",Y668="No Iniciado"),"CRÍTICO - Incumplimiento Normativo SEPS",IF(AND(OR(LEFT(AA668,2)="L4",LEFT(AA668,2)="L5"),AND(AC668&lt;&gt;"",AC668&lt;&gt;"N/A")),"CONFORME - Control Efectivo ISO 27001","OBSERVACIÓN - Revisar Controles")))</f>
        <v/>
      </c>
    </row>
    <row r="669">
      <c r="A669" s="99" t="inlineStr">
        <is>
          <t>110-GTH</t>
        </is>
      </c>
      <c r="B669" s="10" t="inlineStr">
        <is>
          <t>APOYO</t>
        </is>
      </c>
      <c r="C669" s="10" t="inlineStr">
        <is>
          <t>Gestión del Talento Humano</t>
        </is>
      </c>
      <c r="D669" s="10" t="inlineStr">
        <is>
          <t>GTH</t>
        </is>
      </c>
      <c r="E669" s="10" t="inlineStr">
        <is>
          <t xml:space="preserve">Vinculación y Desvinculación </t>
        </is>
      </c>
      <c r="F669" s="10" t="inlineStr">
        <is>
          <t>-</t>
        </is>
      </c>
      <c r="G669" s="10" t="inlineStr">
        <is>
          <t>Selección de personal</t>
        </is>
      </c>
      <c r="H669" s="10" t="inlineStr">
        <is>
          <t>Matriz de evaluación de resultados</t>
        </is>
      </c>
      <c r="I669" s="10" t="inlineStr">
        <is>
          <t>Matriz presentada en el informe, contiene entrevista de incidentes críticos, evaluación de competencias humanas, evaluación de competencias técnicas, por aspirante.</t>
        </is>
      </c>
      <c r="J669" s="10" t="inlineStr">
        <is>
          <t>Gerente de Talento Humano</t>
        </is>
      </c>
      <c r="K669" s="10" t="inlineStr">
        <is>
          <t>Analista de Selección</t>
        </is>
      </c>
      <c r="L669" s="10" t="inlineStr">
        <is>
          <t>DOCUMENTOS FISICOS-ARCHIVOS DE LA OFICINA</t>
        </is>
      </c>
      <c r="M669" s="10" t="inlineStr">
        <is>
          <t>DOCUMENTO DE ARCHIVO-FÍSICO</t>
        </is>
      </c>
      <c r="N669" s="10" t="inlineStr">
        <is>
          <t>PRIMARIOS</t>
        </is>
      </c>
      <c r="O669" s="10" t="inlineStr">
        <is>
          <t>DOCUMENTOS TÉCNICOS</t>
        </is>
      </c>
      <c r="P669" s="10" t="inlineStr">
        <is>
          <t>USO INTERNO(2)</t>
        </is>
      </c>
      <c r="Q669" s="10" t="inlineStr">
        <is>
          <t>BAJA(1)</t>
        </is>
      </c>
      <c r="R669" s="10" t="inlineStr">
        <is>
          <t>MEDIA(2)</t>
        </is>
      </c>
      <c r="S669" s="10">
        <f>+(IF(P669="PUBLICA(1)",1,IF(P669="USO INTERNO(2)",2,IF(P669="RESTRINGIDO(3)",3,3))))+(IF(Q669="BAJA(1)",1,IF(Q669="MEDIA(2)",2,IF(Q669="ALTA(3)",3,3))))+(IF(R669="BAJA(1)",1,IF(R669="MEDIA(2)",2,IF(R669="ALTA(3)",3,3))))</f>
        <v/>
      </c>
      <c r="T669" s="10">
        <f>+IF(S669&lt;6,"BAJA",IF(S669&lt;8,"MEDIA","ALTA"))</f>
        <v/>
      </c>
      <c r="U669" s="10" t="inlineStr">
        <is>
          <t>-</t>
        </is>
      </c>
      <c r="V669" s="24" t="n">
        <v>45687</v>
      </c>
      <c r="W669" s="19" t="inlineStr">
        <is>
          <t>N/A</t>
        </is>
      </c>
      <c r="X669" s="10">
        <f>+IFERROR(IF(VLOOKUP(Tabla2[[#This Row],[ID]],'EVALUACION DE RIESGO'!A:A,1,FALSE)=Tabla2[[#This Row],[ID]],"SI","NO"),"NO")</f>
        <v/>
      </c>
      <c r="AD669">
        <f>IF(AND(Y669="",AA669=""),"",IF(OR(LEFT(AA669,2)="L0",LEFT(AA669,2)="L1",Y669="No Iniciado"),"CRÍTICO - Incumplimiento Normativo SEPS",IF(AND(OR(LEFT(AA669,2)="L4",LEFT(AA669,2)="L5"),AND(AC669&lt;&gt;"",AC669&lt;&gt;"N/A")),"CONFORME - Control Efectivo ISO 27001","OBSERVACIÓN - Revisar Controles")))</f>
        <v/>
      </c>
    </row>
    <row r="670">
      <c r="A670" s="99" t="inlineStr">
        <is>
          <t>111-GTH</t>
        </is>
      </c>
      <c r="B670" s="10" t="inlineStr">
        <is>
          <t>APOYO</t>
        </is>
      </c>
      <c r="C670" s="10" t="inlineStr">
        <is>
          <t>Gestión del Talento Humano</t>
        </is>
      </c>
      <c r="D670" s="10" t="inlineStr">
        <is>
          <t>GTH</t>
        </is>
      </c>
      <c r="E670" s="10" t="inlineStr">
        <is>
          <t xml:space="preserve">Vinculación y Desvinculación </t>
        </is>
      </c>
      <c r="F670" s="10" t="inlineStr">
        <is>
          <t>-</t>
        </is>
      </c>
      <c r="G670" s="10" t="inlineStr">
        <is>
          <t>Selección de personal</t>
        </is>
      </c>
      <c r="H670" s="10" t="inlineStr">
        <is>
          <t>Informe del proceso de selección</t>
        </is>
      </c>
      <c r="I670" s="10" t="inlineStr">
        <is>
          <t>Documento de informe final del proceso de selección, contiene perfil del cargo, desarrollo del proceso, y resultados del proceso</t>
        </is>
      </c>
      <c r="J670" s="10" t="inlineStr">
        <is>
          <t>Gerente de Talento Humano</t>
        </is>
      </c>
      <c r="K670" s="10" t="inlineStr">
        <is>
          <t>Analista de Selección</t>
        </is>
      </c>
      <c r="L670" s="10" t="inlineStr">
        <is>
          <t>DOCUMENTOS FISICOS-ARCHIVOS DE LA OFICINA</t>
        </is>
      </c>
      <c r="M670" s="10" t="inlineStr">
        <is>
          <t>DOCUMENTO DE ARCHIVO-FÍSICO</t>
        </is>
      </c>
      <c r="N670" s="10" t="inlineStr">
        <is>
          <t>PRIMARIOS</t>
        </is>
      </c>
      <c r="O670" s="10" t="inlineStr">
        <is>
          <t>COMUNICACIÓN INTERNA</t>
        </is>
      </c>
      <c r="P670" s="10" t="inlineStr">
        <is>
          <t>RESTRINGIDO(3)</t>
        </is>
      </c>
      <c r="Q670" s="10" t="inlineStr">
        <is>
          <t>BAJA(1)</t>
        </is>
      </c>
      <c r="R670" s="10" t="inlineStr">
        <is>
          <t>MEDIA(2)</t>
        </is>
      </c>
      <c r="S670" s="10">
        <f>+(IF(P670="PUBLICA(1)",1,IF(P670="USO INTERNO(2)",2,IF(P670="RESTRINGIDO(3)",3,3))))+(IF(Q670="BAJA(1)",1,IF(Q670="MEDIA(2)",2,IF(Q670="ALTA(3)",3,3))))+(IF(R670="BAJA(1)",1,IF(R670="MEDIA(2)",2,IF(R670="ALTA(3)",3,3))))</f>
        <v/>
      </c>
      <c r="T670" s="10">
        <f>+IF(S670&lt;6,"BAJA",IF(S670&lt;8,"MEDIA","ALTA"))</f>
        <v/>
      </c>
      <c r="U670" s="10" t="inlineStr">
        <is>
          <t>-</t>
        </is>
      </c>
      <c r="V670" s="24" t="n">
        <v>45687</v>
      </c>
      <c r="W670" s="19" t="inlineStr">
        <is>
          <t>N/A</t>
        </is>
      </c>
      <c r="X670" s="10">
        <f>+IFERROR(IF(VLOOKUP(Tabla2[[#This Row],[ID]],'EVALUACION DE RIESGO'!A:A,1,FALSE)=Tabla2[[#This Row],[ID]],"SI","NO"),"NO")</f>
        <v/>
      </c>
      <c r="AD670">
        <f>IF(AND(Y670="",AA670=""),"",IF(OR(LEFT(AA670,2)="L0",LEFT(AA670,2)="L1",Y670="No Iniciado"),"CRÍTICO - Incumplimiento Normativo SEPS",IF(AND(OR(LEFT(AA670,2)="L4",LEFT(AA670,2)="L5"),AND(AC670&lt;&gt;"",AC670&lt;&gt;"N/A")),"CONFORME - Control Efectivo ISO 27001","OBSERVACIÓN - Revisar Controles")))</f>
        <v/>
      </c>
    </row>
    <row r="671">
      <c r="A671" s="99" t="inlineStr">
        <is>
          <t>112-GTH</t>
        </is>
      </c>
      <c r="B671" s="10" t="inlineStr">
        <is>
          <t>APOYO</t>
        </is>
      </c>
      <c r="C671" s="10" t="inlineStr">
        <is>
          <t>Gestión del Talento Humano</t>
        </is>
      </c>
      <c r="D671" s="10" t="inlineStr">
        <is>
          <t>GTH</t>
        </is>
      </c>
      <c r="E671" s="10" t="inlineStr">
        <is>
          <t xml:space="preserve">Vinculación y Desvinculación </t>
        </is>
      </c>
      <c r="F671" s="10" t="inlineStr">
        <is>
          <t>-</t>
        </is>
      </c>
      <c r="G671" s="10" t="inlineStr">
        <is>
          <t>Selección de personal</t>
        </is>
      </c>
      <c r="H671" s="10" t="inlineStr">
        <is>
          <t>Documentos habilitantes del personal seleccionado</t>
        </is>
      </c>
      <c r="I671" s="10" t="inlineStr">
        <is>
          <t>Consolidado de listas de control, antecedentes penales, reporte crediticio, función judicial, referencias laborales</t>
        </is>
      </c>
      <c r="J671" s="10" t="inlineStr">
        <is>
          <t>Gerente de Talento Humano</t>
        </is>
      </c>
      <c r="K671" s="10" t="inlineStr">
        <is>
          <t>Analista de Selección</t>
        </is>
      </c>
      <c r="L671" s="10" t="inlineStr">
        <is>
          <t>DOCUMENTOS FISICOS-ARCHIVOS DE LA OFICINA</t>
        </is>
      </c>
      <c r="M671" s="10" t="inlineStr">
        <is>
          <t>DOCUMENTO DE ARCHIVO-FÍSICO</t>
        </is>
      </c>
      <c r="N671" s="10" t="inlineStr">
        <is>
          <t>PRIMARIOS</t>
        </is>
      </c>
      <c r="O671" s="10" t="inlineStr">
        <is>
          <t>DOCUMENTOS TÉCNICOS</t>
        </is>
      </c>
      <c r="P671" s="10" t="inlineStr">
        <is>
          <t>USO INTERNO(2)</t>
        </is>
      </c>
      <c r="Q671" s="10" t="inlineStr">
        <is>
          <t>BAJA(1)</t>
        </is>
      </c>
      <c r="R671" s="10" t="inlineStr">
        <is>
          <t>MEDIA(2)</t>
        </is>
      </c>
      <c r="S671" s="10">
        <f>+(IF(P671="PUBLICA(1)",1,IF(P671="USO INTERNO(2)",2,IF(P671="RESTRINGIDO(3)",3,3))))+(IF(Q671="BAJA(1)",1,IF(Q671="MEDIA(2)",2,IF(Q671="ALTA(3)",3,3))))+(IF(R671="BAJA(1)",1,IF(R671="MEDIA(2)",2,IF(R671="ALTA(3)",3,3))))</f>
        <v/>
      </c>
      <c r="T671" s="10">
        <f>+IF(S671&lt;6,"BAJA",IF(S671&lt;8,"MEDIA","ALTA"))</f>
        <v/>
      </c>
      <c r="U671" s="10" t="inlineStr">
        <is>
          <t>-</t>
        </is>
      </c>
      <c r="V671" s="24" t="n">
        <v>45687</v>
      </c>
      <c r="W671" s="19" t="inlineStr">
        <is>
          <t>N/A</t>
        </is>
      </c>
      <c r="X671" s="10">
        <f>+IFERROR(IF(VLOOKUP(Tabla2[[#This Row],[ID]],'EVALUACION DE RIESGO'!A:A,1,FALSE)=Tabla2[[#This Row],[ID]],"SI","NO"),"NO")</f>
        <v/>
      </c>
      <c r="AD671">
        <f>IF(AND(Y671="",AA671=""),"",IF(OR(LEFT(AA671,2)="L0",LEFT(AA671,2)="L1",Y671="No Iniciado"),"CRÍTICO - Incumplimiento Normativo SEPS",IF(AND(OR(LEFT(AA671,2)="L4",LEFT(AA671,2)="L5"),AND(AC671&lt;&gt;"",AC671&lt;&gt;"N/A")),"CONFORME - Control Efectivo ISO 27001","OBSERVACIÓN - Revisar Controles")))</f>
        <v/>
      </c>
    </row>
    <row r="672">
      <c r="A672" s="99" t="inlineStr">
        <is>
          <t>113-GTH</t>
        </is>
      </c>
      <c r="B672" s="10" t="inlineStr">
        <is>
          <t>APOYO</t>
        </is>
      </c>
      <c r="C672" s="10" t="inlineStr">
        <is>
          <t>Gestión del Talento Humano</t>
        </is>
      </c>
      <c r="D672" s="10" t="inlineStr">
        <is>
          <t>GTH</t>
        </is>
      </c>
      <c r="E672" s="10" t="inlineStr">
        <is>
          <t xml:space="preserve">Vinculación y Desvinculación </t>
        </is>
      </c>
      <c r="F672" s="10" t="inlineStr">
        <is>
          <t>-</t>
        </is>
      </c>
      <c r="G672" s="10" t="inlineStr">
        <is>
          <t xml:space="preserve">Selección por medio de empresa externa </t>
        </is>
      </c>
      <c r="H672" s="10" t="inlineStr">
        <is>
          <t>Hoja de vida de los aspirantes</t>
        </is>
      </c>
      <c r="I672" s="10" t="inlineStr">
        <is>
          <t>Documento receptado por el aspirante que contiene información personal, contactos, experiencia, certificaciones.</t>
        </is>
      </c>
      <c r="J672" s="10" t="inlineStr">
        <is>
          <t>Gerente de Talento Humano</t>
        </is>
      </c>
      <c r="K672" s="10" t="inlineStr">
        <is>
          <t>Analista de Selección</t>
        </is>
      </c>
      <c r="L672" s="10" t="inlineStr">
        <is>
          <t>DOCUMENTOS FISICOS-ARCHIVOS DE LA OFICINA</t>
        </is>
      </c>
      <c r="M672" s="10" t="inlineStr">
        <is>
          <t>DOCUMENTO DE ARCHIVO-FÍSICO</t>
        </is>
      </c>
      <c r="N672" s="10" t="inlineStr">
        <is>
          <t>PRIMARIOS</t>
        </is>
      </c>
      <c r="O672" s="10" t="inlineStr">
        <is>
          <t>DOCUMENTOS TÉCNICOS</t>
        </is>
      </c>
      <c r="P672" s="10" t="inlineStr">
        <is>
          <t>USO INTERNO(2)</t>
        </is>
      </c>
      <c r="Q672" s="10" t="inlineStr">
        <is>
          <t>BAJA(1)</t>
        </is>
      </c>
      <c r="R672" s="10" t="inlineStr">
        <is>
          <t>MEDIA(2)</t>
        </is>
      </c>
      <c r="S672" s="10">
        <f>+(IF(P672="PUBLICA(1)",1,IF(P672="USO INTERNO(2)",2,IF(P672="RESTRINGIDO(3)",3,3))))+(IF(Q672="BAJA(1)",1,IF(Q672="MEDIA(2)",2,IF(Q672="ALTA(3)",3,3))))+(IF(R672="BAJA(1)",1,IF(R672="MEDIA(2)",2,IF(R672="ALTA(3)",3,3))))</f>
        <v/>
      </c>
      <c r="T672" s="10">
        <f>+IF(S672&lt;6,"BAJA",IF(S672&lt;8,"MEDIA","ALTA"))</f>
        <v/>
      </c>
      <c r="U672" s="10" t="inlineStr">
        <is>
          <t>-</t>
        </is>
      </c>
      <c r="V672" s="24" t="n">
        <v>45687</v>
      </c>
      <c r="W672" s="19" t="inlineStr">
        <is>
          <t>N/A</t>
        </is>
      </c>
      <c r="X672" s="10">
        <f>+IFERROR(IF(VLOOKUP(Tabla2[[#This Row],[ID]],'EVALUACION DE RIESGO'!A:A,1,FALSE)=Tabla2[[#This Row],[ID]],"SI","NO"),"NO")</f>
        <v/>
      </c>
      <c r="AD672">
        <f>IF(AND(Y672="",AA672=""),"",IF(OR(LEFT(AA672,2)="L0",LEFT(AA672,2)="L1",Y672="No Iniciado"),"CRÍTICO - Incumplimiento Normativo SEPS",IF(AND(OR(LEFT(AA672,2)="L4",LEFT(AA672,2)="L5"),AND(AC672&lt;&gt;"",AC672&lt;&gt;"N/A")),"CONFORME - Control Efectivo ISO 27001","OBSERVACIÓN - Revisar Controles")))</f>
        <v/>
      </c>
    </row>
    <row r="673">
      <c r="A673" s="99" t="inlineStr">
        <is>
          <t>114-GTH</t>
        </is>
      </c>
      <c r="B673" s="10" t="inlineStr">
        <is>
          <t>APOYO</t>
        </is>
      </c>
      <c r="C673" s="10" t="inlineStr">
        <is>
          <t>Gestión del Talento Humano</t>
        </is>
      </c>
      <c r="D673" s="10" t="inlineStr">
        <is>
          <t>GTH</t>
        </is>
      </c>
      <c r="E673" s="10" t="inlineStr">
        <is>
          <t xml:space="preserve">Vinculación y Desvinculación </t>
        </is>
      </c>
      <c r="F673" s="10" t="inlineStr">
        <is>
          <t>-</t>
        </is>
      </c>
      <c r="G673" s="10" t="inlineStr">
        <is>
          <t xml:space="preserve">Selección por medio de empresa externa </t>
        </is>
      </c>
      <c r="H673" s="10" t="inlineStr">
        <is>
          <t>Formulario de evaluación de entrevistas</t>
        </is>
      </c>
      <c r="I673" s="10" t="inlineStr">
        <is>
          <t>Formulario que contiene las competencias del cargo a desempeñar</t>
        </is>
      </c>
      <c r="J673" s="10" t="inlineStr">
        <is>
          <t>Gerente de Talento Humano</t>
        </is>
      </c>
      <c r="K673" s="10" t="inlineStr">
        <is>
          <t>Analista de Selección</t>
        </is>
      </c>
      <c r="L673" s="10" t="inlineStr">
        <is>
          <t>DOCUMENTOS FISICOS-ARCHIVOS DE LA OFICINA</t>
        </is>
      </c>
      <c r="M673" s="10" t="inlineStr">
        <is>
          <t>DOCUMENTO DE ARCHIVO-FÍSICO</t>
        </is>
      </c>
      <c r="N673" s="10" t="inlineStr">
        <is>
          <t>PRIMARIOS</t>
        </is>
      </c>
      <c r="O673" s="10" t="inlineStr">
        <is>
          <t>DOCUMENTOS TÉCNICOS</t>
        </is>
      </c>
      <c r="P673" s="10" t="inlineStr">
        <is>
          <t>USO INTERNO(2)</t>
        </is>
      </c>
      <c r="Q673" s="10" t="inlineStr">
        <is>
          <t>BAJA(1)</t>
        </is>
      </c>
      <c r="R673" s="10" t="inlineStr">
        <is>
          <t>MEDIA(2)</t>
        </is>
      </c>
      <c r="S673" s="10">
        <f>+(IF(P673="PUBLICA(1)",1,IF(P673="USO INTERNO(2)",2,IF(P673="RESTRINGIDO(3)",3,3))))+(IF(Q673="BAJA(1)",1,IF(Q673="MEDIA(2)",2,IF(Q673="ALTA(3)",3,3))))+(IF(R673="BAJA(1)",1,IF(R673="MEDIA(2)",2,IF(R673="ALTA(3)",3,3))))</f>
        <v/>
      </c>
      <c r="T673" s="10">
        <f>+IF(S673&lt;6,"BAJA",IF(S673&lt;8,"MEDIA","ALTA"))</f>
        <v/>
      </c>
      <c r="U673" s="10" t="inlineStr">
        <is>
          <t>-</t>
        </is>
      </c>
      <c r="V673" s="24" t="n">
        <v>45687</v>
      </c>
      <c r="W673" s="19" t="inlineStr">
        <is>
          <t>N/A</t>
        </is>
      </c>
      <c r="X673" s="10">
        <f>+IFERROR(IF(VLOOKUP(Tabla2[[#This Row],[ID]],'EVALUACION DE RIESGO'!A:A,1,FALSE)=Tabla2[[#This Row],[ID]],"SI","NO"),"NO")</f>
        <v/>
      </c>
      <c r="AD673">
        <f>IF(AND(Y673="",AA673=""),"",IF(OR(LEFT(AA673,2)="L0",LEFT(AA673,2)="L1",Y673="No Iniciado"),"CRÍTICO - Incumplimiento Normativo SEPS",IF(AND(OR(LEFT(AA673,2)="L4",LEFT(AA673,2)="L5"),AND(AC673&lt;&gt;"",AC673&lt;&gt;"N/A")),"CONFORME - Control Efectivo ISO 27001","OBSERVACIÓN - Revisar Controles")))</f>
        <v/>
      </c>
    </row>
    <row r="674">
      <c r="A674" s="99" t="inlineStr">
        <is>
          <t>115-GTH</t>
        </is>
      </c>
      <c r="B674" s="10" t="inlineStr">
        <is>
          <t>APOYO</t>
        </is>
      </c>
      <c r="C674" s="10" t="inlineStr">
        <is>
          <t>Gestión del Talento Humano</t>
        </is>
      </c>
      <c r="D674" s="10" t="inlineStr">
        <is>
          <t>GTH</t>
        </is>
      </c>
      <c r="E674" s="10" t="inlineStr">
        <is>
          <t xml:space="preserve">Vinculación y Desvinculación </t>
        </is>
      </c>
      <c r="F674" s="10" t="inlineStr">
        <is>
          <t>-</t>
        </is>
      </c>
      <c r="G674" s="10" t="inlineStr">
        <is>
          <t xml:space="preserve">Selección por medio de empresa externa </t>
        </is>
      </c>
      <c r="H674" s="10" t="inlineStr">
        <is>
          <t>Autorización de central de riesgos</t>
        </is>
      </c>
      <c r="I674" s="10" t="inlineStr">
        <is>
          <t>Forma de autorización del aspirante para realizar la revisión en la central de riesgos.</t>
        </is>
      </c>
      <c r="J674" s="10" t="inlineStr">
        <is>
          <t>Gerente de Talento Humano</t>
        </is>
      </c>
      <c r="K674" s="10" t="inlineStr">
        <is>
          <t>Analista de Selección</t>
        </is>
      </c>
      <c r="L674" s="10" t="inlineStr">
        <is>
          <t>DOCUMENTOS FISICOS-ARCHIVOS DE LA OFICINA</t>
        </is>
      </c>
      <c r="M674" s="10" t="inlineStr">
        <is>
          <t>DOCUMENTO DE ARCHIVO-FÍSICO</t>
        </is>
      </c>
      <c r="N674" s="10" t="inlineStr">
        <is>
          <t>PRIMARIOS</t>
        </is>
      </c>
      <c r="O674" s="10" t="inlineStr">
        <is>
          <t>DOCUMENTOS TÉCNICOS</t>
        </is>
      </c>
      <c r="P674" s="10" t="inlineStr">
        <is>
          <t>USO INTERNO(2)</t>
        </is>
      </c>
      <c r="Q674" s="10" t="inlineStr">
        <is>
          <t>BAJA(1)</t>
        </is>
      </c>
      <c r="R674" s="10" t="inlineStr">
        <is>
          <t>MEDIA(2)</t>
        </is>
      </c>
      <c r="S674" s="10">
        <f>+(IF(P674="PUBLICA(1)",1,IF(P674="USO INTERNO(2)",2,IF(P674="RESTRINGIDO(3)",3,3))))+(IF(Q674="BAJA(1)",1,IF(Q674="MEDIA(2)",2,IF(Q674="ALTA(3)",3,3))))+(IF(R674="BAJA(1)",1,IF(R674="MEDIA(2)",2,IF(R674="ALTA(3)",3,3))))</f>
        <v/>
      </c>
      <c r="T674" s="10">
        <f>+IF(S674&lt;6,"BAJA",IF(S674&lt;8,"MEDIA","ALTA"))</f>
        <v/>
      </c>
      <c r="U674" s="10" t="inlineStr">
        <is>
          <t>-</t>
        </is>
      </c>
      <c r="V674" s="24" t="n">
        <v>45687</v>
      </c>
      <c r="W674" s="19" t="inlineStr">
        <is>
          <t>N/A</t>
        </is>
      </c>
      <c r="X674" s="10">
        <f>+IFERROR(IF(VLOOKUP(Tabla2[[#This Row],[ID]],'EVALUACION DE RIESGO'!A:A,1,FALSE)=Tabla2[[#This Row],[ID]],"SI","NO"),"NO")</f>
        <v/>
      </c>
      <c r="AD674">
        <f>IF(AND(Y674="",AA674=""),"",IF(OR(LEFT(AA674,2)="L0",LEFT(AA674,2)="L1",Y674="No Iniciado"),"CRÍTICO - Incumplimiento Normativo SEPS",IF(AND(OR(LEFT(AA674,2)="L4",LEFT(AA674,2)="L5"),AND(AC674&lt;&gt;"",AC674&lt;&gt;"N/A")),"CONFORME - Control Efectivo ISO 27001","OBSERVACIÓN - Revisar Controles")))</f>
        <v/>
      </c>
    </row>
    <row r="675">
      <c r="A675" s="99" t="inlineStr">
        <is>
          <t>116-GTH</t>
        </is>
      </c>
      <c r="B675" s="10" t="inlineStr">
        <is>
          <t>APOYO</t>
        </is>
      </c>
      <c r="C675" s="10" t="inlineStr">
        <is>
          <t>Gestión del Talento Humano</t>
        </is>
      </c>
      <c r="D675" s="10" t="inlineStr">
        <is>
          <t>GTH</t>
        </is>
      </c>
      <c r="E675" s="10" t="inlineStr">
        <is>
          <t xml:space="preserve">Vinculación y Desvinculación </t>
        </is>
      </c>
      <c r="F675" s="10" t="inlineStr">
        <is>
          <t>-</t>
        </is>
      </c>
      <c r="G675" s="10" t="inlineStr">
        <is>
          <t xml:space="preserve">Selección por medio de empresa externa </t>
        </is>
      </c>
      <c r="H675" s="10" t="inlineStr">
        <is>
          <t>Formulario de inhabilitados</t>
        </is>
      </c>
      <c r="I675" s="10" t="inlineStr">
        <is>
          <t xml:space="preserve">Autorización por parte del aspirante para revisar las listas de control   de los sistemas internos. </t>
        </is>
      </c>
      <c r="J675" s="10" t="inlineStr">
        <is>
          <t>Gerente de Talento Humano</t>
        </is>
      </c>
      <c r="K675" s="10" t="inlineStr">
        <is>
          <t>Analista de Selección</t>
        </is>
      </c>
      <c r="L675" s="10" t="inlineStr">
        <is>
          <t>DOCUMENTOS FISICOS-ARCHIVOS DE LA OFICINA</t>
        </is>
      </c>
      <c r="M675" s="10" t="inlineStr">
        <is>
          <t>DOCUMENTO DE ARCHIVO-FÍSICO</t>
        </is>
      </c>
      <c r="N675" s="10" t="inlineStr">
        <is>
          <t>PRIMARIOS</t>
        </is>
      </c>
      <c r="O675" s="10" t="inlineStr">
        <is>
          <t>COMUNICACIÓN INTERNA</t>
        </is>
      </c>
      <c r="P675" s="10" t="inlineStr">
        <is>
          <t>USO INTERNO(2)</t>
        </is>
      </c>
      <c r="Q675" s="10" t="inlineStr">
        <is>
          <t>BAJA(1)</t>
        </is>
      </c>
      <c r="R675" s="10" t="inlineStr">
        <is>
          <t>MEDIA(2)</t>
        </is>
      </c>
      <c r="S675" s="10">
        <f>+(IF(P675="PUBLICA(1)",1,IF(P675="USO INTERNO(2)",2,IF(P675="RESTRINGIDO(3)",3,3))))+(IF(Q675="BAJA(1)",1,IF(Q675="MEDIA(2)",2,IF(Q675="ALTA(3)",3,3))))+(IF(R675="BAJA(1)",1,IF(R675="MEDIA(2)",2,IF(R675="ALTA(3)",3,3))))</f>
        <v/>
      </c>
      <c r="T675" s="10">
        <f>+IF(S675&lt;6,"BAJA",IF(S675&lt;8,"MEDIA","ALTA"))</f>
        <v/>
      </c>
      <c r="U675" s="10" t="inlineStr">
        <is>
          <t>-</t>
        </is>
      </c>
      <c r="V675" s="24" t="n">
        <v>45687</v>
      </c>
      <c r="W675" s="19" t="inlineStr">
        <is>
          <t>N/A</t>
        </is>
      </c>
      <c r="X675" s="10">
        <f>+IFERROR(IF(VLOOKUP(Tabla2[[#This Row],[ID]],'EVALUACION DE RIESGO'!A:A,1,FALSE)=Tabla2[[#This Row],[ID]],"SI","NO"),"NO")</f>
        <v/>
      </c>
      <c r="AD675">
        <f>IF(AND(Y675="",AA675=""),"",IF(OR(LEFT(AA675,2)="L0",LEFT(AA675,2)="L1",Y675="No Iniciado"),"CRÍTICO - Incumplimiento Normativo SEPS",IF(AND(OR(LEFT(AA675,2)="L4",LEFT(AA675,2)="L5"),AND(AC675&lt;&gt;"",AC675&lt;&gt;"N/A")),"CONFORME - Control Efectivo ISO 27001","OBSERVACIÓN - Revisar Controles")))</f>
        <v/>
      </c>
    </row>
    <row r="676">
      <c r="A676" s="99" t="inlineStr">
        <is>
          <t>117-GTH</t>
        </is>
      </c>
      <c r="B676" s="10" t="inlineStr">
        <is>
          <t>APOYO</t>
        </is>
      </c>
      <c r="C676" s="10" t="inlineStr">
        <is>
          <t>Gestión del Talento Humano</t>
        </is>
      </c>
      <c r="D676" s="10" t="inlineStr">
        <is>
          <t>GTH</t>
        </is>
      </c>
      <c r="E676" s="10" t="inlineStr">
        <is>
          <t xml:space="preserve">Vinculación y Desvinculación </t>
        </is>
      </c>
      <c r="F676" s="10" t="inlineStr">
        <is>
          <t>-</t>
        </is>
      </c>
      <c r="G676" s="10" t="inlineStr">
        <is>
          <t xml:space="preserve">Selección por medio de empresa externa </t>
        </is>
      </c>
      <c r="H676" s="10" t="inlineStr">
        <is>
          <t>Matriz de evaluación de resultados</t>
        </is>
      </c>
      <c r="I676" s="10" t="inlineStr">
        <is>
          <t>Matriz presentada en el informe, contiene entrevista de incidentes críticos, evaluación de competencias humanas, evaluación de competencias técnicas, por aspirante.</t>
        </is>
      </c>
      <c r="J676" s="10" t="inlineStr">
        <is>
          <t>Gerente de Talento Humano</t>
        </is>
      </c>
      <c r="K676" s="10" t="inlineStr">
        <is>
          <t>Analista de Selección</t>
        </is>
      </c>
      <c r="L676" s="10" t="inlineStr">
        <is>
          <t>DOCUMENTOS FISICOS-ARCHIVOS DE LA OFICINA</t>
        </is>
      </c>
      <c r="M676" s="10" t="inlineStr">
        <is>
          <t>DOCUMENTO DE ARCHIVO-FÍSICO</t>
        </is>
      </c>
      <c r="N676" s="10" t="inlineStr">
        <is>
          <t>PRIMARIOS</t>
        </is>
      </c>
      <c r="O676" s="10" t="inlineStr">
        <is>
          <t>DOCUMENTOS TÉCNICOS</t>
        </is>
      </c>
      <c r="P676" s="10" t="inlineStr">
        <is>
          <t>USO INTERNO(2)</t>
        </is>
      </c>
      <c r="Q676" s="10" t="inlineStr">
        <is>
          <t>BAJA(1)</t>
        </is>
      </c>
      <c r="R676" s="10" t="inlineStr">
        <is>
          <t>MEDIA(2)</t>
        </is>
      </c>
      <c r="S676" s="10">
        <f>+(IF(P676="PUBLICA(1)",1,IF(P676="USO INTERNO(2)",2,IF(P676="RESTRINGIDO(3)",3,3))))+(IF(Q676="BAJA(1)",1,IF(Q676="MEDIA(2)",2,IF(Q676="ALTA(3)",3,3))))+(IF(R676="BAJA(1)",1,IF(R676="MEDIA(2)",2,IF(R676="ALTA(3)",3,3))))</f>
        <v/>
      </c>
      <c r="T676" s="10">
        <f>+IF(S676&lt;6,"BAJA",IF(S676&lt;8,"MEDIA","ALTA"))</f>
        <v/>
      </c>
      <c r="U676" s="10" t="inlineStr">
        <is>
          <t>-</t>
        </is>
      </c>
      <c r="V676" s="24" t="n">
        <v>45687</v>
      </c>
      <c r="W676" s="19" t="inlineStr">
        <is>
          <t>N/A</t>
        </is>
      </c>
      <c r="X676" s="10">
        <f>+IFERROR(IF(VLOOKUP(Tabla2[[#This Row],[ID]],'EVALUACION DE RIESGO'!A:A,1,FALSE)=Tabla2[[#This Row],[ID]],"SI","NO"),"NO")</f>
        <v/>
      </c>
      <c r="AD676">
        <f>IF(AND(Y676="",AA676=""),"",IF(OR(LEFT(AA676,2)="L0",LEFT(AA676,2)="L1",Y676="No Iniciado"),"CRÍTICO - Incumplimiento Normativo SEPS",IF(AND(OR(LEFT(AA676,2)="L4",LEFT(AA676,2)="L5"),AND(AC676&lt;&gt;"",AC676&lt;&gt;"N/A")),"CONFORME - Control Efectivo ISO 27001","OBSERVACIÓN - Revisar Controles")))</f>
        <v/>
      </c>
    </row>
    <row r="677">
      <c r="A677" s="99" t="inlineStr">
        <is>
          <t>118-GTH</t>
        </is>
      </c>
      <c r="B677" s="10" t="inlineStr">
        <is>
          <t>APOYO</t>
        </is>
      </c>
      <c r="C677" s="10" t="inlineStr">
        <is>
          <t>Gestión del Talento Humano</t>
        </is>
      </c>
      <c r="D677" s="10" t="inlineStr">
        <is>
          <t>GTH</t>
        </is>
      </c>
      <c r="E677" s="10" t="inlineStr">
        <is>
          <t xml:space="preserve">Vinculación y Desvinculación </t>
        </is>
      </c>
      <c r="F677" s="10" t="inlineStr">
        <is>
          <t>-</t>
        </is>
      </c>
      <c r="G677" s="10" t="inlineStr">
        <is>
          <t xml:space="preserve">Selección por medio de empresa externa </t>
        </is>
      </c>
      <c r="H677" s="10" t="inlineStr">
        <is>
          <t>Informe del proceso de selección</t>
        </is>
      </c>
      <c r="I677" s="10" t="inlineStr">
        <is>
          <t>Documento de informe final del proceso de selección, contiene perfil del cargo, desarrollo del proceso, y resultados del proceso</t>
        </is>
      </c>
      <c r="J677" s="10" t="inlineStr">
        <is>
          <t>Gerente de Talento Humano</t>
        </is>
      </c>
      <c r="K677" s="10" t="inlineStr">
        <is>
          <t>Analista de Selección</t>
        </is>
      </c>
      <c r="L677" s="10" t="inlineStr">
        <is>
          <t>DOCUMENTOS FISICOS-ARCHIVOS DE LA OFICINA</t>
        </is>
      </c>
      <c r="M677" s="10" t="inlineStr">
        <is>
          <t>DOCUMENTO DE ARCHIVO-FÍSICO</t>
        </is>
      </c>
      <c r="N677" s="10" t="inlineStr">
        <is>
          <t>PRIMARIOS</t>
        </is>
      </c>
      <c r="O677" s="10" t="inlineStr">
        <is>
          <t>DOCUMENTOS TÉCNICOS</t>
        </is>
      </c>
      <c r="P677" s="10" t="inlineStr">
        <is>
          <t>RESTRINGIDO(3)</t>
        </is>
      </c>
      <c r="Q677" s="10" t="inlineStr">
        <is>
          <t>BAJA(1)</t>
        </is>
      </c>
      <c r="R677" s="10" t="inlineStr">
        <is>
          <t>MEDIA(2)</t>
        </is>
      </c>
      <c r="S677" s="10">
        <f>+(IF(P677="PUBLICA(1)",1,IF(P677="USO INTERNO(2)",2,IF(P677="RESTRINGIDO(3)",3,3))))+(IF(Q677="BAJA(1)",1,IF(Q677="MEDIA(2)",2,IF(Q677="ALTA(3)",3,3))))+(IF(R677="BAJA(1)",1,IF(R677="MEDIA(2)",2,IF(R677="ALTA(3)",3,3))))</f>
        <v/>
      </c>
      <c r="T677" s="10">
        <f>+IF(S677&lt;6,"BAJA",IF(S677&lt;8,"MEDIA","ALTA"))</f>
        <v/>
      </c>
      <c r="U677" s="10" t="inlineStr">
        <is>
          <t>-</t>
        </is>
      </c>
      <c r="V677" s="24" t="n">
        <v>45687</v>
      </c>
      <c r="W677" s="19" t="inlineStr">
        <is>
          <t>N/A</t>
        </is>
      </c>
      <c r="X677" s="10">
        <f>+IFERROR(IF(VLOOKUP(Tabla2[[#This Row],[ID]],'EVALUACION DE RIESGO'!A:A,1,FALSE)=Tabla2[[#This Row],[ID]],"SI","NO"),"NO")</f>
        <v/>
      </c>
      <c r="AD677">
        <f>IF(AND(Y677="",AA677=""),"",IF(OR(LEFT(AA677,2)="L0",LEFT(AA677,2)="L1",Y677="No Iniciado"),"CRÍTICO - Incumplimiento Normativo SEPS",IF(AND(OR(LEFT(AA677,2)="L4",LEFT(AA677,2)="L5"),AND(AC677&lt;&gt;"",AC677&lt;&gt;"N/A")),"CONFORME - Control Efectivo ISO 27001","OBSERVACIÓN - Revisar Controles")))</f>
        <v/>
      </c>
    </row>
    <row r="678">
      <c r="A678" s="99" t="inlineStr">
        <is>
          <t>119-GTH</t>
        </is>
      </c>
      <c r="B678" s="10" t="inlineStr">
        <is>
          <t>APOYO</t>
        </is>
      </c>
      <c r="C678" s="10" t="inlineStr">
        <is>
          <t>Gestión del Talento Humano</t>
        </is>
      </c>
      <c r="D678" s="10" t="inlineStr">
        <is>
          <t>GTH</t>
        </is>
      </c>
      <c r="E678" s="10" t="inlineStr">
        <is>
          <t xml:space="preserve">Vinculación y Desvinculación </t>
        </is>
      </c>
      <c r="F678" s="10" t="inlineStr">
        <is>
          <t>-</t>
        </is>
      </c>
      <c r="G678" s="10" t="inlineStr">
        <is>
          <t xml:space="preserve">Selección por medio de empresa externa </t>
        </is>
      </c>
      <c r="H678" s="10" t="inlineStr">
        <is>
          <t>Documentos habilitantes del personal seleccionado</t>
        </is>
      </c>
      <c r="I678" s="10" t="inlineStr">
        <is>
          <t>Consolidado de listas de control, antecedentes penales, reporte crediticio, función judicial, referencias laborales</t>
        </is>
      </c>
      <c r="J678" s="10" t="inlineStr">
        <is>
          <t>Gerente de Talento Humano</t>
        </is>
      </c>
      <c r="K678" s="10" t="inlineStr">
        <is>
          <t>Analista de Selección</t>
        </is>
      </c>
      <c r="L678" s="10" t="inlineStr">
        <is>
          <t>DOCUMENTOS FISICOS-ARCHIVOS DE LA OFICINA</t>
        </is>
      </c>
      <c r="M678" s="10" t="inlineStr">
        <is>
          <t>DOCUMENTO DE ARCHIVO-FÍSICO</t>
        </is>
      </c>
      <c r="N678" s="10" t="inlineStr">
        <is>
          <t>PRIMARIOS</t>
        </is>
      </c>
      <c r="O678" s="10" t="inlineStr">
        <is>
          <t>DOCUMENTOS TÉCNICOS</t>
        </is>
      </c>
      <c r="P678" s="10" t="inlineStr">
        <is>
          <t>USO INTERNO(2)</t>
        </is>
      </c>
      <c r="Q678" s="10" t="inlineStr">
        <is>
          <t>BAJA(1)</t>
        </is>
      </c>
      <c r="R678" s="10" t="inlineStr">
        <is>
          <t>MEDIA(2)</t>
        </is>
      </c>
      <c r="S678" s="10">
        <f>+(IF(P678="PUBLICA(1)",1,IF(P678="USO INTERNO(2)",2,IF(P678="RESTRINGIDO(3)",3,3))))+(IF(Q678="BAJA(1)",1,IF(Q678="MEDIA(2)",2,IF(Q678="ALTA(3)",3,3))))+(IF(R678="BAJA(1)",1,IF(R678="MEDIA(2)",2,IF(R678="ALTA(3)",3,3))))</f>
        <v/>
      </c>
      <c r="T678" s="10">
        <f>+IF(S678&lt;6,"BAJA",IF(S678&lt;8,"MEDIA","ALTA"))</f>
        <v/>
      </c>
      <c r="U678" s="10" t="inlineStr">
        <is>
          <t>-</t>
        </is>
      </c>
      <c r="V678" s="24" t="n">
        <v>45687</v>
      </c>
      <c r="W678" s="19" t="inlineStr">
        <is>
          <t>N/A</t>
        </is>
      </c>
      <c r="X678" s="10">
        <f>+IFERROR(IF(VLOOKUP(Tabla2[[#This Row],[ID]],'EVALUACION DE RIESGO'!A:A,1,FALSE)=Tabla2[[#This Row],[ID]],"SI","NO"),"NO")</f>
        <v/>
      </c>
      <c r="AD678">
        <f>IF(AND(Y678="",AA678=""),"",IF(OR(LEFT(AA678,2)="L0",LEFT(AA678,2)="L1",Y678="No Iniciado"),"CRÍTICO - Incumplimiento Normativo SEPS",IF(AND(OR(LEFT(AA678,2)="L4",LEFT(AA678,2)="L5"),AND(AC678&lt;&gt;"",AC678&lt;&gt;"N/A")),"CONFORME - Control Efectivo ISO 27001","OBSERVACIÓN - Revisar Controles")))</f>
        <v/>
      </c>
    </row>
    <row r="679">
      <c r="A679" s="99" t="inlineStr">
        <is>
          <t>120-GTH</t>
        </is>
      </c>
      <c r="B679" s="10" t="inlineStr">
        <is>
          <t>APOYO</t>
        </is>
      </c>
      <c r="C679" s="10" t="inlineStr">
        <is>
          <t>Gestión del Talento Humano</t>
        </is>
      </c>
      <c r="D679" s="10" t="inlineStr">
        <is>
          <t>GTH</t>
        </is>
      </c>
      <c r="E679" s="10" t="inlineStr">
        <is>
          <t xml:space="preserve">Vinculación y Desvinculación </t>
        </is>
      </c>
      <c r="F679" s="10" t="inlineStr">
        <is>
          <t>-</t>
        </is>
      </c>
      <c r="G679" s="10" t="inlineStr">
        <is>
          <t>Contratación de Personal</t>
        </is>
      </c>
      <c r="H679" s="10" t="inlineStr">
        <is>
          <t>Contrato laboral</t>
        </is>
      </c>
      <c r="I679" s="10" t="inlineStr">
        <is>
          <t>Documento de contrato establecido con el personal formalizado</t>
        </is>
      </c>
      <c r="J679" s="10" t="inlineStr">
        <is>
          <t>Gerente de Talento Humano</t>
        </is>
      </c>
      <c r="K679" s="10" t="inlineStr">
        <is>
          <t>Analista de Selección</t>
        </is>
      </c>
      <c r="L679" s="10" t="inlineStr">
        <is>
          <t>UBICACIÓN DIGITAL-WEBCOOP</t>
        </is>
      </c>
      <c r="M679" s="10" t="inlineStr">
        <is>
          <t>SISTEMAS DE INFORMACIÓN CORPORATIVOS</t>
        </is>
      </c>
      <c r="N679" s="10" t="inlineStr">
        <is>
          <t>PRIMARIOS</t>
        </is>
      </c>
      <c r="O679" s="10" t="inlineStr">
        <is>
          <t>DOCUMENTOS HABILITANTES</t>
        </is>
      </c>
      <c r="P679" s="10" t="inlineStr">
        <is>
          <t>USO INTERNO(2)</t>
        </is>
      </c>
      <c r="Q679" s="10" t="inlineStr">
        <is>
          <t>BAJA(1)</t>
        </is>
      </c>
      <c r="R679" s="10" t="inlineStr">
        <is>
          <t>MEDIA(2)</t>
        </is>
      </c>
      <c r="S679" s="10">
        <f>+(IF(P679="PUBLICA(1)",1,IF(P679="USO INTERNO(2)",2,IF(P679="RESTRINGIDO(3)",3,3))))+(IF(Q679="BAJA(1)",1,IF(Q679="MEDIA(2)",2,IF(Q679="ALTA(3)",3,3))))+(IF(R679="BAJA(1)",1,IF(R679="MEDIA(2)",2,IF(R679="ALTA(3)",3,3))))</f>
        <v/>
      </c>
      <c r="T679" s="10">
        <f>+IF(S679&lt;6,"BAJA",IF(S679&lt;8,"MEDIA","ALTA"))</f>
        <v/>
      </c>
      <c r="U679" s="10" t="inlineStr">
        <is>
          <t>-</t>
        </is>
      </c>
      <c r="V679" s="24" t="n">
        <v>45687</v>
      </c>
      <c r="W679" s="19" t="inlineStr">
        <is>
          <t>N/A</t>
        </is>
      </c>
      <c r="X679" s="10">
        <f>+IFERROR(IF(VLOOKUP(Tabla2[[#This Row],[ID]],'EVALUACION DE RIESGO'!A:A,1,FALSE)=Tabla2[[#This Row],[ID]],"SI","NO"),"NO")</f>
        <v/>
      </c>
      <c r="AD679">
        <f>IF(AND(Y679="",AA679=""),"",IF(OR(LEFT(AA679,2)="L0",LEFT(AA679,2)="L1",Y679="No Iniciado"),"CRÍTICO - Incumplimiento Normativo SEPS",IF(AND(OR(LEFT(AA679,2)="L4",LEFT(AA679,2)="L5"),AND(AC679&lt;&gt;"",AC679&lt;&gt;"N/A")),"CONFORME - Control Efectivo ISO 27001","OBSERVACIÓN - Revisar Controles")))</f>
        <v/>
      </c>
    </row>
    <row r="680">
      <c r="A680" s="99" t="inlineStr">
        <is>
          <t>121-GTH</t>
        </is>
      </c>
      <c r="B680" s="10" t="inlineStr">
        <is>
          <t>APOYO</t>
        </is>
      </c>
      <c r="C680" s="10" t="inlineStr">
        <is>
          <t>Gestión del Talento Humano</t>
        </is>
      </c>
      <c r="D680" s="10" t="inlineStr">
        <is>
          <t>GTH</t>
        </is>
      </c>
      <c r="E680" s="10" t="inlineStr">
        <is>
          <t xml:space="preserve">Vinculación y Desvinculación </t>
        </is>
      </c>
      <c r="F680" s="10" t="inlineStr">
        <is>
          <t>-</t>
        </is>
      </c>
      <c r="G680" s="10" t="inlineStr">
        <is>
          <t>Contratación de Personal</t>
        </is>
      </c>
      <c r="H680" s="10" t="inlineStr">
        <is>
          <t>Lista de verificación de documentos</t>
        </is>
      </c>
      <c r="I680" s="10" t="inlineStr">
        <is>
          <t>Check lista de documentos habilitantes del proceso de contratación</t>
        </is>
      </c>
      <c r="J680" s="10" t="inlineStr">
        <is>
          <t>Gerente de Talento Humano</t>
        </is>
      </c>
      <c r="K680" s="10" t="inlineStr">
        <is>
          <t>Analista de Selección</t>
        </is>
      </c>
      <c r="L680" s="10" t="inlineStr">
        <is>
          <t>DOCUMENTOS FISICOS-ARCHIVOS DE LA OFICINA</t>
        </is>
      </c>
      <c r="M680" s="10" t="inlineStr">
        <is>
          <t>DOCUMENTO DE ARCHIVO-FÍSICO</t>
        </is>
      </c>
      <c r="N680" s="10" t="inlineStr">
        <is>
          <t>PRIMARIOS</t>
        </is>
      </c>
      <c r="O680" s="10" t="inlineStr">
        <is>
          <t>DOCUMENTOS HABILITANTES</t>
        </is>
      </c>
      <c r="P680" s="10" t="inlineStr">
        <is>
          <t>USO INTERNO(2)</t>
        </is>
      </c>
      <c r="Q680" s="10" t="inlineStr">
        <is>
          <t>BAJA(1)</t>
        </is>
      </c>
      <c r="R680" s="10" t="inlineStr">
        <is>
          <t>MEDIA(2)</t>
        </is>
      </c>
      <c r="S680" s="10">
        <f>+(IF(P680="PUBLICA(1)",1,IF(P680="USO INTERNO(2)",2,IF(P680="RESTRINGIDO(3)",3,3))))+(IF(Q680="BAJA(1)",1,IF(Q680="MEDIA(2)",2,IF(Q680="ALTA(3)",3,3))))+(IF(R680="BAJA(1)",1,IF(R680="MEDIA(2)",2,IF(R680="ALTA(3)",3,3))))</f>
        <v/>
      </c>
      <c r="T680" s="10">
        <f>+IF(S680&lt;6,"BAJA",IF(S680&lt;8,"MEDIA","ALTA"))</f>
        <v/>
      </c>
      <c r="U680" s="10" t="inlineStr">
        <is>
          <t>-</t>
        </is>
      </c>
      <c r="V680" s="24" t="n">
        <v>45687</v>
      </c>
      <c r="W680" s="19" t="inlineStr">
        <is>
          <t>N/A</t>
        </is>
      </c>
      <c r="X680" s="10">
        <f>+IFERROR(IF(VLOOKUP(Tabla2[[#This Row],[ID]],'EVALUACION DE RIESGO'!A:A,1,FALSE)=Tabla2[[#This Row],[ID]],"SI","NO"),"NO")</f>
        <v/>
      </c>
      <c r="AD680">
        <f>IF(AND(Y680="",AA680=""),"",IF(OR(LEFT(AA680,2)="L0",LEFT(AA680,2)="L1",Y680="No Iniciado"),"CRÍTICO - Incumplimiento Normativo SEPS",IF(AND(OR(LEFT(AA680,2)="L4",LEFT(AA680,2)="L5"),AND(AC680&lt;&gt;"",AC680&lt;&gt;"N/A")),"CONFORME - Control Efectivo ISO 27001","OBSERVACIÓN - Revisar Controles")))</f>
        <v/>
      </c>
    </row>
    <row r="681">
      <c r="A681" s="99" t="inlineStr">
        <is>
          <t>122-GTH</t>
        </is>
      </c>
      <c r="B681" s="10" t="inlineStr">
        <is>
          <t>APOYO</t>
        </is>
      </c>
      <c r="C681" s="10" t="inlineStr">
        <is>
          <t>Gestión del Talento Humano</t>
        </is>
      </c>
      <c r="D681" s="10" t="inlineStr">
        <is>
          <t>GTH</t>
        </is>
      </c>
      <c r="E681" s="10" t="inlineStr">
        <is>
          <t xml:space="preserve">Vinculación y Desvinculación </t>
        </is>
      </c>
      <c r="F681" s="10" t="inlineStr">
        <is>
          <t>-</t>
        </is>
      </c>
      <c r="G681" s="10" t="inlineStr">
        <is>
          <t>Contratación de Personal</t>
        </is>
      </c>
      <c r="H681" s="10" t="inlineStr">
        <is>
          <t>Solicitud de tarjeta de acceso físico</t>
        </is>
      </c>
      <c r="I681" s="10" t="inlineStr">
        <is>
          <t>Registro de correo electrónico enviado por el Asistente de Talento Humano a Seguridad Física solicitante en nuevo acceso físico</t>
        </is>
      </c>
      <c r="J681" s="10" t="inlineStr">
        <is>
          <t>Gerente de Talento Humano</t>
        </is>
      </c>
      <c r="K681" s="10" t="inlineStr">
        <is>
          <t>Asistente de Talento Humano</t>
        </is>
      </c>
      <c r="L681" s="10" t="inlineStr">
        <is>
          <t>UBICACIÓN DIGITAL-EQUIPO DEL CUSTODIO</t>
        </is>
      </c>
      <c r="M681" s="10" t="inlineStr">
        <is>
          <t>SISTEMAS DE INFORMACIÓN CORPORATIVOS</t>
        </is>
      </c>
      <c r="N681" s="10" t="inlineStr">
        <is>
          <t>PRIMARIOS</t>
        </is>
      </c>
      <c r="O681" s="10" t="inlineStr">
        <is>
          <t>DOCUMENTOS HABILITANTES</t>
        </is>
      </c>
      <c r="P681" s="10" t="inlineStr">
        <is>
          <t>USO INTERNO(2)</t>
        </is>
      </c>
      <c r="Q681" s="10" t="inlineStr">
        <is>
          <t>BAJA(1)</t>
        </is>
      </c>
      <c r="R681" s="10" t="inlineStr">
        <is>
          <t>MEDIA(2)</t>
        </is>
      </c>
      <c r="S681" s="10">
        <f>+(IF(P681="PUBLICA(1)",1,IF(P681="USO INTERNO(2)",2,IF(P681="RESTRINGIDO(3)",3,3))))+(IF(Q681="BAJA(1)",1,IF(Q681="MEDIA(2)",2,IF(Q681="ALTA(3)",3,3))))+(IF(R681="BAJA(1)",1,IF(R681="MEDIA(2)",2,IF(R681="ALTA(3)",3,3))))</f>
        <v/>
      </c>
      <c r="T681" s="10">
        <f>+IF(S681&lt;6,"BAJA",IF(S681&lt;8,"MEDIA","ALTA"))</f>
        <v/>
      </c>
      <c r="U681" s="10" t="inlineStr">
        <is>
          <t>-</t>
        </is>
      </c>
      <c r="V681" s="24" t="n">
        <v>45687</v>
      </c>
      <c r="W681" s="19" t="inlineStr">
        <is>
          <t>N/A</t>
        </is>
      </c>
      <c r="X681" s="10">
        <f>+IFERROR(IF(VLOOKUP(Tabla2[[#This Row],[ID]],'EVALUACION DE RIESGO'!A:A,1,FALSE)=Tabla2[[#This Row],[ID]],"SI","NO"),"NO")</f>
        <v/>
      </c>
      <c r="AD681">
        <f>IF(AND(Y681="",AA681=""),"",IF(OR(LEFT(AA681,2)="L0",LEFT(AA681,2)="L1",Y681="No Iniciado"),"CRÍTICO - Incumplimiento Normativo SEPS",IF(AND(OR(LEFT(AA681,2)="L4",LEFT(AA681,2)="L5"),AND(AC681&lt;&gt;"",AC681&lt;&gt;"N/A")),"CONFORME - Control Efectivo ISO 27001","OBSERVACIÓN - Revisar Controles")))</f>
        <v/>
      </c>
    </row>
    <row r="682">
      <c r="A682" s="99" t="inlineStr">
        <is>
          <t>123-GTH</t>
        </is>
      </c>
      <c r="B682" s="10" t="inlineStr">
        <is>
          <t>APOYO</t>
        </is>
      </c>
      <c r="C682" s="10" t="inlineStr">
        <is>
          <t>Gestión del Talento Humano</t>
        </is>
      </c>
      <c r="D682" s="10" t="inlineStr">
        <is>
          <t>GTH</t>
        </is>
      </c>
      <c r="E682" s="10" t="inlineStr">
        <is>
          <t xml:space="preserve">Vinculación y Desvinculación </t>
        </is>
      </c>
      <c r="F682" s="10" t="inlineStr">
        <is>
          <t>-</t>
        </is>
      </c>
      <c r="G682" s="10" t="inlineStr">
        <is>
          <t xml:space="preserve">Vinculación de Administradores </t>
        </is>
      </c>
      <c r="H682" s="10" t="inlineStr">
        <is>
          <t>Documentos de administrador establecidos en le lista de verificación del file</t>
        </is>
      </c>
      <c r="I682" s="10" t="inlineStr">
        <is>
          <t>Check list de documentos habilitantes del proceso de contratación de administrador</t>
        </is>
      </c>
      <c r="J682" s="10" t="inlineStr">
        <is>
          <t>Gerente de Talento Humano</t>
        </is>
      </c>
      <c r="K682" s="10" t="inlineStr">
        <is>
          <t>Analista de Selección</t>
        </is>
      </c>
      <c r="L682" s="10" t="inlineStr">
        <is>
          <t>DOCUMENTOS FISICOS-ARCHIVOS DE LA OFICINA</t>
        </is>
      </c>
      <c r="M682" s="10" t="inlineStr">
        <is>
          <t>DOCUMENTO DE ARCHIVO-FÍSICO</t>
        </is>
      </c>
      <c r="N682" s="10" t="inlineStr">
        <is>
          <t>PRIMARIOS</t>
        </is>
      </c>
      <c r="O682" s="10" t="inlineStr">
        <is>
          <t>DOCUMENTOS HABILITANTES</t>
        </is>
      </c>
      <c r="P682" s="10" t="inlineStr">
        <is>
          <t>USO INTERNO(2)</t>
        </is>
      </c>
      <c r="Q682" s="10" t="inlineStr">
        <is>
          <t>BAJA(1)</t>
        </is>
      </c>
      <c r="R682" s="10" t="inlineStr">
        <is>
          <t>MEDIA(2)</t>
        </is>
      </c>
      <c r="S682" s="10">
        <f>+(IF(P682="PUBLICA(1)",1,IF(P682="USO INTERNO(2)",2,IF(P682="RESTRINGIDO(3)",3,3))))+(IF(Q682="BAJA(1)",1,IF(Q682="MEDIA(2)",2,IF(Q682="ALTA(3)",3,3))))+(IF(R682="BAJA(1)",1,IF(R682="MEDIA(2)",2,IF(R682="ALTA(3)",3,3))))</f>
        <v/>
      </c>
      <c r="T682" s="10">
        <f>+IF(S682&lt;6,"BAJA",IF(S682&lt;8,"MEDIA","ALTA"))</f>
        <v/>
      </c>
      <c r="U682" s="10" t="inlineStr">
        <is>
          <t>-</t>
        </is>
      </c>
      <c r="V682" s="24" t="n">
        <v>45687</v>
      </c>
      <c r="W682" s="19" t="inlineStr">
        <is>
          <t>N/A</t>
        </is>
      </c>
      <c r="X682" s="10">
        <f>+IFERROR(IF(VLOOKUP(Tabla2[[#This Row],[ID]],'EVALUACION DE RIESGO'!A:A,1,FALSE)=Tabla2[[#This Row],[ID]],"SI","NO"),"NO")</f>
        <v/>
      </c>
      <c r="AD682">
        <f>IF(AND(Y682="",AA682=""),"",IF(OR(LEFT(AA682,2)="L0",LEFT(AA682,2)="L1",Y682="No Iniciado"),"CRÍTICO - Incumplimiento Normativo SEPS",IF(AND(OR(LEFT(AA682,2)="L4",LEFT(AA682,2)="L5"),AND(AC682&lt;&gt;"",AC682&lt;&gt;"N/A")),"CONFORME - Control Efectivo ISO 27001","OBSERVACIÓN - Revisar Controles")))</f>
        <v/>
      </c>
    </row>
    <row r="683">
      <c r="A683" s="99" t="inlineStr">
        <is>
          <t>124-GTH</t>
        </is>
      </c>
      <c r="B683" s="10" t="inlineStr">
        <is>
          <t>APOYO</t>
        </is>
      </c>
      <c r="C683" s="10" t="inlineStr">
        <is>
          <t>Gestión del Talento Humano</t>
        </is>
      </c>
      <c r="D683" s="10" t="inlineStr">
        <is>
          <t>GTH</t>
        </is>
      </c>
      <c r="E683" s="10" t="inlineStr">
        <is>
          <t xml:space="preserve">Vinculación y Desvinculación </t>
        </is>
      </c>
      <c r="F683" s="10" t="inlineStr">
        <is>
          <t>-</t>
        </is>
      </c>
      <c r="G683" s="10" t="inlineStr">
        <is>
          <t>Inducción del Personal</t>
        </is>
      </c>
      <c r="H683" s="10" t="inlineStr">
        <is>
          <t>Formulario de inducción y evaluación</t>
        </is>
      </c>
      <c r="I683" s="10" t="inlineStr">
        <is>
          <t>Documento de evaluación realizada por el Jefe Inmediato, indica el porcentaje de aprobación del nuevo personal.</t>
        </is>
      </c>
      <c r="J683" s="10" t="inlineStr">
        <is>
          <t>Gerente de Talento Humano</t>
        </is>
      </c>
      <c r="K683" s="10" t="inlineStr">
        <is>
          <t>Analista de Selección</t>
        </is>
      </c>
      <c r="L683" s="10" t="inlineStr">
        <is>
          <t>UBICACIÓN DIGITAL-WEBCOOP</t>
        </is>
      </c>
      <c r="M683" s="10" t="inlineStr">
        <is>
          <t>SISTEMAS DE INFORMACIÓN CORPORATIVOS</t>
        </is>
      </c>
      <c r="N683" s="10" t="inlineStr">
        <is>
          <t>PRIMARIOS</t>
        </is>
      </c>
      <c r="O683" s="10" t="inlineStr">
        <is>
          <t>DOCUMENTOS TÉCNICOS</t>
        </is>
      </c>
      <c r="P683" s="10" t="inlineStr">
        <is>
          <t>USO INTERNO(2)</t>
        </is>
      </c>
      <c r="Q683" s="10" t="inlineStr">
        <is>
          <t>BAJA(1)</t>
        </is>
      </c>
      <c r="R683" s="10" t="inlineStr">
        <is>
          <t>MEDIA(2)</t>
        </is>
      </c>
      <c r="S683" s="10">
        <f>+(IF(P683="PUBLICA(1)",1,IF(P683="USO INTERNO(2)",2,IF(P683="RESTRINGIDO(3)",3,3))))+(IF(Q683="BAJA(1)",1,IF(Q683="MEDIA(2)",2,IF(Q683="ALTA(3)",3,3))))+(IF(R683="BAJA(1)",1,IF(R683="MEDIA(2)",2,IF(R683="ALTA(3)",3,3))))</f>
        <v/>
      </c>
      <c r="T683" s="10">
        <f>+IF(S683&lt;6,"BAJA",IF(S683&lt;8,"MEDIA","ALTA"))</f>
        <v/>
      </c>
      <c r="U683" s="10" t="inlineStr">
        <is>
          <t>-</t>
        </is>
      </c>
      <c r="V683" s="24" t="n">
        <v>45687</v>
      </c>
      <c r="W683" s="19" t="inlineStr">
        <is>
          <t>N/A</t>
        </is>
      </c>
      <c r="X683" s="10">
        <f>+IFERROR(IF(VLOOKUP(Tabla2[[#This Row],[ID]],'EVALUACION DE RIESGO'!A:A,1,FALSE)=Tabla2[[#This Row],[ID]],"SI","NO"),"NO")</f>
        <v/>
      </c>
      <c r="AD683">
        <f>IF(AND(Y683="",AA683=""),"",IF(OR(LEFT(AA683,2)="L0",LEFT(AA683,2)="L1",Y683="No Iniciado"),"CRÍTICO - Incumplimiento Normativo SEPS",IF(AND(OR(LEFT(AA683,2)="L4",LEFT(AA683,2)="L5"),AND(AC683&lt;&gt;"",AC683&lt;&gt;"N/A")),"CONFORME - Control Efectivo ISO 27001","OBSERVACIÓN - Revisar Controles")))</f>
        <v/>
      </c>
    </row>
    <row r="684">
      <c r="A684" s="99" t="inlineStr">
        <is>
          <t>125-GTH</t>
        </is>
      </c>
      <c r="B684" s="10" t="inlineStr">
        <is>
          <t>APOYO</t>
        </is>
      </c>
      <c r="C684" s="10" t="inlineStr">
        <is>
          <t>Gestión del Talento Humano</t>
        </is>
      </c>
      <c r="D684" s="10" t="inlineStr">
        <is>
          <t>GTH</t>
        </is>
      </c>
      <c r="E684" s="10" t="inlineStr">
        <is>
          <t xml:space="preserve">Vinculación y Desvinculación </t>
        </is>
      </c>
      <c r="F684" s="10" t="inlineStr">
        <is>
          <t>-</t>
        </is>
      </c>
      <c r="G684" s="10" t="inlineStr">
        <is>
          <t>Inducción del Personal</t>
        </is>
      </c>
      <c r="H684" s="10" t="inlineStr">
        <is>
          <t>Formulario de entrenamiento a cajeros</t>
        </is>
      </c>
      <c r="I684" s="10" t="inlineStr">
        <is>
          <t>Formulario aplicado al personal de cajeros, contiene información específica del proceso transaccional de cajas</t>
        </is>
      </c>
      <c r="J684" s="10" t="inlineStr">
        <is>
          <t>Gerente de Talento Humano</t>
        </is>
      </c>
      <c r="K684" s="10" t="inlineStr">
        <is>
          <t>Analista de Selección</t>
        </is>
      </c>
      <c r="L684" s="10" t="inlineStr">
        <is>
          <t>UBICACIÓN DIGITAL-WEBCOOP</t>
        </is>
      </c>
      <c r="M684" s="10" t="inlineStr">
        <is>
          <t>SISTEMAS DE INFORMACIÓN CORPORATIVOS</t>
        </is>
      </c>
      <c r="N684" s="10" t="inlineStr">
        <is>
          <t>PRIMARIOS</t>
        </is>
      </c>
      <c r="O684" s="10" t="inlineStr">
        <is>
          <t>DOCUMENTOS TÉCNICOS</t>
        </is>
      </c>
      <c r="P684" s="10" t="inlineStr">
        <is>
          <t>PUBLICA(1)</t>
        </is>
      </c>
      <c r="Q684" s="10" t="inlineStr">
        <is>
          <t>BAJA(1)</t>
        </is>
      </c>
      <c r="R684" s="10" t="inlineStr">
        <is>
          <t>MEDIA(2)</t>
        </is>
      </c>
      <c r="S684" s="10">
        <f>+(IF(P684="PUBLICA(1)",1,IF(P684="USO INTERNO(2)",2,IF(P684="RESTRINGIDO(3)",3,3))))+(IF(Q684="BAJA(1)",1,IF(Q684="MEDIA(2)",2,IF(Q684="ALTA(3)",3,3))))+(IF(R684="BAJA(1)",1,IF(R684="MEDIA(2)",2,IF(R684="ALTA(3)",3,3))))</f>
        <v/>
      </c>
      <c r="T684" s="10">
        <f>+IF(S684&lt;6,"BAJA",IF(S684&lt;8,"MEDIA","ALTA"))</f>
        <v/>
      </c>
      <c r="U684" s="10" t="inlineStr">
        <is>
          <t>-</t>
        </is>
      </c>
      <c r="V684" s="24" t="n">
        <v>45687</v>
      </c>
      <c r="W684" s="19" t="inlineStr">
        <is>
          <t>N/A</t>
        </is>
      </c>
      <c r="X684" s="10">
        <f>+IFERROR(IF(VLOOKUP(Tabla2[[#This Row],[ID]],'EVALUACION DE RIESGO'!A:A,1,FALSE)=Tabla2[[#This Row],[ID]],"SI","NO"),"NO")</f>
        <v/>
      </c>
      <c r="AD684">
        <f>IF(AND(Y684="",AA684=""),"",IF(OR(LEFT(AA684,2)="L0",LEFT(AA684,2)="L1",Y684="No Iniciado"),"CRÍTICO - Incumplimiento Normativo SEPS",IF(AND(OR(LEFT(AA684,2)="L4",LEFT(AA684,2)="L5"),AND(AC684&lt;&gt;"",AC684&lt;&gt;"N/A")),"CONFORME - Control Efectivo ISO 27001","OBSERVACIÓN - Revisar Controles")))</f>
        <v/>
      </c>
    </row>
    <row r="685">
      <c r="A685" s="99" t="inlineStr">
        <is>
          <t>126-GTH</t>
        </is>
      </c>
      <c r="B685" s="10" t="inlineStr">
        <is>
          <t>APOYO</t>
        </is>
      </c>
      <c r="C685" s="10" t="inlineStr">
        <is>
          <t>Gestión del Talento Humano</t>
        </is>
      </c>
      <c r="D685" s="10" t="inlineStr">
        <is>
          <t>GTH</t>
        </is>
      </c>
      <c r="E685" s="10" t="inlineStr">
        <is>
          <t xml:space="preserve">Vinculación y Desvinculación </t>
        </is>
      </c>
      <c r="F685" s="10" t="inlineStr">
        <is>
          <t>-</t>
        </is>
      </c>
      <c r="G685" s="10" t="inlineStr">
        <is>
          <t>Inducción del Personal</t>
        </is>
      </c>
      <c r="H685" s="10" t="inlineStr">
        <is>
          <t>Acta entrega recepción</t>
        </is>
      </c>
      <c r="I685" s="10" t="inlineStr">
        <is>
          <t>Al inicio da entrega del puesto se realiza un acta entrega recepción de información y activos.</t>
        </is>
      </c>
      <c r="J685" s="10" t="inlineStr">
        <is>
          <t>Gerente de Talento Humano</t>
        </is>
      </c>
      <c r="K685" s="10" t="inlineStr">
        <is>
          <t>Analista de Selección</t>
        </is>
      </c>
      <c r="L685" s="10" t="inlineStr">
        <is>
          <t>DOCUMENTOS FISICOS-ARCHIVOS DE LA OFICINA</t>
        </is>
      </c>
      <c r="M685" s="10" t="inlineStr">
        <is>
          <t>DOCUMENTO DE ARCHIVO-FÍSICO</t>
        </is>
      </c>
      <c r="N685" s="10" t="inlineStr">
        <is>
          <t>PRIMARIOS</t>
        </is>
      </c>
      <c r="O685" s="10" t="inlineStr">
        <is>
          <t>DOCUMENTOS TÉCNICOS</t>
        </is>
      </c>
      <c r="P685" s="10" t="inlineStr">
        <is>
          <t>PUBLICA(1)</t>
        </is>
      </c>
      <c r="Q685" s="10" t="inlineStr">
        <is>
          <t>BAJA(1)</t>
        </is>
      </c>
      <c r="R685" s="10" t="inlineStr">
        <is>
          <t>MEDIA(2)</t>
        </is>
      </c>
      <c r="S685" s="10">
        <f>+(IF(P685="PUBLICA(1)",1,IF(P685="USO INTERNO(2)",2,IF(P685="RESTRINGIDO(3)",3,3))))+(IF(Q685="BAJA(1)",1,IF(Q685="MEDIA(2)",2,IF(Q685="ALTA(3)",3,3))))+(IF(R685="BAJA(1)",1,IF(R685="MEDIA(2)",2,IF(R685="ALTA(3)",3,3))))</f>
        <v/>
      </c>
      <c r="T685" s="10">
        <f>+IF(S685&lt;6,"BAJA",IF(S685&lt;8,"MEDIA","ALTA"))</f>
        <v/>
      </c>
      <c r="U685" s="10" t="inlineStr">
        <is>
          <t>-</t>
        </is>
      </c>
      <c r="V685" s="24" t="n">
        <v>45687</v>
      </c>
      <c r="W685" s="19" t="inlineStr">
        <is>
          <t>N/A</t>
        </is>
      </c>
      <c r="X685" s="10">
        <f>+IFERROR(IF(VLOOKUP(Tabla2[[#This Row],[ID]],'EVALUACION DE RIESGO'!A:A,1,FALSE)=Tabla2[[#This Row],[ID]],"SI","NO"),"NO")</f>
        <v/>
      </c>
      <c r="AD685">
        <f>IF(AND(Y685="",AA685=""),"",IF(OR(LEFT(AA685,2)="L0",LEFT(AA685,2)="L1",Y685="No Iniciado"),"CRÍTICO - Incumplimiento Normativo SEPS",IF(AND(OR(LEFT(AA685,2)="L4",LEFT(AA685,2)="L5"),AND(AC685&lt;&gt;"",AC685&lt;&gt;"N/A")),"CONFORME - Control Efectivo ISO 27001","OBSERVACIÓN - Revisar Controles")))</f>
        <v/>
      </c>
    </row>
    <row r="686">
      <c r="A686" s="99" t="inlineStr">
        <is>
          <t>127-GTH</t>
        </is>
      </c>
      <c r="B686" s="10" t="inlineStr">
        <is>
          <t>APOYO</t>
        </is>
      </c>
      <c r="C686" s="10" t="inlineStr">
        <is>
          <t>Gestión del Talento Humano</t>
        </is>
      </c>
      <c r="D686" s="10" t="inlineStr">
        <is>
          <t>GTH</t>
        </is>
      </c>
      <c r="E686" s="10" t="inlineStr">
        <is>
          <t xml:space="preserve">Vinculación y Desvinculación </t>
        </is>
      </c>
      <c r="F686" s="10" t="inlineStr">
        <is>
          <t>-</t>
        </is>
      </c>
      <c r="G686" s="10" t="inlineStr">
        <is>
          <t>Desvinculación del Personal</t>
        </is>
      </c>
      <c r="H686" s="10" t="inlineStr">
        <is>
          <t>Acta de finiquito</t>
        </is>
      </c>
      <c r="I686" s="10" t="inlineStr">
        <is>
          <t>Actas que se llevan de manera física, cargado adicional en webcoop y ministerio de trabajo, contiene ingresos y egresos, descuentos, liquidación de haberes y firmas</t>
        </is>
      </c>
      <c r="J686" s="10" t="inlineStr">
        <is>
          <t>Gerente de Talento Humano</t>
        </is>
      </c>
      <c r="K686" s="10" t="inlineStr">
        <is>
          <t>Analista de Selección</t>
        </is>
      </c>
      <c r="L686" s="10" t="inlineStr">
        <is>
          <t>UBICACIÓN DIGITAL-WEBCOOP</t>
        </is>
      </c>
      <c r="M686" s="10" t="inlineStr">
        <is>
          <t>SISTEMAS DE INFORMACIÓN CORPORATIVOS</t>
        </is>
      </c>
      <c r="N686" s="10" t="inlineStr">
        <is>
          <t>PRIMARIOS</t>
        </is>
      </c>
      <c r="O686" s="10" t="inlineStr">
        <is>
          <t>DOCUMENTOS TÉCNICOS</t>
        </is>
      </c>
      <c r="P686" s="10" t="inlineStr">
        <is>
          <t>USO INTERNO(2)</t>
        </is>
      </c>
      <c r="Q686" s="10" t="inlineStr">
        <is>
          <t>BAJA(1)</t>
        </is>
      </c>
      <c r="R686" s="10" t="inlineStr">
        <is>
          <t>MEDIA(2)</t>
        </is>
      </c>
      <c r="S686" s="10">
        <f>+(IF(P686="PUBLICA(1)",1,IF(P686="USO INTERNO(2)",2,IF(P686="RESTRINGIDO(3)",3,3))))+(IF(Q686="BAJA(1)",1,IF(Q686="MEDIA(2)",2,IF(Q686="ALTA(3)",3,3))))+(IF(R686="BAJA(1)",1,IF(R686="MEDIA(2)",2,IF(R686="ALTA(3)",3,3))))</f>
        <v/>
      </c>
      <c r="T686" s="10">
        <f>+IF(S686&lt;6,"BAJA",IF(S686&lt;8,"MEDIA","ALTA"))</f>
        <v/>
      </c>
      <c r="U686" s="10" t="inlineStr">
        <is>
          <t>-</t>
        </is>
      </c>
      <c r="V686" s="24" t="n">
        <v>45687</v>
      </c>
      <c r="W686" s="19" t="inlineStr">
        <is>
          <t>N/A</t>
        </is>
      </c>
      <c r="X686" s="10">
        <f>+IFERROR(IF(VLOOKUP(Tabla2[[#This Row],[ID]],'EVALUACION DE RIESGO'!A:A,1,FALSE)=Tabla2[[#This Row],[ID]],"SI","NO"),"NO")</f>
        <v/>
      </c>
      <c r="AD686">
        <f>IF(AND(Y686="",AA686=""),"",IF(OR(LEFT(AA686,2)="L0",LEFT(AA686,2)="L1",Y686="No Iniciado"),"CRÍTICO - Incumplimiento Normativo SEPS",IF(AND(OR(LEFT(AA686,2)="L4",LEFT(AA686,2)="L5"),AND(AC686&lt;&gt;"",AC686&lt;&gt;"N/A")),"CONFORME - Control Efectivo ISO 27001","OBSERVACIÓN - Revisar Controles")))</f>
        <v/>
      </c>
    </row>
    <row r="687">
      <c r="A687" s="99" t="inlineStr">
        <is>
          <t>128-GTH</t>
        </is>
      </c>
      <c r="B687" s="10" t="inlineStr">
        <is>
          <t>APOYO</t>
        </is>
      </c>
      <c r="C687" s="10" t="inlineStr">
        <is>
          <t>Gestión del Talento Humano</t>
        </is>
      </c>
      <c r="D687" s="10" t="inlineStr">
        <is>
          <t>GTH</t>
        </is>
      </c>
      <c r="E687" s="10" t="inlineStr">
        <is>
          <t xml:space="preserve">Vinculación y Desvinculación </t>
        </is>
      </c>
      <c r="F687" s="10" t="inlineStr">
        <is>
          <t>-</t>
        </is>
      </c>
      <c r="G687" s="10" t="inlineStr">
        <is>
          <t>Desvinculación del Personal</t>
        </is>
      </c>
      <c r="H687" s="10" t="inlineStr">
        <is>
          <t>Aviso de salida</t>
        </is>
      </c>
      <c r="I687" s="10" t="inlineStr">
        <is>
          <t>Documento enviado al IESS con información del ex empleado, causa de salida, observación</t>
        </is>
      </c>
      <c r="J687" s="10" t="inlineStr">
        <is>
          <t>Gerente de Talento Humano</t>
        </is>
      </c>
      <c r="K687" s="10" t="inlineStr">
        <is>
          <t>Analista de Selección</t>
        </is>
      </c>
      <c r="L687" s="10" t="inlineStr">
        <is>
          <t>UBICACIÓN DIGITAL-EQUIPO DEL CUSTODIO</t>
        </is>
      </c>
      <c r="M687" s="10" t="inlineStr">
        <is>
          <t>DISCOS DUROS, SERVIDORES, DISCOS O MEDIOS PORTÁTILES, CINTAS O MEDIOS DE VIDEO Y AUDIO, ETC.</t>
        </is>
      </c>
      <c r="N687" s="10" t="inlineStr">
        <is>
          <t>PRIMARIOS</t>
        </is>
      </c>
      <c r="O687" s="10" t="inlineStr">
        <is>
          <t>DOCUMENTOS TÉCNICOS</t>
        </is>
      </c>
      <c r="P687" s="10" t="inlineStr">
        <is>
          <t>PUBLICA(1)</t>
        </is>
      </c>
      <c r="Q687" s="10" t="inlineStr">
        <is>
          <t>BAJA(1)</t>
        </is>
      </c>
      <c r="R687" s="10" t="inlineStr">
        <is>
          <t>MEDIA(2)</t>
        </is>
      </c>
      <c r="S687" s="10">
        <f>+(IF(P687="PUBLICA(1)",1,IF(P687="USO INTERNO(2)",2,IF(P687="RESTRINGIDO(3)",3,3))))+(IF(Q687="BAJA(1)",1,IF(Q687="MEDIA(2)",2,IF(Q687="ALTA(3)",3,3))))+(IF(R687="BAJA(1)",1,IF(R687="MEDIA(2)",2,IF(R687="ALTA(3)",3,3))))</f>
        <v/>
      </c>
      <c r="T687" s="10">
        <f>+IF(S687&lt;6,"BAJA",IF(S687&lt;8,"MEDIA","ALTA"))</f>
        <v/>
      </c>
      <c r="U687" s="10" t="inlineStr">
        <is>
          <t>-</t>
        </is>
      </c>
      <c r="V687" s="24" t="n">
        <v>45687</v>
      </c>
      <c r="W687" s="19" t="inlineStr">
        <is>
          <t>N/A</t>
        </is>
      </c>
      <c r="X687" s="10">
        <f>+IFERROR(IF(VLOOKUP(Tabla2[[#This Row],[ID]],'EVALUACION DE RIESGO'!A:A,1,FALSE)=Tabla2[[#This Row],[ID]],"SI","NO"),"NO")</f>
        <v/>
      </c>
      <c r="AD687">
        <f>IF(AND(Y687="",AA687=""),"",IF(OR(LEFT(AA687,2)="L0",LEFT(AA687,2)="L1",Y687="No Iniciado"),"CRÍTICO - Incumplimiento Normativo SEPS",IF(AND(OR(LEFT(AA687,2)="L4",LEFT(AA687,2)="L5"),AND(AC687&lt;&gt;"",AC687&lt;&gt;"N/A")),"CONFORME - Control Efectivo ISO 27001","OBSERVACIÓN - Revisar Controles")))</f>
        <v/>
      </c>
    </row>
    <row r="688">
      <c r="A688" s="99" t="inlineStr">
        <is>
          <t>129-GTH</t>
        </is>
      </c>
      <c r="B688" s="10" t="inlineStr">
        <is>
          <t>APOYO</t>
        </is>
      </c>
      <c r="C688" s="10" t="inlineStr">
        <is>
          <t>Gestión del Talento Humano</t>
        </is>
      </c>
      <c r="D688" s="10" t="inlineStr">
        <is>
          <t>GTH</t>
        </is>
      </c>
      <c r="E688" s="10" t="inlineStr">
        <is>
          <t xml:space="preserve">Vinculación y Desvinculación </t>
        </is>
      </c>
      <c r="F688" s="10" t="inlineStr">
        <is>
          <t>-</t>
        </is>
      </c>
      <c r="G688" s="10" t="inlineStr">
        <is>
          <t>Desvinculación del Personal</t>
        </is>
      </c>
      <c r="H688" s="10" t="inlineStr">
        <is>
          <t>Formulario 107</t>
        </is>
      </c>
      <c r="I688" s="10" t="inlineStr">
        <is>
          <t>Formularios con información de empleados que contiene ingresos y gastos, documento eventual</t>
        </is>
      </c>
      <c r="J688" s="10" t="inlineStr">
        <is>
          <t>Gerente de Talento Humano</t>
        </is>
      </c>
      <c r="K688" s="10" t="inlineStr">
        <is>
          <t>Analista de Selección</t>
        </is>
      </c>
      <c r="L688" s="10" t="inlineStr">
        <is>
          <t>UBICACIÓN DIGITAL-EQUIPO DEL CUSTODIO</t>
        </is>
      </c>
      <c r="M688" s="10" t="inlineStr">
        <is>
          <t>DISCOS DUROS, SERVIDORES, DISCOS O MEDIOS PORTÁTILES, CINTAS O MEDIOS DE VIDEO Y AUDIO, ETC.</t>
        </is>
      </c>
      <c r="N688" s="10" t="inlineStr">
        <is>
          <t>PRIMARIOS</t>
        </is>
      </c>
      <c r="O688" s="10" t="inlineStr">
        <is>
          <t>DOCUMENTOS TÉCNICOS</t>
        </is>
      </c>
      <c r="P688" s="10" t="inlineStr">
        <is>
          <t>USO INTERNO(2)</t>
        </is>
      </c>
      <c r="Q688" s="10" t="inlineStr">
        <is>
          <t>BAJA(1)</t>
        </is>
      </c>
      <c r="R688" s="10" t="inlineStr">
        <is>
          <t>MEDIA(2)</t>
        </is>
      </c>
      <c r="S688" s="10">
        <f>+(IF(P688="PUBLICA(1)",1,IF(P688="USO INTERNO(2)",2,IF(P688="RESTRINGIDO(3)",3,3))))+(IF(Q688="BAJA(1)",1,IF(Q688="MEDIA(2)",2,IF(Q688="ALTA(3)",3,3))))+(IF(R688="BAJA(1)",1,IF(R688="MEDIA(2)",2,IF(R688="ALTA(3)",3,3))))</f>
        <v/>
      </c>
      <c r="T688" s="10">
        <f>+IF(S688&lt;6,"BAJA",IF(S688&lt;8,"MEDIA","ALTA"))</f>
        <v/>
      </c>
      <c r="U688" s="10" t="inlineStr">
        <is>
          <t>-</t>
        </is>
      </c>
      <c r="V688" s="24" t="n">
        <v>45687</v>
      </c>
      <c r="W688" s="19" t="inlineStr">
        <is>
          <t>N/A</t>
        </is>
      </c>
      <c r="X688" s="10">
        <f>+IFERROR(IF(VLOOKUP(Tabla2[[#This Row],[ID]],'EVALUACION DE RIESGO'!A:A,1,FALSE)=Tabla2[[#This Row],[ID]],"SI","NO"),"NO")</f>
        <v/>
      </c>
      <c r="AD688">
        <f>IF(AND(Y688="",AA688=""),"",IF(OR(LEFT(AA688,2)="L0",LEFT(AA688,2)="L1",Y688="No Iniciado"),"CRÍTICO - Incumplimiento Normativo SEPS",IF(AND(OR(LEFT(AA688,2)="L4",LEFT(AA688,2)="L5"),AND(AC688&lt;&gt;"",AC688&lt;&gt;"N/A")),"CONFORME - Control Efectivo ISO 27001","OBSERVACIÓN - Revisar Controles")))</f>
        <v/>
      </c>
    </row>
    <row r="689">
      <c r="A689" s="99" t="inlineStr">
        <is>
          <t>130-GTH</t>
        </is>
      </c>
      <c r="B689" s="10" t="inlineStr">
        <is>
          <t>APOYO</t>
        </is>
      </c>
      <c r="C689" s="10" t="inlineStr">
        <is>
          <t>Gestión del Talento Humano</t>
        </is>
      </c>
      <c r="D689" s="10" t="inlineStr">
        <is>
          <t>GTH</t>
        </is>
      </c>
      <c r="E689" s="10" t="inlineStr">
        <is>
          <t xml:space="preserve">Vinculación y Desvinculación </t>
        </is>
      </c>
      <c r="F689" s="10" t="inlineStr">
        <is>
          <t>-</t>
        </is>
      </c>
      <c r="G689" s="10" t="inlineStr">
        <is>
          <t>Desvinculación del Personal</t>
        </is>
      </c>
      <c r="H689" s="10" t="inlineStr">
        <is>
          <t>Acta entrega recepción de bienes</t>
        </is>
      </c>
      <c r="I689" s="10" t="inlineStr">
        <is>
          <t>Acta entrega detallada de los bienes recibidos durante la salida, con información de la persona que recibe, detalle de activos, información física y electrónica, detalle de llaves, tarjetas y otros elementos, observaciones, legalización con firmas</t>
        </is>
      </c>
      <c r="J689" s="10" t="inlineStr">
        <is>
          <t>Gerente de Talento Humano</t>
        </is>
      </c>
      <c r="K689" s="10" t="inlineStr">
        <is>
          <t>Analista de Selección</t>
        </is>
      </c>
      <c r="L689" s="10" t="inlineStr">
        <is>
          <t>UBICACIÓN DIGITAL-EQUIPO DEL CUSTODIO</t>
        </is>
      </c>
      <c r="M689" s="10" t="inlineStr">
        <is>
          <t>DISCOS DUROS, SERVIDORES, DISCOS O MEDIOS PORTÁTILES, CINTAS O MEDIOS DE VIDEO Y AUDIO, ETC.</t>
        </is>
      </c>
      <c r="N689" s="10" t="inlineStr">
        <is>
          <t>PRIMARIOS</t>
        </is>
      </c>
      <c r="O689" s="10" t="inlineStr">
        <is>
          <t>DOCUMENTOS TÉCNICOS</t>
        </is>
      </c>
      <c r="P689" s="10" t="inlineStr">
        <is>
          <t>PUBLICA(1)</t>
        </is>
      </c>
      <c r="Q689" s="10" t="inlineStr">
        <is>
          <t>BAJA(1)</t>
        </is>
      </c>
      <c r="R689" s="10" t="inlineStr">
        <is>
          <t>MEDIA(2)</t>
        </is>
      </c>
      <c r="S689" s="10">
        <f>+(IF(P689="PUBLICA(1)",1,IF(P689="USO INTERNO(2)",2,IF(P689="RESTRINGIDO(3)",3,3))))+(IF(Q689="BAJA(1)",1,IF(Q689="MEDIA(2)",2,IF(Q689="ALTA(3)",3,3))))+(IF(R689="BAJA(1)",1,IF(R689="MEDIA(2)",2,IF(R689="ALTA(3)",3,3))))</f>
        <v/>
      </c>
      <c r="T689" s="10">
        <f>+IF(S689&lt;6,"BAJA",IF(S689&lt;8,"MEDIA","ALTA"))</f>
        <v/>
      </c>
      <c r="U689" s="10" t="inlineStr">
        <is>
          <t>-</t>
        </is>
      </c>
      <c r="V689" s="24" t="n">
        <v>45687</v>
      </c>
      <c r="W689" s="19" t="inlineStr">
        <is>
          <t>N/A</t>
        </is>
      </c>
      <c r="X689" s="10">
        <f>+IFERROR(IF(VLOOKUP(Tabla2[[#This Row],[ID]],'EVALUACION DE RIESGO'!A:A,1,FALSE)=Tabla2[[#This Row],[ID]],"SI","NO"),"NO")</f>
        <v/>
      </c>
      <c r="AD689">
        <f>IF(AND(Y689="",AA689=""),"",IF(OR(LEFT(AA689,2)="L0",LEFT(AA689,2)="L1",Y689="No Iniciado"),"CRÍTICO - Incumplimiento Normativo SEPS",IF(AND(OR(LEFT(AA689,2)="L4",LEFT(AA689,2)="L5"),AND(AC689&lt;&gt;"",AC689&lt;&gt;"N/A")),"CONFORME - Control Efectivo ISO 27001","OBSERVACIÓN - Revisar Controles")))</f>
        <v/>
      </c>
    </row>
    <row r="690">
      <c r="A690" s="99" t="inlineStr">
        <is>
          <t>131-GTH</t>
        </is>
      </c>
      <c r="B690" s="10" t="inlineStr">
        <is>
          <t>APOYO</t>
        </is>
      </c>
      <c r="C690" s="10" t="inlineStr">
        <is>
          <t>Gestión del Talento Humano</t>
        </is>
      </c>
      <c r="D690" s="10" t="inlineStr">
        <is>
          <t>GTH</t>
        </is>
      </c>
      <c r="E690" s="10" t="inlineStr">
        <is>
          <t>Gestión de Trabajo Social</t>
        </is>
      </c>
      <c r="F690" s="10" t="inlineStr">
        <is>
          <t>-</t>
        </is>
      </c>
      <c r="G690" s="10" t="inlineStr">
        <is>
          <t>Aplicación y análisis de fichas socioeconómicas</t>
        </is>
      </c>
      <c r="H690" s="10" t="inlineStr">
        <is>
          <t>Ficha socioeconómica</t>
        </is>
      </c>
      <c r="I690" s="10" t="inlineStr">
        <is>
          <t>Documentos físico que se registra físicamente con información de datos personales, cónyuge, datos generales vehículo, seguros, datos de vivienda, croquis, grupo de convivencia, información económica, información preocupacional.</t>
        </is>
      </c>
      <c r="J690" s="10" t="inlineStr">
        <is>
          <t>Gerente de Talento Humano</t>
        </is>
      </c>
      <c r="K690" s="10" t="inlineStr">
        <is>
          <t>Asistente de Talento Humano</t>
        </is>
      </c>
      <c r="L690" s="10" t="inlineStr">
        <is>
          <t>DOCUMENTOS FISICOS-ARCHIVOS DE LA OFICINA</t>
        </is>
      </c>
      <c r="M690" s="10" t="inlineStr">
        <is>
          <t>DOCUMENTO DE ARCHIVO-FÍSICO</t>
        </is>
      </c>
      <c r="N690" s="10" t="inlineStr">
        <is>
          <t>PRIMARIOS</t>
        </is>
      </c>
      <c r="O690" s="10" t="inlineStr">
        <is>
          <t>DOCUMENTOS TÉCNICOS</t>
        </is>
      </c>
      <c r="P690" s="10" t="inlineStr">
        <is>
          <t>RESTRINGIDO(3)</t>
        </is>
      </c>
      <c r="Q690" s="10" t="inlineStr">
        <is>
          <t>BAJA(1)</t>
        </is>
      </c>
      <c r="R690" s="10" t="inlineStr">
        <is>
          <t>MEDIA(2)</t>
        </is>
      </c>
      <c r="S690" s="10">
        <f>+(IF(P690="PUBLICA(1)",1,IF(P690="USO INTERNO(2)",2,IF(P690="RESTRINGIDO(3)",3,3))))+(IF(Q690="BAJA(1)",1,IF(Q690="MEDIA(2)",2,IF(Q690="ALTA(3)",3,3))))+(IF(R690="BAJA(1)",1,IF(R690="MEDIA(2)",2,IF(R690="ALTA(3)",3,3))))</f>
        <v/>
      </c>
      <c r="T690" s="10">
        <f>+IF(S690&lt;6,"BAJA",IF(S690&lt;8,"MEDIA","ALTA"))</f>
        <v/>
      </c>
      <c r="U690" s="10" t="inlineStr">
        <is>
          <t>-</t>
        </is>
      </c>
      <c r="V690" s="24" t="n">
        <v>45687</v>
      </c>
      <c r="W690" s="19" t="inlineStr">
        <is>
          <t>N/A</t>
        </is>
      </c>
      <c r="X690" s="10">
        <f>+IFERROR(IF(VLOOKUP(Tabla2[[#This Row],[ID]],'EVALUACION DE RIESGO'!A:A,1,FALSE)=Tabla2[[#This Row],[ID]],"SI","NO"),"NO")</f>
        <v/>
      </c>
      <c r="AD690">
        <f>IF(AND(Y690="",AA690=""),"",IF(OR(LEFT(AA690,2)="L0",LEFT(AA690,2)="L1",Y690="No Iniciado"),"CRÍTICO - Incumplimiento Normativo SEPS",IF(AND(OR(LEFT(AA690,2)="L4",LEFT(AA690,2)="L5"),AND(AC690&lt;&gt;"",AC690&lt;&gt;"N/A")),"CONFORME - Control Efectivo ISO 27001","OBSERVACIÓN - Revisar Controles")))</f>
        <v/>
      </c>
    </row>
    <row r="691">
      <c r="A691" s="99" t="inlineStr">
        <is>
          <t>132-GTH</t>
        </is>
      </c>
      <c r="B691" s="10" t="inlineStr">
        <is>
          <t>APOYO</t>
        </is>
      </c>
      <c r="C691" s="10" t="inlineStr">
        <is>
          <t>Gestión del Talento Humano</t>
        </is>
      </c>
      <c r="D691" s="10" t="inlineStr">
        <is>
          <t>GTH</t>
        </is>
      </c>
      <c r="E691" s="10" t="inlineStr">
        <is>
          <t>Gestión de Trabajo Social</t>
        </is>
      </c>
      <c r="F691" s="10" t="inlineStr">
        <is>
          <t>-</t>
        </is>
      </c>
      <c r="G691" s="10" t="inlineStr">
        <is>
          <t>Aplicación y análisis de fichas socioeconómicas</t>
        </is>
      </c>
      <c r="H691" s="10" t="inlineStr">
        <is>
          <t>Cronograma de visitas domiciliarias</t>
        </is>
      </c>
      <c r="I691" s="10" t="inlineStr">
        <is>
          <t>Correo de Cronograma realizado de acuerdo a la contratación, se hace visita a cargos de criterio riesgoso, y por alertas emitidas por cumplimiento.</t>
        </is>
      </c>
      <c r="J691" s="10" t="inlineStr">
        <is>
          <t>Gerente de Talento Humano</t>
        </is>
      </c>
      <c r="K691" s="10" t="inlineStr">
        <is>
          <t>Asistente de Talento Humano</t>
        </is>
      </c>
      <c r="L691" s="10" t="inlineStr">
        <is>
          <t>UBICACIÓN DIGITAL-EQUIPO DEL CUSTODIO</t>
        </is>
      </c>
      <c r="M691" s="10" t="inlineStr">
        <is>
          <t>DISCOS DUROS, SERVIDORES, DISCOS O MEDIOS PORTÁTILES, CINTAS O MEDIOS DE VIDEO Y AUDIO, ETC.</t>
        </is>
      </c>
      <c r="N691" s="10" t="inlineStr">
        <is>
          <t>PRIMARIOS</t>
        </is>
      </c>
      <c r="O691" s="10" t="inlineStr">
        <is>
          <t>COMUNICACIÓN INTERNA</t>
        </is>
      </c>
      <c r="P691" s="10" t="inlineStr">
        <is>
          <t>USO INTERNO(2)</t>
        </is>
      </c>
      <c r="Q691" s="10" t="inlineStr">
        <is>
          <t>BAJA(1)</t>
        </is>
      </c>
      <c r="R691" s="10" t="inlineStr">
        <is>
          <t>MEDIA(2)</t>
        </is>
      </c>
      <c r="S691" s="10">
        <f>+(IF(P691="PUBLICA(1)",1,IF(P691="USO INTERNO(2)",2,IF(P691="RESTRINGIDO(3)",3,3))))+(IF(Q691="BAJA(1)",1,IF(Q691="MEDIA(2)",2,IF(Q691="ALTA(3)",3,3))))+(IF(R691="BAJA(1)",1,IF(R691="MEDIA(2)",2,IF(R691="ALTA(3)",3,3))))</f>
        <v/>
      </c>
      <c r="T691" s="10">
        <f>+IF(S691&lt;6,"BAJA",IF(S691&lt;8,"MEDIA","ALTA"))</f>
        <v/>
      </c>
      <c r="U691" s="10" t="inlineStr">
        <is>
          <t>-</t>
        </is>
      </c>
      <c r="V691" s="24" t="n">
        <v>45687</v>
      </c>
      <c r="W691" s="19" t="inlineStr">
        <is>
          <t>N/A</t>
        </is>
      </c>
      <c r="X691" s="10">
        <f>+IFERROR(IF(VLOOKUP(Tabla2[[#This Row],[ID]],'EVALUACION DE RIESGO'!A:A,1,FALSE)=Tabla2[[#This Row],[ID]],"SI","NO"),"NO")</f>
        <v/>
      </c>
      <c r="AD691">
        <f>IF(AND(Y691="",AA691=""),"",IF(OR(LEFT(AA691,2)="L0",LEFT(AA691,2)="L1",Y691="No Iniciado"),"CRÍTICO - Incumplimiento Normativo SEPS",IF(AND(OR(LEFT(AA691,2)="L4",LEFT(AA691,2)="L5"),AND(AC691&lt;&gt;"",AC691&lt;&gt;"N/A")),"CONFORME - Control Efectivo ISO 27001","OBSERVACIÓN - Revisar Controles")))</f>
        <v/>
      </c>
    </row>
    <row r="692">
      <c r="A692" s="99" t="inlineStr">
        <is>
          <t>133-GTH</t>
        </is>
      </c>
      <c r="B692" s="10" t="inlineStr">
        <is>
          <t>APOYO</t>
        </is>
      </c>
      <c r="C692" s="10" t="inlineStr">
        <is>
          <t>Gestión del Talento Humano</t>
        </is>
      </c>
      <c r="D692" s="10" t="inlineStr">
        <is>
          <t>GTH</t>
        </is>
      </c>
      <c r="E692" s="10" t="inlineStr">
        <is>
          <t>Gestión de Trabajo Social</t>
        </is>
      </c>
      <c r="F692" s="10" t="inlineStr">
        <is>
          <t>-</t>
        </is>
      </c>
      <c r="G692" s="10" t="inlineStr">
        <is>
          <t>Aplicación y análisis de fichas socioeconómicas</t>
        </is>
      </c>
      <c r="H692" s="10" t="inlineStr">
        <is>
          <t>Informe social</t>
        </is>
      </c>
      <c r="I692" s="10" t="inlineStr">
        <is>
          <t>Informe de acción realizada presentado en el informe mensual del área</t>
        </is>
      </c>
      <c r="J692" s="10" t="inlineStr">
        <is>
          <t>Gerente de Talento Humano</t>
        </is>
      </c>
      <c r="K692" s="10" t="inlineStr">
        <is>
          <t>Asistente de Talento Humano</t>
        </is>
      </c>
      <c r="L692" s="10" t="inlineStr">
        <is>
          <t>UBICACIÓN DIGITAL-EQUIPO DEL CUSTODIO</t>
        </is>
      </c>
      <c r="M692" s="10" t="inlineStr">
        <is>
          <t>DISCOS DUROS, SERVIDORES, DISCOS O MEDIOS PORTÁTILES, CINTAS O MEDIOS DE VIDEO Y AUDIO, ETC.</t>
        </is>
      </c>
      <c r="N692" s="10" t="inlineStr">
        <is>
          <t>PRIMARIOS</t>
        </is>
      </c>
      <c r="O692" s="10" t="inlineStr">
        <is>
          <t>DOCUMENTOS TÉCNICOS</t>
        </is>
      </c>
      <c r="P692" s="10" t="inlineStr">
        <is>
          <t>USO INTERNO(2)</t>
        </is>
      </c>
      <c r="Q692" s="10" t="inlineStr">
        <is>
          <t>BAJA(1)</t>
        </is>
      </c>
      <c r="R692" s="10" t="inlineStr">
        <is>
          <t>MEDIA(2)</t>
        </is>
      </c>
      <c r="S692" s="10">
        <f>+(IF(P692="PUBLICA(1)",1,IF(P692="USO INTERNO(2)",2,IF(P692="RESTRINGIDO(3)",3,3))))+(IF(Q692="BAJA(1)",1,IF(Q692="MEDIA(2)",2,IF(Q692="ALTA(3)",3,3))))+(IF(R692="BAJA(1)",1,IF(R692="MEDIA(2)",2,IF(R692="ALTA(3)",3,3))))</f>
        <v/>
      </c>
      <c r="T692" s="10">
        <f>+IF(S692&lt;6,"BAJA",IF(S692&lt;8,"MEDIA","ALTA"))</f>
        <v/>
      </c>
      <c r="U692" s="10" t="inlineStr">
        <is>
          <t>-</t>
        </is>
      </c>
      <c r="V692" s="24" t="n">
        <v>45687</v>
      </c>
      <c r="W692" s="19" t="inlineStr">
        <is>
          <t>N/A</t>
        </is>
      </c>
      <c r="X692" s="10">
        <f>+IFERROR(IF(VLOOKUP(Tabla2[[#This Row],[ID]],'EVALUACION DE RIESGO'!A:A,1,FALSE)=Tabla2[[#This Row],[ID]],"SI","NO"),"NO")</f>
        <v/>
      </c>
      <c r="AD692">
        <f>IF(AND(Y692="",AA692=""),"",IF(OR(LEFT(AA692,2)="L0",LEFT(AA692,2)="L1",Y692="No Iniciado"),"CRÍTICO - Incumplimiento Normativo SEPS",IF(AND(OR(LEFT(AA692,2)="L4",LEFT(AA692,2)="L5"),AND(AC692&lt;&gt;"",AC692&lt;&gt;"N/A")),"CONFORME - Control Efectivo ISO 27001","OBSERVACIÓN - Revisar Controles")))</f>
        <v/>
      </c>
    </row>
    <row r="693">
      <c r="A693" s="99" t="inlineStr">
        <is>
          <t>134-GTH</t>
        </is>
      </c>
      <c r="B693" s="10" t="inlineStr">
        <is>
          <t>APOYO</t>
        </is>
      </c>
      <c r="C693" s="10" t="inlineStr">
        <is>
          <t>Gestión del Talento Humano</t>
        </is>
      </c>
      <c r="D693" s="10" t="inlineStr">
        <is>
          <t>GTH</t>
        </is>
      </c>
      <c r="E693" s="10" t="inlineStr">
        <is>
          <t>Gestión de Trabajo Social</t>
        </is>
      </c>
      <c r="F693" s="10" t="inlineStr">
        <is>
          <t>-</t>
        </is>
      </c>
      <c r="G693" s="10" t="inlineStr">
        <is>
          <t>Visitas domiciliarias al personal</t>
        </is>
      </c>
      <c r="H693" s="10" t="inlineStr">
        <is>
          <t>Ficha socioeconómica</t>
        </is>
      </c>
      <c r="I693" s="10" t="inlineStr">
        <is>
          <t>Documentos físico que se registra físicamente con información de datos personales, cónyuge, datos generales vehículo, seguros, datos de vivienda, croquis, grupo de convivencia, información económica, información preocupacional.</t>
        </is>
      </c>
      <c r="J693" s="10" t="inlineStr">
        <is>
          <t>Gerente de Talento Humano</t>
        </is>
      </c>
      <c r="K693" s="10" t="inlineStr">
        <is>
          <t>Asistente de Talento Humano</t>
        </is>
      </c>
      <c r="L693" s="10" t="inlineStr">
        <is>
          <t>DOCUMENTOS FISICOS-ARCHIVOS DE LA OFICINA</t>
        </is>
      </c>
      <c r="M693" s="10" t="inlineStr">
        <is>
          <t>DOCUMENTO DE ARCHIVO-FÍSICO</t>
        </is>
      </c>
      <c r="N693" s="10" t="inlineStr">
        <is>
          <t>PRIMARIOS</t>
        </is>
      </c>
      <c r="O693" s="10" t="inlineStr">
        <is>
          <t>DOCUMENTOS TÉCNICOS</t>
        </is>
      </c>
      <c r="P693" s="10" t="inlineStr">
        <is>
          <t>USO INTERNO(2)</t>
        </is>
      </c>
      <c r="Q693" s="10" t="inlineStr">
        <is>
          <t>BAJA(1)</t>
        </is>
      </c>
      <c r="R693" s="10" t="inlineStr">
        <is>
          <t>MEDIA(2)</t>
        </is>
      </c>
      <c r="S693" s="10">
        <f>+(IF(P693="PUBLICA(1)",1,IF(P693="USO INTERNO(2)",2,IF(P693="RESTRINGIDO(3)",3,3))))+(IF(Q693="BAJA(1)",1,IF(Q693="MEDIA(2)",2,IF(Q693="ALTA(3)",3,3))))+(IF(R693="BAJA(1)",1,IF(R693="MEDIA(2)",2,IF(R693="ALTA(3)",3,3))))</f>
        <v/>
      </c>
      <c r="T693" s="10">
        <f>+IF(S693&lt;6,"BAJA",IF(S693&lt;8,"MEDIA","ALTA"))</f>
        <v/>
      </c>
      <c r="U693" s="10" t="inlineStr">
        <is>
          <t>-</t>
        </is>
      </c>
      <c r="V693" s="24" t="n">
        <v>45687</v>
      </c>
      <c r="W693" s="19" t="inlineStr">
        <is>
          <t>N/A</t>
        </is>
      </c>
      <c r="X693" s="10">
        <f>+IFERROR(IF(VLOOKUP(Tabla2[[#This Row],[ID]],'EVALUACION DE RIESGO'!A:A,1,FALSE)=Tabla2[[#This Row],[ID]],"SI","NO"),"NO")</f>
        <v/>
      </c>
      <c r="AD693">
        <f>IF(AND(Y693="",AA693=""),"",IF(OR(LEFT(AA693,2)="L0",LEFT(AA693,2)="L1",Y693="No Iniciado"),"CRÍTICO - Incumplimiento Normativo SEPS",IF(AND(OR(LEFT(AA693,2)="L4",LEFT(AA693,2)="L5"),AND(AC693&lt;&gt;"",AC693&lt;&gt;"N/A")),"CONFORME - Control Efectivo ISO 27001","OBSERVACIÓN - Revisar Controles")))</f>
        <v/>
      </c>
    </row>
    <row r="694">
      <c r="A694" s="99" t="inlineStr">
        <is>
          <t>135-GTH</t>
        </is>
      </c>
      <c r="B694" s="10" t="inlineStr">
        <is>
          <t>APOYO</t>
        </is>
      </c>
      <c r="C694" s="10" t="inlineStr">
        <is>
          <t>Gestión del Talento Humano</t>
        </is>
      </c>
      <c r="D694" s="10" t="inlineStr">
        <is>
          <t>GTH</t>
        </is>
      </c>
      <c r="E694" s="10" t="inlineStr">
        <is>
          <t>Gestión de Trabajo Social</t>
        </is>
      </c>
      <c r="F694" s="10" t="inlineStr">
        <is>
          <t>-</t>
        </is>
      </c>
      <c r="G694" s="10" t="inlineStr">
        <is>
          <t>Visitas domiciliarias al personal</t>
        </is>
      </c>
      <c r="H694" s="10" t="inlineStr">
        <is>
          <t>Informe social</t>
        </is>
      </c>
      <c r="I694" s="10" t="inlineStr">
        <is>
          <t>Informe de acción realizada presentado en el informe mensual del área</t>
        </is>
      </c>
      <c r="J694" s="10" t="inlineStr">
        <is>
          <t>Gerente de Talento Humano</t>
        </is>
      </c>
      <c r="K694" s="10" t="inlineStr">
        <is>
          <t>Asistente de Talento Humano</t>
        </is>
      </c>
      <c r="L694" s="10" t="inlineStr">
        <is>
          <t>UBICACIÓN DIGITAL-EQUIPO DEL CUSTODIO</t>
        </is>
      </c>
      <c r="M694" s="10" t="inlineStr">
        <is>
          <t>DISCOS DUROS, SERVIDORES, DISCOS O MEDIOS PORTÁTILES, CINTAS O MEDIOS DE VIDEO Y AUDIO, ETC.</t>
        </is>
      </c>
      <c r="N694" s="10" t="inlineStr">
        <is>
          <t>PRIMARIOS</t>
        </is>
      </c>
      <c r="O694" s="10" t="inlineStr">
        <is>
          <t>DOCUMENTOS TÉCNICOS</t>
        </is>
      </c>
      <c r="P694" s="10" t="inlineStr">
        <is>
          <t>USO INTERNO(2)</t>
        </is>
      </c>
      <c r="Q694" s="10" t="inlineStr">
        <is>
          <t>BAJA(1)</t>
        </is>
      </c>
      <c r="R694" s="10" t="inlineStr">
        <is>
          <t>BAJA(1)</t>
        </is>
      </c>
      <c r="S694" s="10">
        <f>+(IF(P694="PUBLICA(1)",1,IF(P694="USO INTERNO(2)",2,IF(P694="RESTRINGIDO(3)",3,3))))+(IF(Q694="BAJA(1)",1,IF(Q694="MEDIA(2)",2,IF(Q694="ALTA(3)",3,3))))+(IF(R694="BAJA(1)",1,IF(R694="MEDIA(2)",2,IF(R694="ALTA(3)",3,3))))</f>
        <v/>
      </c>
      <c r="T694" s="10">
        <f>+IF(S694&lt;6,"BAJA",IF(S694&lt;8,"MEDIA","ALTA"))</f>
        <v/>
      </c>
      <c r="U694" s="10" t="inlineStr">
        <is>
          <t>-</t>
        </is>
      </c>
      <c r="V694" s="24" t="n">
        <v>45687</v>
      </c>
      <c r="W694" s="19" t="inlineStr">
        <is>
          <t>N/A</t>
        </is>
      </c>
      <c r="X694" s="10">
        <f>+IFERROR(IF(VLOOKUP(Tabla2[[#This Row],[ID]],'EVALUACION DE RIESGO'!A:A,1,FALSE)=Tabla2[[#This Row],[ID]],"SI","NO"),"NO")</f>
        <v/>
      </c>
      <c r="AD694">
        <f>IF(AND(Y694="",AA694=""),"",IF(OR(LEFT(AA694,2)="L0",LEFT(AA694,2)="L1",Y694="No Iniciado"),"CRÍTICO - Incumplimiento Normativo SEPS",IF(AND(OR(LEFT(AA694,2)="L4",LEFT(AA694,2)="L5"),AND(AC694&lt;&gt;"",AC694&lt;&gt;"N/A")),"CONFORME - Control Efectivo ISO 27001","OBSERVACIÓN - Revisar Controles")))</f>
        <v/>
      </c>
    </row>
    <row r="695">
      <c r="A695" s="99" t="inlineStr">
        <is>
          <t>136-GTH</t>
        </is>
      </c>
      <c r="B695" s="10" t="inlineStr">
        <is>
          <t>APOYO</t>
        </is>
      </c>
      <c r="C695" s="10" t="inlineStr">
        <is>
          <t>Gestión del Talento Humano</t>
        </is>
      </c>
      <c r="D695" s="10" t="inlineStr">
        <is>
          <t>GTH</t>
        </is>
      </c>
      <c r="E695" s="10" t="inlineStr">
        <is>
          <t>Gestión de Trabajo Social</t>
        </is>
      </c>
      <c r="F695" s="10" t="inlineStr">
        <is>
          <t>-</t>
        </is>
      </c>
      <c r="G695" s="10" t="inlineStr">
        <is>
          <t>Visitas por motivos de salud</t>
        </is>
      </c>
      <c r="H695" s="10" t="inlineStr">
        <is>
          <t>Informe social / ficha de visita domiciliaria</t>
        </is>
      </c>
      <c r="I695" s="10" t="inlineStr">
        <is>
          <t>Informe de acción realizada presentado en el informe mensual del área</t>
        </is>
      </c>
      <c r="J695" s="10" t="inlineStr">
        <is>
          <t>Gerente de Talento Humano</t>
        </is>
      </c>
      <c r="K695" s="10" t="inlineStr">
        <is>
          <t>Asistente de Talento Humano</t>
        </is>
      </c>
      <c r="L695" s="10" t="inlineStr">
        <is>
          <t>UBICACIÓN DIGITAL-EQUIPO DEL CUSTODIO</t>
        </is>
      </c>
      <c r="M695" s="10" t="inlineStr">
        <is>
          <t>DISCOS DUROS, SERVIDORES, DISCOS O MEDIOS PORTÁTILES, CINTAS O MEDIOS DE VIDEO Y AUDIO, ETC.</t>
        </is>
      </c>
      <c r="N695" s="10" t="inlineStr">
        <is>
          <t>PRIMARIOS</t>
        </is>
      </c>
      <c r="O695" s="10" t="inlineStr">
        <is>
          <t>DOCUMENTOS TÉCNICOS</t>
        </is>
      </c>
      <c r="P695" s="10" t="inlineStr">
        <is>
          <t>USO INTERNO(2)</t>
        </is>
      </c>
      <c r="Q695" s="10" t="inlineStr">
        <is>
          <t>BAJA(1)</t>
        </is>
      </c>
      <c r="R695" s="10" t="inlineStr">
        <is>
          <t>BAJA(1)</t>
        </is>
      </c>
      <c r="S695" s="10">
        <f>+(IF(P695="PUBLICA(1)",1,IF(P695="USO INTERNO(2)",2,IF(P695="RESTRINGIDO(3)",3,3))))+(IF(Q695="BAJA(1)",1,IF(Q695="MEDIA(2)",2,IF(Q695="ALTA(3)",3,3))))+(IF(R695="BAJA(1)",1,IF(R695="MEDIA(2)",2,IF(R695="ALTA(3)",3,3))))</f>
        <v/>
      </c>
      <c r="T695" s="10">
        <f>+IF(S695&lt;6,"BAJA",IF(S695&lt;8,"MEDIA","ALTA"))</f>
        <v/>
      </c>
      <c r="U695" s="10" t="inlineStr">
        <is>
          <t>-</t>
        </is>
      </c>
      <c r="V695" s="24" t="n">
        <v>45687</v>
      </c>
      <c r="W695" s="19" t="inlineStr">
        <is>
          <t>N/A</t>
        </is>
      </c>
      <c r="X695" s="10">
        <f>+IFERROR(IF(VLOOKUP(Tabla2[[#This Row],[ID]],'EVALUACION DE RIESGO'!A:A,1,FALSE)=Tabla2[[#This Row],[ID]],"SI","NO"),"NO")</f>
        <v/>
      </c>
      <c r="AD695">
        <f>IF(AND(Y695="",AA695=""),"",IF(OR(LEFT(AA695,2)="L0",LEFT(AA695,2)="L1",Y695="No Iniciado"),"CRÍTICO - Incumplimiento Normativo SEPS",IF(AND(OR(LEFT(AA695,2)="L4",LEFT(AA695,2)="L5"),AND(AC695&lt;&gt;"",AC695&lt;&gt;"N/A")),"CONFORME - Control Efectivo ISO 27001","OBSERVACIÓN - Revisar Controles")))</f>
        <v/>
      </c>
    </row>
    <row r="696">
      <c r="A696" s="99" t="inlineStr">
        <is>
          <t>137-GTH</t>
        </is>
      </c>
      <c r="B696" s="10" t="inlineStr">
        <is>
          <t>APOYO</t>
        </is>
      </c>
      <c r="C696" s="10" t="inlineStr">
        <is>
          <t>Gestión del Talento Humano</t>
        </is>
      </c>
      <c r="D696" s="10" t="inlineStr">
        <is>
          <t>GTH</t>
        </is>
      </c>
      <c r="E696" s="10" t="inlineStr">
        <is>
          <t>Gestión de Trabajo Social</t>
        </is>
      </c>
      <c r="F696" s="10" t="inlineStr">
        <is>
          <t>-</t>
        </is>
      </c>
      <c r="G696" s="10" t="inlineStr">
        <is>
          <t>Seguimiento de casos vulnerables</t>
        </is>
      </c>
      <c r="H696" s="10" t="inlineStr">
        <is>
          <t>Informe social</t>
        </is>
      </c>
      <c r="I696" s="10" t="inlineStr">
        <is>
          <t>Informe de acción realizada presentado en el informe mensual del área</t>
        </is>
      </c>
      <c r="J696" s="10" t="inlineStr">
        <is>
          <t>Gerente de Talento Humano</t>
        </is>
      </c>
      <c r="K696" s="10" t="inlineStr">
        <is>
          <t>Asistente de Talento Humano</t>
        </is>
      </c>
      <c r="L696" s="10" t="inlineStr">
        <is>
          <t>UBICACIÓN DIGITAL-EQUIPO DEL CUSTODIO</t>
        </is>
      </c>
      <c r="M696" s="10" t="inlineStr">
        <is>
          <t>DISCOS DUROS, SERVIDORES, DISCOS O MEDIOS PORTÁTILES, CINTAS O MEDIOS DE VIDEO Y AUDIO, ETC.</t>
        </is>
      </c>
      <c r="N696" s="10" t="inlineStr">
        <is>
          <t>PRIMARIOS</t>
        </is>
      </c>
      <c r="O696" s="10" t="inlineStr">
        <is>
          <t>DOCUMENTOS TÉCNICOS</t>
        </is>
      </c>
      <c r="P696" s="10" t="inlineStr">
        <is>
          <t>USO INTERNO(2)</t>
        </is>
      </c>
      <c r="Q696" s="10" t="inlineStr">
        <is>
          <t>BAJA(1)</t>
        </is>
      </c>
      <c r="R696" s="10" t="inlineStr">
        <is>
          <t>BAJA(1)</t>
        </is>
      </c>
      <c r="S696" s="10">
        <f>+(IF(P696="PUBLICA(1)",1,IF(P696="USO INTERNO(2)",2,IF(P696="RESTRINGIDO(3)",3,3))))+(IF(Q696="BAJA(1)",1,IF(Q696="MEDIA(2)",2,IF(Q696="ALTA(3)",3,3))))+(IF(R696="BAJA(1)",1,IF(R696="MEDIA(2)",2,IF(R696="ALTA(3)",3,3))))</f>
        <v/>
      </c>
      <c r="T696" s="10">
        <f>+IF(S696&lt;6,"BAJA",IF(S696&lt;8,"MEDIA","ALTA"))</f>
        <v/>
      </c>
      <c r="U696" s="10" t="inlineStr">
        <is>
          <t>-</t>
        </is>
      </c>
      <c r="V696" s="24" t="n">
        <v>45687</v>
      </c>
      <c r="W696" s="19" t="inlineStr">
        <is>
          <t>N/A</t>
        </is>
      </c>
      <c r="X696" s="10">
        <f>+IFERROR(IF(VLOOKUP(Tabla2[[#This Row],[ID]],'EVALUACION DE RIESGO'!A:A,1,FALSE)=Tabla2[[#This Row],[ID]],"SI","NO"),"NO")</f>
        <v/>
      </c>
      <c r="AD696">
        <f>IF(AND(Y696="",AA696=""),"",IF(OR(LEFT(AA696,2)="L0",LEFT(AA696,2)="L1",Y696="No Iniciado"),"CRÍTICO - Incumplimiento Normativo SEPS",IF(AND(OR(LEFT(AA696,2)="L4",LEFT(AA696,2)="L5"),AND(AC696&lt;&gt;"",AC696&lt;&gt;"N/A")),"CONFORME - Control Efectivo ISO 27001","OBSERVACIÓN - Revisar Controles")))</f>
        <v/>
      </c>
    </row>
    <row r="697">
      <c r="A697" s="99" t="inlineStr">
        <is>
          <t>138-GTH</t>
        </is>
      </c>
      <c r="B697" s="10" t="inlineStr">
        <is>
          <t>APOYO</t>
        </is>
      </c>
      <c r="C697" s="10" t="inlineStr">
        <is>
          <t>Gestión del Talento Humano</t>
        </is>
      </c>
      <c r="D697" s="10" t="inlineStr">
        <is>
          <t>GTH</t>
        </is>
      </c>
      <c r="E697" s="10" t="inlineStr">
        <is>
          <t>Gestión de Trabajo Social</t>
        </is>
      </c>
      <c r="F697" s="10" t="inlineStr">
        <is>
          <t>-</t>
        </is>
      </c>
      <c r="G697" s="10" t="inlineStr">
        <is>
          <t>Implementación de proyectos de bienestar social</t>
        </is>
      </c>
      <c r="H697" s="10" t="inlineStr">
        <is>
          <t>Proyecto de bienestar social</t>
        </is>
      </c>
      <c r="I697" s="10" t="inlineStr">
        <is>
          <t>Proyectos de gestión social como notificaciones de cumplimiento de años de labor, gestión de beneficios a través de convenios externos</t>
        </is>
      </c>
      <c r="J697" s="10" t="inlineStr">
        <is>
          <t>Gerente de Talento Humano</t>
        </is>
      </c>
      <c r="K697" s="10" t="inlineStr">
        <is>
          <t>Asistente de Talento Humano</t>
        </is>
      </c>
      <c r="L697" s="10" t="inlineStr">
        <is>
          <t>UBICACIÓN DIGITAL-EQUIPO DEL CUSTODIO</t>
        </is>
      </c>
      <c r="M697" s="10" t="inlineStr">
        <is>
          <t>DISCOS DUROS, SERVIDORES, DISCOS O MEDIOS PORTÁTILES, CINTAS O MEDIOS DE VIDEO Y AUDIO, ETC.</t>
        </is>
      </c>
      <c r="N697" s="10" t="inlineStr">
        <is>
          <t>PRIMARIOS</t>
        </is>
      </c>
      <c r="O697" s="10" t="inlineStr">
        <is>
          <t>DOCUMENTOS TÉCNICOS</t>
        </is>
      </c>
      <c r="P697" s="10" t="inlineStr">
        <is>
          <t>PUBLICA(1)</t>
        </is>
      </c>
      <c r="Q697" s="10" t="inlineStr">
        <is>
          <t>BAJA(1)</t>
        </is>
      </c>
      <c r="R697" s="10" t="inlineStr">
        <is>
          <t>BAJA(1)</t>
        </is>
      </c>
      <c r="S697" s="10">
        <f>+(IF(P697="PUBLICA(1)",1,IF(P697="USO INTERNO(2)",2,IF(P697="RESTRINGIDO(3)",3,3))))+(IF(Q697="BAJA(1)",1,IF(Q697="MEDIA(2)",2,IF(Q697="ALTA(3)",3,3))))+(IF(R697="BAJA(1)",1,IF(R697="MEDIA(2)",2,IF(R697="ALTA(3)",3,3))))</f>
        <v/>
      </c>
      <c r="T697" s="10">
        <f>+IF(S697&lt;6,"BAJA",IF(S697&lt;8,"MEDIA","ALTA"))</f>
        <v/>
      </c>
      <c r="U697" s="10" t="inlineStr">
        <is>
          <t>-</t>
        </is>
      </c>
      <c r="V697" s="24" t="n">
        <v>45687</v>
      </c>
      <c r="W697" s="19" t="inlineStr">
        <is>
          <t>N/A</t>
        </is>
      </c>
      <c r="X697" s="10">
        <f>+IFERROR(IF(VLOOKUP(Tabla2[[#This Row],[ID]],'EVALUACION DE RIESGO'!A:A,1,FALSE)=Tabla2[[#This Row],[ID]],"SI","NO"),"NO")</f>
        <v/>
      </c>
      <c r="AD697">
        <f>IF(AND(Y697="",AA697=""),"",IF(OR(LEFT(AA697,2)="L0",LEFT(AA697,2)="L1",Y697="No Iniciado"),"CRÍTICO - Incumplimiento Normativo SEPS",IF(AND(OR(LEFT(AA697,2)="L4",LEFT(AA697,2)="L5"),AND(AC697&lt;&gt;"",AC697&lt;&gt;"N/A")),"CONFORME - Control Efectivo ISO 27001","OBSERVACIÓN - Revisar Controles")))</f>
        <v/>
      </c>
    </row>
    <row r="698">
      <c r="A698" s="99" t="inlineStr">
        <is>
          <t>139-GTH</t>
        </is>
      </c>
      <c r="B698" s="10" t="inlineStr">
        <is>
          <t>APOYO</t>
        </is>
      </c>
      <c r="C698" s="10" t="inlineStr">
        <is>
          <t>Gestión del Talento Humano</t>
        </is>
      </c>
      <c r="D698" s="10" t="inlineStr">
        <is>
          <t>GTH</t>
        </is>
      </c>
      <c r="E698" s="10" t="inlineStr">
        <is>
          <t>Gestión de Trabajo Social</t>
        </is>
      </c>
      <c r="F698" s="10" t="inlineStr">
        <is>
          <t>-</t>
        </is>
      </c>
      <c r="G698" s="10" t="inlineStr">
        <is>
          <t>Implementación de proyectos de bienestar social</t>
        </is>
      </c>
      <c r="H698" s="10" t="inlineStr">
        <is>
          <t>Informe de resultados del proyecto</t>
        </is>
      </c>
      <c r="I698" s="10" t="inlineStr">
        <is>
          <t>Informe mensual de acciones realizadas por convenios de aseguradora</t>
        </is>
      </c>
      <c r="J698" s="10" t="inlineStr">
        <is>
          <t>Gerente de Talento Humano</t>
        </is>
      </c>
      <c r="K698" s="10" t="inlineStr">
        <is>
          <t>Asistente de Talento Humano</t>
        </is>
      </c>
      <c r="L698" s="10" t="inlineStr">
        <is>
          <t>UBICACIÓN DIGITAL-EQUIPO DEL CUSTODIO</t>
        </is>
      </c>
      <c r="M698" s="10" t="inlineStr">
        <is>
          <t>DISCOS DUROS, SERVIDORES, DISCOS O MEDIOS PORTÁTILES, CINTAS O MEDIOS DE VIDEO Y AUDIO, ETC.</t>
        </is>
      </c>
      <c r="N698" s="10" t="inlineStr">
        <is>
          <t>PRIMARIOS</t>
        </is>
      </c>
      <c r="O698" s="10" t="inlineStr">
        <is>
          <t>DOCUMENTOS TÉCNICOS</t>
        </is>
      </c>
      <c r="P698" s="10" t="inlineStr">
        <is>
          <t>USO INTERNO(2)</t>
        </is>
      </c>
      <c r="Q698" s="10" t="inlineStr">
        <is>
          <t>BAJA(1)</t>
        </is>
      </c>
      <c r="R698" s="10" t="inlineStr">
        <is>
          <t>BAJA(1)</t>
        </is>
      </c>
      <c r="S698" s="10">
        <f>+(IF(P698="PUBLICA(1)",1,IF(P698="USO INTERNO(2)",2,IF(P698="RESTRINGIDO(3)",3,3))))+(IF(Q698="BAJA(1)",1,IF(Q698="MEDIA(2)",2,IF(Q698="ALTA(3)",3,3))))+(IF(R698="BAJA(1)",1,IF(R698="MEDIA(2)",2,IF(R698="ALTA(3)",3,3))))</f>
        <v/>
      </c>
      <c r="T698" s="10">
        <f>+IF(S698&lt;6,"BAJA",IF(S698&lt;8,"MEDIA","ALTA"))</f>
        <v/>
      </c>
      <c r="U698" s="10" t="inlineStr">
        <is>
          <t>-</t>
        </is>
      </c>
      <c r="V698" s="24" t="n">
        <v>45687</v>
      </c>
      <c r="W698" s="19" t="inlineStr">
        <is>
          <t>N/A</t>
        </is>
      </c>
      <c r="X698" s="10">
        <f>+IFERROR(IF(VLOOKUP(Tabla2[[#This Row],[ID]],'EVALUACION DE RIESGO'!A:A,1,FALSE)=Tabla2[[#This Row],[ID]],"SI","NO"),"NO")</f>
        <v/>
      </c>
      <c r="AD698">
        <f>IF(AND(Y698="",AA698=""),"",IF(OR(LEFT(AA698,2)="L0",LEFT(AA698,2)="L1",Y698="No Iniciado"),"CRÍTICO - Incumplimiento Normativo SEPS",IF(AND(OR(LEFT(AA698,2)="L4",LEFT(AA698,2)="L5"),AND(AC698&lt;&gt;"",AC698&lt;&gt;"N/A")),"CONFORME - Control Efectivo ISO 27001","OBSERVACIÓN - Revisar Controles")))</f>
        <v/>
      </c>
    </row>
    <row r="699">
      <c r="A699" s="99" t="inlineStr">
        <is>
          <t>140-GTH</t>
        </is>
      </c>
      <c r="B699" s="10" t="inlineStr">
        <is>
          <t>APOYO</t>
        </is>
      </c>
      <c r="C699" s="10" t="inlineStr">
        <is>
          <t>Gestión del Talento Humano</t>
        </is>
      </c>
      <c r="D699" s="10" t="inlineStr">
        <is>
          <t>GTH</t>
        </is>
      </c>
      <c r="E699" s="10" t="inlineStr">
        <is>
          <t>Gestión de Trabajo Social</t>
        </is>
      </c>
      <c r="F699" s="10" t="inlineStr">
        <is>
          <t>-</t>
        </is>
      </c>
      <c r="G699" s="10" t="inlineStr">
        <is>
          <t>Administración de beneficios laborales</t>
        </is>
      </c>
      <c r="H699" s="10" t="inlineStr">
        <is>
          <t>Solicitud de adquisición</t>
        </is>
      </c>
      <c r="I699" s="10" t="inlineStr">
        <is>
          <t>Solicitud de adquisición realizada por medio del sistema SARA en base al presupuesto</t>
        </is>
      </c>
      <c r="J699" s="10" t="inlineStr">
        <is>
          <t>Gerente de Talento Humano</t>
        </is>
      </c>
      <c r="K699" s="10" t="inlineStr">
        <is>
          <t>Asistente de Talento Humano</t>
        </is>
      </c>
      <c r="L699" s="10" t="inlineStr">
        <is>
          <t>UBICACIÓN DIGITAL-EQUIPO DEL CUSTODIO</t>
        </is>
      </c>
      <c r="M699" s="10" t="inlineStr">
        <is>
          <t>DISCOS DUROS, SERVIDORES, DISCOS O MEDIOS PORTÁTILES, CINTAS O MEDIOS DE VIDEO Y AUDIO, ETC.</t>
        </is>
      </c>
      <c r="N699" s="10" t="inlineStr">
        <is>
          <t>PRIMARIOS</t>
        </is>
      </c>
      <c r="O699" s="10" t="inlineStr">
        <is>
          <t>DOCUMENTOS TÉCNICOS</t>
        </is>
      </c>
      <c r="P699" s="10" t="inlineStr">
        <is>
          <t>USO INTERNO(2)</t>
        </is>
      </c>
      <c r="Q699" s="10" t="inlineStr">
        <is>
          <t>BAJA(1)</t>
        </is>
      </c>
      <c r="R699" s="10" t="inlineStr">
        <is>
          <t>BAJA(1)</t>
        </is>
      </c>
      <c r="S699" s="10">
        <f>+(IF(P699="PUBLICA(1)",1,IF(P699="USO INTERNO(2)",2,IF(P699="RESTRINGIDO(3)",3,3))))+(IF(Q699="BAJA(1)",1,IF(Q699="MEDIA(2)",2,IF(Q699="ALTA(3)",3,3))))+(IF(R699="BAJA(1)",1,IF(R699="MEDIA(2)",2,IF(R699="ALTA(3)",3,3))))</f>
        <v/>
      </c>
      <c r="T699" s="10">
        <f>+IF(S699&lt;6,"BAJA",IF(S699&lt;8,"MEDIA","ALTA"))</f>
        <v/>
      </c>
      <c r="U699" s="10" t="inlineStr">
        <is>
          <t>-</t>
        </is>
      </c>
      <c r="V699" s="24" t="n">
        <v>45687</v>
      </c>
      <c r="W699" s="19" t="inlineStr">
        <is>
          <t>N/A</t>
        </is>
      </c>
      <c r="X699" s="10">
        <f>+IFERROR(IF(VLOOKUP(Tabla2[[#This Row],[ID]],'EVALUACION DE RIESGO'!A:A,1,FALSE)=Tabla2[[#This Row],[ID]],"SI","NO"),"NO")</f>
        <v/>
      </c>
      <c r="AD699">
        <f>IF(AND(Y699="",AA699=""),"",IF(OR(LEFT(AA699,2)="L0",LEFT(AA699,2)="L1",Y699="No Iniciado"),"CRÍTICO - Incumplimiento Normativo SEPS",IF(AND(OR(LEFT(AA699,2)="L4",LEFT(AA699,2)="L5"),AND(AC699&lt;&gt;"",AC699&lt;&gt;"N/A")),"CONFORME - Control Efectivo ISO 27001","OBSERVACIÓN - Revisar Controles")))</f>
        <v/>
      </c>
    </row>
    <row r="700">
      <c r="A700" s="99" t="inlineStr">
        <is>
          <t>141-GTH</t>
        </is>
      </c>
      <c r="B700" s="10" t="inlineStr">
        <is>
          <t>APOYO</t>
        </is>
      </c>
      <c r="C700" s="10" t="inlineStr">
        <is>
          <t>Gestión del Talento Humano</t>
        </is>
      </c>
      <c r="D700" s="10" t="inlineStr">
        <is>
          <t>GTH</t>
        </is>
      </c>
      <c r="E700" s="10" t="inlineStr">
        <is>
          <t>Gestión de Trabajo Social</t>
        </is>
      </c>
      <c r="F700" s="10" t="inlineStr">
        <is>
          <t>-</t>
        </is>
      </c>
      <c r="G700" s="10" t="inlineStr">
        <is>
          <t>Administración de beneficios laborales</t>
        </is>
      </c>
      <c r="H700" s="10" t="inlineStr">
        <is>
          <t>Registro de entrega de presentes</t>
        </is>
      </c>
      <c r="I700" s="10" t="inlineStr">
        <is>
          <t>Registro de entrega que contiene la constancia de la entrega con el motivo, fecha, detalle del presente, nombres y firma del colaborador.</t>
        </is>
      </c>
      <c r="J700" s="10" t="inlineStr">
        <is>
          <t>Gerente de Talento Humano</t>
        </is>
      </c>
      <c r="K700" s="10" t="inlineStr">
        <is>
          <t>Asistente de Talento Humano</t>
        </is>
      </c>
      <c r="L700" s="10" t="inlineStr">
        <is>
          <t>DOCUMENTOS FISICOS-ARCHIVOS DE LA OFICINA</t>
        </is>
      </c>
      <c r="M700" s="10" t="inlineStr">
        <is>
          <t>DOCUMENTO DE ARCHIVO-FÍSICO</t>
        </is>
      </c>
      <c r="N700" s="10" t="inlineStr">
        <is>
          <t>PRIMARIOS</t>
        </is>
      </c>
      <c r="O700" s="10" t="inlineStr">
        <is>
          <t>DOCUMENTOS TÉCNICOS</t>
        </is>
      </c>
      <c r="P700" s="10" t="inlineStr">
        <is>
          <t>PUBLICA(1)</t>
        </is>
      </c>
      <c r="Q700" s="10" t="inlineStr">
        <is>
          <t>BAJA(1)</t>
        </is>
      </c>
      <c r="R700" s="10" t="inlineStr">
        <is>
          <t>BAJA(1)</t>
        </is>
      </c>
      <c r="S700" s="10">
        <f>+(IF(P700="PUBLICA(1)",1,IF(P700="USO INTERNO(2)",2,IF(P700="RESTRINGIDO(3)",3,3))))+(IF(Q700="BAJA(1)",1,IF(Q700="MEDIA(2)",2,IF(Q700="ALTA(3)",3,3))))+(IF(R700="BAJA(1)",1,IF(R700="MEDIA(2)",2,IF(R700="ALTA(3)",3,3))))</f>
        <v/>
      </c>
      <c r="T700" s="10">
        <f>+IF(S700&lt;6,"BAJA",IF(S700&lt;8,"MEDIA","ALTA"))</f>
        <v/>
      </c>
      <c r="U700" s="10" t="inlineStr">
        <is>
          <t>-</t>
        </is>
      </c>
      <c r="V700" s="24" t="n">
        <v>45687</v>
      </c>
      <c r="W700" s="19" t="inlineStr">
        <is>
          <t>N/A</t>
        </is>
      </c>
      <c r="X700" s="10">
        <f>+IFERROR(IF(VLOOKUP(Tabla2[[#This Row],[ID]],'EVALUACION DE RIESGO'!A:A,1,FALSE)=Tabla2[[#This Row],[ID]],"SI","NO"),"NO")</f>
        <v/>
      </c>
      <c r="AD700">
        <f>IF(AND(Y700="",AA700=""),"",IF(OR(LEFT(AA700,2)="L0",LEFT(AA700,2)="L1",Y700="No Iniciado"),"CRÍTICO - Incumplimiento Normativo SEPS",IF(AND(OR(LEFT(AA700,2)="L4",LEFT(AA700,2)="L5"),AND(AC700&lt;&gt;"",AC700&lt;&gt;"N/A")),"CONFORME - Control Efectivo ISO 27001","OBSERVACIÓN - Revisar Controles")))</f>
        <v/>
      </c>
    </row>
    <row r="701">
      <c r="A701" s="99" t="inlineStr">
        <is>
          <t>142-GTH</t>
        </is>
      </c>
      <c r="B701" s="10" t="inlineStr">
        <is>
          <t>APOYO</t>
        </is>
      </c>
      <c r="C701" s="10" t="inlineStr">
        <is>
          <t>Gestión del Talento Humano</t>
        </is>
      </c>
      <c r="D701" s="10" t="inlineStr">
        <is>
          <t>GTH</t>
        </is>
      </c>
      <c r="E701" s="10" t="inlineStr">
        <is>
          <t>N/A</t>
        </is>
      </c>
      <c r="F701" s="10" t="inlineStr">
        <is>
          <t>-</t>
        </is>
      </c>
      <c r="G701" s="10" t="inlineStr">
        <is>
          <t>N/A</t>
        </is>
      </c>
      <c r="H701" s="10" t="inlineStr">
        <is>
          <t xml:space="preserve">Equipos de computación </t>
        </is>
      </c>
      <c r="I701" s="10" t="inlineStr">
        <is>
          <t>Equipos de computación donde se realiza la gestión del área</t>
        </is>
      </c>
      <c r="J701" s="10" t="inlineStr">
        <is>
          <t>Gerente de Talento Humano</t>
        </is>
      </c>
      <c r="K701" s="10" t="inlineStr">
        <is>
          <t>Gerente de Talento Humano</t>
        </is>
      </c>
      <c r="L701" s="10" t="inlineStr">
        <is>
          <t>UBICACIÓN FISICA-SUCURSAL IBARRA</t>
        </is>
      </c>
      <c r="M701" s="10" t="inlineStr">
        <is>
          <t>DISCOS DUROS, SERVIDORES, DISCOS O MEDIOS PORTÁTILES, CINTAS O MEDIOS DE VIDEO Y AUDIO, ETC.</t>
        </is>
      </c>
      <c r="N701" s="10" t="inlineStr">
        <is>
          <t>APOYO</t>
        </is>
      </c>
      <c r="O701" s="10" t="inlineStr">
        <is>
          <t>HARDWARE</t>
        </is>
      </c>
      <c r="P701" s="10" t="inlineStr">
        <is>
          <t>RESTRINGIDO(3)</t>
        </is>
      </c>
      <c r="Q701" s="10" t="inlineStr">
        <is>
          <t>MEDIA(2)</t>
        </is>
      </c>
      <c r="R701" s="10" t="inlineStr">
        <is>
          <t>MEDIA(2)</t>
        </is>
      </c>
      <c r="S701" s="10">
        <f>+(IF(P701="PUBLICA(1)",1,IF(P701="USO INTERNO(2)",2,IF(P701="RESTRINGIDO(3)",3,3))))+(IF(Q701="BAJA(1)",1,IF(Q701="MEDIA(2)",2,IF(Q701="ALTA(3)",3,3))))+(IF(R701="BAJA(1)",1,IF(R701="MEDIA(2)",2,IF(R701="ALTA(3)",3,3))))</f>
        <v/>
      </c>
      <c r="T701" s="10">
        <f>+IF(S701&lt;6,"BAJA",IF(S701&lt;8,"MEDIA","ALTA"))</f>
        <v/>
      </c>
      <c r="U701" s="10" t="inlineStr">
        <is>
          <t>-</t>
        </is>
      </c>
      <c r="V701" s="24" t="n">
        <v>45712</v>
      </c>
      <c r="W701" s="19" t="inlineStr">
        <is>
          <t>N/A</t>
        </is>
      </c>
      <c r="X701" s="10">
        <f>+IFERROR(IF(VLOOKUP(Tabla2[[#This Row],[ID]],'EVALUACION DE RIESGO'!A:A,1,FALSE)=Tabla2[[#This Row],[ID]],"SI","NO"),"NO")</f>
        <v/>
      </c>
      <c r="AD701">
        <f>IF(AND(Y701="",AA701=""),"",IF(OR(LEFT(AA701,2)="L0",LEFT(AA701,2)="L1",Y701="No Iniciado"),"CRÍTICO - Incumplimiento Normativo SEPS",IF(AND(OR(LEFT(AA701,2)="L4",LEFT(AA701,2)="L5"),AND(AC701&lt;&gt;"",AC701&lt;&gt;"N/A")),"CONFORME - Control Efectivo ISO 27001","OBSERVACIÓN - Revisar Controles")))</f>
        <v/>
      </c>
    </row>
    <row r="702">
      <c r="A702" s="99" t="inlineStr">
        <is>
          <t>143-GTH</t>
        </is>
      </c>
      <c r="B702" s="10" t="inlineStr">
        <is>
          <t>APOYO</t>
        </is>
      </c>
      <c r="C702" s="10" t="inlineStr">
        <is>
          <t>Gestión del Talento Humano</t>
        </is>
      </c>
      <c r="D702" s="10" t="inlineStr">
        <is>
          <t>GTH</t>
        </is>
      </c>
      <c r="E702" s="10" t="inlineStr">
        <is>
          <t>N/A</t>
        </is>
      </c>
      <c r="F702" s="10" t="inlineStr">
        <is>
          <t>-</t>
        </is>
      </c>
      <c r="G702" s="10" t="inlineStr">
        <is>
          <t>N/A</t>
        </is>
      </c>
      <c r="H702" s="10" t="inlineStr">
        <is>
          <t>Gerente de Talento Humano</t>
        </is>
      </c>
      <c r="I702" s="10" t="inlineStr">
        <is>
          <t>N/A</t>
        </is>
      </c>
      <c r="J702" s="10" t="inlineStr">
        <is>
          <t>Gerente de Talento Humano</t>
        </is>
      </c>
      <c r="K702" s="10" t="inlineStr">
        <is>
          <t>N/A</t>
        </is>
      </c>
      <c r="L702" s="10" t="inlineStr">
        <is>
          <t>N/A</t>
        </is>
      </c>
      <c r="M702" s="10" t="inlineStr">
        <is>
          <t>N/A</t>
        </is>
      </c>
      <c r="N702" s="10" t="inlineStr">
        <is>
          <t>APOYO</t>
        </is>
      </c>
      <c r="O702" s="10" t="inlineStr">
        <is>
          <t>RECURSO HUMANO</t>
        </is>
      </c>
      <c r="P702" s="10" t="inlineStr">
        <is>
          <t>USO INTERNO(2)</t>
        </is>
      </c>
      <c r="Q702" s="10" t="inlineStr">
        <is>
          <t>MEDIA(2)</t>
        </is>
      </c>
      <c r="R702" s="10" t="inlineStr">
        <is>
          <t>MEDIA(2)</t>
        </is>
      </c>
      <c r="S702" s="10">
        <f>+(IF(P702="PUBLICA(1)",1,IF(P702="USO INTERNO(2)",2,IF(P702="RESTRINGIDO(3)",3,3))))+(IF(Q702="BAJA(1)",1,IF(Q702="MEDIA(2)",2,IF(Q702="ALTA(3)",3,3))))+(IF(R702="BAJA(1)",1,IF(R702="MEDIA(2)",2,IF(R702="ALTA(3)",3,3))))</f>
        <v/>
      </c>
      <c r="T702" s="10">
        <f>+IF(S702&lt;6,"BAJA",IF(S702&lt;8,"MEDIA","ALTA"))</f>
        <v/>
      </c>
      <c r="U702" s="10" t="inlineStr">
        <is>
          <t>-</t>
        </is>
      </c>
      <c r="V702" s="24" t="n">
        <v>45712</v>
      </c>
      <c r="W702" s="19" t="inlineStr">
        <is>
          <t>N/A</t>
        </is>
      </c>
      <c r="X702" s="10">
        <f>+IFERROR(IF(VLOOKUP(Tabla2[[#This Row],[ID]],'EVALUACION DE RIESGO'!A:A,1,FALSE)=Tabla2[[#This Row],[ID]],"SI","NO"),"NO")</f>
        <v/>
      </c>
      <c r="AD702">
        <f>IF(AND(Y702="",AA702=""),"",IF(OR(LEFT(AA702,2)="L0",LEFT(AA702,2)="L1",Y702="No Iniciado"),"CRÍTICO - Incumplimiento Normativo SEPS",IF(AND(OR(LEFT(AA702,2)="L4",LEFT(AA702,2)="L5"),AND(AC702&lt;&gt;"",AC702&lt;&gt;"N/A")),"CONFORME - Control Efectivo ISO 27001","OBSERVACIÓN - Revisar Controles")))</f>
        <v/>
      </c>
    </row>
    <row r="703">
      <c r="A703" s="99" t="inlineStr">
        <is>
          <t>144-GTH</t>
        </is>
      </c>
      <c r="B703" s="10" t="inlineStr">
        <is>
          <t>APOYO</t>
        </is>
      </c>
      <c r="C703" s="10" t="inlineStr">
        <is>
          <t>Gestión del Talento Humano</t>
        </is>
      </c>
      <c r="D703" s="10" t="inlineStr">
        <is>
          <t>GTH</t>
        </is>
      </c>
      <c r="E703" s="10" t="inlineStr">
        <is>
          <t>N/A</t>
        </is>
      </c>
      <c r="F703" s="10" t="inlineStr">
        <is>
          <t>-</t>
        </is>
      </c>
      <c r="G703" s="10" t="inlineStr">
        <is>
          <t>N/A</t>
        </is>
      </c>
      <c r="H703" s="10" t="inlineStr">
        <is>
          <t>Analistas de Talento Humano</t>
        </is>
      </c>
      <c r="I703" s="10" t="inlineStr">
        <is>
          <t>N/A</t>
        </is>
      </c>
      <c r="J703" s="10" t="inlineStr">
        <is>
          <t>Gerente de Talento Humano</t>
        </is>
      </c>
      <c r="K703" s="10" t="inlineStr">
        <is>
          <t>N/A</t>
        </is>
      </c>
      <c r="L703" s="10" t="inlineStr">
        <is>
          <t>N/A</t>
        </is>
      </c>
      <c r="M703" s="10" t="inlineStr">
        <is>
          <t>N/A</t>
        </is>
      </c>
      <c r="N703" s="10" t="inlineStr">
        <is>
          <t>APOYO</t>
        </is>
      </c>
      <c r="O703" s="10" t="inlineStr">
        <is>
          <t>RECURSO HUMANO</t>
        </is>
      </c>
      <c r="P703" s="10" t="inlineStr">
        <is>
          <t>USO INTERNO(2)</t>
        </is>
      </c>
      <c r="Q703" s="10" t="inlineStr">
        <is>
          <t>MEDIA(2)</t>
        </is>
      </c>
      <c r="R703" s="10" t="inlineStr">
        <is>
          <t>MEDIA(2)</t>
        </is>
      </c>
      <c r="S703" s="10">
        <f>+(IF(P703="PUBLICA(1)",1,IF(P703="USO INTERNO(2)",2,IF(P703="RESTRINGIDO(3)",3,3))))+(IF(Q703="BAJA(1)",1,IF(Q703="MEDIA(2)",2,IF(Q703="ALTA(3)",3,3))))+(IF(R703="BAJA(1)",1,IF(R703="MEDIA(2)",2,IF(R703="ALTA(3)",3,3))))</f>
        <v/>
      </c>
      <c r="T703" s="10">
        <f>+IF(S703&lt;6,"BAJA",IF(S703&lt;8,"MEDIA","ALTA"))</f>
        <v/>
      </c>
      <c r="U703" s="10" t="inlineStr">
        <is>
          <t>-</t>
        </is>
      </c>
      <c r="V703" s="24" t="n">
        <v>45712</v>
      </c>
      <c r="W703" s="19" t="inlineStr">
        <is>
          <t>N/A</t>
        </is>
      </c>
      <c r="X703" s="10">
        <f>+IFERROR(IF(VLOOKUP(Tabla2[[#This Row],[ID]],'EVALUACION DE RIESGO'!A:A,1,FALSE)=Tabla2[[#This Row],[ID]],"SI","NO"),"NO")</f>
        <v/>
      </c>
      <c r="AD703">
        <f>IF(AND(Y703="",AA703=""),"",IF(OR(LEFT(AA703,2)="L0",LEFT(AA703,2)="L1",Y703="No Iniciado"),"CRÍTICO - Incumplimiento Normativo SEPS",IF(AND(OR(LEFT(AA703,2)="L4",LEFT(AA703,2)="L5"),AND(AC703&lt;&gt;"",AC703&lt;&gt;"N/A")),"CONFORME - Control Efectivo ISO 27001","OBSERVACIÓN - Revisar Controles")))</f>
        <v/>
      </c>
    </row>
    <row r="704">
      <c r="A704" s="99" t="inlineStr">
        <is>
          <t>1-GTI</t>
        </is>
      </c>
      <c r="B704" s="10" t="inlineStr">
        <is>
          <t>APOYO</t>
        </is>
      </c>
      <c r="C704" s="10" t="inlineStr">
        <is>
          <t>Gestión de Tecnología de la Información</t>
        </is>
      </c>
      <c r="D704" s="10" t="inlineStr">
        <is>
          <t>GTI</t>
        </is>
      </c>
      <c r="E704" s="10" t="inlineStr">
        <is>
          <t>Gestión de la Estrategia de TI</t>
        </is>
      </c>
      <c r="F704" s="10" t="inlineStr">
        <is>
          <t>-</t>
        </is>
      </c>
      <c r="G704" s="10" t="inlineStr">
        <is>
          <t>Planificación estratégica de TI</t>
        </is>
      </c>
      <c r="H704" s="10" t="inlineStr">
        <is>
          <t>Plan estratégico de TI</t>
        </is>
      </c>
      <c r="I704" s="10" t="inlineStr">
        <is>
          <t>Plan estratégico de TI alineado a los objetivos institucionales, análisis del entorno, análisis FODA y demás que sean necesarios de acuerdo a la metodología de planificación institucional. Estrategias y objetivos de tecnología.</t>
        </is>
      </c>
      <c r="J704" s="10" t="inlineStr">
        <is>
          <t>Gerente de Tecnología</t>
        </is>
      </c>
      <c r="K704" s="10" t="inlineStr">
        <is>
          <t>Gerente de Tecnología</t>
        </is>
      </c>
      <c r="L704" s="10" t="inlineStr">
        <is>
          <t>UBICACIÓN DIGITAL-EQUIPO DEL RESPONSABLE</t>
        </is>
      </c>
      <c r="M704" s="10" t="inlineStr">
        <is>
          <t>DISCOS DUROS, SERVIDORES, DISCOS O MEDIOS PORTÁTILES, CINTAS O MEDIOS DE VIDEO Y AUDIO, ETC.</t>
        </is>
      </c>
      <c r="N704" s="10" t="inlineStr">
        <is>
          <t>PRIMARIOS</t>
        </is>
      </c>
      <c r="O704" s="10" t="inlineStr">
        <is>
          <t>DOCUMENTOS TÉCNICOS</t>
        </is>
      </c>
      <c r="P704" s="10" t="inlineStr">
        <is>
          <t>USO INTERNO(2)</t>
        </is>
      </c>
      <c r="Q704" s="10" t="inlineStr">
        <is>
          <t>BAJA(1)</t>
        </is>
      </c>
      <c r="R704" s="10" t="inlineStr">
        <is>
          <t>MEDIA(2)</t>
        </is>
      </c>
      <c r="S704" s="10">
        <f>+(IF(P704="PUBLICA(1)",1,IF(P704="USO INTERNO(2)",2,IF(P704="RESTRINGIDO(3)",3,3))))+(IF(Q704="BAJA(1)",1,IF(Q704="MEDIA(2)",2,IF(Q704="ALTA(3)",3,3))))+(IF(R704="BAJA(1)",1,IF(R704="MEDIA(2)",2,IF(R704="ALTA(3)",3,3))))</f>
        <v/>
      </c>
      <c r="T704" s="10">
        <f>+IF(S704&lt;6,"BAJA",IF(S704&lt;8,"MEDIA","ALTA"))</f>
        <v/>
      </c>
      <c r="U704" s="10" t="inlineStr">
        <is>
          <t>-</t>
        </is>
      </c>
      <c r="V704" s="24" t="n">
        <v>45687</v>
      </c>
      <c r="W704" s="19" t="inlineStr">
        <is>
          <t>N/A</t>
        </is>
      </c>
      <c r="X704" s="10">
        <f>+IFERROR(IF(VLOOKUP(Tabla2[[#This Row],[ID]],'EVALUACION DE RIESGO'!A:A,1,FALSE)=Tabla2[[#This Row],[ID]],"SI","NO"),"NO")</f>
        <v/>
      </c>
      <c r="AD704">
        <f>IF(AND(Y704="",AA704=""),"",IF(OR(LEFT(AA704,2)="L0",LEFT(AA704,2)="L1",Y704="No Iniciado"),"CRÍTICO - Incumplimiento Normativo SEPS",IF(AND(OR(LEFT(AA704,2)="L4",LEFT(AA704,2)="L5"),AND(AC704&lt;&gt;"",AC704&lt;&gt;"N/A")),"CONFORME - Control Efectivo ISO 27001","OBSERVACIÓN - Revisar Controles")))</f>
        <v/>
      </c>
    </row>
    <row r="705">
      <c r="A705" s="99" t="inlineStr">
        <is>
          <t>2-GTI</t>
        </is>
      </c>
      <c r="B705" s="10" t="inlineStr">
        <is>
          <t>APOYO</t>
        </is>
      </c>
      <c r="C705" s="10" t="inlineStr">
        <is>
          <t>Gestión de Tecnología de la Información</t>
        </is>
      </c>
      <c r="D705" s="10" t="inlineStr">
        <is>
          <t>GTI</t>
        </is>
      </c>
      <c r="E705" s="10" t="inlineStr">
        <is>
          <t>Gestión de la Estrategia de TI</t>
        </is>
      </c>
      <c r="F705" s="10" t="inlineStr">
        <is>
          <t>-</t>
        </is>
      </c>
      <c r="G705" s="10" t="inlineStr">
        <is>
          <t xml:space="preserve">Planificación operativa de TI     </t>
        </is>
      </c>
      <c r="H705" s="10" t="inlineStr">
        <is>
          <t>Plan de infraestructura tecnológica</t>
        </is>
      </c>
      <c r="I705" s="10" t="inlineStr">
        <is>
          <t>En función a los objetivos estratégicos se formaliza un documento con los informes correspondientes a las capacidades y rendimiento actual de la infraestructura tecnológica instalada así como el estado de los equipos tecnológicos, y en su función la formulación final del plan estratégico de infraestructura.</t>
        </is>
      </c>
      <c r="J705" s="10" t="inlineStr">
        <is>
          <t>Gerente de Tecnología</t>
        </is>
      </c>
      <c r="K705" s="10" t="inlineStr">
        <is>
          <t>Gerente de Tecnología</t>
        </is>
      </c>
      <c r="L705" s="10" t="inlineStr">
        <is>
          <t>UBICACIÓN DIGITAL-EQUIPO DEL RESPONSABLE</t>
        </is>
      </c>
      <c r="M705" s="10" t="inlineStr">
        <is>
          <t>DISCOS DUROS, SERVIDORES, DISCOS O MEDIOS PORTÁTILES, CINTAS O MEDIOS DE VIDEO Y AUDIO, ETC.</t>
        </is>
      </c>
      <c r="N705" s="10" t="inlineStr">
        <is>
          <t>PRIMARIOS</t>
        </is>
      </c>
      <c r="O705" s="10" t="inlineStr">
        <is>
          <t>DOCUMENTOS TÉCNICOS</t>
        </is>
      </c>
      <c r="P705" s="10" t="inlineStr">
        <is>
          <t>USO INTERNO(2)</t>
        </is>
      </c>
      <c r="Q705" s="10" t="inlineStr">
        <is>
          <t>BAJA(1)</t>
        </is>
      </c>
      <c r="R705" s="10" t="inlineStr">
        <is>
          <t>MEDIA(2)</t>
        </is>
      </c>
      <c r="S705" s="10">
        <f>+(IF(P705="PUBLICA(1)",1,IF(P705="USO INTERNO(2)",2,IF(P705="RESTRINGIDO(3)",3,3))))+(IF(Q705="BAJA(1)",1,IF(Q705="MEDIA(2)",2,IF(Q705="ALTA(3)",3,3))))+(IF(R705="BAJA(1)",1,IF(R705="MEDIA(2)",2,IF(R705="ALTA(3)",3,3))))</f>
        <v/>
      </c>
      <c r="T705" s="10">
        <f>+IF(S705&lt;6,"BAJA",IF(S705&lt;8,"MEDIA","ALTA"))</f>
        <v/>
      </c>
      <c r="U705" s="10" t="inlineStr">
        <is>
          <t>-</t>
        </is>
      </c>
      <c r="V705" s="24" t="n">
        <v>45687</v>
      </c>
      <c r="W705" s="19" t="inlineStr">
        <is>
          <t>N/A</t>
        </is>
      </c>
      <c r="X705" s="10">
        <f>+IFERROR(IF(VLOOKUP(Tabla2[[#This Row],[ID]],'EVALUACION DE RIESGO'!A:A,1,FALSE)=Tabla2[[#This Row],[ID]],"SI","NO"),"NO")</f>
        <v/>
      </c>
      <c r="AD705">
        <f>IF(AND(Y705="",AA705=""),"",IF(OR(LEFT(AA705,2)="L0",LEFT(AA705,2)="L1",Y705="No Iniciado"),"CRÍTICO - Incumplimiento Normativo SEPS",IF(AND(OR(LEFT(AA705,2)="L4",LEFT(AA705,2)="L5"),AND(AC705&lt;&gt;"",AC705&lt;&gt;"N/A")),"CONFORME - Control Efectivo ISO 27001","OBSERVACIÓN - Revisar Controles")))</f>
        <v/>
      </c>
    </row>
    <row r="706">
      <c r="A706" s="99" t="inlineStr">
        <is>
          <t>3-GTI</t>
        </is>
      </c>
      <c r="B706" s="10" t="inlineStr">
        <is>
          <t>APOYO</t>
        </is>
      </c>
      <c r="C706" s="10" t="inlineStr">
        <is>
          <t>Gestión de Tecnología de la Información</t>
        </is>
      </c>
      <c r="D706" s="10" t="inlineStr">
        <is>
          <t>GTI</t>
        </is>
      </c>
      <c r="E706" s="10" t="inlineStr">
        <is>
          <t>Gestión de la Estrategia de TI</t>
        </is>
      </c>
      <c r="F706" s="10" t="inlineStr">
        <is>
          <t>-</t>
        </is>
      </c>
      <c r="G706" s="10" t="inlineStr">
        <is>
          <t>Definición del modelo de gestión de incidentes y peticiones</t>
        </is>
      </c>
      <c r="H706" s="10" t="inlineStr">
        <is>
          <t>Catálogo de servicios</t>
        </is>
      </c>
      <c r="I706" s="10" t="inlineStr">
        <is>
          <t>Catálogo de servicios de TI de las categorías del sistema Service Desk</t>
        </is>
      </c>
      <c r="J706" s="10" t="inlineStr">
        <is>
          <t>Gerente de Tecnología</t>
        </is>
      </c>
      <c r="K706" s="10" t="inlineStr">
        <is>
          <t>Asistente de Infraestructura tecnologica</t>
        </is>
      </c>
      <c r="L706" s="10" t="inlineStr">
        <is>
          <t>UBICACIÓN DIGITAL-EQUIPO DEL RESPONSABLE</t>
        </is>
      </c>
      <c r="M706" s="10" t="inlineStr">
        <is>
          <t>DISCOS DUROS, SERVIDORES, DISCOS O MEDIOS PORTÁTILES, CINTAS O MEDIOS DE VIDEO Y AUDIO, ETC.</t>
        </is>
      </c>
      <c r="N706" s="10" t="inlineStr">
        <is>
          <t>PRIMARIOS</t>
        </is>
      </c>
      <c r="O706" s="10" t="inlineStr">
        <is>
          <t>DOCUMENTOS TÉCNICOS</t>
        </is>
      </c>
      <c r="P706" s="10" t="inlineStr">
        <is>
          <t>USO INTERNO(2)</t>
        </is>
      </c>
      <c r="Q706" s="10" t="inlineStr">
        <is>
          <t>BAJA(1)</t>
        </is>
      </c>
      <c r="R706" s="10" t="inlineStr">
        <is>
          <t>BAJA(1)</t>
        </is>
      </c>
      <c r="S706" s="10">
        <f>+(IF(P706="PUBLICA(1)",1,IF(P706="USO INTERNO(2)",2,IF(P706="RESTRINGIDO(3)",3,3))))+(IF(Q706="BAJA(1)",1,IF(Q706="MEDIA(2)",2,IF(Q706="ALTA(3)",3,3))))+(IF(R706="BAJA(1)",1,IF(R706="MEDIA(2)",2,IF(R706="ALTA(3)",3,3))))</f>
        <v/>
      </c>
      <c r="T706" s="10">
        <f>+IF(S706&lt;6,"BAJA",IF(S706&lt;8,"MEDIA","ALTA"))</f>
        <v/>
      </c>
      <c r="U706" s="10" t="inlineStr">
        <is>
          <t>-</t>
        </is>
      </c>
      <c r="V706" s="24" t="n">
        <v>45687</v>
      </c>
      <c r="W706" s="19" t="inlineStr">
        <is>
          <t>N/A</t>
        </is>
      </c>
      <c r="X706" s="10">
        <f>+IFERROR(IF(VLOOKUP(Tabla2[[#This Row],[ID]],'EVALUACION DE RIESGO'!A:A,1,FALSE)=Tabla2[[#This Row],[ID]],"SI","NO"),"NO")</f>
        <v/>
      </c>
      <c r="AD706">
        <f>IF(AND(Y706="",AA706=""),"",IF(OR(LEFT(AA706,2)="L0",LEFT(AA706,2)="L1",Y706="No Iniciado"),"CRÍTICO - Incumplimiento Normativo SEPS",IF(AND(OR(LEFT(AA706,2)="L4",LEFT(AA706,2)="L5"),AND(AC706&lt;&gt;"",AC706&lt;&gt;"N/A")),"CONFORME - Control Efectivo ISO 27001","OBSERVACIÓN - Revisar Controles")))</f>
        <v/>
      </c>
    </row>
    <row r="707">
      <c r="A707" s="99" t="inlineStr">
        <is>
          <t>4-GTI</t>
        </is>
      </c>
      <c r="B707" s="10" t="inlineStr">
        <is>
          <t>APOYO</t>
        </is>
      </c>
      <c r="C707" s="10" t="inlineStr">
        <is>
          <t>Gestión de Tecnología de la Información</t>
        </is>
      </c>
      <c r="D707" s="10" t="inlineStr">
        <is>
          <t>GTI</t>
        </is>
      </c>
      <c r="E707" s="10" t="inlineStr">
        <is>
          <t>Gestión de la Estrategia de TI</t>
        </is>
      </c>
      <c r="F707" s="10" t="inlineStr">
        <is>
          <t>-</t>
        </is>
      </c>
      <c r="G707" s="10" t="inlineStr">
        <is>
          <t>Definición del modelo de gestión de incidentes y peticiones</t>
        </is>
      </c>
      <c r="H707" s="10" t="inlineStr">
        <is>
          <t>Modelo de gestión de incidentes y peticiones</t>
        </is>
      </c>
      <c r="I707" s="10" t="inlineStr">
        <is>
          <t>Documento de reglas para el registro de problemas, causa y solución y el análisis de la base de conocimientos. (Sistema Service Desk)</t>
        </is>
      </c>
      <c r="J707" s="10" t="inlineStr">
        <is>
          <t>Gerente de Tecnología</t>
        </is>
      </c>
      <c r="K707" s="10" t="inlineStr">
        <is>
          <t>Asistente de Infraestructura tecnologica</t>
        </is>
      </c>
      <c r="L707" s="10" t="inlineStr">
        <is>
          <t>UBICACIÓN DIGITAL-WEBCOOP</t>
        </is>
      </c>
      <c r="M707" s="10" t="inlineStr">
        <is>
          <t>UBICACIÓN DIGITAL-WEBCOOP</t>
        </is>
      </c>
      <c r="N707" s="10" t="inlineStr">
        <is>
          <t>PRIMARIOS</t>
        </is>
      </c>
      <c r="O707" s="10" t="inlineStr">
        <is>
          <t>DOCUMENTOS TÉCNICOS</t>
        </is>
      </c>
      <c r="P707" s="10" t="inlineStr">
        <is>
          <t>USO INTERNO(2)</t>
        </is>
      </c>
      <c r="Q707" s="10" t="inlineStr">
        <is>
          <t>BAJA(1)</t>
        </is>
      </c>
      <c r="R707" s="10" t="inlineStr">
        <is>
          <t>MEDIA(2)</t>
        </is>
      </c>
      <c r="S707" s="10">
        <f>+(IF(P707="PUBLICA(1)",1,IF(P707="USO INTERNO(2)",2,IF(P707="RESTRINGIDO(3)",3,3))))+(IF(Q707="BAJA(1)",1,IF(Q707="MEDIA(2)",2,IF(Q707="ALTA(3)",3,3))))+(IF(R707="BAJA(1)",1,IF(R707="MEDIA(2)",2,IF(R707="ALTA(3)",3,3))))</f>
        <v/>
      </c>
      <c r="T707" s="10">
        <f>+IF(S707&lt;6,"BAJA",IF(S707&lt;8,"MEDIA","ALTA"))</f>
        <v/>
      </c>
      <c r="U707" s="10" t="inlineStr">
        <is>
          <t>-</t>
        </is>
      </c>
      <c r="V707" s="24" t="n">
        <v>45687</v>
      </c>
      <c r="W707" s="19" t="inlineStr">
        <is>
          <t>N/A</t>
        </is>
      </c>
      <c r="X707" s="10">
        <f>+IFERROR(IF(VLOOKUP(Tabla2[[#This Row],[ID]],'EVALUACION DE RIESGO'!A:A,1,FALSE)=Tabla2[[#This Row],[ID]],"SI","NO"),"NO")</f>
        <v/>
      </c>
      <c r="AD707">
        <f>IF(AND(Y707="",AA707=""),"",IF(OR(LEFT(AA707,2)="L0",LEFT(AA707,2)="L1",Y707="No Iniciado"),"CRÍTICO - Incumplimiento Normativo SEPS",IF(AND(OR(LEFT(AA707,2)="L4",LEFT(AA707,2)="L5"),AND(AC707&lt;&gt;"",AC707&lt;&gt;"N/A")),"CONFORME - Control Efectivo ISO 27001","OBSERVACIÓN - Revisar Controles")))</f>
        <v/>
      </c>
    </row>
    <row r="708">
      <c r="A708" s="99" t="inlineStr">
        <is>
          <t>5-GTI</t>
        </is>
      </c>
      <c r="B708" s="10" t="inlineStr">
        <is>
          <t>APOYO</t>
        </is>
      </c>
      <c r="C708" s="10" t="inlineStr">
        <is>
          <t>Gestión de Tecnología de la Información</t>
        </is>
      </c>
      <c r="D708" s="10" t="inlineStr">
        <is>
          <t>GTI</t>
        </is>
      </c>
      <c r="E708" s="10" t="inlineStr">
        <is>
          <t>Gestión de la Estrategia de TI</t>
        </is>
      </c>
      <c r="F708" s="10" t="inlineStr">
        <is>
          <t>-</t>
        </is>
      </c>
      <c r="G708" s="10" t="inlineStr">
        <is>
          <t>Definición del modelo de gestión de incidentes y peticiones</t>
        </is>
      </c>
      <c r="H708" s="10" t="inlineStr">
        <is>
          <t>Lista de verificación de configuración de equipos</t>
        </is>
      </c>
      <c r="I708" s="10" t="inlineStr">
        <is>
          <t>Lista de verificación y definición de errores conocidos y procedimientos prestablecidos para la configuración de equipos.</t>
        </is>
      </c>
      <c r="J708" s="10" t="inlineStr">
        <is>
          <t>Gerente de Tecnología</t>
        </is>
      </c>
      <c r="K708" s="10" t="inlineStr">
        <is>
          <t>Especialista en Seguridad Informática</t>
        </is>
      </c>
      <c r="L708" s="10" t="inlineStr">
        <is>
          <t>UBICACIÓN DIGITAL-EQUIPO DEL RESPONSABLE</t>
        </is>
      </c>
      <c r="M708" s="10" t="inlineStr">
        <is>
          <t>DISCOS DUROS, SERVIDORES, DISCOS O MEDIOS PORTÁTILES, CINTAS O MEDIOS DE VIDEO Y AUDIO, ETC.</t>
        </is>
      </c>
      <c r="N708" s="10" t="inlineStr">
        <is>
          <t>PRIMARIOS</t>
        </is>
      </c>
      <c r="O708" s="10" t="inlineStr">
        <is>
          <t>DOCUMENTOS TÉCNICOS</t>
        </is>
      </c>
      <c r="P708" s="10" t="inlineStr">
        <is>
          <t>USO INTERNO(2)</t>
        </is>
      </c>
      <c r="Q708" s="10" t="inlineStr">
        <is>
          <t>BAJA(1)</t>
        </is>
      </c>
      <c r="R708" s="10" t="inlineStr">
        <is>
          <t>MEDIA(2)</t>
        </is>
      </c>
      <c r="S708" s="10">
        <f>+(IF(P708="PUBLICA(1)",1,IF(P708="USO INTERNO(2)",2,IF(P708="RESTRINGIDO(3)",3,3))))+(IF(Q708="BAJA(1)",1,IF(Q708="MEDIA(2)",2,IF(Q708="ALTA(3)",3,3))))+(IF(R708="BAJA(1)",1,IF(R708="MEDIA(2)",2,IF(R708="ALTA(3)",3,3))))</f>
        <v/>
      </c>
      <c r="T708" s="10">
        <f>+IF(S708&lt;6,"BAJA",IF(S708&lt;8,"MEDIA","ALTA"))</f>
        <v/>
      </c>
      <c r="U708" s="10" t="inlineStr">
        <is>
          <t>-</t>
        </is>
      </c>
      <c r="V708" s="24" t="n">
        <v>45687</v>
      </c>
      <c r="W708" s="19" t="inlineStr">
        <is>
          <t>N/A</t>
        </is>
      </c>
      <c r="X708" s="10">
        <f>+IFERROR(IF(VLOOKUP(Tabla2[[#This Row],[ID]],'EVALUACION DE RIESGO'!A:A,1,FALSE)=Tabla2[[#This Row],[ID]],"SI","NO"),"NO")</f>
        <v/>
      </c>
      <c r="AD708">
        <f>IF(AND(Y708="",AA708=""),"",IF(OR(LEFT(AA708,2)="L0",LEFT(AA708,2)="L1",Y708="No Iniciado"),"CRÍTICO - Incumplimiento Normativo SEPS",IF(AND(OR(LEFT(AA708,2)="L4",LEFT(AA708,2)="L5"),AND(AC708&lt;&gt;"",AC708&lt;&gt;"N/A")),"CONFORME - Control Efectivo ISO 27001","OBSERVACIÓN - Revisar Controles")))</f>
        <v/>
      </c>
    </row>
    <row r="709">
      <c r="A709" s="99" t="inlineStr">
        <is>
          <t>6-GTI</t>
        </is>
      </c>
      <c r="B709" s="10" t="inlineStr">
        <is>
          <t>APOYO</t>
        </is>
      </c>
      <c r="C709" s="10" t="inlineStr">
        <is>
          <t>Gestión de Tecnología de la Información</t>
        </is>
      </c>
      <c r="D709" s="10" t="inlineStr">
        <is>
          <t>GTI</t>
        </is>
      </c>
      <c r="E709" s="10" t="inlineStr">
        <is>
          <t>Gestión de la Estrategia de TI</t>
        </is>
      </c>
      <c r="F709" s="10" t="inlineStr">
        <is>
          <t>-</t>
        </is>
      </c>
      <c r="G709" s="10" t="inlineStr">
        <is>
          <t>Definición del modelo de gestión de incidentes y peticiones</t>
        </is>
      </c>
      <c r="H709" s="10" t="inlineStr">
        <is>
          <t>Perfil de hardware y software de usuario</t>
        </is>
      </c>
      <c r="I709" s="10" t="inlineStr">
        <is>
          <t>Matriz de perfiles de accesos a hardware y software de acuerdo al cargo / adjunto a Lista de verificación de configuración de equipos</t>
        </is>
      </c>
      <c r="J709" s="10" t="inlineStr">
        <is>
          <t>Gerente de Tecnología</t>
        </is>
      </c>
      <c r="K709" s="10" t="inlineStr">
        <is>
          <t>Especialista en Seguridad Informática</t>
        </is>
      </c>
      <c r="L709" s="10" t="inlineStr">
        <is>
          <t>UBICACIÓN DIGITAL-EQUIPO DEL RESPONSABLE</t>
        </is>
      </c>
      <c r="M709" s="10" t="inlineStr">
        <is>
          <t>DISCOS DUROS, SERVIDORES, DISCOS O MEDIOS PORTÁTILES, CINTAS O MEDIOS DE VIDEO Y AUDIO, ETC.</t>
        </is>
      </c>
      <c r="N709" s="10" t="inlineStr">
        <is>
          <t>PRIMARIOS</t>
        </is>
      </c>
      <c r="O709" s="10" t="inlineStr">
        <is>
          <t>DOCUMENTOS TÉCNICOS</t>
        </is>
      </c>
      <c r="P709" s="10" t="inlineStr">
        <is>
          <t>USO INTERNO(2)</t>
        </is>
      </c>
      <c r="Q709" s="10" t="inlineStr">
        <is>
          <t>MEDIA(2)</t>
        </is>
      </c>
      <c r="R709" s="10" t="inlineStr">
        <is>
          <t>MEDIA(2)</t>
        </is>
      </c>
      <c r="S709" s="10">
        <f>+(IF(P709="PUBLICA(1)",1,IF(P709="USO INTERNO(2)",2,IF(P709="RESTRINGIDO(3)",3,3))))+(IF(Q709="BAJA(1)",1,IF(Q709="MEDIA(2)",2,IF(Q709="ALTA(3)",3,3))))+(IF(R709="BAJA(1)",1,IF(R709="MEDIA(2)",2,IF(R709="ALTA(3)",3,3))))</f>
        <v/>
      </c>
      <c r="T709" s="10">
        <f>+IF(S709&lt;6,"BAJA",IF(S709&lt;8,"MEDIA","ALTA"))</f>
        <v/>
      </c>
      <c r="U709" s="10" t="inlineStr">
        <is>
          <t>-</t>
        </is>
      </c>
      <c r="V709" s="24" t="n">
        <v>45687</v>
      </c>
      <c r="W709" s="19" t="inlineStr">
        <is>
          <t>N/A</t>
        </is>
      </c>
      <c r="X709" s="10">
        <f>+IFERROR(IF(VLOOKUP(Tabla2[[#This Row],[ID]],'EVALUACION DE RIESGO'!A:A,1,FALSE)=Tabla2[[#This Row],[ID]],"SI","NO"),"NO")</f>
        <v/>
      </c>
      <c r="AD709">
        <f>IF(AND(Y709="",AA709=""),"",IF(OR(LEFT(AA709,2)="L0",LEFT(AA709,2)="L1",Y709="No Iniciado"),"CRÍTICO - Incumplimiento Normativo SEPS",IF(AND(OR(LEFT(AA709,2)="L4",LEFT(AA709,2)="L5"),AND(AC709&lt;&gt;"",AC709&lt;&gt;"N/A")),"CONFORME - Control Efectivo ISO 27001","OBSERVACIÓN - Revisar Controles")))</f>
        <v/>
      </c>
    </row>
    <row r="710">
      <c r="A710" s="99" t="inlineStr">
        <is>
          <t>7-GTI</t>
        </is>
      </c>
      <c r="B710" s="10" t="inlineStr">
        <is>
          <t>APOYO</t>
        </is>
      </c>
      <c r="C710" s="10" t="inlineStr">
        <is>
          <t>Gestión de Tecnología de la Información</t>
        </is>
      </c>
      <c r="D710" s="10" t="inlineStr">
        <is>
          <t>GTI</t>
        </is>
      </c>
      <c r="E710" s="10" t="inlineStr">
        <is>
          <t>Gestión de la Estrategia de TI</t>
        </is>
      </c>
      <c r="F710" s="10" t="inlineStr">
        <is>
          <t>-</t>
        </is>
      </c>
      <c r="G710" s="10" t="inlineStr">
        <is>
          <t>Elaboración de acuerdos de servicios</t>
        </is>
      </c>
      <c r="H710" s="10" t="inlineStr">
        <is>
          <t>Acuerdos de nivel de servicio SLAs</t>
        </is>
      </c>
      <c r="I710" s="10" t="inlineStr">
        <is>
          <t>Modelo de gestión de incidentes y peticiones formalizado por las jefaturas</t>
        </is>
      </c>
      <c r="J710" s="10" t="inlineStr">
        <is>
          <t>Gerente de Tecnología</t>
        </is>
      </c>
      <c r="K710" s="10" t="inlineStr">
        <is>
          <t>Gerente de Tecnología</t>
        </is>
      </c>
      <c r="L710" s="10" t="inlineStr">
        <is>
          <t>UBICACIÓN DIGITAL-EQUIPO DEL RESPONSABLE</t>
        </is>
      </c>
      <c r="M710" s="10" t="inlineStr">
        <is>
          <t>DISCOS DUROS, SERVIDORES, DISCOS O MEDIOS PORTÁTILES, CINTAS O MEDIOS DE VIDEO Y AUDIO, ETC.</t>
        </is>
      </c>
      <c r="N710" s="10" t="inlineStr">
        <is>
          <t>PRIMARIOS</t>
        </is>
      </c>
      <c r="O710" s="10" t="inlineStr">
        <is>
          <t>DOCUMENTOS TÉCNICOS</t>
        </is>
      </c>
      <c r="P710" s="10" t="inlineStr">
        <is>
          <t>USO INTERNO(2)</t>
        </is>
      </c>
      <c r="Q710" s="10" t="inlineStr">
        <is>
          <t>BAJA(1)</t>
        </is>
      </c>
      <c r="R710" s="10" t="inlineStr">
        <is>
          <t>BAJA(1)</t>
        </is>
      </c>
      <c r="S710" s="10">
        <f>+(IF(P710="PUBLICA(1)",1,IF(P710="USO INTERNO(2)",2,IF(P710="RESTRINGIDO(3)",3,3))))+(IF(Q710="BAJA(1)",1,IF(Q710="MEDIA(2)",2,IF(Q710="ALTA(3)",3,3))))+(IF(R710="BAJA(1)",1,IF(R710="MEDIA(2)",2,IF(R710="ALTA(3)",3,3))))</f>
        <v/>
      </c>
      <c r="T710" s="10">
        <f>+IF(S710&lt;6,"BAJA",IF(S710&lt;8,"MEDIA","ALTA"))</f>
        <v/>
      </c>
      <c r="U710" s="10" t="inlineStr">
        <is>
          <t>-</t>
        </is>
      </c>
      <c r="V710" s="24" t="n">
        <v>45687</v>
      </c>
      <c r="W710" s="19" t="inlineStr">
        <is>
          <t>N/A</t>
        </is>
      </c>
      <c r="X710" s="10">
        <f>+IFERROR(IF(VLOOKUP(Tabla2[[#This Row],[ID]],'EVALUACION DE RIESGO'!A:A,1,FALSE)=Tabla2[[#This Row],[ID]],"SI","NO"),"NO")</f>
        <v/>
      </c>
      <c r="AD710">
        <f>IF(AND(Y710="",AA710=""),"",IF(OR(LEFT(AA710,2)="L0",LEFT(AA710,2)="L1",Y710="No Iniciado"),"CRÍTICO - Incumplimiento Normativo SEPS",IF(AND(OR(LEFT(AA710,2)="L4",LEFT(AA710,2)="L5"),AND(AC710&lt;&gt;"",AC710&lt;&gt;"N/A")),"CONFORME - Control Efectivo ISO 27001","OBSERVACIÓN - Revisar Controles")))</f>
        <v/>
      </c>
    </row>
    <row r="711">
      <c r="A711" s="99" t="inlineStr">
        <is>
          <t>8-GTI</t>
        </is>
      </c>
      <c r="B711" s="10" t="inlineStr">
        <is>
          <t>APOYO</t>
        </is>
      </c>
      <c r="C711" s="10" t="inlineStr">
        <is>
          <t>Gestión de Tecnología de la Información</t>
        </is>
      </c>
      <c r="D711" s="10" t="inlineStr">
        <is>
          <t>GTI</t>
        </is>
      </c>
      <c r="E711" s="10" t="inlineStr">
        <is>
          <t>Gestión de la Estrategia de TI</t>
        </is>
      </c>
      <c r="F711" s="10" t="inlineStr">
        <is>
          <t>-</t>
        </is>
      </c>
      <c r="G711" s="10" t="inlineStr">
        <is>
          <t>Evaluación operativa</t>
        </is>
      </c>
      <c r="H711" s="10" t="inlineStr">
        <is>
          <t>Sumilla de resoluciones</t>
        </is>
      </c>
      <c r="I711" s="10" t="inlineStr">
        <is>
          <t>Sumilla de resoluciones para el seguimiento del las acciones correctivas y razones de justificación de la evaluación operativa.</t>
        </is>
      </c>
      <c r="J711" s="10" t="inlineStr">
        <is>
          <t>Gerente de Tecnología</t>
        </is>
      </c>
      <c r="K711" s="10" t="inlineStr">
        <is>
          <t>Gerente de Tecnología</t>
        </is>
      </c>
      <c r="L711" s="10" t="inlineStr">
        <is>
          <t>UBICACIÓN DIGITAL-EQUIPO DEL RESPONSABLE</t>
        </is>
      </c>
      <c r="M711" s="10" t="inlineStr">
        <is>
          <t>DISCOS DUROS, SERVIDORES, DISCOS O MEDIOS PORTÁTILES, CINTAS O MEDIOS DE VIDEO Y AUDIO, ETC.</t>
        </is>
      </c>
      <c r="N711" s="10" t="inlineStr">
        <is>
          <t>PRIMARIOS</t>
        </is>
      </c>
      <c r="O711" s="10" t="inlineStr">
        <is>
          <t>DOCUMENTOS TÉCNICOS</t>
        </is>
      </c>
      <c r="P711" s="10" t="inlineStr">
        <is>
          <t>USO INTERNO(2)</t>
        </is>
      </c>
      <c r="Q711" s="10" t="inlineStr">
        <is>
          <t>BAJA(1)</t>
        </is>
      </c>
      <c r="R711" s="10" t="inlineStr">
        <is>
          <t>BAJA(1)</t>
        </is>
      </c>
      <c r="S711" s="10">
        <f>+(IF(P711="PUBLICA(1)",1,IF(P711="USO INTERNO(2)",2,IF(P711="RESTRINGIDO(3)",3,3))))+(IF(Q711="BAJA(1)",1,IF(Q711="MEDIA(2)",2,IF(Q711="ALTA(3)",3,3))))+(IF(R711="BAJA(1)",1,IF(R711="MEDIA(2)",2,IF(R711="ALTA(3)",3,3))))</f>
        <v/>
      </c>
      <c r="T711" s="10">
        <f>+IF(S711&lt;6,"BAJA",IF(S711&lt;8,"MEDIA","ALTA"))</f>
        <v/>
      </c>
      <c r="U711" s="10" t="inlineStr">
        <is>
          <t>-</t>
        </is>
      </c>
      <c r="V711" s="24" t="n">
        <v>45687</v>
      </c>
      <c r="W711" s="19" t="inlineStr">
        <is>
          <t>N/A</t>
        </is>
      </c>
      <c r="X711" s="10">
        <f>+IFERROR(IF(VLOOKUP(Tabla2[[#This Row],[ID]],'EVALUACION DE RIESGO'!A:A,1,FALSE)=Tabla2[[#This Row],[ID]],"SI","NO"),"NO")</f>
        <v/>
      </c>
      <c r="AD711">
        <f>IF(AND(Y711="",AA711=""),"",IF(OR(LEFT(AA711,2)="L0",LEFT(AA711,2)="L1",Y711="No Iniciado"),"CRÍTICO - Incumplimiento Normativo SEPS",IF(AND(OR(LEFT(AA711,2)="L4",LEFT(AA711,2)="L5"),AND(AC711&lt;&gt;"",AC711&lt;&gt;"N/A")),"CONFORME - Control Efectivo ISO 27001","OBSERVACIÓN - Revisar Controles")))</f>
        <v/>
      </c>
    </row>
    <row r="712">
      <c r="A712" s="99" t="inlineStr">
        <is>
          <t>9-GTI</t>
        </is>
      </c>
      <c r="B712" s="10" t="inlineStr">
        <is>
          <t>APOYO</t>
        </is>
      </c>
      <c r="C712" s="10" t="inlineStr">
        <is>
          <t>Gestión de Tecnología de la Información</t>
        </is>
      </c>
      <c r="D712" s="10" t="inlineStr">
        <is>
          <t>GTI</t>
        </is>
      </c>
      <c r="E712" s="10" t="inlineStr">
        <is>
          <t>Gestión de la Estrategia de TI</t>
        </is>
      </c>
      <c r="F712" s="10" t="inlineStr">
        <is>
          <t>-</t>
        </is>
      </c>
      <c r="G712" s="10" t="inlineStr">
        <is>
          <t>Evaluación operativa</t>
        </is>
      </c>
      <c r="H712" s="10" t="inlineStr">
        <is>
          <t>Informe trimestral</t>
        </is>
      </c>
      <c r="I712" s="10" t="inlineStr">
        <is>
          <t>Informe presentado al Comité de TI para su análisis y conocimiento</t>
        </is>
      </c>
      <c r="J712" s="10" t="inlineStr">
        <is>
          <t>Gerente de Tecnología</t>
        </is>
      </c>
      <c r="K712" s="10" t="inlineStr">
        <is>
          <t>Gerente de Tecnología</t>
        </is>
      </c>
      <c r="L712" s="10" t="inlineStr">
        <is>
          <t>UBICACIÓN DIGITAL-EQUIPO DEL RESPONSABLE</t>
        </is>
      </c>
      <c r="M712" s="10" t="inlineStr">
        <is>
          <t>DISCOS DUROS, SERVIDORES, DISCOS O MEDIOS PORTÁTILES, CINTAS O MEDIOS DE VIDEO Y AUDIO, ETC.</t>
        </is>
      </c>
      <c r="N712" s="10" t="inlineStr">
        <is>
          <t>PRIMARIOS</t>
        </is>
      </c>
      <c r="O712" s="10" t="inlineStr">
        <is>
          <t>DOCUMENTOS TÉCNICOS</t>
        </is>
      </c>
      <c r="P712" s="10" t="inlineStr">
        <is>
          <t>USO INTERNO(2)</t>
        </is>
      </c>
      <c r="Q712" s="10" t="inlineStr">
        <is>
          <t>BAJA(1)</t>
        </is>
      </c>
      <c r="R712" s="10" t="inlineStr">
        <is>
          <t>BAJA(1)</t>
        </is>
      </c>
      <c r="S712" s="10">
        <f>+(IF(P712="PUBLICA(1)",1,IF(P712="USO INTERNO(2)",2,IF(P712="RESTRINGIDO(3)",3,3))))+(IF(Q712="BAJA(1)",1,IF(Q712="MEDIA(2)",2,IF(Q712="ALTA(3)",3,3))))+(IF(R712="BAJA(1)",1,IF(R712="MEDIA(2)",2,IF(R712="ALTA(3)",3,3))))</f>
        <v/>
      </c>
      <c r="T712" s="10">
        <f>+IF(S712&lt;6,"BAJA",IF(S712&lt;8,"MEDIA","ALTA"))</f>
        <v/>
      </c>
      <c r="U712" s="10" t="inlineStr">
        <is>
          <t>-</t>
        </is>
      </c>
      <c r="V712" s="24" t="n">
        <v>45687</v>
      </c>
      <c r="W712" s="19" t="inlineStr">
        <is>
          <t>N/A</t>
        </is>
      </c>
      <c r="X712" s="10">
        <f>+IFERROR(IF(VLOOKUP(Tabla2[[#This Row],[ID]],'EVALUACION DE RIESGO'!A:A,1,FALSE)=Tabla2[[#This Row],[ID]],"SI","NO"),"NO")</f>
        <v/>
      </c>
      <c r="AD712">
        <f>IF(AND(Y712="",AA712=""),"",IF(OR(LEFT(AA712,2)="L0",LEFT(AA712,2)="L1",Y712="No Iniciado"),"CRÍTICO - Incumplimiento Normativo SEPS",IF(AND(OR(LEFT(AA712,2)="L4",LEFT(AA712,2)="L5"),AND(AC712&lt;&gt;"",AC712&lt;&gt;"N/A")),"CONFORME - Control Efectivo ISO 27001","OBSERVACIÓN - Revisar Controles")))</f>
        <v/>
      </c>
    </row>
    <row r="713">
      <c r="A713" s="99" t="inlineStr">
        <is>
          <t>10-GTI</t>
        </is>
      </c>
      <c r="B713" s="10" t="inlineStr">
        <is>
          <t>APOYO</t>
        </is>
      </c>
      <c r="C713" s="10" t="inlineStr">
        <is>
          <t>Gestión de Tecnología de la Información</t>
        </is>
      </c>
      <c r="D713" s="10" t="inlineStr">
        <is>
          <t>GTI</t>
        </is>
      </c>
      <c r="E713" s="10" t="inlineStr">
        <is>
          <t>Gestión de la Estrategia de TI</t>
        </is>
      </c>
      <c r="F713" s="10" t="inlineStr">
        <is>
          <t>-</t>
        </is>
      </c>
      <c r="G713" s="10" t="inlineStr">
        <is>
          <t>Evaluación de acuerdos de servicios</t>
        </is>
      </c>
      <c r="H713" s="10" t="inlineStr">
        <is>
          <t>Informe de gestión trimestral</t>
        </is>
      </c>
      <c r="I713" s="10" t="inlineStr">
        <is>
          <t>Informe presentado al Comité de TI para su análisis y conocimiento</t>
        </is>
      </c>
      <c r="J713" s="10" t="inlineStr">
        <is>
          <t>Gerente de Tecnología</t>
        </is>
      </c>
      <c r="K713" s="10" t="inlineStr">
        <is>
          <t>Gerente de Tecnología</t>
        </is>
      </c>
      <c r="L713" s="10" t="inlineStr">
        <is>
          <t>UBICACIÓN DIGITAL-EQUIPO DEL RESPONSABLE</t>
        </is>
      </c>
      <c r="M713" s="10" t="inlineStr">
        <is>
          <t>DISCOS DUROS, SERVIDORES, DISCOS O MEDIOS PORTÁTILES, CINTAS O MEDIOS DE VIDEO Y AUDIO, ETC.</t>
        </is>
      </c>
      <c r="N713" s="10" t="inlineStr">
        <is>
          <t>PRIMARIOS</t>
        </is>
      </c>
      <c r="O713" s="10" t="inlineStr">
        <is>
          <t>DOCUMENTOS TÉCNICOS</t>
        </is>
      </c>
      <c r="P713" s="10" t="inlineStr">
        <is>
          <t>USO INTERNO(2)</t>
        </is>
      </c>
      <c r="Q713" s="10" t="inlineStr">
        <is>
          <t>BAJA(1)</t>
        </is>
      </c>
      <c r="R713" s="10" t="inlineStr">
        <is>
          <t>BAJA(1)</t>
        </is>
      </c>
      <c r="S713" s="10">
        <f>+(IF(P713="PUBLICA(1)",1,IF(P713="USO INTERNO(2)",2,IF(P713="RESTRINGIDO(3)",3,3))))+(IF(Q713="BAJA(1)",1,IF(Q713="MEDIA(2)",2,IF(Q713="ALTA(3)",3,3))))+(IF(R713="BAJA(1)",1,IF(R713="MEDIA(2)",2,IF(R713="ALTA(3)",3,3))))</f>
        <v/>
      </c>
      <c r="T713" s="10">
        <f>+IF(S713&lt;6,"BAJA",IF(S713&lt;8,"MEDIA","ALTA"))</f>
        <v/>
      </c>
      <c r="U713" s="10" t="inlineStr">
        <is>
          <t>-</t>
        </is>
      </c>
      <c r="V713" s="24" t="n">
        <v>45687</v>
      </c>
      <c r="W713" s="19" t="inlineStr">
        <is>
          <t>N/A</t>
        </is>
      </c>
      <c r="X713" s="10">
        <f>+IFERROR(IF(VLOOKUP(Tabla2[[#This Row],[ID]],'EVALUACION DE RIESGO'!A:A,1,FALSE)=Tabla2[[#This Row],[ID]],"SI","NO"),"NO")</f>
        <v/>
      </c>
      <c r="AD713">
        <f>IF(AND(Y713="",AA713=""),"",IF(OR(LEFT(AA713,2)="L0",LEFT(AA713,2)="L1",Y713="No Iniciado"),"CRÍTICO - Incumplimiento Normativo SEPS",IF(AND(OR(LEFT(AA713,2)="L4",LEFT(AA713,2)="L5"),AND(AC713&lt;&gt;"",AC713&lt;&gt;"N/A")),"CONFORME - Control Efectivo ISO 27001","OBSERVACIÓN - Revisar Controles")))</f>
        <v/>
      </c>
    </row>
    <row r="714">
      <c r="A714" s="99" t="inlineStr">
        <is>
          <t>11-GTI</t>
        </is>
      </c>
      <c r="B714" s="10" t="inlineStr">
        <is>
          <t>APOYO</t>
        </is>
      </c>
      <c r="C714" s="10" t="inlineStr">
        <is>
          <t>Gestión de Tecnología de la Información</t>
        </is>
      </c>
      <c r="D714" s="10" t="inlineStr">
        <is>
          <t>GTI</t>
        </is>
      </c>
      <c r="E714" s="10" t="inlineStr">
        <is>
          <t>Gestión de la Estrategia de TI</t>
        </is>
      </c>
      <c r="F714" s="10" t="inlineStr">
        <is>
          <t>-</t>
        </is>
      </c>
      <c r="G714" s="10" t="inlineStr">
        <is>
          <t xml:space="preserve">Adquisición de tecnología </t>
        </is>
      </c>
      <c r="H714" s="10" t="inlineStr">
        <is>
          <t>Requerimiento anual de compras / Solicitud de adquisiciones</t>
        </is>
      </c>
      <c r="I714" s="10" t="inlineStr">
        <is>
          <t>Análisis de TDR y Solicitud de adquisiciones emitida a Adquisiciones para proceder con la contratación</t>
        </is>
      </c>
      <c r="J714" s="10" t="inlineStr">
        <is>
          <t>Gerente de Tecnología</t>
        </is>
      </c>
      <c r="K714" s="10" t="inlineStr">
        <is>
          <t>Gerente de Tecnología</t>
        </is>
      </c>
      <c r="L714" s="10" t="inlineStr">
        <is>
          <t>UBICACIÓN DIGITAL - SISTEMA SARA</t>
        </is>
      </c>
      <c r="M714" s="10" t="inlineStr">
        <is>
          <t>DOCUMENTO DE ARCHIVO-ELECTRÓNICO</t>
        </is>
      </c>
      <c r="N714" s="10" t="inlineStr">
        <is>
          <t>PRIMARIOS</t>
        </is>
      </c>
      <c r="O714" s="10" t="inlineStr">
        <is>
          <t>DOCUMENTOS TÉCNICOS</t>
        </is>
      </c>
      <c r="P714" s="10" t="inlineStr">
        <is>
          <t>USO INTERNO(2)</t>
        </is>
      </c>
      <c r="Q714" s="10" t="inlineStr">
        <is>
          <t>BAJA(1)</t>
        </is>
      </c>
      <c r="R714" s="10" t="inlineStr">
        <is>
          <t>BAJA(1)</t>
        </is>
      </c>
      <c r="S714" s="10">
        <f>+(IF(P714="PUBLICA(1)",1,IF(P714="USO INTERNO(2)",2,IF(P714="RESTRINGIDO(3)",3,3))))+(IF(Q714="BAJA(1)",1,IF(Q714="MEDIA(2)",2,IF(Q714="ALTA(3)",3,3))))+(IF(R714="BAJA(1)",1,IF(R714="MEDIA(2)",2,IF(R714="ALTA(3)",3,3))))</f>
        <v/>
      </c>
      <c r="T714" s="10">
        <f>+IF(S714&lt;6,"BAJA",IF(S714&lt;8,"MEDIA","ALTA"))</f>
        <v/>
      </c>
      <c r="U714" s="10" t="inlineStr">
        <is>
          <t>-</t>
        </is>
      </c>
      <c r="V714" s="24" t="n">
        <v>45687</v>
      </c>
      <c r="W714" s="19" t="inlineStr">
        <is>
          <t>N/A</t>
        </is>
      </c>
      <c r="X714" s="10">
        <f>+IFERROR(IF(VLOOKUP(Tabla2[[#This Row],[ID]],'EVALUACION DE RIESGO'!A:A,1,FALSE)=Tabla2[[#This Row],[ID]],"SI","NO"),"NO")</f>
        <v/>
      </c>
      <c r="AD714">
        <f>IF(AND(Y714="",AA714=""),"",IF(OR(LEFT(AA714,2)="L0",LEFT(AA714,2)="L1",Y714="No Iniciado"),"CRÍTICO - Incumplimiento Normativo SEPS",IF(AND(OR(LEFT(AA714,2)="L4",LEFT(AA714,2)="L5"),AND(AC714&lt;&gt;"",AC714&lt;&gt;"N/A")),"CONFORME - Control Efectivo ISO 27001","OBSERVACIÓN - Revisar Controles")))</f>
        <v/>
      </c>
    </row>
    <row r="715">
      <c r="A715" s="99" t="inlineStr">
        <is>
          <t>12-GTI</t>
        </is>
      </c>
      <c r="B715" s="10" t="inlineStr">
        <is>
          <t>APOYO</t>
        </is>
      </c>
      <c r="C715" s="10" t="inlineStr">
        <is>
          <t>Gestión de Tecnología de la Información</t>
        </is>
      </c>
      <c r="D715" s="10" t="inlineStr">
        <is>
          <t>GTI</t>
        </is>
      </c>
      <c r="E715" s="10" t="inlineStr">
        <is>
          <t>Gestión de la Estrategia de TI</t>
        </is>
      </c>
      <c r="F715" s="10" t="inlineStr">
        <is>
          <t>-</t>
        </is>
      </c>
      <c r="G715" s="10" t="inlineStr">
        <is>
          <t xml:space="preserve">Adquisición de tecnología </t>
        </is>
      </c>
      <c r="H715" s="10" t="inlineStr">
        <is>
          <t>Catálogo de proveedores</t>
        </is>
      </c>
      <c r="I715" s="10" t="inlineStr">
        <is>
          <t>Términos de referencia para la adquisición de tecnología</t>
        </is>
      </c>
      <c r="J715" s="10" t="inlineStr">
        <is>
          <t>Gerente de Tecnología</t>
        </is>
      </c>
      <c r="K715" s="10" t="inlineStr">
        <is>
          <t>Gerente de Tecnología</t>
        </is>
      </c>
      <c r="L715" s="10" t="inlineStr">
        <is>
          <t>UBICACIÓN DIGITAL - SISTEMA SARA</t>
        </is>
      </c>
      <c r="M715" s="10" t="inlineStr">
        <is>
          <t>DOCUMENTO DE ARCHIVO-ELECTRÓNICO</t>
        </is>
      </c>
      <c r="N715" s="10" t="inlineStr">
        <is>
          <t>PRIMARIOS</t>
        </is>
      </c>
      <c r="O715" s="10" t="inlineStr">
        <is>
          <t>DOCUMENTOS TÉCNICOS</t>
        </is>
      </c>
      <c r="P715" s="10" t="inlineStr">
        <is>
          <t>USO INTERNO(2)</t>
        </is>
      </c>
      <c r="Q715" s="10" t="inlineStr">
        <is>
          <t>BAJA(1)</t>
        </is>
      </c>
      <c r="R715" s="10" t="inlineStr">
        <is>
          <t>BAJA(1)</t>
        </is>
      </c>
      <c r="S715" s="10">
        <f>+(IF(P715="PUBLICA(1)",1,IF(P715="USO INTERNO(2)",2,IF(P715="RESTRINGIDO(3)",3,3))))+(IF(Q715="BAJA(1)",1,IF(Q715="MEDIA(2)",2,IF(Q715="ALTA(3)",3,3))))+(IF(R715="BAJA(1)",1,IF(R715="MEDIA(2)",2,IF(R715="ALTA(3)",3,3))))</f>
        <v/>
      </c>
      <c r="T715" s="10">
        <f>+IF(S715&lt;6,"BAJA",IF(S715&lt;8,"MEDIA","ALTA"))</f>
        <v/>
      </c>
      <c r="U715" s="10" t="inlineStr">
        <is>
          <t>-</t>
        </is>
      </c>
      <c r="V715" s="24" t="n">
        <v>45687</v>
      </c>
      <c r="W715" s="19" t="inlineStr">
        <is>
          <t>N/A</t>
        </is>
      </c>
      <c r="X715" s="10">
        <f>+IFERROR(IF(VLOOKUP(Tabla2[[#This Row],[ID]],'EVALUACION DE RIESGO'!A:A,1,FALSE)=Tabla2[[#This Row],[ID]],"SI","NO"),"NO")</f>
        <v/>
      </c>
      <c r="AD715">
        <f>IF(AND(Y715="",AA715=""),"",IF(OR(LEFT(AA715,2)="L0",LEFT(AA715,2)="L1",Y715="No Iniciado"),"CRÍTICO - Incumplimiento Normativo SEPS",IF(AND(OR(LEFT(AA715,2)="L4",LEFT(AA715,2)="L5"),AND(AC715&lt;&gt;"",AC715&lt;&gt;"N/A")),"CONFORME - Control Efectivo ISO 27001","OBSERVACIÓN - Revisar Controles")))</f>
        <v/>
      </c>
    </row>
    <row r="716">
      <c r="A716" s="99" t="inlineStr">
        <is>
          <t>13-GTI</t>
        </is>
      </c>
      <c r="B716" s="10" t="inlineStr">
        <is>
          <t>APOYO</t>
        </is>
      </c>
      <c r="C716" s="10" t="inlineStr">
        <is>
          <t>Gestión de Tecnología de la Información</t>
        </is>
      </c>
      <c r="D716" s="10" t="inlineStr">
        <is>
          <t>GTI</t>
        </is>
      </c>
      <c r="E716" s="10" t="inlineStr">
        <is>
          <t>Gestión de la Estrategia de TI</t>
        </is>
      </c>
      <c r="F716" s="10" t="inlineStr">
        <is>
          <t>-</t>
        </is>
      </c>
      <c r="G716" s="10" t="inlineStr">
        <is>
          <t>Control de contratos de tecnología</t>
        </is>
      </c>
      <c r="H716" s="10" t="inlineStr">
        <is>
          <t>Informe de evaluación de proveedores/Control de contratos</t>
        </is>
      </c>
      <c r="I716" s="10" t="inlineStr">
        <is>
          <t>Evaluación del cumplimiento de los requisitos y las condiciones de los contratos con los proveedores actuales</t>
        </is>
      </c>
      <c r="J716" s="10" t="inlineStr">
        <is>
          <t>Gerente de Tecnología</t>
        </is>
      </c>
      <c r="K716" s="10" t="inlineStr">
        <is>
          <t>Gerente de Tecnología</t>
        </is>
      </c>
      <c r="L716" s="10" t="inlineStr">
        <is>
          <t>UBICACIÓN DIGITAL - SISTEMA SARA</t>
        </is>
      </c>
      <c r="M716" s="10" t="inlineStr">
        <is>
          <t>DOCUMENTO DE ARCHIVO-ELECTRÓNICO</t>
        </is>
      </c>
      <c r="N716" s="10" t="inlineStr">
        <is>
          <t>PRIMARIOS</t>
        </is>
      </c>
      <c r="O716" s="10" t="inlineStr">
        <is>
          <t>DOCUMENTOS TÉCNICOS</t>
        </is>
      </c>
      <c r="P716" s="10" t="inlineStr">
        <is>
          <t>USO INTERNO(2)</t>
        </is>
      </c>
      <c r="Q716" s="10" t="inlineStr">
        <is>
          <t>BAJA(1)</t>
        </is>
      </c>
      <c r="R716" s="10" t="inlineStr">
        <is>
          <t>BAJA(1)</t>
        </is>
      </c>
      <c r="S716" s="10">
        <f>+(IF(P716="PUBLICA(1)",1,IF(P716="USO INTERNO(2)",2,IF(P716="RESTRINGIDO(3)",3,3))))+(IF(Q716="BAJA(1)",1,IF(Q716="MEDIA(2)",2,IF(Q716="ALTA(3)",3,3))))+(IF(R716="BAJA(1)",1,IF(R716="MEDIA(2)",2,IF(R716="ALTA(3)",3,3))))</f>
        <v/>
      </c>
      <c r="T716" s="10">
        <f>+IF(S716&lt;6,"BAJA",IF(S716&lt;8,"MEDIA","ALTA"))</f>
        <v/>
      </c>
      <c r="U716" s="10" t="inlineStr">
        <is>
          <t>-</t>
        </is>
      </c>
      <c r="V716" s="24" t="n">
        <v>45687</v>
      </c>
      <c r="W716" s="19" t="inlineStr">
        <is>
          <t>N/A</t>
        </is>
      </c>
      <c r="X716" s="10">
        <f>+IFERROR(IF(VLOOKUP(Tabla2[[#This Row],[ID]],'EVALUACION DE RIESGO'!A:A,1,FALSE)=Tabla2[[#This Row],[ID]],"SI","NO"),"NO")</f>
        <v/>
      </c>
      <c r="AD716">
        <f>IF(AND(Y716="",AA716=""),"",IF(OR(LEFT(AA716,2)="L0",LEFT(AA716,2)="L1",Y716="No Iniciado"),"CRÍTICO - Incumplimiento Normativo SEPS",IF(AND(OR(LEFT(AA716,2)="L4",LEFT(AA716,2)="L5"),AND(AC716&lt;&gt;"",AC716&lt;&gt;"N/A")),"CONFORME - Control Efectivo ISO 27001","OBSERVACIÓN - Revisar Controles")))</f>
        <v/>
      </c>
    </row>
    <row r="717">
      <c r="A717" s="99" t="inlineStr">
        <is>
          <t>14-GTI</t>
        </is>
      </c>
      <c r="B717" s="10" t="inlineStr">
        <is>
          <t>APOYO</t>
        </is>
      </c>
      <c r="C717" s="10" t="inlineStr">
        <is>
          <t>Gestión de Tecnología de la Información</t>
        </is>
      </c>
      <c r="D717" s="10" t="inlineStr">
        <is>
          <t>GTI</t>
        </is>
      </c>
      <c r="E717" s="10" t="inlineStr">
        <is>
          <t>Gestión de las Operaciones de TI</t>
        </is>
      </c>
      <c r="F717" s="10" t="inlineStr">
        <is>
          <t>-</t>
        </is>
      </c>
      <c r="G717" s="10" t="inlineStr">
        <is>
          <t>Ejecución de procesos Batch</t>
        </is>
      </c>
      <c r="H717" s="10" t="inlineStr">
        <is>
          <t>Check List Fin Día / Fin Mes</t>
        </is>
      </c>
      <c r="I717" s="10" t="inlineStr">
        <is>
          <t>Matriz de seguimiento de ejecución de transacciones del proceso batch</t>
        </is>
      </c>
      <c r="J717" s="10" t="inlineStr">
        <is>
          <t>Gerente de Tecnología</t>
        </is>
      </c>
      <c r="K717" s="10" t="inlineStr">
        <is>
          <t>Asistente de Infraestructura tecnologica</t>
        </is>
      </c>
      <c r="L717" s="10" t="inlineStr">
        <is>
          <t>UBICACIÓN DIGITAL-EQUIPO DEL CUSTODIO</t>
        </is>
      </c>
      <c r="M717" s="10" t="inlineStr">
        <is>
          <t>DISCOS DUROS, SERVIDORES, DISCOS O MEDIOS PORTÁTILES, CINTAS O MEDIOS DE VIDEO Y AUDIO, ETC.</t>
        </is>
      </c>
      <c r="N717" s="10" t="inlineStr">
        <is>
          <t>PRIMARIOS</t>
        </is>
      </c>
      <c r="O717" s="10" t="inlineStr">
        <is>
          <t>DOCUMENTOS TÉCNICOS</t>
        </is>
      </c>
      <c r="P717" s="10" t="inlineStr">
        <is>
          <t>USO INTERNO(2)</t>
        </is>
      </c>
      <c r="Q717" s="10" t="inlineStr">
        <is>
          <t>ALTA(3)</t>
        </is>
      </c>
      <c r="R717" s="10" t="inlineStr">
        <is>
          <t>MEDIA(2)</t>
        </is>
      </c>
      <c r="S717" s="10">
        <f>+(IF(P717="PUBLICA(1)",1,IF(P717="USO INTERNO(2)",2,IF(P717="RESTRINGIDO(3)",3,3))))+(IF(Q717="BAJA(1)",1,IF(Q717="MEDIA(2)",2,IF(Q717="ALTA(3)",3,3))))+(IF(R717="BAJA(1)",1,IF(R717="MEDIA(2)",2,IF(R717="ALTA(3)",3,3))))</f>
        <v/>
      </c>
      <c r="T717" s="10">
        <f>+IF(S717&lt;6,"BAJA",IF(S717&lt;8,"MEDIA","ALTA"))</f>
        <v/>
      </c>
      <c r="U717" s="10" t="inlineStr">
        <is>
          <t>-</t>
        </is>
      </c>
      <c r="V717" s="24" t="n">
        <v>45687</v>
      </c>
      <c r="W717" s="19" t="inlineStr">
        <is>
          <t>N/A</t>
        </is>
      </c>
      <c r="X717" s="10">
        <f>+IFERROR(IF(VLOOKUP(Tabla2[[#This Row],[ID]],'EVALUACION DE RIESGO'!A:A,1,FALSE)=Tabla2[[#This Row],[ID]],"SI","NO"),"NO")</f>
        <v/>
      </c>
      <c r="AD717">
        <f>IF(AND(Y717="",AA717=""),"",IF(OR(LEFT(AA717,2)="L0",LEFT(AA717,2)="L1",Y717="No Iniciado"),"CRÍTICO - Incumplimiento Normativo SEPS",IF(AND(OR(LEFT(AA717,2)="L4",LEFT(AA717,2)="L5"),AND(AC717&lt;&gt;"",AC717&lt;&gt;"N/A")),"CONFORME - Control Efectivo ISO 27001","OBSERVACIÓN - Revisar Controles")))</f>
        <v/>
      </c>
    </row>
    <row r="718">
      <c r="A718" s="99" t="inlineStr">
        <is>
          <t>15-GTI</t>
        </is>
      </c>
      <c r="B718" s="10" t="inlineStr">
        <is>
          <t>APOYO</t>
        </is>
      </c>
      <c r="C718" s="10" t="inlineStr">
        <is>
          <t>Gestión de Tecnología de la Información</t>
        </is>
      </c>
      <c r="D718" s="10" t="inlineStr">
        <is>
          <t>GTI</t>
        </is>
      </c>
      <c r="E718" s="10" t="inlineStr">
        <is>
          <t>Gestión de las Operaciones de TI</t>
        </is>
      </c>
      <c r="F718" s="10" t="inlineStr">
        <is>
          <t>-</t>
        </is>
      </c>
      <c r="G718" s="10" t="inlineStr">
        <is>
          <t>Ejecución de procesos Batch</t>
        </is>
      </c>
      <c r="H718" s="10" t="inlineStr">
        <is>
          <t>Notificación de procesamiento batch</t>
        </is>
      </c>
      <c r="I718" s="10" t="inlineStr">
        <is>
          <t>Notificación de inicio y de fin del proceso por mensaje de texto al Responsable del Procedimiento, después del fin del proceso se notifica por correo electrónico los error existentes o novedades</t>
        </is>
      </c>
      <c r="J718" s="10" t="inlineStr">
        <is>
          <t>Gerente de Tecnología</t>
        </is>
      </c>
      <c r="K718" s="10" t="inlineStr">
        <is>
          <t>Asistente de Infraestructura tecnologica</t>
        </is>
      </c>
      <c r="L718" s="10" t="inlineStr">
        <is>
          <t>UBICACIÓN DIGITAL-EQUIPO DEL CUSTODIO</t>
        </is>
      </c>
      <c r="M718" s="10" t="inlineStr">
        <is>
          <t>DISCOS DUROS, SERVIDORES, DISCOS O MEDIOS PORTÁTILES, CINTAS O MEDIOS DE VIDEO Y AUDIO, ETC.</t>
        </is>
      </c>
      <c r="N718" s="10" t="inlineStr">
        <is>
          <t>PRIMARIOS</t>
        </is>
      </c>
      <c r="O718" s="10" t="inlineStr">
        <is>
          <t>COMUNICACIÓN INTERNA</t>
        </is>
      </c>
      <c r="P718" s="10" t="inlineStr">
        <is>
          <t>USO INTERNO(2)</t>
        </is>
      </c>
      <c r="Q718" s="10" t="inlineStr">
        <is>
          <t>ALTA(3)</t>
        </is>
      </c>
      <c r="R718" s="10" t="inlineStr">
        <is>
          <t>MEDIA(2)</t>
        </is>
      </c>
      <c r="S718" s="10">
        <f>+(IF(P718="PUBLICA(1)",1,IF(P718="USO INTERNO(2)",2,IF(P718="RESTRINGIDO(3)",3,3))))+(IF(Q718="BAJA(1)",1,IF(Q718="MEDIA(2)",2,IF(Q718="ALTA(3)",3,3))))+(IF(R718="BAJA(1)",1,IF(R718="MEDIA(2)",2,IF(R718="ALTA(3)",3,3))))</f>
        <v/>
      </c>
      <c r="T718" s="10">
        <f>+IF(S718&lt;6,"BAJA",IF(S718&lt;8,"MEDIA","ALTA"))</f>
        <v/>
      </c>
      <c r="U718" s="10" t="inlineStr">
        <is>
          <t>-</t>
        </is>
      </c>
      <c r="V718" s="24" t="n">
        <v>45687</v>
      </c>
      <c r="W718" s="19" t="inlineStr">
        <is>
          <t>N/A</t>
        </is>
      </c>
      <c r="X718" s="10">
        <f>+IFERROR(IF(VLOOKUP(Tabla2[[#This Row],[ID]],'EVALUACION DE RIESGO'!A:A,1,FALSE)=Tabla2[[#This Row],[ID]],"SI","NO"),"NO")</f>
        <v/>
      </c>
      <c r="AD718">
        <f>IF(AND(Y718="",AA718=""),"",IF(OR(LEFT(AA718,2)="L0",LEFT(AA718,2)="L1",Y718="No Iniciado"),"CRÍTICO - Incumplimiento Normativo SEPS",IF(AND(OR(LEFT(AA718,2)="L4",LEFT(AA718,2)="L5"),AND(AC718&lt;&gt;"",AC718&lt;&gt;"N/A")),"CONFORME - Control Efectivo ISO 27001","OBSERVACIÓN - Revisar Controles")))</f>
        <v/>
      </c>
    </row>
    <row r="719" ht="12" customHeight="1" s="106">
      <c r="A719" s="40" t="inlineStr">
        <is>
          <t>16-GTI</t>
        </is>
      </c>
      <c r="B719" s="10" t="inlineStr">
        <is>
          <t>APOYO</t>
        </is>
      </c>
      <c r="C719" s="10" t="inlineStr">
        <is>
          <t>Gestión de Tecnología de la Información</t>
        </is>
      </c>
      <c r="D719" s="10" t="inlineStr">
        <is>
          <t>GTI</t>
        </is>
      </c>
      <c r="E719" s="10" t="inlineStr">
        <is>
          <t>Gestión de las Operaciones de TI</t>
        </is>
      </c>
      <c r="F719" s="10" t="inlineStr">
        <is>
          <t>-</t>
        </is>
      </c>
      <c r="G719" s="10" t="inlineStr">
        <is>
          <t>Ejecución de procesos Batch</t>
        </is>
      </c>
      <c r="H719" s="17" t="inlineStr">
        <is>
          <t>Respaldo de información</t>
        </is>
      </c>
      <c r="I719" s="17" t="inlineStr">
        <is>
          <t xml:space="preserve">Respaldo de Base de Datos (diario) </t>
        </is>
      </c>
      <c r="J719" s="10" t="inlineStr">
        <is>
          <t>Gerente de Tecnología</t>
        </is>
      </c>
      <c r="K719" s="10" t="inlineStr">
        <is>
          <t>Asistente de Infraestructura tecnologica</t>
        </is>
      </c>
      <c r="L719" s="10" t="inlineStr">
        <is>
          <t>DISCO DURO EXTERNO</t>
        </is>
      </c>
      <c r="M719" s="10" t="inlineStr">
        <is>
          <t>DISCOS DUROS, SERVIDORES, DISCOS O MEDIOS PORTÁTILES, CINTAS O MEDIOS DE VIDEO Y AUDIO, ETC.</t>
        </is>
      </c>
      <c r="N719" s="10" t="inlineStr">
        <is>
          <t>APOYO</t>
        </is>
      </c>
      <c r="O719" s="10" t="inlineStr">
        <is>
          <t>OTROS</t>
        </is>
      </c>
      <c r="P719" s="10" t="inlineStr">
        <is>
          <t>RESTRINGIDO(3)</t>
        </is>
      </c>
      <c r="Q719" s="10" t="inlineStr">
        <is>
          <t>ALTA(3)</t>
        </is>
      </c>
      <c r="R719" s="10" t="inlineStr">
        <is>
          <t>ALTA(3)</t>
        </is>
      </c>
      <c r="S719" s="10">
        <f>+(IF(P719="PUBLICA(1)",1,IF(P719="USO INTERNO(2)",2,IF(P719="RESTRINGIDO(3)",3,3))))+(IF(Q719="BAJA(1)",1,IF(Q719="MEDIA(2)",2,IF(Q719="ALTA(3)",3,3))))+(IF(R719="BAJA(1)",1,IF(R719="MEDIA(2)",2,IF(R719="ALTA(3)",3,3))))</f>
        <v/>
      </c>
      <c r="T719" s="10">
        <f>+IF(S719&lt;6,"BAJA",IF(S719&lt;8,"MEDIA","ALTA"))</f>
        <v/>
      </c>
      <c r="U719" s="10" t="inlineStr">
        <is>
          <t>-</t>
        </is>
      </c>
      <c r="V719" s="24" t="n">
        <v>45687</v>
      </c>
      <c r="W719" s="19" t="inlineStr">
        <is>
          <t>N/A</t>
        </is>
      </c>
      <c r="X719" s="10">
        <f>+IFERROR(IF(VLOOKUP(Tabla2[[#This Row],[ID]],'EVALUACION DE RIESGO'!A:A,1,FALSE)=Tabla2[[#This Row],[ID]],"SI","NO"),"NO")</f>
        <v/>
      </c>
      <c r="AD719">
        <f>IF(AND(Y719="",AA719=""),"",IF(OR(LEFT(AA719,2)="L0",LEFT(AA719,2)="L1",Y719="No Iniciado"),"CRÍTICO - Incumplimiento Normativo SEPS",IF(AND(OR(LEFT(AA719,2)="L4",LEFT(AA719,2)="L5"),AND(AC719&lt;&gt;"",AC719&lt;&gt;"N/A")),"CONFORME - Control Efectivo ISO 27001","OBSERVACIÓN - Revisar Controles")))</f>
        <v/>
      </c>
    </row>
    <row r="720">
      <c r="A720" s="99" t="inlineStr">
        <is>
          <t>17-GTI</t>
        </is>
      </c>
      <c r="B720" s="10" t="inlineStr">
        <is>
          <t>APOYO</t>
        </is>
      </c>
      <c r="C720" s="10" t="inlineStr">
        <is>
          <t>Gestión de Tecnología de la Información</t>
        </is>
      </c>
      <c r="D720" s="10" t="inlineStr">
        <is>
          <t>GTI</t>
        </is>
      </c>
      <c r="E720" s="10" t="inlineStr">
        <is>
          <t>Gestión de las Operaciones de TI</t>
        </is>
      </c>
      <c r="F720" s="10" t="inlineStr">
        <is>
          <t>-</t>
        </is>
      </c>
      <c r="G720" s="10" t="inlineStr">
        <is>
          <t>Afectación directa a la base de datos / Creación de objetos de base de datos</t>
        </is>
      </c>
      <c r="H720" s="10" t="inlineStr">
        <is>
          <t>Requerimiento de Service desk</t>
        </is>
      </c>
      <c r="I720" s="10" t="inlineStr">
        <is>
          <t>Registros de requerimientos de usuarios contenidos en el sistema webcoop, base de datos SYBASE</t>
        </is>
      </c>
      <c r="J720" s="10" t="inlineStr">
        <is>
          <t>Gerente de Tecnología</t>
        </is>
      </c>
      <c r="K720" s="10" t="inlineStr">
        <is>
          <t>Asistente de Infraestructura tecnologica</t>
        </is>
      </c>
      <c r="L720" s="10" t="inlineStr">
        <is>
          <t>UBICACIÓN DIGITAL-WEBCOOP</t>
        </is>
      </c>
      <c r="M720" s="10" t="inlineStr">
        <is>
          <t>SISTEMAS DE BASE DE DATOS</t>
        </is>
      </c>
      <c r="N720" s="10" t="inlineStr">
        <is>
          <t>APOYO</t>
        </is>
      </c>
      <c r="O720" s="10" t="inlineStr">
        <is>
          <t>OTROS</t>
        </is>
      </c>
      <c r="P720" s="10" t="inlineStr">
        <is>
          <t>USO INTERNO(2)</t>
        </is>
      </c>
      <c r="Q720" s="10" t="inlineStr">
        <is>
          <t>BAJA(1)</t>
        </is>
      </c>
      <c r="R720" s="10" t="inlineStr">
        <is>
          <t>MEDIA(2)</t>
        </is>
      </c>
      <c r="S720" s="10">
        <f>+(IF(P720="PUBLICA(1)",1,IF(P720="USO INTERNO(2)",2,IF(P720="RESTRINGIDO(3)",3,3))))+(IF(Q720="BAJA(1)",1,IF(Q720="MEDIA(2)",2,IF(Q720="ALTA(3)",3,3))))+(IF(R720="BAJA(1)",1,IF(R720="MEDIA(2)",2,IF(R720="ALTA(3)",3,3))))</f>
        <v/>
      </c>
      <c r="T720" s="10">
        <f>+IF(S720&lt;6,"BAJA",IF(S720&lt;8,"MEDIA","ALTA"))</f>
        <v/>
      </c>
      <c r="U720" s="10" t="inlineStr">
        <is>
          <t>-</t>
        </is>
      </c>
      <c r="V720" s="24" t="n">
        <v>45687</v>
      </c>
      <c r="W720" s="19" t="inlineStr">
        <is>
          <t>N/A</t>
        </is>
      </c>
      <c r="X720" s="10">
        <f>+IFERROR(IF(VLOOKUP(Tabla2[[#This Row],[ID]],'EVALUACION DE RIESGO'!A:A,1,FALSE)=Tabla2[[#This Row],[ID]],"SI","NO"),"NO")</f>
        <v/>
      </c>
      <c r="AD720">
        <f>IF(AND(Y720="",AA720=""),"",IF(OR(LEFT(AA720,2)="L0",LEFT(AA720,2)="L1",Y720="No Iniciado"),"CRÍTICO - Incumplimiento Normativo SEPS",IF(AND(OR(LEFT(AA720,2)="L4",LEFT(AA720,2)="L5"),AND(AC720&lt;&gt;"",AC720&lt;&gt;"N/A")),"CONFORME - Control Efectivo ISO 27001","OBSERVACIÓN - Revisar Controles")))</f>
        <v/>
      </c>
    </row>
    <row r="721">
      <c r="A721" s="99" t="inlineStr">
        <is>
          <t>18-GTI</t>
        </is>
      </c>
      <c r="B721" s="10" t="inlineStr">
        <is>
          <t>APOYO</t>
        </is>
      </c>
      <c r="C721" s="10" t="inlineStr">
        <is>
          <t>Gestión de Tecnología de la Información</t>
        </is>
      </c>
      <c r="D721" s="10" t="inlineStr">
        <is>
          <t>GTI</t>
        </is>
      </c>
      <c r="E721" s="10" t="inlineStr">
        <is>
          <t>Gestión de las Operaciones de TI</t>
        </is>
      </c>
      <c r="F721" s="10" t="inlineStr">
        <is>
          <t>-</t>
        </is>
      </c>
      <c r="G721" s="10" t="inlineStr">
        <is>
          <t>Puesta en producción del Core financiero</t>
        </is>
      </c>
      <c r="H721" s="10" t="inlineStr">
        <is>
          <t>Formulario de pruebas de aceptación de usuario</t>
        </is>
      </c>
      <c r="I721" s="10" t="inlineStr">
        <is>
          <t>Autorización de la aplicación en el ambiente de producción de las correcciones o nuevas implementaciones por medio del formulario de pruebas de aceptación del usuario final</t>
        </is>
      </c>
      <c r="J721" s="10" t="inlineStr">
        <is>
          <t>Gerente de Tecnología</t>
        </is>
      </c>
      <c r="K721" s="10" t="inlineStr">
        <is>
          <t>Asistente de Infraestructura tecnologica</t>
        </is>
      </c>
      <c r="L721" s="10" t="inlineStr">
        <is>
          <t>UBICACIÓN DIGITAL-EQUIPO DEL CUSTODIO</t>
        </is>
      </c>
      <c r="M721" s="10" t="inlineStr">
        <is>
          <t>DOCUMENTO DE ARCHIVO-ELECTRÓNICO</t>
        </is>
      </c>
      <c r="N721" s="10" t="inlineStr">
        <is>
          <t>PRIMARIOS</t>
        </is>
      </c>
      <c r="O721" s="10" t="inlineStr">
        <is>
          <t>DOCUMENTOS TÉCNICOS</t>
        </is>
      </c>
      <c r="P721" s="10" t="inlineStr">
        <is>
          <t>USO INTERNO(2)</t>
        </is>
      </c>
      <c r="Q721" s="10" t="inlineStr">
        <is>
          <t>BAJA(1)</t>
        </is>
      </c>
      <c r="R721" s="10" t="inlineStr">
        <is>
          <t>BAJA(1)</t>
        </is>
      </c>
      <c r="S721" s="10">
        <f>+(IF(P721="PUBLICA(1)",1,IF(P721="USO INTERNO(2)",2,IF(P721="RESTRINGIDO(3)",3,3))))+(IF(Q721="BAJA(1)",1,IF(Q721="MEDIA(2)",2,IF(Q721="ALTA(3)",3,3))))+(IF(R721="BAJA(1)",1,IF(R721="MEDIA(2)",2,IF(R721="ALTA(3)",3,3))))</f>
        <v/>
      </c>
      <c r="T721" s="10">
        <f>+IF(S721&lt;6,"BAJA",IF(S721&lt;8,"MEDIA","ALTA"))</f>
        <v/>
      </c>
      <c r="U721" s="10" t="inlineStr">
        <is>
          <t>-</t>
        </is>
      </c>
      <c r="V721" s="24" t="n">
        <v>45687</v>
      </c>
      <c r="W721" s="19" t="inlineStr">
        <is>
          <t>N/A</t>
        </is>
      </c>
      <c r="X721" s="10">
        <f>+IFERROR(IF(VLOOKUP(Tabla2[[#This Row],[ID]],'EVALUACION DE RIESGO'!A:A,1,FALSE)=Tabla2[[#This Row],[ID]],"SI","NO"),"NO")</f>
        <v/>
      </c>
      <c r="AD721">
        <f>IF(AND(Y721="",AA721=""),"",IF(OR(LEFT(AA721,2)="L0",LEFT(AA721,2)="L1",Y721="No Iniciado"),"CRÍTICO - Incumplimiento Normativo SEPS",IF(AND(OR(LEFT(AA721,2)="L4",LEFT(AA721,2)="L5"),AND(AC721&lt;&gt;"",AC721&lt;&gt;"N/A")),"CONFORME - Control Efectivo ISO 27001","OBSERVACIÓN - Revisar Controles")))</f>
        <v/>
      </c>
    </row>
    <row r="722">
      <c r="A722" s="99" t="inlineStr">
        <is>
          <t>19-GTI</t>
        </is>
      </c>
      <c r="B722" s="10" t="inlineStr">
        <is>
          <t>APOYO</t>
        </is>
      </c>
      <c r="C722" s="10" t="inlineStr">
        <is>
          <t>Gestión de Tecnología de la Información</t>
        </is>
      </c>
      <c r="D722" s="10" t="inlineStr">
        <is>
          <t>GTI</t>
        </is>
      </c>
      <c r="E722" s="10" t="inlineStr">
        <is>
          <t>Gestión de las Operaciones de TI</t>
        </is>
      </c>
      <c r="F722" s="10" t="inlineStr">
        <is>
          <t>-</t>
        </is>
      </c>
      <c r="G722" s="10" t="inlineStr">
        <is>
          <t>Administración de la replicación</t>
        </is>
      </c>
      <c r="H722" s="10" t="inlineStr">
        <is>
          <t>Matriz de incidentes</t>
        </is>
      </c>
      <c r="I722" s="10" t="inlineStr">
        <is>
          <t>Análisis, corrección y documentos de errores presentados en el procesos de replicación</t>
        </is>
      </c>
      <c r="J722" s="10" t="inlineStr">
        <is>
          <t>Gerente de Tecnología</t>
        </is>
      </c>
      <c r="K722" s="10" t="inlineStr">
        <is>
          <t>Asistente de Infraestructura tecnologica</t>
        </is>
      </c>
      <c r="L722" s="10" t="inlineStr">
        <is>
          <t>UBICACIÓN DIGITAL-EQUIPO DEL CUSTODIO</t>
        </is>
      </c>
      <c r="M722" s="10" t="inlineStr">
        <is>
          <t>DOCUMENTO DE ARCHIVO-ELECTRÓNICO</t>
        </is>
      </c>
      <c r="N722" s="10" t="inlineStr">
        <is>
          <t>PRIMARIOS</t>
        </is>
      </c>
      <c r="O722" s="10" t="inlineStr">
        <is>
          <t>DOCUMENTOS TÉCNICOS</t>
        </is>
      </c>
      <c r="P722" s="10" t="inlineStr">
        <is>
          <t>USO INTERNO(2)</t>
        </is>
      </c>
      <c r="Q722" s="10" t="inlineStr">
        <is>
          <t>MEDIA(2)</t>
        </is>
      </c>
      <c r="R722" s="10" t="inlineStr">
        <is>
          <t>MEDIA(2)</t>
        </is>
      </c>
      <c r="S722" s="10">
        <f>+(IF(P722="PUBLICA(1)",1,IF(P722="USO INTERNO(2)",2,IF(P722="RESTRINGIDO(3)",3,3))))+(IF(Q722="BAJA(1)",1,IF(Q722="MEDIA(2)",2,IF(Q722="ALTA(3)",3,3))))+(IF(R722="BAJA(1)",1,IF(R722="MEDIA(2)",2,IF(R722="ALTA(3)",3,3))))</f>
        <v/>
      </c>
      <c r="T722" s="10">
        <f>+IF(S722&lt;6,"BAJA",IF(S722&lt;8,"MEDIA","ALTA"))</f>
        <v/>
      </c>
      <c r="U722" s="10" t="inlineStr">
        <is>
          <t>-</t>
        </is>
      </c>
      <c r="V722" s="24" t="n">
        <v>45687</v>
      </c>
      <c r="W722" s="19" t="inlineStr">
        <is>
          <t>N/A</t>
        </is>
      </c>
      <c r="X722" s="10">
        <f>+IFERROR(IF(VLOOKUP(Tabla2[[#This Row],[ID]],'EVALUACION DE RIESGO'!A:A,1,FALSE)=Tabla2[[#This Row],[ID]],"SI","NO"),"NO")</f>
        <v/>
      </c>
      <c r="AD722">
        <f>IF(AND(Y722="",AA722=""),"",IF(OR(LEFT(AA722,2)="L0",LEFT(AA722,2)="L1",Y722="No Iniciado"),"CRÍTICO - Incumplimiento Normativo SEPS",IF(AND(OR(LEFT(AA722,2)="L4",LEFT(AA722,2)="L5"),AND(AC722&lt;&gt;"",AC722&lt;&gt;"N/A")),"CONFORME - Control Efectivo ISO 27001","OBSERVACIÓN - Revisar Controles")))</f>
        <v/>
      </c>
    </row>
    <row r="723">
      <c r="A723" s="99" t="inlineStr">
        <is>
          <t>20-GTI</t>
        </is>
      </c>
      <c r="B723" s="10" t="inlineStr">
        <is>
          <t>APOYO</t>
        </is>
      </c>
      <c r="C723" s="10" t="inlineStr">
        <is>
          <t>Gestión de Tecnología de la Información</t>
        </is>
      </c>
      <c r="D723" s="10" t="inlineStr">
        <is>
          <t>GTI</t>
        </is>
      </c>
      <c r="E723" s="10" t="inlineStr">
        <is>
          <t>Gestión de las Operaciones de TI</t>
        </is>
      </c>
      <c r="F723" s="10" t="inlineStr">
        <is>
          <t>-</t>
        </is>
      </c>
      <c r="G723" s="10" t="inlineStr">
        <is>
          <t>Administración de servidores</t>
        </is>
      </c>
      <c r="H723" s="10" t="inlineStr">
        <is>
          <t>Reporte de incidentes</t>
        </is>
      </c>
      <c r="I723" s="10" t="inlineStr">
        <is>
          <t>Reporte de incidentes presentados, estado y observaciones</t>
        </is>
      </c>
      <c r="J723" s="10" t="inlineStr">
        <is>
          <t>Gerente de Tecnología</t>
        </is>
      </c>
      <c r="K723" s="10" t="inlineStr">
        <is>
          <t>Asistente de Infraestructura tecnologica</t>
        </is>
      </c>
      <c r="L723" s="10" t="inlineStr">
        <is>
          <t>UBICACIÓN DIGITAL-EQUIPO DEL CUSTODIO</t>
        </is>
      </c>
      <c r="M723" s="10" t="inlineStr">
        <is>
          <t>DOCUMENTO DE ARCHIVO-ELECTRÓNICO</t>
        </is>
      </c>
      <c r="N723" s="10" t="inlineStr">
        <is>
          <t>PRIMARIOS</t>
        </is>
      </c>
      <c r="O723" s="10" t="inlineStr">
        <is>
          <t>DOCUMENTOS TÉCNICOS</t>
        </is>
      </c>
      <c r="P723" s="10" t="inlineStr">
        <is>
          <t>USO INTERNO(2)</t>
        </is>
      </c>
      <c r="Q723" s="10" t="inlineStr">
        <is>
          <t>MEDIA(2)</t>
        </is>
      </c>
      <c r="R723" s="10" t="inlineStr">
        <is>
          <t>MEDIA(2)</t>
        </is>
      </c>
      <c r="S723" s="10">
        <f>+(IF(P723="PUBLICA(1)",1,IF(P723="USO INTERNO(2)",2,IF(P723="RESTRINGIDO(3)",3,3))))+(IF(Q723="BAJA(1)",1,IF(Q723="MEDIA(2)",2,IF(Q723="ALTA(3)",3,3))))+(IF(R723="BAJA(1)",1,IF(R723="MEDIA(2)",2,IF(R723="ALTA(3)",3,3))))</f>
        <v/>
      </c>
      <c r="T723" s="10">
        <f>+IF(S723&lt;6,"BAJA",IF(S723&lt;8,"MEDIA","ALTA"))</f>
        <v/>
      </c>
      <c r="U723" s="10" t="inlineStr">
        <is>
          <t>-</t>
        </is>
      </c>
      <c r="V723" s="24" t="n">
        <v>45687</v>
      </c>
      <c r="W723" s="19" t="inlineStr">
        <is>
          <t>N/A</t>
        </is>
      </c>
      <c r="X723" s="10">
        <f>+IFERROR(IF(VLOOKUP(Tabla2[[#This Row],[ID]],'EVALUACION DE RIESGO'!A:A,1,FALSE)=Tabla2[[#This Row],[ID]],"SI","NO"),"NO")</f>
        <v/>
      </c>
      <c r="AD723">
        <f>IF(AND(Y723="",AA723=""),"",IF(OR(LEFT(AA723,2)="L0",LEFT(AA723,2)="L1",Y723="No Iniciado"),"CRÍTICO - Incumplimiento Normativo SEPS",IF(AND(OR(LEFT(AA723,2)="L4",LEFT(AA723,2)="L5"),AND(AC723&lt;&gt;"",AC723&lt;&gt;"N/A")),"CONFORME - Control Efectivo ISO 27001","OBSERVACIÓN - Revisar Controles")))</f>
        <v/>
      </c>
    </row>
    <row r="724" ht="20.45" customHeight="1" s="106">
      <c r="A724" s="40" t="inlineStr">
        <is>
          <t>21-GTI</t>
        </is>
      </c>
      <c r="B724" s="10" t="inlineStr">
        <is>
          <t>APOYO</t>
        </is>
      </c>
      <c r="C724" s="10" t="inlineStr">
        <is>
          <t>Gestión de Tecnología de la Información</t>
        </is>
      </c>
      <c r="D724" s="10" t="inlineStr">
        <is>
          <t>GTI</t>
        </is>
      </c>
      <c r="E724" s="10" t="inlineStr">
        <is>
          <t>Gestión de las Operaciones de TI</t>
        </is>
      </c>
      <c r="F724" s="10" t="inlineStr">
        <is>
          <t>-</t>
        </is>
      </c>
      <c r="G724" s="10" t="inlineStr">
        <is>
          <t>Respaldo de Información mensual</t>
        </is>
      </c>
      <c r="H724" s="17" t="inlineStr">
        <is>
          <t>Registro control de respaldos</t>
        </is>
      </c>
      <c r="I724" s="17" t="inlineStr">
        <is>
          <t>Matriz de registro de respaldos realizados por fechas, tipo de respaldo y responsable</t>
        </is>
      </c>
      <c r="J724" s="10" t="inlineStr">
        <is>
          <t>Gerente de Tecnología</t>
        </is>
      </c>
      <c r="K724" s="10" t="inlineStr">
        <is>
          <t>Asistente de Infraestructura tecnologica</t>
        </is>
      </c>
      <c r="L724" s="10" t="inlineStr">
        <is>
          <t>DISCO DURO EXTERNO</t>
        </is>
      </c>
      <c r="M724" s="10" t="inlineStr">
        <is>
          <t>DISCOS DUROS, SERVIDORES, DISCOS O MEDIOS PORTÁTILES, CINTAS O MEDIOS DE VIDEO Y AUDIO, ETC.</t>
        </is>
      </c>
      <c r="N724" s="10" t="inlineStr">
        <is>
          <t>PRIMARIOS</t>
        </is>
      </c>
      <c r="O724" s="10" t="inlineStr">
        <is>
          <t>DOCUMENTOS TÉCNICOS</t>
        </is>
      </c>
      <c r="P724" s="10" t="inlineStr">
        <is>
          <t>USO INTERNO(2)</t>
        </is>
      </c>
      <c r="Q724" s="10" t="inlineStr">
        <is>
          <t>ALTA(3)</t>
        </is>
      </c>
      <c r="R724" s="10" t="inlineStr">
        <is>
          <t>ALTA(3)</t>
        </is>
      </c>
      <c r="S724" s="10">
        <f>+(IF(P724="PUBLICA(1)",1,IF(P724="USO INTERNO(2)",2,IF(P724="RESTRINGIDO(3)",3,3))))+(IF(Q724="BAJA(1)",1,IF(Q724="MEDIA(2)",2,IF(Q724="ALTA(3)",3,3))))+(IF(R724="BAJA(1)",1,IF(R724="MEDIA(2)",2,IF(R724="ALTA(3)",3,3))))</f>
        <v/>
      </c>
      <c r="T724" s="10">
        <f>+IF(S724&lt;6,"BAJA",IF(S724&lt;8,"MEDIA","ALTA"))</f>
        <v/>
      </c>
      <c r="U724" s="10" t="inlineStr">
        <is>
          <t>-</t>
        </is>
      </c>
      <c r="V724" s="24" t="n">
        <v>45687</v>
      </c>
      <c r="W724" s="19" t="inlineStr">
        <is>
          <t>N/A</t>
        </is>
      </c>
      <c r="X724" s="10">
        <f>+IFERROR(IF(VLOOKUP(Tabla2[[#This Row],[ID]],'EVALUACION DE RIESGO'!A:A,1,FALSE)=Tabla2[[#This Row],[ID]],"SI","NO"),"NO")</f>
        <v/>
      </c>
      <c r="AD724">
        <f>IF(AND(Y724="",AA724=""),"",IF(OR(LEFT(AA724,2)="L0",LEFT(AA724,2)="L1",Y724="No Iniciado"),"CRÍTICO - Incumplimiento Normativo SEPS",IF(AND(OR(LEFT(AA724,2)="L4",LEFT(AA724,2)="L5"),AND(AC724&lt;&gt;"",AC724&lt;&gt;"N/A")),"CONFORME - Control Efectivo ISO 27001","OBSERVACIÓN - Revisar Controles")))</f>
        <v/>
      </c>
    </row>
    <row r="725">
      <c r="A725" s="99" t="inlineStr">
        <is>
          <t>22-GTI</t>
        </is>
      </c>
      <c r="B725" s="10" t="inlineStr">
        <is>
          <t>APOYO</t>
        </is>
      </c>
      <c r="C725" s="10" t="inlineStr">
        <is>
          <t>Gestión de Tecnología de la Información</t>
        </is>
      </c>
      <c r="D725" s="10" t="inlineStr">
        <is>
          <t>GTI</t>
        </is>
      </c>
      <c r="E725" s="10" t="inlineStr">
        <is>
          <t>Gestión de las Operaciones de TI</t>
        </is>
      </c>
      <c r="F725" s="10" t="inlineStr">
        <is>
          <t>-</t>
        </is>
      </c>
      <c r="G725" s="10" t="inlineStr">
        <is>
          <t>Restauración de respaldos</t>
        </is>
      </c>
      <c r="H725" s="10" t="inlineStr">
        <is>
          <t>Formulario de control de respaldos</t>
        </is>
      </c>
      <c r="I725" s="10" t="inlineStr">
        <is>
          <t>Registro de control de respaldos para evidenciar que toda la información se encuentra respaldada</t>
        </is>
      </c>
      <c r="J725" s="10" t="inlineStr">
        <is>
          <t>Gerente de Tecnología</t>
        </is>
      </c>
      <c r="K725" s="10" t="inlineStr">
        <is>
          <t>Asistente de Infraestructura tecnologica</t>
        </is>
      </c>
      <c r="L725" s="10" t="inlineStr">
        <is>
          <t>UBICACIÓN DIGITAL-EQUIPO DEL CUSTODIO</t>
        </is>
      </c>
      <c r="M725" s="10" t="inlineStr">
        <is>
          <t>DISCOS DUROS, SERVIDORES, DISCOS O MEDIOS PORTÁTILES, CINTAS O MEDIOS DE VIDEO Y AUDIO, ETC.</t>
        </is>
      </c>
      <c r="N725" s="10" t="inlineStr">
        <is>
          <t>PRIMARIOS</t>
        </is>
      </c>
      <c r="O725" s="10" t="inlineStr">
        <is>
          <t>DOCUMENTOS TÉCNICOS</t>
        </is>
      </c>
      <c r="P725" s="10" t="inlineStr">
        <is>
          <t>USO INTERNO(2)</t>
        </is>
      </c>
      <c r="Q725" s="10" t="inlineStr">
        <is>
          <t>MEDIA(2)</t>
        </is>
      </c>
      <c r="R725" s="10" t="inlineStr">
        <is>
          <t>MEDIA(2)</t>
        </is>
      </c>
      <c r="S725" s="10">
        <f>+(IF(P725="PUBLICA(1)",1,IF(P725="USO INTERNO(2)",2,IF(P725="RESTRINGIDO(3)",3,3))))+(IF(Q725="BAJA(1)",1,IF(Q725="MEDIA(2)",2,IF(Q725="ALTA(3)",3,3))))+(IF(R725="BAJA(1)",1,IF(R725="MEDIA(2)",2,IF(R725="ALTA(3)",3,3))))</f>
        <v/>
      </c>
      <c r="T725" s="10">
        <f>+IF(S725&lt;6,"BAJA",IF(S725&lt;8,"MEDIA","ALTA"))</f>
        <v/>
      </c>
      <c r="U725" s="10" t="inlineStr">
        <is>
          <t>-</t>
        </is>
      </c>
      <c r="V725" s="24" t="n">
        <v>45687</v>
      </c>
      <c r="W725" s="19" t="inlineStr">
        <is>
          <t>N/A</t>
        </is>
      </c>
      <c r="X725" s="10">
        <f>+IFERROR(IF(VLOOKUP(Tabla2[[#This Row],[ID]],'EVALUACION DE RIESGO'!A:A,1,FALSE)=Tabla2[[#This Row],[ID]],"SI","NO"),"NO")</f>
        <v/>
      </c>
      <c r="AD725">
        <f>IF(AND(Y725="",AA725=""),"",IF(OR(LEFT(AA725,2)="L0",LEFT(AA725,2)="L1",Y725="No Iniciado"),"CRÍTICO - Incumplimiento Normativo SEPS",IF(AND(OR(LEFT(AA725,2)="L4",LEFT(AA725,2)="L5"),AND(AC725&lt;&gt;"",AC725&lt;&gt;"N/A")),"CONFORME - Control Efectivo ISO 27001","OBSERVACIÓN - Revisar Controles")))</f>
        <v/>
      </c>
    </row>
    <row r="726">
      <c r="A726" s="99" t="inlineStr">
        <is>
          <t>23-GTI</t>
        </is>
      </c>
      <c r="B726" s="10" t="inlineStr">
        <is>
          <t>APOYO</t>
        </is>
      </c>
      <c r="C726" s="10" t="inlineStr">
        <is>
          <t>Gestión de Tecnología de la Información</t>
        </is>
      </c>
      <c r="D726" s="10" t="inlineStr">
        <is>
          <t>GTI</t>
        </is>
      </c>
      <c r="E726" s="10" t="inlineStr">
        <is>
          <t>Gestión de las Operaciones de TI</t>
        </is>
      </c>
      <c r="F726" s="10" t="inlineStr">
        <is>
          <t>-</t>
        </is>
      </c>
      <c r="G726" s="10" t="inlineStr">
        <is>
          <t>Administración de la capacidad y desempeño de la infraestructura de TI</t>
        </is>
      </c>
      <c r="H726" s="10" t="inlineStr">
        <is>
          <t>Reportes de monitoreo de la herramienta de software</t>
        </is>
      </c>
      <c r="I726" s="10" t="inlineStr">
        <is>
          <t>Reporte de monitoreo de recursos críticos según los parámetros de la herramienta de software de monitoreo</t>
        </is>
      </c>
      <c r="J726" s="10" t="inlineStr">
        <is>
          <t>Gerente de Tecnología</t>
        </is>
      </c>
      <c r="K726" s="10" t="inlineStr">
        <is>
          <t>Administrador de Comunicaicones e Infraestructura</t>
        </is>
      </c>
      <c r="L726" s="10" t="inlineStr">
        <is>
          <t>UBICACIÓN DIGITAL-DESKTOP CENTRAL</t>
        </is>
      </c>
      <c r="M726" s="10" t="inlineStr">
        <is>
          <t>SISTEMAS DE INFORMACIÓN CORPORATIVOS</t>
        </is>
      </c>
      <c r="N726" s="10" t="inlineStr">
        <is>
          <t>PRIMARIOS</t>
        </is>
      </c>
      <c r="O726" s="10" t="inlineStr">
        <is>
          <t>DOCUMENTOS TÉCNICOS</t>
        </is>
      </c>
      <c r="P726" s="10" t="inlineStr">
        <is>
          <t>USO INTERNO(2)</t>
        </is>
      </c>
      <c r="Q726" s="10" t="inlineStr">
        <is>
          <t>MEDIA(2)</t>
        </is>
      </c>
      <c r="R726" s="10" t="inlineStr">
        <is>
          <t>MEDIA(2)</t>
        </is>
      </c>
      <c r="S726" s="10">
        <f>+(IF(P726="PUBLICA(1)",1,IF(P726="USO INTERNO(2)",2,IF(P726="RESTRINGIDO(3)",3,3))))+(IF(Q726="BAJA(1)",1,IF(Q726="MEDIA(2)",2,IF(Q726="ALTA(3)",3,3))))+(IF(R726="BAJA(1)",1,IF(R726="MEDIA(2)",2,IF(R726="ALTA(3)",3,3))))</f>
        <v/>
      </c>
      <c r="T726" s="10">
        <f>+IF(S726&lt;6,"BAJA",IF(S726&lt;8,"MEDIA","ALTA"))</f>
        <v/>
      </c>
      <c r="U726" s="10" t="inlineStr">
        <is>
          <t>-</t>
        </is>
      </c>
      <c r="V726" s="24" t="n">
        <v>45687</v>
      </c>
      <c r="W726" s="19" t="inlineStr">
        <is>
          <t>N/A</t>
        </is>
      </c>
      <c r="X726" s="10">
        <f>+IFERROR(IF(VLOOKUP(Tabla2[[#This Row],[ID]],'EVALUACION DE RIESGO'!A:A,1,FALSE)=Tabla2[[#This Row],[ID]],"SI","NO"),"NO")</f>
        <v/>
      </c>
      <c r="AD726">
        <f>IF(AND(Y726="",AA726=""),"",IF(OR(LEFT(AA726,2)="L0",LEFT(AA726,2)="L1",Y726="No Iniciado"),"CRÍTICO - Incumplimiento Normativo SEPS",IF(AND(OR(LEFT(AA726,2)="L4",LEFT(AA726,2)="L5"),AND(AC726&lt;&gt;"",AC726&lt;&gt;"N/A")),"CONFORME - Control Efectivo ISO 27001","OBSERVACIÓN - Revisar Controles")))</f>
        <v/>
      </c>
    </row>
    <row r="727">
      <c r="A727" s="99" t="inlineStr">
        <is>
          <t>24-GTI</t>
        </is>
      </c>
      <c r="B727" s="10" t="inlineStr">
        <is>
          <t>APOYO</t>
        </is>
      </c>
      <c r="C727" s="10" t="inlineStr">
        <is>
          <t>Gestión de Tecnología de la Información</t>
        </is>
      </c>
      <c r="D727" s="10" t="inlineStr">
        <is>
          <t>GTI</t>
        </is>
      </c>
      <c r="E727" s="10" t="inlineStr">
        <is>
          <t>Gestión de las Operaciones de TI</t>
        </is>
      </c>
      <c r="F727" s="10" t="inlineStr">
        <is>
          <t>-</t>
        </is>
      </c>
      <c r="G727" s="10" t="inlineStr">
        <is>
          <t>Administración de la capacidad y desempeño de la infraestructura de TI</t>
        </is>
      </c>
      <c r="H727" s="10" t="inlineStr">
        <is>
          <t>Plan de infraestructura de TI nuevo</t>
        </is>
      </c>
      <c r="I727" s="10" t="inlineStr">
        <is>
          <t>Informes y evaluación de las acciones tomadas y las necesidades de actualizar la infraestructura actual.</t>
        </is>
      </c>
      <c r="J727" s="10" t="inlineStr">
        <is>
          <t>Gerente de Tecnología</t>
        </is>
      </c>
      <c r="K727" s="10" t="inlineStr">
        <is>
          <t>Administrador de Comunicaicones e Infraestructura</t>
        </is>
      </c>
      <c r="L727" s="10" t="inlineStr">
        <is>
          <t>UBICACIÓN DIGITAL-EQUIPO DEL CUSTODIO</t>
        </is>
      </c>
      <c r="M727" s="10" t="inlineStr">
        <is>
          <t>DISCOS DUROS, SERVIDORES, DISCOS O MEDIOS PORTÁTILES, CINTAS O MEDIOS DE VIDEO Y AUDIO, ETC.</t>
        </is>
      </c>
      <c r="N727" s="10" t="inlineStr">
        <is>
          <t>PRIMARIOS</t>
        </is>
      </c>
      <c r="O727" s="10" t="inlineStr">
        <is>
          <t>DOCUMENTOS TÉCNICOS</t>
        </is>
      </c>
      <c r="P727" s="10" t="inlineStr">
        <is>
          <t>USO INTERNO(2)</t>
        </is>
      </c>
      <c r="Q727" s="10" t="inlineStr">
        <is>
          <t>BAJA(1)</t>
        </is>
      </c>
      <c r="R727" s="10" t="inlineStr">
        <is>
          <t>MEDIA(2)</t>
        </is>
      </c>
      <c r="S727" s="10">
        <f>+(IF(P727="PUBLICA(1)",1,IF(P727="USO INTERNO(2)",2,IF(P727="RESTRINGIDO(3)",3,3))))+(IF(Q727="BAJA(1)",1,IF(Q727="MEDIA(2)",2,IF(Q727="ALTA(3)",3,3))))+(IF(R727="BAJA(1)",1,IF(R727="MEDIA(2)",2,IF(R727="ALTA(3)",3,3))))</f>
        <v/>
      </c>
      <c r="T727" s="10">
        <f>+IF(S727&lt;6,"BAJA",IF(S727&lt;8,"MEDIA","ALTA"))</f>
        <v/>
      </c>
      <c r="U727" s="10" t="inlineStr">
        <is>
          <t>-</t>
        </is>
      </c>
      <c r="V727" s="24" t="n">
        <v>45687</v>
      </c>
      <c r="W727" s="19" t="inlineStr">
        <is>
          <t>N/A</t>
        </is>
      </c>
      <c r="X727" s="10">
        <f>+IFERROR(IF(VLOOKUP(Tabla2[[#This Row],[ID]],'EVALUACION DE RIESGO'!A:A,1,FALSE)=Tabla2[[#This Row],[ID]],"SI","NO"),"NO")</f>
        <v/>
      </c>
      <c r="AD727">
        <f>IF(AND(Y727="",AA727=""),"",IF(OR(LEFT(AA727,2)="L0",LEFT(AA727,2)="L1",Y727="No Iniciado"),"CRÍTICO - Incumplimiento Normativo SEPS",IF(AND(OR(LEFT(AA727,2)="L4",LEFT(AA727,2)="L5"),AND(AC727&lt;&gt;"",AC727&lt;&gt;"N/A")),"CONFORME - Control Efectivo ISO 27001","OBSERVACIÓN - Revisar Controles")))</f>
        <v/>
      </c>
    </row>
    <row r="728">
      <c r="A728" s="99" t="inlineStr">
        <is>
          <t>25-GTI</t>
        </is>
      </c>
      <c r="B728" s="10" t="inlineStr">
        <is>
          <t>APOYO</t>
        </is>
      </c>
      <c r="C728" s="10" t="inlineStr">
        <is>
          <t>Gestión de Tecnología de la Información</t>
        </is>
      </c>
      <c r="D728" s="10" t="inlineStr">
        <is>
          <t>GTI</t>
        </is>
      </c>
      <c r="E728" s="10" t="inlineStr">
        <is>
          <t>Gestión de las Operaciones de TI</t>
        </is>
      </c>
      <c r="F728" s="10" t="inlineStr">
        <is>
          <t>-</t>
        </is>
      </c>
      <c r="G728" s="10" t="inlineStr">
        <is>
          <t>Gestionar las Instalaciones de TI</t>
        </is>
      </c>
      <c r="H728" s="10" t="inlineStr">
        <is>
          <t>Matriz de incidentes</t>
        </is>
      </c>
      <c r="I728" s="10" t="inlineStr">
        <is>
          <t>Análisis, corrección y documentos de errores presentados en el procesos de implementación</t>
        </is>
      </c>
      <c r="J728" s="10" t="inlineStr">
        <is>
          <t>Gerente de Tecnología</t>
        </is>
      </c>
      <c r="K728" s="10" t="inlineStr">
        <is>
          <t>Administrador de Comunicaicones e Infraestructura</t>
        </is>
      </c>
      <c r="L728" s="10" t="inlineStr">
        <is>
          <t>UBICACIÓN DIGITAL-EQUIPO DEL CUSTODIO</t>
        </is>
      </c>
      <c r="M728" s="10" t="inlineStr">
        <is>
          <t>DISCOS DUROS, SERVIDORES, DISCOS O MEDIOS PORTÁTILES, CINTAS O MEDIOS DE VIDEO Y AUDIO, ETC.</t>
        </is>
      </c>
      <c r="N728" s="10" t="inlineStr">
        <is>
          <t>PRIMARIOS</t>
        </is>
      </c>
      <c r="O728" s="10" t="inlineStr">
        <is>
          <t>DOCUMENTOS TÉCNICOS</t>
        </is>
      </c>
      <c r="P728" s="10" t="inlineStr">
        <is>
          <t>USO INTERNO(2)</t>
        </is>
      </c>
      <c r="Q728" s="10" t="inlineStr">
        <is>
          <t>MEDIA(2)</t>
        </is>
      </c>
      <c r="R728" s="10" t="inlineStr">
        <is>
          <t>MEDIA(2)</t>
        </is>
      </c>
      <c r="S728" s="10">
        <f>+(IF(P728="PUBLICA(1)",1,IF(P728="USO INTERNO(2)",2,IF(P728="RESTRINGIDO(3)",3,3))))+(IF(Q728="BAJA(1)",1,IF(Q728="MEDIA(2)",2,IF(Q728="ALTA(3)",3,3))))+(IF(R728="BAJA(1)",1,IF(R728="MEDIA(2)",2,IF(R728="ALTA(3)",3,3))))</f>
        <v/>
      </c>
      <c r="T728" s="10">
        <f>+IF(S728&lt;6,"BAJA",IF(S728&lt;8,"MEDIA","ALTA"))</f>
        <v/>
      </c>
      <c r="U728" s="10" t="inlineStr">
        <is>
          <t>-</t>
        </is>
      </c>
      <c r="V728" s="24" t="n">
        <v>45687</v>
      </c>
      <c r="W728" s="19" t="inlineStr">
        <is>
          <t>N/A</t>
        </is>
      </c>
      <c r="X728" s="10">
        <f>+IFERROR(IF(VLOOKUP(Tabla2[[#This Row],[ID]],'EVALUACION DE RIESGO'!A:A,1,FALSE)=Tabla2[[#This Row],[ID]],"SI","NO"),"NO")</f>
        <v/>
      </c>
      <c r="AD728">
        <f>IF(AND(Y728="",AA728=""),"",IF(OR(LEFT(AA728,2)="L0",LEFT(AA728,2)="L1",Y728="No Iniciado"),"CRÍTICO - Incumplimiento Normativo SEPS",IF(AND(OR(LEFT(AA728,2)="L4",LEFT(AA728,2)="L5"),AND(AC728&lt;&gt;"",AC728&lt;&gt;"N/A")),"CONFORME - Control Efectivo ISO 27001","OBSERVACIÓN - Revisar Controles")))</f>
        <v/>
      </c>
    </row>
    <row r="729">
      <c r="A729" s="99" t="inlineStr">
        <is>
          <t>26-GTI</t>
        </is>
      </c>
      <c r="B729" s="10" t="inlineStr">
        <is>
          <t>APOYO</t>
        </is>
      </c>
      <c r="C729" s="10" t="inlineStr">
        <is>
          <t>Gestión de Tecnología de la Información</t>
        </is>
      </c>
      <c r="D729" s="10" t="inlineStr">
        <is>
          <t>GTI</t>
        </is>
      </c>
      <c r="E729" s="10" t="inlineStr">
        <is>
          <t>Gestión de las Operaciones de TI</t>
        </is>
      </c>
      <c r="F729" s="10" t="inlineStr">
        <is>
          <t>-</t>
        </is>
      </c>
      <c r="G729" s="10" t="inlineStr">
        <is>
          <t>Cambios planificados a la Infraestructura</t>
        </is>
      </c>
      <c r="H729" s="10" t="inlineStr">
        <is>
          <t>Plan de cambios</t>
        </is>
      </c>
      <c r="I729" s="10" t="inlineStr">
        <is>
          <t>Realización de los cambios realizados de acuerdo a la planificación POA, seguimientos y novedades</t>
        </is>
      </c>
      <c r="J729" s="10" t="inlineStr">
        <is>
          <t>Gerente de Tecnología</t>
        </is>
      </c>
      <c r="K729" s="10" t="inlineStr">
        <is>
          <t>Jefe de Infraestructura y Operaciones</t>
        </is>
      </c>
      <c r="L729" s="10" t="inlineStr">
        <is>
          <t>UBICACIÓN DIGITAL-EQUIPO DEL CUSTODIO</t>
        </is>
      </c>
      <c r="M729" s="10" t="inlineStr">
        <is>
          <t>DISCOS DUROS, SERVIDORES, DISCOS O MEDIOS PORTÁTILES, CINTAS O MEDIOS DE VIDEO Y AUDIO, ETC.</t>
        </is>
      </c>
      <c r="N729" s="10" t="inlineStr">
        <is>
          <t>PRIMARIOS</t>
        </is>
      </c>
      <c r="O729" s="10" t="inlineStr">
        <is>
          <t>DOCUMENTOS TÉCNICOS</t>
        </is>
      </c>
      <c r="P729" s="10" t="inlineStr">
        <is>
          <t>USO INTERNO(2)</t>
        </is>
      </c>
      <c r="Q729" s="10" t="inlineStr">
        <is>
          <t>MEDIA(2)</t>
        </is>
      </c>
      <c r="R729" s="10" t="inlineStr">
        <is>
          <t>MEDIA(2)</t>
        </is>
      </c>
      <c r="S729" s="10">
        <f>+(IF(P729="PUBLICA(1)",1,IF(P729="USO INTERNO(2)",2,IF(P729="RESTRINGIDO(3)",3,3))))+(IF(Q729="BAJA(1)",1,IF(Q729="MEDIA(2)",2,IF(Q729="ALTA(3)",3,3))))+(IF(R729="BAJA(1)",1,IF(R729="MEDIA(2)",2,IF(R729="ALTA(3)",3,3))))</f>
        <v/>
      </c>
      <c r="T729" s="10">
        <f>+IF(S729&lt;6,"BAJA",IF(S729&lt;8,"MEDIA","ALTA"))</f>
        <v/>
      </c>
      <c r="U729" s="10" t="inlineStr">
        <is>
          <t>-</t>
        </is>
      </c>
      <c r="V729" s="24" t="n">
        <v>45687</v>
      </c>
      <c r="W729" s="19" t="inlineStr">
        <is>
          <t>N/A</t>
        </is>
      </c>
      <c r="X729" s="10">
        <f>+IFERROR(IF(VLOOKUP(Tabla2[[#This Row],[ID]],'EVALUACION DE RIESGO'!A:A,1,FALSE)=Tabla2[[#This Row],[ID]],"SI","NO"),"NO")</f>
        <v/>
      </c>
      <c r="AD729">
        <f>IF(AND(Y729="",AA729=""),"",IF(OR(LEFT(AA729,2)="L0",LEFT(AA729,2)="L1",Y729="No Iniciado"),"CRÍTICO - Incumplimiento Normativo SEPS",IF(AND(OR(LEFT(AA729,2)="L4",LEFT(AA729,2)="L5"),AND(AC729&lt;&gt;"",AC729&lt;&gt;"N/A")),"CONFORME - Control Efectivo ISO 27001","OBSERVACIÓN - Revisar Controles")))</f>
        <v/>
      </c>
    </row>
    <row r="730">
      <c r="A730" s="99" t="inlineStr">
        <is>
          <t>27-GTI</t>
        </is>
      </c>
      <c r="B730" s="10" t="inlineStr">
        <is>
          <t>APOYO</t>
        </is>
      </c>
      <c r="C730" s="10" t="inlineStr">
        <is>
          <t>Gestión de Tecnología de la Información</t>
        </is>
      </c>
      <c r="D730" s="10" t="inlineStr">
        <is>
          <t>GTI</t>
        </is>
      </c>
      <c r="E730" s="10" t="inlineStr">
        <is>
          <t>Gestión de las Operaciones de TI</t>
        </is>
      </c>
      <c r="F730" s="10" t="inlineStr">
        <is>
          <t>-</t>
        </is>
      </c>
      <c r="G730" s="10" t="inlineStr">
        <is>
          <t xml:space="preserve">Cambios estándar de la Infraestructura </t>
        </is>
      </c>
      <c r="H730" s="10" t="inlineStr">
        <is>
          <t>Informe mensual</t>
        </is>
      </c>
      <c r="I730" s="10" t="inlineStr">
        <is>
          <t>Informe mensual de las actividades gestionadas en los ámbitos de redes e infraestructura</t>
        </is>
      </c>
      <c r="J730" s="10" t="inlineStr">
        <is>
          <t>Gerente de Tecnología</t>
        </is>
      </c>
      <c r="K730" s="10" t="inlineStr">
        <is>
          <t>Jefe de Infraestructura y Operaciones</t>
        </is>
      </c>
      <c r="L730" s="10" t="inlineStr">
        <is>
          <t>UBICACIÓN DIGITAL-EQUIPO DEL CUSTODIO</t>
        </is>
      </c>
      <c r="M730" s="10" t="inlineStr">
        <is>
          <t>DISCOS DUROS, SERVIDORES, DISCOS O MEDIOS PORTÁTILES, CINTAS O MEDIOS DE VIDEO Y AUDIO, ETC.</t>
        </is>
      </c>
      <c r="N730" s="10" t="inlineStr">
        <is>
          <t>PRIMARIOS</t>
        </is>
      </c>
      <c r="O730" s="10" t="inlineStr">
        <is>
          <t>DOCUMENTOS TÉCNICOS</t>
        </is>
      </c>
      <c r="P730" s="10" t="inlineStr">
        <is>
          <t>USO INTERNO(2)</t>
        </is>
      </c>
      <c r="Q730" s="10" t="inlineStr">
        <is>
          <t>BAJA(1)</t>
        </is>
      </c>
      <c r="R730" s="10" t="inlineStr">
        <is>
          <t>MEDIA(2)</t>
        </is>
      </c>
      <c r="S730" s="10">
        <f>+(IF(P730="PUBLICA(1)",1,IF(P730="USO INTERNO(2)",2,IF(P730="RESTRINGIDO(3)",3,3))))+(IF(Q730="BAJA(1)",1,IF(Q730="MEDIA(2)",2,IF(Q730="ALTA(3)",3,3))))+(IF(R730="BAJA(1)",1,IF(R730="MEDIA(2)",2,IF(R730="ALTA(3)",3,3))))</f>
        <v/>
      </c>
      <c r="T730" s="10">
        <f>+IF(S730&lt;6,"BAJA",IF(S730&lt;8,"MEDIA","ALTA"))</f>
        <v/>
      </c>
      <c r="U730" s="10" t="inlineStr">
        <is>
          <t>-</t>
        </is>
      </c>
      <c r="V730" s="24" t="n">
        <v>45687</v>
      </c>
      <c r="W730" s="19" t="inlineStr">
        <is>
          <t>N/A</t>
        </is>
      </c>
      <c r="X730" s="10">
        <f>+IFERROR(IF(VLOOKUP(Tabla2[[#This Row],[ID]],'EVALUACION DE RIESGO'!A:A,1,FALSE)=Tabla2[[#This Row],[ID]],"SI","NO"),"NO")</f>
        <v/>
      </c>
      <c r="AD730">
        <f>IF(AND(Y730="",AA730=""),"",IF(OR(LEFT(AA730,2)="L0",LEFT(AA730,2)="L1",Y730="No Iniciado"),"CRÍTICO - Incumplimiento Normativo SEPS",IF(AND(OR(LEFT(AA730,2)="L4",LEFT(AA730,2)="L5"),AND(AC730&lt;&gt;"",AC730&lt;&gt;"N/A")),"CONFORME - Control Efectivo ISO 27001","OBSERVACIÓN - Revisar Controles")))</f>
        <v/>
      </c>
    </row>
    <row r="731">
      <c r="A731" s="99" t="inlineStr">
        <is>
          <t>28-GTI</t>
        </is>
      </c>
      <c r="B731" s="10" t="inlineStr">
        <is>
          <t>APOYO</t>
        </is>
      </c>
      <c r="C731" s="10" t="inlineStr">
        <is>
          <t>Gestión de Tecnología de la Información</t>
        </is>
      </c>
      <c r="D731" s="10" t="inlineStr">
        <is>
          <t>GTI</t>
        </is>
      </c>
      <c r="E731" s="10" t="inlineStr">
        <is>
          <t>Gestión de las Operaciones de TI</t>
        </is>
      </c>
      <c r="F731" s="10" t="inlineStr">
        <is>
          <t>-</t>
        </is>
      </c>
      <c r="G731" s="10" t="inlineStr">
        <is>
          <t>Cambios emergentes</t>
        </is>
      </c>
      <c r="H731" s="10" t="inlineStr">
        <is>
          <t>Registro de cambios</t>
        </is>
      </c>
      <c r="I731" s="10" t="inlineStr">
        <is>
          <t>Reporte de cambios realizados anexados al informe mensual</t>
        </is>
      </c>
      <c r="J731" s="10" t="inlineStr">
        <is>
          <t>Gestión del Servicio y Soporte de TI</t>
        </is>
      </c>
      <c r="K731" s="10" t="inlineStr">
        <is>
          <t>Jefe de Infraestructura y Operaciones</t>
        </is>
      </c>
      <c r="L731" s="10" t="inlineStr">
        <is>
          <t>UBICACIÓN DIGITAL-EQUIPO DEL CUSTODIO</t>
        </is>
      </c>
      <c r="M731" s="10" t="inlineStr">
        <is>
          <t>DISCOS DUROS, SERVIDORES, DISCOS O MEDIOS PORTÁTILES, CINTAS O MEDIOS DE VIDEO Y AUDIO, ETC.</t>
        </is>
      </c>
      <c r="N731" s="10" t="inlineStr">
        <is>
          <t>PRIMARIOS</t>
        </is>
      </c>
      <c r="O731" s="10" t="inlineStr">
        <is>
          <t>DOCUMENTOS TÉCNICOS</t>
        </is>
      </c>
      <c r="P731" s="10" t="inlineStr">
        <is>
          <t>USO INTERNO(2)</t>
        </is>
      </c>
      <c r="Q731" s="10" t="inlineStr">
        <is>
          <t>BAJA(1)</t>
        </is>
      </c>
      <c r="R731" s="10" t="inlineStr">
        <is>
          <t>MEDIA(2)</t>
        </is>
      </c>
      <c r="S731" s="10">
        <f>+(IF(P731="PUBLICA(1)",1,IF(P731="USO INTERNO(2)",2,IF(P731="RESTRINGIDO(3)",3,3))))+(IF(Q731="BAJA(1)",1,IF(Q731="MEDIA(2)",2,IF(Q731="ALTA(3)",3,3))))+(IF(R731="BAJA(1)",1,IF(R731="MEDIA(2)",2,IF(R731="ALTA(3)",3,3))))</f>
        <v/>
      </c>
      <c r="T731" s="10">
        <f>+IF(S731&lt;6,"BAJA",IF(S731&lt;8,"MEDIA","ALTA"))</f>
        <v/>
      </c>
      <c r="U731" s="10" t="inlineStr">
        <is>
          <t>-</t>
        </is>
      </c>
      <c r="V731" s="24" t="n">
        <v>45687</v>
      </c>
      <c r="W731" s="19" t="inlineStr">
        <is>
          <t>N/A</t>
        </is>
      </c>
      <c r="X731" s="10">
        <f>+IFERROR(IF(VLOOKUP(Tabla2[[#This Row],[ID]],'EVALUACION DE RIESGO'!A:A,1,FALSE)=Tabla2[[#This Row],[ID]],"SI","NO"),"NO")</f>
        <v/>
      </c>
      <c r="AD731">
        <f>IF(AND(Y731="",AA731=""),"",IF(OR(LEFT(AA731,2)="L0",LEFT(AA731,2)="L1",Y731="No Iniciado"),"CRÍTICO - Incumplimiento Normativo SEPS",IF(AND(OR(LEFT(AA731,2)="L4",LEFT(AA731,2)="L5"),AND(AC731&lt;&gt;"",AC731&lt;&gt;"N/A")),"CONFORME - Control Efectivo ISO 27001","OBSERVACIÓN - Revisar Controles")))</f>
        <v/>
      </c>
    </row>
    <row r="732">
      <c r="A732" s="99" t="inlineStr">
        <is>
          <t>29-GTI</t>
        </is>
      </c>
      <c r="B732" s="10" t="inlineStr">
        <is>
          <t>APOYO</t>
        </is>
      </c>
      <c r="C732" s="10" t="inlineStr">
        <is>
          <t>Gestión de Tecnología de la Información</t>
        </is>
      </c>
      <c r="D732" s="10" t="inlineStr">
        <is>
          <t>GTI</t>
        </is>
      </c>
      <c r="E732" s="10" t="inlineStr">
        <is>
          <t>Gestión del Servicio y Soporte de TI</t>
        </is>
      </c>
      <c r="F732" s="10" t="inlineStr">
        <is>
          <t>-</t>
        </is>
      </c>
      <c r="G732" s="10" t="inlineStr">
        <is>
          <t>Atención de peticiones e incidentes de tecnología</t>
        </is>
      </c>
      <c r="H732" s="10" t="inlineStr">
        <is>
          <t>Requerimiento de Service desk</t>
        </is>
      </c>
      <c r="I732" s="10" t="inlineStr">
        <is>
          <t>Registros de requerimientos de usuarios contenidos en el sistema webcoop, base de datos SYBASE</t>
        </is>
      </c>
      <c r="J732" s="10" t="inlineStr">
        <is>
          <t>Gestión del Servicio y Soporte de TI</t>
        </is>
      </c>
      <c r="K732" s="10" t="inlineStr">
        <is>
          <t>Asistente de Infraestructura tecnologica</t>
        </is>
      </c>
      <c r="L732" s="10" t="inlineStr">
        <is>
          <t>UBICACIÓN DIGITAL-WEBCOOP</t>
        </is>
      </c>
      <c r="M732" s="10" t="inlineStr">
        <is>
          <t>SISTEMAS DE INFORMACIÓN CORPORATIVOS</t>
        </is>
      </c>
      <c r="N732" s="10" t="inlineStr">
        <is>
          <t>PRIMARIOS</t>
        </is>
      </c>
      <c r="O732" s="10" t="inlineStr">
        <is>
          <t>DOCUMENTOS TÉCNICOS</t>
        </is>
      </c>
      <c r="P732" s="10" t="inlineStr">
        <is>
          <t>USO INTERNO(2)</t>
        </is>
      </c>
      <c r="Q732" s="10" t="inlineStr">
        <is>
          <t>MEDIA(2)</t>
        </is>
      </c>
      <c r="R732" s="10" t="inlineStr">
        <is>
          <t>MEDIA(2)</t>
        </is>
      </c>
      <c r="S732" s="10">
        <f>+(IF(P732="PUBLICA(1)",1,IF(P732="USO INTERNO(2)",2,IF(P732="RESTRINGIDO(3)",3,3))))+(IF(Q732="BAJA(1)",1,IF(Q732="MEDIA(2)",2,IF(Q732="ALTA(3)",3,3))))+(IF(R732="BAJA(1)",1,IF(R732="MEDIA(2)",2,IF(R732="ALTA(3)",3,3))))</f>
        <v/>
      </c>
      <c r="T732" s="10">
        <f>+IF(S732&lt;6,"BAJA",IF(S732&lt;8,"MEDIA","ALTA"))</f>
        <v/>
      </c>
      <c r="U732" s="10" t="inlineStr">
        <is>
          <t>-</t>
        </is>
      </c>
      <c r="V732" s="24" t="n">
        <v>45687</v>
      </c>
      <c r="W732" s="19" t="inlineStr">
        <is>
          <t>N/A</t>
        </is>
      </c>
      <c r="X732" s="10">
        <f>+IFERROR(IF(VLOOKUP(Tabla2[[#This Row],[ID]],'EVALUACION DE RIESGO'!A:A,1,FALSE)=Tabla2[[#This Row],[ID]],"SI","NO"),"NO")</f>
        <v/>
      </c>
      <c r="AD732">
        <f>IF(AND(Y732="",AA732=""),"",IF(OR(LEFT(AA732,2)="L0",LEFT(AA732,2)="L1",Y732="No Iniciado"),"CRÍTICO - Incumplimiento Normativo SEPS",IF(AND(OR(LEFT(AA732,2)="L4",LEFT(AA732,2)="L5"),AND(AC732&lt;&gt;"",AC732&lt;&gt;"N/A")),"CONFORME - Control Efectivo ISO 27001","OBSERVACIÓN - Revisar Controles")))</f>
        <v/>
      </c>
    </row>
    <row r="733">
      <c r="A733" s="99" t="inlineStr">
        <is>
          <t>30-GTI</t>
        </is>
      </c>
      <c r="B733" s="10" t="inlineStr">
        <is>
          <t>APOYO</t>
        </is>
      </c>
      <c r="C733" s="10" t="inlineStr">
        <is>
          <t>Gestión de Tecnología de la Información</t>
        </is>
      </c>
      <c r="D733" s="10" t="inlineStr">
        <is>
          <t>GTI</t>
        </is>
      </c>
      <c r="E733" s="10" t="inlineStr">
        <is>
          <t>Gestión del Servicio y Soporte de TI</t>
        </is>
      </c>
      <c r="F733" s="10" t="inlineStr">
        <is>
          <t>-</t>
        </is>
      </c>
      <c r="G733" s="10" t="inlineStr">
        <is>
          <t>Instalación de hardware y software</t>
        </is>
      </c>
      <c r="H733" s="10" t="inlineStr">
        <is>
          <t>Lista de chequeo de configuración de equipos/Perfil de software de usuario</t>
        </is>
      </c>
      <c r="I733" s="10" t="inlineStr">
        <is>
          <t>Matriz que describe el perfil del usuario, mismo que sirve para configurar el equipo y las herramientas necesarias</t>
        </is>
      </c>
      <c r="J733" s="10" t="inlineStr">
        <is>
          <t>Gestión del Servicio y Soporte de TI</t>
        </is>
      </c>
      <c r="K733" s="10" t="inlineStr">
        <is>
          <t>Asistente de Infraestructura tecnologica</t>
        </is>
      </c>
      <c r="L733" s="10" t="inlineStr">
        <is>
          <t>UBICACIÓN VIRTUAL-SERVIDORES VIRTUALES</t>
        </is>
      </c>
      <c r="M733" s="10" t="inlineStr">
        <is>
          <t>DOCUMENTO DE ARCHIVO-ELECTRÓNICO</t>
        </is>
      </c>
      <c r="N733" s="10" t="inlineStr">
        <is>
          <t>PRIMARIOS</t>
        </is>
      </c>
      <c r="O733" s="10" t="inlineStr">
        <is>
          <t>DOCUMENTOS TÉCNICOS</t>
        </is>
      </c>
      <c r="P733" s="10" t="inlineStr">
        <is>
          <t>USO INTERNO(2)</t>
        </is>
      </c>
      <c r="Q733" s="10" t="inlineStr">
        <is>
          <t>MEDIA(2)</t>
        </is>
      </c>
      <c r="R733" s="10" t="inlineStr">
        <is>
          <t>BAJA(1)</t>
        </is>
      </c>
      <c r="S733" s="10">
        <f>+(IF(P733="PUBLICA(1)",1,IF(P733="USO INTERNO(2)",2,IF(P733="RESTRINGIDO(3)",3,3))))+(IF(Q733="BAJA(1)",1,IF(Q733="MEDIA(2)",2,IF(Q733="ALTA(3)",3,3))))+(IF(R733="BAJA(1)",1,IF(R733="MEDIA(2)",2,IF(R733="ALTA(3)",3,3))))</f>
        <v/>
      </c>
      <c r="T733" s="10">
        <f>+IF(S733&lt;6,"BAJA",IF(S733&lt;8,"MEDIA","ALTA"))</f>
        <v/>
      </c>
      <c r="U733" s="10" t="inlineStr">
        <is>
          <t>-</t>
        </is>
      </c>
      <c r="V733" s="24" t="n">
        <v>45687</v>
      </c>
      <c r="W733" s="19" t="inlineStr">
        <is>
          <t>N/A</t>
        </is>
      </c>
      <c r="X733" s="10">
        <f>+IFERROR(IF(VLOOKUP(Tabla2[[#This Row],[ID]],'EVALUACION DE RIESGO'!A:A,1,FALSE)=Tabla2[[#This Row],[ID]],"SI","NO"),"NO")</f>
        <v/>
      </c>
      <c r="AD733">
        <f>IF(AND(Y733="",AA733=""),"",IF(OR(LEFT(AA733,2)="L0",LEFT(AA733,2)="L1",Y733="No Iniciado"),"CRÍTICO - Incumplimiento Normativo SEPS",IF(AND(OR(LEFT(AA733,2)="L4",LEFT(AA733,2)="L5"),AND(AC733&lt;&gt;"",AC733&lt;&gt;"N/A")),"CONFORME - Control Efectivo ISO 27001","OBSERVACIÓN - Revisar Controles")))</f>
        <v/>
      </c>
    </row>
    <row r="734">
      <c r="A734" s="99" t="inlineStr">
        <is>
          <t>31-GTI</t>
        </is>
      </c>
      <c r="B734" s="10" t="inlineStr">
        <is>
          <t>APOYO</t>
        </is>
      </c>
      <c r="C734" s="10" t="inlineStr">
        <is>
          <t>Gestión de Tecnología de la Información</t>
        </is>
      </c>
      <c r="D734" s="10" t="inlineStr">
        <is>
          <t>GTI</t>
        </is>
      </c>
      <c r="E734" s="10" t="inlineStr">
        <is>
          <t>Gestión del Servicio y Soporte de TI</t>
        </is>
      </c>
      <c r="F734" s="10" t="inlineStr">
        <is>
          <t>-</t>
        </is>
      </c>
      <c r="G734" s="10" t="inlineStr">
        <is>
          <t>Instalación de hardware y software</t>
        </is>
      </c>
      <c r="H734" s="10" t="inlineStr">
        <is>
          <t>Inventario de hardware / software</t>
        </is>
      </c>
      <c r="I734" s="10" t="inlineStr">
        <is>
          <t>Matriz de inventario registrada en la aplicación Desktop Central, contiene detalle de las licencias por equipos mediante un endpoint</t>
        </is>
      </c>
      <c r="J734" s="10" t="inlineStr">
        <is>
          <t>Gestión del Servicio y Soporte de TI</t>
        </is>
      </c>
      <c r="K734" s="10" t="inlineStr">
        <is>
          <t>Asistente de Infraestructura tecnologica</t>
        </is>
      </c>
      <c r="L734" s="10" t="inlineStr">
        <is>
          <t>UBICACIÓN DIGITAL-DESKTOP CENTRAL</t>
        </is>
      </c>
      <c r="M734" s="10" t="inlineStr">
        <is>
          <t>SISTEMAS DE INFORMACIÓN CORPORATIVOS</t>
        </is>
      </c>
      <c r="N734" s="10" t="inlineStr">
        <is>
          <t>PRIMARIOS</t>
        </is>
      </c>
      <c r="O734" s="10" t="inlineStr">
        <is>
          <t>DOCUMENTOS TÉCNICOS</t>
        </is>
      </c>
      <c r="P734" s="10" t="inlineStr">
        <is>
          <t>USO INTERNO(2)</t>
        </is>
      </c>
      <c r="Q734" s="10" t="inlineStr">
        <is>
          <t>ALTA(3)</t>
        </is>
      </c>
      <c r="R734" s="10" t="inlineStr">
        <is>
          <t>MEDIA(2)</t>
        </is>
      </c>
      <c r="S734" s="10">
        <f>+(IF(P734="PUBLICA(1)",1,IF(P734="USO INTERNO(2)",2,IF(P734="RESTRINGIDO(3)",3,3))))+(IF(Q734="BAJA(1)",1,IF(Q734="MEDIA(2)",2,IF(Q734="ALTA(3)",3,3))))+(IF(R734="BAJA(1)",1,IF(R734="MEDIA(2)",2,IF(R734="ALTA(3)",3,3))))</f>
        <v/>
      </c>
      <c r="T734" s="10">
        <f>+IF(S734&lt;6,"BAJA",IF(S734&lt;8,"MEDIA","ALTA"))</f>
        <v/>
      </c>
      <c r="U734" s="10" t="inlineStr">
        <is>
          <t>-</t>
        </is>
      </c>
      <c r="V734" s="24" t="n">
        <v>45687</v>
      </c>
      <c r="W734" s="19" t="inlineStr">
        <is>
          <t>N/A</t>
        </is>
      </c>
      <c r="X734" s="10">
        <f>+IFERROR(IF(VLOOKUP(Tabla2[[#This Row],[ID]],'EVALUACION DE RIESGO'!A:A,1,FALSE)=Tabla2[[#This Row],[ID]],"SI","NO"),"NO")</f>
        <v/>
      </c>
      <c r="AD734">
        <f>IF(AND(Y734="",AA734=""),"",IF(OR(LEFT(AA734,2)="L0",LEFT(AA734,2)="L1",Y734="No Iniciado"),"CRÍTICO - Incumplimiento Normativo SEPS",IF(AND(OR(LEFT(AA734,2)="L4",LEFT(AA734,2)="L5"),AND(AC734&lt;&gt;"",AC734&lt;&gt;"N/A")),"CONFORME - Control Efectivo ISO 27001","OBSERVACIÓN - Revisar Controles")))</f>
        <v/>
      </c>
    </row>
    <row r="735">
      <c r="A735" s="99" t="inlineStr">
        <is>
          <t>32-GTI</t>
        </is>
      </c>
      <c r="B735" s="10" t="inlineStr">
        <is>
          <t>APOYO</t>
        </is>
      </c>
      <c r="C735" s="10" t="inlineStr">
        <is>
          <t>Gestión de Tecnología de la Información</t>
        </is>
      </c>
      <c r="D735" s="10" t="inlineStr">
        <is>
          <t>GTI</t>
        </is>
      </c>
      <c r="E735" s="10" t="inlineStr">
        <is>
          <t>Gestión del Servicio y Soporte de TI</t>
        </is>
      </c>
      <c r="F735" s="10" t="inlineStr">
        <is>
          <t>-</t>
        </is>
      </c>
      <c r="G735" s="10" t="inlineStr">
        <is>
          <t>Mantenimiento correctivo de equipos</t>
        </is>
      </c>
      <c r="H735" s="10" t="inlineStr">
        <is>
          <t>Informe de mantenimiento de equipos</t>
        </is>
      </c>
      <c r="I735" s="10" t="inlineStr">
        <is>
          <t>Informe del mantenimientos realizados anexado al informe mensual, el detalle se obtiene del reporte compartido por el proveedor hartecnology que contiene el detalle del equipo diagnostico, valores, responsable</t>
        </is>
      </c>
      <c r="J735" s="10" t="inlineStr">
        <is>
          <t>Gestión del Servicio y Soporte de TI</t>
        </is>
      </c>
      <c r="K735" s="10" t="inlineStr">
        <is>
          <t>Asistente de Infraestructura tecnologica</t>
        </is>
      </c>
      <c r="L735" s="10" t="inlineStr">
        <is>
          <t>UBICACIÓN DIGITAL-EQUIPO DEL CUSTODIO</t>
        </is>
      </c>
      <c r="M735" s="10" t="inlineStr">
        <is>
          <t>DISCOS DUROS, SERVIDORES, DISCOS O MEDIOS PORTÁTILES, CINTAS O MEDIOS DE VIDEO Y AUDIO, ETC.</t>
        </is>
      </c>
      <c r="N735" s="10" t="inlineStr">
        <is>
          <t>PRIMARIOS</t>
        </is>
      </c>
      <c r="O735" s="10" t="inlineStr">
        <is>
          <t>DOCUMENTOS TÉCNICOS</t>
        </is>
      </c>
      <c r="P735" s="10" t="inlineStr">
        <is>
          <t>USO INTERNO(2)</t>
        </is>
      </c>
      <c r="Q735" s="10" t="inlineStr">
        <is>
          <t>BAJA(1)</t>
        </is>
      </c>
      <c r="R735" s="10" t="inlineStr">
        <is>
          <t>MEDIA(2)</t>
        </is>
      </c>
      <c r="S735" s="10">
        <f>+(IF(P735="PUBLICA(1)",1,IF(P735="USO INTERNO(2)",2,IF(P735="RESTRINGIDO(3)",3,3))))+(IF(Q735="BAJA(1)",1,IF(Q735="MEDIA(2)",2,IF(Q735="ALTA(3)",3,3))))+(IF(R735="BAJA(1)",1,IF(R735="MEDIA(2)",2,IF(R735="ALTA(3)",3,3))))</f>
        <v/>
      </c>
      <c r="T735" s="10">
        <f>+IF(S735&lt;6,"BAJA",IF(S735&lt;8,"MEDIA","ALTA"))</f>
        <v/>
      </c>
      <c r="U735" s="10" t="inlineStr">
        <is>
          <t>-</t>
        </is>
      </c>
      <c r="V735" s="24" t="n">
        <v>45687</v>
      </c>
      <c r="W735" s="19" t="inlineStr">
        <is>
          <t>N/A</t>
        </is>
      </c>
      <c r="X735" s="10">
        <f>+IFERROR(IF(VLOOKUP(Tabla2[[#This Row],[ID]],'EVALUACION DE RIESGO'!A:A,1,FALSE)=Tabla2[[#This Row],[ID]],"SI","NO"),"NO")</f>
        <v/>
      </c>
      <c r="AD735">
        <f>IF(AND(Y735="",AA735=""),"",IF(OR(LEFT(AA735,2)="L0",LEFT(AA735,2)="L1",Y735="No Iniciado"),"CRÍTICO - Incumplimiento Normativo SEPS",IF(AND(OR(LEFT(AA735,2)="L4",LEFT(AA735,2)="L5"),AND(AC735&lt;&gt;"",AC735&lt;&gt;"N/A")),"CONFORME - Control Efectivo ISO 27001","OBSERVACIÓN - Revisar Controles")))</f>
        <v/>
      </c>
    </row>
    <row r="736">
      <c r="A736" s="99" t="inlineStr">
        <is>
          <t>33-GTI</t>
        </is>
      </c>
      <c r="B736" s="10" t="inlineStr">
        <is>
          <t>APOYO</t>
        </is>
      </c>
      <c r="C736" s="10" t="inlineStr">
        <is>
          <t>Gestión de Tecnología de la Información</t>
        </is>
      </c>
      <c r="D736" s="10" t="inlineStr">
        <is>
          <t>GTI</t>
        </is>
      </c>
      <c r="E736" s="10" t="inlineStr">
        <is>
          <t>Gestión del Servicio y Soporte de TI</t>
        </is>
      </c>
      <c r="F736" s="10" t="inlineStr">
        <is>
          <t>-</t>
        </is>
      </c>
      <c r="G736" s="10" t="inlineStr">
        <is>
          <t>Generación de reportes</t>
        </is>
      </c>
      <c r="H736" s="10" t="inlineStr">
        <is>
          <t>Reportes</t>
        </is>
      </c>
      <c r="I736" s="10" t="inlineStr">
        <is>
          <t>Respuesta el requerimiento por service desk adjunto el SQL del nuevo reporte</t>
        </is>
      </c>
      <c r="J736" s="10" t="inlineStr">
        <is>
          <t>Gestión del Servicio y Soporte de TI</t>
        </is>
      </c>
      <c r="K736" s="10" t="inlineStr">
        <is>
          <t>Asistente de Infraestructura tecnologica</t>
        </is>
      </c>
      <c r="L736" s="10" t="inlineStr">
        <is>
          <t>UBICACIÓN DIGITAL-WEBCOOP</t>
        </is>
      </c>
      <c r="M736" s="10" t="inlineStr">
        <is>
          <t>SISTEMAS DE INFORMACIÓN CORPORATIVOS</t>
        </is>
      </c>
      <c r="N736" s="10" t="inlineStr">
        <is>
          <t>PRIMARIOS</t>
        </is>
      </c>
      <c r="O736" s="10" t="inlineStr">
        <is>
          <t>DOCUMENTOS TÉCNICOS</t>
        </is>
      </c>
      <c r="P736" s="10" t="inlineStr">
        <is>
          <t>USO INTERNO(2)</t>
        </is>
      </c>
      <c r="Q736" s="10" t="inlineStr">
        <is>
          <t>BAJA(1)</t>
        </is>
      </c>
      <c r="R736" s="10" t="inlineStr">
        <is>
          <t>MEDIA(2)</t>
        </is>
      </c>
      <c r="S736" s="10">
        <f>+(IF(P736="PUBLICA(1)",1,IF(P736="USO INTERNO(2)",2,IF(P736="RESTRINGIDO(3)",3,3))))+(IF(Q736="BAJA(1)",1,IF(Q736="MEDIA(2)",2,IF(Q736="ALTA(3)",3,3))))+(IF(R736="BAJA(1)",1,IF(R736="MEDIA(2)",2,IF(R736="ALTA(3)",3,3))))</f>
        <v/>
      </c>
      <c r="T736" s="10">
        <f>+IF(S736&lt;6,"BAJA",IF(S736&lt;8,"MEDIA","ALTA"))</f>
        <v/>
      </c>
      <c r="U736" s="10" t="inlineStr">
        <is>
          <t>-</t>
        </is>
      </c>
      <c r="V736" s="24" t="n">
        <v>45687</v>
      </c>
      <c r="W736" s="19" t="inlineStr">
        <is>
          <t>N/A</t>
        </is>
      </c>
      <c r="X736" s="10">
        <f>+IFERROR(IF(VLOOKUP(Tabla2[[#This Row],[ID]],'EVALUACION DE RIESGO'!A:A,1,FALSE)=Tabla2[[#This Row],[ID]],"SI","NO"),"NO")</f>
        <v/>
      </c>
      <c r="AD736">
        <f>IF(AND(Y736="",AA736=""),"",IF(OR(LEFT(AA736,2)="L0",LEFT(AA736,2)="L1",Y736="No Iniciado"),"CRÍTICO - Incumplimiento Normativo SEPS",IF(AND(OR(LEFT(AA736,2)="L4",LEFT(AA736,2)="L5"),AND(AC736&lt;&gt;"",AC736&lt;&gt;"N/A")),"CONFORME - Control Efectivo ISO 27001","OBSERVACIÓN - Revisar Controles")))</f>
        <v/>
      </c>
    </row>
    <row r="737">
      <c r="A737" s="99" t="inlineStr">
        <is>
          <t>34-GTI</t>
        </is>
      </c>
      <c r="B737" s="10" t="inlineStr">
        <is>
          <t>APOYO</t>
        </is>
      </c>
      <c r="C737" s="10" t="inlineStr">
        <is>
          <t>Gestión de Tecnología de la Información</t>
        </is>
      </c>
      <c r="D737" s="10" t="inlineStr">
        <is>
          <t>GTI</t>
        </is>
      </c>
      <c r="E737" s="10" t="inlineStr">
        <is>
          <t>Gestión del Servicio y Soporte de TI</t>
        </is>
      </c>
      <c r="F737" s="10" t="inlineStr">
        <is>
          <t>-</t>
        </is>
      </c>
      <c r="G737" s="10" t="inlineStr">
        <is>
          <t>Registro y respaldo de software</t>
        </is>
      </c>
      <c r="H737" s="10" t="inlineStr">
        <is>
          <t>Inventario de software</t>
        </is>
      </c>
      <c r="I737" s="10" t="inlineStr">
        <is>
          <t>Respaldo del inventario de aplicaciones(mensual)</t>
        </is>
      </c>
      <c r="J737" s="10" t="inlineStr">
        <is>
          <t>Gestión del Servicio y Soporte de TI</t>
        </is>
      </c>
      <c r="K737" s="10" t="inlineStr">
        <is>
          <t>Asistente de Infraestructura tecnologica</t>
        </is>
      </c>
      <c r="L737" s="10" t="inlineStr">
        <is>
          <t>DISCO DURO EXTERNO</t>
        </is>
      </c>
      <c r="M737" s="10" t="inlineStr">
        <is>
          <t>DISCOS DUROS, SERVIDORES, DISCOS O MEDIOS PORTÁTILES, CINTAS O MEDIOS DE VIDEO Y AUDIO, ETC.</t>
        </is>
      </c>
      <c r="N737" s="10" t="inlineStr">
        <is>
          <t>PRIMARIOS</t>
        </is>
      </c>
      <c r="O737" s="10" t="inlineStr">
        <is>
          <t>DOCUMENTOS TÉCNICOS</t>
        </is>
      </c>
      <c r="P737" s="10" t="inlineStr">
        <is>
          <t>USO INTERNO(2)</t>
        </is>
      </c>
      <c r="Q737" s="10" t="inlineStr">
        <is>
          <t>MEDIA(2)</t>
        </is>
      </c>
      <c r="R737" s="10" t="inlineStr">
        <is>
          <t>BAJA(1)</t>
        </is>
      </c>
      <c r="S737" s="10">
        <f>+(IF(P737="PUBLICA(1)",1,IF(P737="USO INTERNO(2)",2,IF(P737="RESTRINGIDO(3)",3,3))))+(IF(Q737="BAJA(1)",1,IF(Q737="MEDIA(2)",2,IF(Q737="ALTA(3)",3,3))))+(IF(R737="BAJA(1)",1,IF(R737="MEDIA(2)",2,IF(R737="ALTA(3)",3,3))))</f>
        <v/>
      </c>
      <c r="T737" s="10">
        <f>+IF(S737&lt;6,"BAJA",IF(S737&lt;8,"MEDIA","ALTA"))</f>
        <v/>
      </c>
      <c r="U737" s="10" t="inlineStr">
        <is>
          <t>-</t>
        </is>
      </c>
      <c r="V737" s="24" t="n">
        <v>45687</v>
      </c>
      <c r="W737" s="19" t="inlineStr">
        <is>
          <t>N/A</t>
        </is>
      </c>
      <c r="X737" s="10">
        <f>+IFERROR(IF(VLOOKUP(Tabla2[[#This Row],[ID]],'EVALUACION DE RIESGO'!A:A,1,FALSE)=Tabla2[[#This Row],[ID]],"SI","NO"),"NO")</f>
        <v/>
      </c>
      <c r="AD737">
        <f>IF(AND(Y737="",AA737=""),"",IF(OR(LEFT(AA737,2)="L0",LEFT(AA737,2)="L1",Y737="No Iniciado"),"CRÍTICO - Incumplimiento Normativo SEPS",IF(AND(OR(LEFT(AA737,2)="L4",LEFT(AA737,2)="L5"),AND(AC737&lt;&gt;"",AC737&lt;&gt;"N/A")),"CONFORME - Control Efectivo ISO 27001","OBSERVACIÓN - Revisar Controles")))</f>
        <v/>
      </c>
    </row>
    <row r="738">
      <c r="A738" s="99" t="inlineStr">
        <is>
          <t>35-GTI</t>
        </is>
      </c>
      <c r="B738" s="10" t="inlineStr">
        <is>
          <t>APOYO</t>
        </is>
      </c>
      <c r="C738" s="10" t="inlineStr">
        <is>
          <t>Gestión de Tecnología de la Información</t>
        </is>
      </c>
      <c r="D738" s="10" t="inlineStr">
        <is>
          <t>GTI</t>
        </is>
      </c>
      <c r="E738" s="10" t="inlineStr">
        <is>
          <t>Gestión de Seguridad Informática</t>
        </is>
      </c>
      <c r="F738" s="10" t="inlineStr">
        <is>
          <t>-</t>
        </is>
      </c>
      <c r="G738" s="10" t="inlineStr">
        <is>
          <t>Administración de la seguridad perimetral</t>
        </is>
      </c>
      <c r="H738" s="10" t="inlineStr">
        <is>
          <t>Informe de gestión</t>
        </is>
      </c>
      <c r="I738" s="10" t="inlineStr">
        <is>
          <t>Análisis , documentación y gestión de inconvenientes y ejecución de nuevos controles y políticas de seguridad</t>
        </is>
      </c>
      <c r="J738" s="10" t="inlineStr">
        <is>
          <t>Administrador de seguridad informática</t>
        </is>
      </c>
      <c r="K738" s="10" t="inlineStr">
        <is>
          <t>Administrador de Seguridad Informática</t>
        </is>
      </c>
      <c r="L738" s="10" t="inlineStr">
        <is>
          <t>UBICACIÓN DIGITAL-EQUIPO DEL CUSTODIO</t>
        </is>
      </c>
      <c r="M738" s="10" t="inlineStr">
        <is>
          <t>DISCOS DUROS, SERVIDORES, DISCOS O MEDIOS PORTÁTILES, CINTAS O MEDIOS DE VIDEO Y AUDIO, ETC.</t>
        </is>
      </c>
      <c r="N738" s="10" t="inlineStr">
        <is>
          <t>PRIMARIOS</t>
        </is>
      </c>
      <c r="O738" s="10" t="inlineStr">
        <is>
          <t>DOCUMENTOS TÉCNICOS</t>
        </is>
      </c>
      <c r="P738" s="10" t="inlineStr">
        <is>
          <t>RESTRINGIDO(3)</t>
        </is>
      </c>
      <c r="Q738" s="10" t="inlineStr">
        <is>
          <t>BAJA(1)</t>
        </is>
      </c>
      <c r="R738" s="10" t="inlineStr">
        <is>
          <t>MEDIA(2)</t>
        </is>
      </c>
      <c r="S738" s="10">
        <f>+(IF(P738="PUBLICA(1)",1,IF(P738="USO INTERNO(2)",2,IF(P738="RESTRINGIDO(3)",3,3))))+(IF(Q738="BAJA(1)",1,IF(Q738="MEDIA(2)",2,IF(Q738="ALTA(3)",3,3))))+(IF(R738="BAJA(1)",1,IF(R738="MEDIA(2)",2,IF(R738="ALTA(3)",3,3))))</f>
        <v/>
      </c>
      <c r="T738" s="10">
        <f>+IF(S738&lt;6,"BAJA",IF(S738&lt;8,"MEDIA","ALTA"))</f>
        <v/>
      </c>
      <c r="U738" s="10" t="inlineStr">
        <is>
          <t>-</t>
        </is>
      </c>
      <c r="V738" s="24" t="n">
        <v>45687</v>
      </c>
      <c r="W738" s="19" t="inlineStr">
        <is>
          <t>N/A</t>
        </is>
      </c>
      <c r="X738" s="10">
        <f>+IFERROR(IF(VLOOKUP(Tabla2[[#This Row],[ID]],'EVALUACION DE RIESGO'!A:A,1,FALSE)=Tabla2[[#This Row],[ID]],"SI","NO"),"NO")</f>
        <v/>
      </c>
      <c r="AD738">
        <f>IF(AND(Y738="",AA738=""),"",IF(OR(LEFT(AA738,2)="L0",LEFT(AA738,2)="L1",Y738="No Iniciado"),"CRÍTICO - Incumplimiento Normativo SEPS",IF(AND(OR(LEFT(AA738,2)="L4",LEFT(AA738,2)="L5"),AND(AC738&lt;&gt;"",AC738&lt;&gt;"N/A")),"CONFORME - Control Efectivo ISO 27001","OBSERVACIÓN - Revisar Controles")))</f>
        <v/>
      </c>
    </row>
    <row r="739">
      <c r="A739" s="99" t="inlineStr">
        <is>
          <t>36-GTI</t>
        </is>
      </c>
      <c r="B739" s="10" t="inlineStr">
        <is>
          <t>APOYO</t>
        </is>
      </c>
      <c r="C739" s="10" t="inlineStr">
        <is>
          <t>Gestión de Tecnología de la Información</t>
        </is>
      </c>
      <c r="D739" s="10" t="inlineStr">
        <is>
          <t>GTI</t>
        </is>
      </c>
      <c r="E739" s="10" t="inlineStr">
        <is>
          <t>Gestión de Seguridad Informática</t>
        </is>
      </c>
      <c r="F739" s="10" t="inlineStr">
        <is>
          <t>-</t>
        </is>
      </c>
      <c r="G739" s="10" t="inlineStr">
        <is>
          <t>Control de software malicioso</t>
        </is>
      </c>
      <c r="H739" s="10" t="inlineStr">
        <is>
          <t>Informe de gestión</t>
        </is>
      </c>
      <c r="I739" s="10" t="inlineStr">
        <is>
          <t>Registro de revisión y mantenimiento de equipos infectados, de ser necesario se planifica acciones adicionales a las realizadas</t>
        </is>
      </c>
      <c r="J739" s="10" t="inlineStr">
        <is>
          <t>Administrador de seguridad informática</t>
        </is>
      </c>
      <c r="K739" s="10" t="inlineStr">
        <is>
          <t>Administrador de Seguridad Informática</t>
        </is>
      </c>
      <c r="L739" s="10" t="inlineStr">
        <is>
          <t>UBICACIÓN DIGITAL-EQUIPO DEL CUSTODIO</t>
        </is>
      </c>
      <c r="M739" s="10" t="inlineStr">
        <is>
          <t>DISCOS DUROS, SERVIDORES, DISCOS O MEDIOS PORTÁTILES, CINTAS O MEDIOS DE VIDEO Y AUDIO, ETC.</t>
        </is>
      </c>
      <c r="N739" s="10" t="inlineStr">
        <is>
          <t>PRIMARIOS</t>
        </is>
      </c>
      <c r="O739" s="10" t="inlineStr">
        <is>
          <t>DOCUMENTOS TÉCNICOS</t>
        </is>
      </c>
      <c r="P739" s="10" t="inlineStr">
        <is>
          <t>USO INTERNO(2)</t>
        </is>
      </c>
      <c r="Q739" s="10" t="inlineStr">
        <is>
          <t>BAJA(1)</t>
        </is>
      </c>
      <c r="R739" s="10" t="inlineStr">
        <is>
          <t>MEDIA(2)</t>
        </is>
      </c>
      <c r="S739" s="10">
        <f>+(IF(P739="PUBLICA(1)",1,IF(P739="USO INTERNO(2)",2,IF(P739="RESTRINGIDO(3)",3,3))))+(IF(Q739="BAJA(1)",1,IF(Q739="MEDIA(2)",2,IF(Q739="ALTA(3)",3,3))))+(IF(R739="BAJA(1)",1,IF(R739="MEDIA(2)",2,IF(R739="ALTA(3)",3,3))))</f>
        <v/>
      </c>
      <c r="T739" s="10">
        <f>+IF(S739&lt;6,"BAJA",IF(S739&lt;8,"MEDIA","ALTA"))</f>
        <v/>
      </c>
      <c r="U739" s="10" t="inlineStr">
        <is>
          <t>-</t>
        </is>
      </c>
      <c r="V739" s="24" t="n">
        <v>45687</v>
      </c>
      <c r="W739" s="19" t="inlineStr">
        <is>
          <t>N/A</t>
        </is>
      </c>
      <c r="X739" s="10">
        <f>+IFERROR(IF(VLOOKUP(Tabla2[[#This Row],[ID]],'EVALUACION DE RIESGO'!A:A,1,FALSE)=Tabla2[[#This Row],[ID]],"SI","NO"),"NO")</f>
        <v/>
      </c>
      <c r="AD739">
        <f>IF(AND(Y739="",AA739=""),"",IF(OR(LEFT(AA739,2)="L0",LEFT(AA739,2)="L1",Y739="No Iniciado"),"CRÍTICO - Incumplimiento Normativo SEPS",IF(AND(OR(LEFT(AA739,2)="L4",LEFT(AA739,2)="L5"),AND(AC739&lt;&gt;"",AC739&lt;&gt;"N/A")),"CONFORME - Control Efectivo ISO 27001","OBSERVACIÓN - Revisar Controles")))</f>
        <v/>
      </c>
    </row>
    <row r="740">
      <c r="A740" s="99" t="inlineStr">
        <is>
          <t>37-GTI</t>
        </is>
      </c>
      <c r="B740" s="10" t="inlineStr">
        <is>
          <t>APOYO</t>
        </is>
      </c>
      <c r="C740" s="10" t="inlineStr">
        <is>
          <t>Gestión de Tecnología de la Información</t>
        </is>
      </c>
      <c r="D740" s="10" t="inlineStr">
        <is>
          <t>GTI</t>
        </is>
      </c>
      <c r="E740" s="10" t="inlineStr">
        <is>
          <t>Gestión de Seguridad Informática</t>
        </is>
      </c>
      <c r="F740" s="10" t="inlineStr">
        <is>
          <t>-</t>
        </is>
      </c>
      <c r="G740" s="10" t="inlineStr">
        <is>
          <t xml:space="preserve">Administración web     </t>
        </is>
      </c>
      <c r="H740" s="10" t="inlineStr">
        <is>
          <t>Requerimiento de Service desk</t>
        </is>
      </c>
      <c r="I740" s="10" t="inlineStr">
        <is>
          <t>Registro de accesos requeridos por los usuarios</t>
        </is>
      </c>
      <c r="J740" s="10" t="inlineStr">
        <is>
          <t>Administrador de seguridad informática</t>
        </is>
      </c>
      <c r="K740" s="10" t="inlineStr">
        <is>
          <t>Administrador de Seguridad Informática</t>
        </is>
      </c>
      <c r="L740" s="10" t="inlineStr">
        <is>
          <t>UBICACIÓN DIGITAL-WEBCOOP</t>
        </is>
      </c>
      <c r="M740" s="10" t="inlineStr">
        <is>
          <t>SISTEMAS DE INFORMACIÓN CORPORATIVOS</t>
        </is>
      </c>
      <c r="N740" s="10" t="inlineStr">
        <is>
          <t>PRIMARIOS</t>
        </is>
      </c>
      <c r="O740" s="10" t="inlineStr">
        <is>
          <t>DOCUMENTOS TÉCNICOS</t>
        </is>
      </c>
      <c r="P740" s="10" t="inlineStr">
        <is>
          <t>USO INTERNO(2)</t>
        </is>
      </c>
      <c r="Q740" s="10" t="inlineStr">
        <is>
          <t>BAJA(1)</t>
        </is>
      </c>
      <c r="R740" s="10" t="inlineStr">
        <is>
          <t>MEDIA(2)</t>
        </is>
      </c>
      <c r="S740" s="10">
        <f>+(IF(P740="PUBLICA(1)",1,IF(P740="USO INTERNO(2)",2,IF(P740="RESTRINGIDO(3)",3,3))))+(IF(Q740="BAJA(1)",1,IF(Q740="MEDIA(2)",2,IF(Q740="ALTA(3)",3,3))))+(IF(R740="BAJA(1)",1,IF(R740="MEDIA(2)",2,IF(R740="ALTA(3)",3,3))))</f>
        <v/>
      </c>
      <c r="T740" s="10">
        <f>+IF(S740&lt;6,"BAJA",IF(S740&lt;8,"MEDIA","ALTA"))</f>
        <v/>
      </c>
      <c r="U740" s="10" t="inlineStr">
        <is>
          <t>-</t>
        </is>
      </c>
      <c r="V740" s="24" t="n">
        <v>45687</v>
      </c>
      <c r="W740" s="19" t="inlineStr">
        <is>
          <t>N/A</t>
        </is>
      </c>
      <c r="X740" s="10">
        <f>+IFERROR(IF(VLOOKUP(Tabla2[[#This Row],[ID]],'EVALUACION DE RIESGO'!A:A,1,FALSE)=Tabla2[[#This Row],[ID]],"SI","NO"),"NO")</f>
        <v/>
      </c>
      <c r="AD740">
        <f>IF(AND(Y740="",AA740=""),"",IF(OR(LEFT(AA740,2)="L0",LEFT(AA740,2)="L1",Y740="No Iniciado"),"CRÍTICO - Incumplimiento Normativo SEPS",IF(AND(OR(LEFT(AA740,2)="L4",LEFT(AA740,2)="L5"),AND(AC740&lt;&gt;"",AC740&lt;&gt;"N/A")),"CONFORME - Control Efectivo ISO 27001","OBSERVACIÓN - Revisar Controles")))</f>
        <v/>
      </c>
    </row>
    <row r="741">
      <c r="A741" s="99" t="inlineStr">
        <is>
          <t>38-GTI</t>
        </is>
      </c>
      <c r="B741" s="10" t="inlineStr">
        <is>
          <t>APOYO</t>
        </is>
      </c>
      <c r="C741" s="10" t="inlineStr">
        <is>
          <t>Gestión de Tecnología de la Información</t>
        </is>
      </c>
      <c r="D741" s="10" t="inlineStr">
        <is>
          <t>GTI</t>
        </is>
      </c>
      <c r="E741" s="10" t="inlineStr">
        <is>
          <t>Gestión de Seguridad Informática</t>
        </is>
      </c>
      <c r="F741" s="10" t="inlineStr">
        <is>
          <t>-</t>
        </is>
      </c>
      <c r="G741" s="10" t="inlineStr">
        <is>
          <t xml:space="preserve">Administración web     </t>
        </is>
      </c>
      <c r="H741" s="10" t="inlineStr">
        <is>
          <t>Informe de gestión</t>
        </is>
      </c>
      <c r="I741" s="10" t="inlineStr">
        <is>
          <t>Registro de la gestión de accesos realizada y reporte de incidentes cuando sea necesario.</t>
        </is>
      </c>
      <c r="J741" s="10" t="inlineStr">
        <is>
          <t>Administrador de seguridad informática</t>
        </is>
      </c>
      <c r="K741" s="10" t="inlineStr">
        <is>
          <t>Administrador de Seguridad Informática</t>
        </is>
      </c>
      <c r="L741" s="10" t="inlineStr">
        <is>
          <t>UBICACIÓN DIGITAL-EQUIPO DEL CUSTODIO</t>
        </is>
      </c>
      <c r="M741" s="10" t="inlineStr">
        <is>
          <t>DISCOS DUROS, SERVIDORES, DISCOS O MEDIOS PORTÁTILES, CINTAS O MEDIOS DE VIDEO Y AUDIO, ETC.</t>
        </is>
      </c>
      <c r="N741" s="10" t="inlineStr">
        <is>
          <t>PRIMARIOS</t>
        </is>
      </c>
      <c r="O741" s="10" t="inlineStr">
        <is>
          <t>DOCUMENTOS TÉCNICOS</t>
        </is>
      </c>
      <c r="P741" s="10" t="inlineStr">
        <is>
          <t>USO INTERNO(2)</t>
        </is>
      </c>
      <c r="Q741" s="10" t="inlineStr">
        <is>
          <t>BAJA(1)</t>
        </is>
      </c>
      <c r="R741" s="10" t="inlineStr">
        <is>
          <t>MEDIA(2)</t>
        </is>
      </c>
      <c r="S741" s="10">
        <f>+(IF(P741="PUBLICA(1)",1,IF(P741="USO INTERNO(2)",2,IF(P741="RESTRINGIDO(3)",3,3))))+(IF(Q741="BAJA(1)",1,IF(Q741="MEDIA(2)",2,IF(Q741="ALTA(3)",3,3))))+(IF(R741="BAJA(1)",1,IF(R741="MEDIA(2)",2,IF(R741="ALTA(3)",3,3))))</f>
        <v/>
      </c>
      <c r="T741" s="10">
        <f>+IF(S741&lt;6,"BAJA",IF(S741&lt;8,"MEDIA","ALTA"))</f>
        <v/>
      </c>
      <c r="U741" s="10" t="inlineStr">
        <is>
          <t>-</t>
        </is>
      </c>
      <c r="V741" s="24" t="n">
        <v>45687</v>
      </c>
      <c r="W741" s="19" t="inlineStr">
        <is>
          <t>N/A</t>
        </is>
      </c>
      <c r="X741" s="10">
        <f>+IFERROR(IF(VLOOKUP(Tabla2[[#This Row],[ID]],'EVALUACION DE RIESGO'!A:A,1,FALSE)=Tabla2[[#This Row],[ID]],"SI","NO"),"NO")</f>
        <v/>
      </c>
      <c r="AD741">
        <f>IF(AND(Y741="",AA741=""),"",IF(OR(LEFT(AA741,2)="L0",LEFT(AA741,2)="L1",Y741="No Iniciado"),"CRÍTICO - Incumplimiento Normativo SEPS",IF(AND(OR(LEFT(AA741,2)="L4",LEFT(AA741,2)="L5"),AND(AC741&lt;&gt;"",AC741&lt;&gt;"N/A")),"CONFORME - Control Efectivo ISO 27001","OBSERVACIÓN - Revisar Controles")))</f>
        <v/>
      </c>
    </row>
    <row r="742">
      <c r="A742" s="99" t="inlineStr">
        <is>
          <t>39-GTI</t>
        </is>
      </c>
      <c r="B742" s="10" t="inlineStr">
        <is>
          <t>APOYO</t>
        </is>
      </c>
      <c r="C742" s="10" t="inlineStr">
        <is>
          <t>Gestión de Tecnología de la Información</t>
        </is>
      </c>
      <c r="D742" s="10" t="inlineStr">
        <is>
          <t>GTI</t>
        </is>
      </c>
      <c r="E742" s="10" t="inlineStr">
        <is>
          <t>Gestión de Seguridad Informática</t>
        </is>
      </c>
      <c r="F742" s="10" t="inlineStr">
        <is>
          <t>-</t>
        </is>
      </c>
      <c r="G742" s="10" t="inlineStr">
        <is>
          <t xml:space="preserve">Administración de seguridad en equipos y servidores de aplicación       </t>
        </is>
      </c>
      <c r="H742" s="10" t="inlineStr">
        <is>
          <t>Requerimiento de Service desk</t>
        </is>
      </c>
      <c r="I742" s="10" t="inlineStr">
        <is>
          <t>Requerimiento de generación de llaves criptográficas</t>
        </is>
      </c>
      <c r="J742" s="10" t="inlineStr">
        <is>
          <t>Administrador de seguridad informática</t>
        </is>
      </c>
      <c r="K742" s="10" t="inlineStr">
        <is>
          <t>Administrador de Seguridad Informática</t>
        </is>
      </c>
      <c r="L742" s="10" t="inlineStr">
        <is>
          <t>UBICACIÓN DIGITAL-WEBCOOP</t>
        </is>
      </c>
      <c r="M742" s="10" t="inlineStr">
        <is>
          <t>SISTEMAS DE INFORMACIÓN CORPORATIVOS</t>
        </is>
      </c>
      <c r="N742" s="10" t="inlineStr">
        <is>
          <t>PRIMARIOS</t>
        </is>
      </c>
      <c r="O742" s="10" t="inlineStr">
        <is>
          <t>DOCUMENTOS TÉCNICOS</t>
        </is>
      </c>
      <c r="P742" s="10" t="inlineStr">
        <is>
          <t>RESTRINGIDO(3)</t>
        </is>
      </c>
      <c r="Q742" s="10" t="inlineStr">
        <is>
          <t>MEDIA(2)</t>
        </is>
      </c>
      <c r="R742" s="10" t="inlineStr">
        <is>
          <t>BAJA(1)</t>
        </is>
      </c>
      <c r="S742" s="10">
        <f>+(IF(P742="PUBLICA(1)",1,IF(P742="USO INTERNO(2)",2,IF(P742="RESTRINGIDO(3)",3,3))))+(IF(Q742="BAJA(1)",1,IF(Q742="MEDIA(2)",2,IF(Q742="ALTA(3)",3,3))))+(IF(R742="BAJA(1)",1,IF(R742="MEDIA(2)",2,IF(R742="ALTA(3)",3,3))))</f>
        <v/>
      </c>
      <c r="T742" s="10">
        <f>+IF(S742&lt;6,"BAJA",IF(S742&lt;8,"MEDIA","ALTA"))</f>
        <v/>
      </c>
      <c r="U742" s="10" t="inlineStr">
        <is>
          <t>-</t>
        </is>
      </c>
      <c r="V742" s="24" t="n">
        <v>45687</v>
      </c>
      <c r="W742" s="19" t="inlineStr">
        <is>
          <t>N/A</t>
        </is>
      </c>
      <c r="X742" s="10">
        <f>+IFERROR(IF(VLOOKUP(Tabla2[[#This Row],[ID]],'EVALUACION DE RIESGO'!A:A,1,FALSE)=Tabla2[[#This Row],[ID]],"SI","NO"),"NO")</f>
        <v/>
      </c>
      <c r="AD742">
        <f>IF(AND(Y742="",AA742=""),"",IF(OR(LEFT(AA742,2)="L0",LEFT(AA742,2)="L1",Y742="No Iniciado"),"CRÍTICO - Incumplimiento Normativo SEPS",IF(AND(OR(LEFT(AA742,2)="L4",LEFT(AA742,2)="L5"),AND(AC742&lt;&gt;"",AC742&lt;&gt;"N/A")),"CONFORME - Control Efectivo ISO 27001","OBSERVACIÓN - Revisar Controles")))</f>
        <v/>
      </c>
    </row>
    <row r="743">
      <c r="A743" s="99" t="inlineStr">
        <is>
          <t>40-GTI</t>
        </is>
      </c>
      <c r="B743" s="10" t="inlineStr">
        <is>
          <t>APOYO</t>
        </is>
      </c>
      <c r="C743" s="10" t="inlineStr">
        <is>
          <t>Gestión de Tecnología de la Información</t>
        </is>
      </c>
      <c r="D743" s="10" t="inlineStr">
        <is>
          <t>GTI</t>
        </is>
      </c>
      <c r="E743" s="10" t="inlineStr">
        <is>
          <t>Gestión de Seguridad Informática</t>
        </is>
      </c>
      <c r="F743" s="10" t="inlineStr">
        <is>
          <t>-</t>
        </is>
      </c>
      <c r="G743" s="10" t="inlineStr">
        <is>
          <t xml:space="preserve">Administración de seguridad en equipos y servidores de aplicación       </t>
        </is>
      </c>
      <c r="H743" s="10" t="inlineStr">
        <is>
          <t>Informe de gestión</t>
        </is>
      </c>
      <c r="I743" s="10" t="inlineStr">
        <is>
          <t>Realiza la gestión necesaria para la generación de componentes de encriptación</t>
        </is>
      </c>
      <c r="J743" s="10" t="inlineStr">
        <is>
          <t>Administrador de seguridad informática</t>
        </is>
      </c>
      <c r="K743" s="10" t="inlineStr">
        <is>
          <t>Administrador de Seguridad Informática</t>
        </is>
      </c>
      <c r="L743" s="10" t="inlineStr">
        <is>
          <t>UBICACIÓN DIGITAL-EQUIPO DEL CUSTODIO</t>
        </is>
      </c>
      <c r="M743" s="10" t="inlineStr">
        <is>
          <t>DISCOS DUROS, SERVIDORES, DISCOS O MEDIOS PORTÁTILES, CINTAS O MEDIOS DE VIDEO Y AUDIO, ETC.</t>
        </is>
      </c>
      <c r="N743" s="10" t="inlineStr">
        <is>
          <t>PRIMARIOS</t>
        </is>
      </c>
      <c r="O743" s="10" t="inlineStr">
        <is>
          <t>DOCUMENTOS TÉCNICOS</t>
        </is>
      </c>
      <c r="P743" s="10" t="inlineStr">
        <is>
          <t>RESTRINGIDO(3)</t>
        </is>
      </c>
      <c r="Q743" s="10" t="inlineStr">
        <is>
          <t>BAJA(1)</t>
        </is>
      </c>
      <c r="R743" s="10" t="inlineStr">
        <is>
          <t>MEDIA(2)</t>
        </is>
      </c>
      <c r="S743" s="10">
        <f>+(IF(P743="PUBLICA(1)",1,IF(P743="USO INTERNO(2)",2,IF(P743="RESTRINGIDO(3)",3,3))))+(IF(Q743="BAJA(1)",1,IF(Q743="MEDIA(2)",2,IF(Q743="ALTA(3)",3,3))))+(IF(R743="BAJA(1)",1,IF(R743="MEDIA(2)",2,IF(R743="ALTA(3)",3,3))))</f>
        <v/>
      </c>
      <c r="T743" s="10">
        <f>+IF(S743&lt;6,"BAJA",IF(S743&lt;8,"MEDIA","ALTA"))</f>
        <v/>
      </c>
      <c r="U743" s="10" t="inlineStr">
        <is>
          <t>-</t>
        </is>
      </c>
      <c r="V743" s="24" t="n">
        <v>45687</v>
      </c>
      <c r="W743" s="19" t="inlineStr">
        <is>
          <t>N/A</t>
        </is>
      </c>
      <c r="X743" s="10">
        <f>+IFERROR(IF(VLOOKUP(Tabla2[[#This Row],[ID]],'EVALUACION DE RIESGO'!A:A,1,FALSE)=Tabla2[[#This Row],[ID]],"SI","NO"),"NO")</f>
        <v/>
      </c>
      <c r="AD743">
        <f>IF(AND(Y743="",AA743=""),"",IF(OR(LEFT(AA743,2)="L0",LEFT(AA743,2)="L1",Y743="No Iniciado"),"CRÍTICO - Incumplimiento Normativo SEPS",IF(AND(OR(LEFT(AA743,2)="L4",LEFT(AA743,2)="L5"),AND(AC743&lt;&gt;"",AC743&lt;&gt;"N/A")),"CONFORME - Control Efectivo ISO 27001","OBSERVACIÓN - Revisar Controles")))</f>
        <v/>
      </c>
    </row>
    <row r="744">
      <c r="A744" s="99" t="inlineStr">
        <is>
          <t>41-GTI</t>
        </is>
      </c>
      <c r="B744" s="10" t="inlineStr">
        <is>
          <t>APOYO</t>
        </is>
      </c>
      <c r="C744" s="10" t="inlineStr">
        <is>
          <t>Gestión de Tecnología de la Información</t>
        </is>
      </c>
      <c r="D744" s="10" t="inlineStr">
        <is>
          <t>GTI</t>
        </is>
      </c>
      <c r="E744" s="10" t="inlineStr">
        <is>
          <t>Gestión de Seguridad Informática</t>
        </is>
      </c>
      <c r="F744" s="10" t="inlineStr">
        <is>
          <t>-</t>
        </is>
      </c>
      <c r="G744" s="10" t="inlineStr">
        <is>
          <t xml:space="preserve">Administración y virtualización de herramientas de seguridad </t>
        </is>
      </c>
      <c r="H744" s="10" t="inlineStr">
        <is>
          <t>Informe de gestión</t>
        </is>
      </c>
      <c r="I744" s="10" t="inlineStr">
        <is>
          <t>Validación del correcto funcionamiento y registro de acciones realizadas</t>
        </is>
      </c>
      <c r="J744" s="10" t="inlineStr">
        <is>
          <t>Administrador de seguridad informática</t>
        </is>
      </c>
      <c r="K744" s="10" t="inlineStr">
        <is>
          <t>Administrador de Seguridad Informática</t>
        </is>
      </c>
      <c r="L744" s="10" t="inlineStr">
        <is>
          <t>UBICACIÓN DIGITAL-EQUIPO DEL CUSTODIO</t>
        </is>
      </c>
      <c r="M744" s="10" t="inlineStr">
        <is>
          <t>DISCOS DUROS, SERVIDORES, DISCOS O MEDIOS PORTÁTILES, CINTAS O MEDIOS DE VIDEO Y AUDIO, ETC.</t>
        </is>
      </c>
      <c r="N744" s="10" t="inlineStr">
        <is>
          <t>PRIMARIOS</t>
        </is>
      </c>
      <c r="O744" s="10" t="inlineStr">
        <is>
          <t>DOCUMENTOS TÉCNICOS</t>
        </is>
      </c>
      <c r="P744" s="10" t="inlineStr">
        <is>
          <t>RESTRINGIDO(3)</t>
        </is>
      </c>
      <c r="Q744" s="10" t="inlineStr">
        <is>
          <t>BAJA(1)</t>
        </is>
      </c>
      <c r="R744" s="10" t="inlineStr">
        <is>
          <t>MEDIA(2)</t>
        </is>
      </c>
      <c r="S744" s="10">
        <f>+(IF(P744="PUBLICA(1)",1,IF(P744="USO INTERNO(2)",2,IF(P744="RESTRINGIDO(3)",3,3))))+(IF(Q744="BAJA(1)",1,IF(Q744="MEDIA(2)",2,IF(Q744="ALTA(3)",3,3))))+(IF(R744="BAJA(1)",1,IF(R744="MEDIA(2)",2,IF(R744="ALTA(3)",3,3))))</f>
        <v/>
      </c>
      <c r="T744" s="10">
        <f>+IF(S744&lt;6,"BAJA",IF(S744&lt;8,"MEDIA","ALTA"))</f>
        <v/>
      </c>
      <c r="U744" s="10" t="inlineStr">
        <is>
          <t>-</t>
        </is>
      </c>
      <c r="V744" s="24" t="n">
        <v>45687</v>
      </c>
      <c r="W744" s="19" t="inlineStr">
        <is>
          <t>N/A</t>
        </is>
      </c>
      <c r="X744" s="10">
        <f>+IFERROR(IF(VLOOKUP(Tabla2[[#This Row],[ID]],'EVALUACION DE RIESGO'!A:A,1,FALSE)=Tabla2[[#This Row],[ID]],"SI","NO"),"NO")</f>
        <v/>
      </c>
      <c r="AD744">
        <f>IF(AND(Y744="",AA744=""),"",IF(OR(LEFT(AA744,2)="L0",LEFT(AA744,2)="L1",Y744="No Iniciado"),"CRÍTICO - Incumplimiento Normativo SEPS",IF(AND(OR(LEFT(AA744,2)="L4",LEFT(AA744,2)="L5"),AND(AC744&lt;&gt;"",AC744&lt;&gt;"N/A")),"CONFORME - Control Efectivo ISO 27001","OBSERVACIÓN - Revisar Controles")))</f>
        <v/>
      </c>
    </row>
    <row r="745">
      <c r="A745" s="99" t="inlineStr">
        <is>
          <t>42-GTI</t>
        </is>
      </c>
      <c r="B745" s="10" t="inlineStr">
        <is>
          <t>APOYO</t>
        </is>
      </c>
      <c r="C745" s="10" t="inlineStr">
        <is>
          <t>Gestión de Tecnología de la Información</t>
        </is>
      </c>
      <c r="D745" s="10" t="inlineStr">
        <is>
          <t>GTI</t>
        </is>
      </c>
      <c r="E745" s="10" t="inlineStr">
        <is>
          <t>Gestión de Seguridad Informática</t>
        </is>
      </c>
      <c r="F745" s="10" t="inlineStr">
        <is>
          <t>-</t>
        </is>
      </c>
      <c r="G745" s="10" t="inlineStr">
        <is>
          <t xml:space="preserve">Gestión de respaldos        </t>
        </is>
      </c>
      <c r="H745" s="10" t="inlineStr">
        <is>
          <t>Informe de gestión</t>
        </is>
      </c>
      <c r="I745" s="10" t="inlineStr">
        <is>
          <t>Despliegue, revisión del correcto funcionamiento del respaldo y registro de actividades</t>
        </is>
      </c>
      <c r="J745" s="10" t="inlineStr">
        <is>
          <t>Administrador de seguridad informática</t>
        </is>
      </c>
      <c r="K745" s="10" t="inlineStr">
        <is>
          <t>Administrador de Seguridad Informática</t>
        </is>
      </c>
      <c r="L745" s="10" t="inlineStr">
        <is>
          <t>UBICACIÓN DIGITAL-EQUIPO DEL CUSTODIO</t>
        </is>
      </c>
      <c r="M745" s="10" t="inlineStr">
        <is>
          <t>DISCOS DUROS, SERVIDORES, DISCOS O MEDIOS PORTÁTILES, CINTAS O MEDIOS DE VIDEO Y AUDIO, ETC.</t>
        </is>
      </c>
      <c r="N745" s="10" t="inlineStr">
        <is>
          <t>PRIMARIOS</t>
        </is>
      </c>
      <c r="O745" s="10" t="inlineStr">
        <is>
          <t>DOCUMENTOS TÉCNICOS</t>
        </is>
      </c>
      <c r="P745" s="10" t="inlineStr">
        <is>
          <t>RESTRINGIDO(3)</t>
        </is>
      </c>
      <c r="Q745" s="10" t="inlineStr">
        <is>
          <t>MEDIA(2)</t>
        </is>
      </c>
      <c r="R745" s="10" t="inlineStr">
        <is>
          <t>MEDIA(2)</t>
        </is>
      </c>
      <c r="S745" s="10">
        <f>+(IF(P745="PUBLICA(1)",1,IF(P745="USO INTERNO(2)",2,IF(P745="RESTRINGIDO(3)",3,3))))+(IF(Q745="BAJA(1)",1,IF(Q745="MEDIA(2)",2,IF(Q745="ALTA(3)",3,3))))+(IF(R745="BAJA(1)",1,IF(R745="MEDIA(2)",2,IF(R745="ALTA(3)",3,3))))</f>
        <v/>
      </c>
      <c r="T745" s="10">
        <f>+IF(S745&lt;6,"BAJA",IF(S745&lt;8,"MEDIA","ALTA"))</f>
        <v/>
      </c>
      <c r="U745" s="10" t="inlineStr">
        <is>
          <t>-</t>
        </is>
      </c>
      <c r="V745" s="24" t="n">
        <v>45687</v>
      </c>
      <c r="W745" s="19" t="inlineStr">
        <is>
          <t>N/A</t>
        </is>
      </c>
      <c r="X745" s="10">
        <f>+IFERROR(IF(VLOOKUP(Tabla2[[#This Row],[ID]],'EVALUACION DE RIESGO'!A:A,1,FALSE)=Tabla2[[#This Row],[ID]],"SI","NO"),"NO")</f>
        <v/>
      </c>
      <c r="AD745">
        <f>IF(AND(Y745="",AA745=""),"",IF(OR(LEFT(AA745,2)="L0",LEFT(AA745,2)="L1",Y745="No Iniciado"),"CRÍTICO - Incumplimiento Normativo SEPS",IF(AND(OR(LEFT(AA745,2)="L4",LEFT(AA745,2)="L5"),AND(AC745&lt;&gt;"",AC745&lt;&gt;"N/A")),"CONFORME - Control Efectivo ISO 27001","OBSERVACIÓN - Revisar Controles")))</f>
        <v/>
      </c>
    </row>
    <row r="746">
      <c r="A746" s="99" t="inlineStr">
        <is>
          <t>43-GTI</t>
        </is>
      </c>
      <c r="B746" s="10" t="inlineStr">
        <is>
          <t>APOYO</t>
        </is>
      </c>
      <c r="C746" s="10" t="inlineStr">
        <is>
          <t>Gestión de Tecnología de la Información</t>
        </is>
      </c>
      <c r="D746" s="10" t="inlineStr">
        <is>
          <t>GTI</t>
        </is>
      </c>
      <c r="E746" s="10" t="inlineStr">
        <is>
          <t>Gestión de Seguridad Informática</t>
        </is>
      </c>
      <c r="F746" s="10" t="inlineStr">
        <is>
          <t>-</t>
        </is>
      </c>
      <c r="G746" s="10" t="inlineStr">
        <is>
          <t xml:space="preserve">Gestión de cambios en cuentas criticas </t>
        </is>
      </c>
      <c r="H746" s="10" t="inlineStr">
        <is>
          <t>Informe de gestión</t>
        </is>
      </c>
      <c r="I746" s="10" t="inlineStr">
        <is>
          <t>Registro de cambios realizados y custodia de las cuentas modificadas</t>
        </is>
      </c>
      <c r="J746" s="10" t="inlineStr">
        <is>
          <t>Administrador de seguridad informática</t>
        </is>
      </c>
      <c r="K746" s="10" t="inlineStr">
        <is>
          <t>Administrador de Seguridad Informática</t>
        </is>
      </c>
      <c r="L746" s="10" t="inlineStr">
        <is>
          <t>UBICACIÓN DIGITAL-EQUIPO DEL CUSTODIO</t>
        </is>
      </c>
      <c r="M746" s="10" t="inlineStr">
        <is>
          <t>DISCOS DUROS, SERVIDORES, DISCOS O MEDIOS PORTÁTILES, CINTAS O MEDIOS DE VIDEO Y AUDIO, ETC.</t>
        </is>
      </c>
      <c r="N746" s="10" t="inlineStr">
        <is>
          <t>PRIMARIOS</t>
        </is>
      </c>
      <c r="O746" s="10" t="inlineStr">
        <is>
          <t>DOCUMENTOS TÉCNICOS</t>
        </is>
      </c>
      <c r="P746" s="10" t="inlineStr">
        <is>
          <t>USO INTERNO(2)</t>
        </is>
      </c>
      <c r="Q746" s="10" t="inlineStr">
        <is>
          <t>BAJA(1)</t>
        </is>
      </c>
      <c r="R746" s="10" t="inlineStr">
        <is>
          <t>MEDIA(2)</t>
        </is>
      </c>
      <c r="S746" s="10">
        <f>+(IF(P746="PUBLICA(1)",1,IF(P746="USO INTERNO(2)",2,IF(P746="RESTRINGIDO(3)",3,3))))+(IF(Q746="BAJA(1)",1,IF(Q746="MEDIA(2)",2,IF(Q746="ALTA(3)",3,3))))+(IF(R746="BAJA(1)",1,IF(R746="MEDIA(2)",2,IF(R746="ALTA(3)",3,3))))</f>
        <v/>
      </c>
      <c r="T746" s="10">
        <f>+IF(S746&lt;6,"BAJA",IF(S746&lt;8,"MEDIA","ALTA"))</f>
        <v/>
      </c>
      <c r="U746" s="10" t="inlineStr">
        <is>
          <t>-</t>
        </is>
      </c>
      <c r="V746" s="24" t="n">
        <v>45687</v>
      </c>
      <c r="W746" s="19" t="inlineStr">
        <is>
          <t>N/A</t>
        </is>
      </c>
      <c r="X746" s="10">
        <f>+IFERROR(IF(VLOOKUP(Tabla2[[#This Row],[ID]],'EVALUACION DE RIESGO'!A:A,1,FALSE)=Tabla2[[#This Row],[ID]],"SI","NO"),"NO")</f>
        <v/>
      </c>
      <c r="AD746">
        <f>IF(AND(Y746="",AA746=""),"",IF(OR(LEFT(AA746,2)="L0",LEFT(AA746,2)="L1",Y746="No Iniciado"),"CRÍTICO - Incumplimiento Normativo SEPS",IF(AND(OR(LEFT(AA746,2)="L4",LEFT(AA746,2)="L5"),AND(AC746&lt;&gt;"",AC746&lt;&gt;"N/A")),"CONFORME - Control Efectivo ISO 27001","OBSERVACIÓN - Revisar Controles")))</f>
        <v/>
      </c>
    </row>
    <row r="747">
      <c r="A747" s="99" t="inlineStr">
        <is>
          <t>44-GTI</t>
        </is>
      </c>
      <c r="B747" s="10" t="inlineStr">
        <is>
          <t>APOYO</t>
        </is>
      </c>
      <c r="C747" s="10" t="inlineStr">
        <is>
          <t>Gestión de Tecnología de la Información</t>
        </is>
      </c>
      <c r="D747" s="10" t="inlineStr">
        <is>
          <t>GTI</t>
        </is>
      </c>
      <c r="E747" s="10" t="inlineStr">
        <is>
          <t>Gestión de Seguridad Informática</t>
        </is>
      </c>
      <c r="F747" s="10" t="inlineStr">
        <is>
          <t>-</t>
        </is>
      </c>
      <c r="G747" s="10" t="inlineStr">
        <is>
          <t xml:space="preserve">Administración de disponibilidad en las seguridades </t>
        </is>
      </c>
      <c r="H747" s="10" t="inlineStr">
        <is>
          <t>Informe de gestión</t>
        </is>
      </c>
      <c r="I747" s="10" t="inlineStr">
        <is>
          <t>Registro de los cambios y acciones realizadas</t>
        </is>
      </c>
      <c r="J747" s="10" t="inlineStr">
        <is>
          <t>Administrador de seguridad informática</t>
        </is>
      </c>
      <c r="K747" s="10" t="inlineStr">
        <is>
          <t>Administrador de Seguridad Informática</t>
        </is>
      </c>
      <c r="L747" s="10" t="inlineStr">
        <is>
          <t>UBICACIÓN DIGITAL-EQUIPO DEL CUSTODIO</t>
        </is>
      </c>
      <c r="M747" s="10" t="inlineStr">
        <is>
          <t>DISCOS DUROS, SERVIDORES, DISCOS O MEDIOS PORTÁTILES, CINTAS O MEDIOS DE VIDEO Y AUDIO, ETC.</t>
        </is>
      </c>
      <c r="N747" s="10" t="inlineStr">
        <is>
          <t>PRIMARIOS</t>
        </is>
      </c>
      <c r="O747" s="10" t="inlineStr">
        <is>
          <t>DOCUMENTOS TÉCNICOS</t>
        </is>
      </c>
      <c r="P747" s="10" t="inlineStr">
        <is>
          <t>USO INTERNO(2)</t>
        </is>
      </c>
      <c r="Q747" s="10" t="inlineStr">
        <is>
          <t>BAJA(1)</t>
        </is>
      </c>
      <c r="R747" s="10" t="inlineStr">
        <is>
          <t>MEDIA(2)</t>
        </is>
      </c>
      <c r="S747" s="10">
        <f>+(IF(P747="PUBLICA(1)",1,IF(P747="USO INTERNO(2)",2,IF(P747="RESTRINGIDO(3)",3,3))))+(IF(Q747="BAJA(1)",1,IF(Q747="MEDIA(2)",2,IF(Q747="ALTA(3)",3,3))))+(IF(R747="BAJA(1)",1,IF(R747="MEDIA(2)",2,IF(R747="ALTA(3)",3,3))))</f>
        <v/>
      </c>
      <c r="T747" s="10">
        <f>+IF(S747&lt;6,"BAJA",IF(S747&lt;8,"MEDIA","ALTA"))</f>
        <v/>
      </c>
      <c r="U747" s="10" t="inlineStr">
        <is>
          <t>-</t>
        </is>
      </c>
      <c r="V747" s="24" t="n">
        <v>45687</v>
      </c>
      <c r="W747" s="19" t="inlineStr">
        <is>
          <t>N/A</t>
        </is>
      </c>
      <c r="X747" s="10">
        <f>+IFERROR(IF(VLOOKUP(Tabla2[[#This Row],[ID]],'EVALUACION DE RIESGO'!A:A,1,FALSE)=Tabla2[[#This Row],[ID]],"SI","NO"),"NO")</f>
        <v/>
      </c>
      <c r="AD747">
        <f>IF(AND(Y747="",AA747=""),"",IF(OR(LEFT(AA747,2)="L0",LEFT(AA747,2)="L1",Y747="No Iniciado"),"CRÍTICO - Incumplimiento Normativo SEPS",IF(AND(OR(LEFT(AA747,2)="L4",LEFT(AA747,2)="L5"),AND(AC747&lt;&gt;"",AC747&lt;&gt;"N/A")),"CONFORME - Control Efectivo ISO 27001","OBSERVACIÓN - Revisar Controles")))</f>
        <v/>
      </c>
    </row>
    <row r="748">
      <c r="A748" s="99" t="inlineStr">
        <is>
          <t>45-GTI</t>
        </is>
      </c>
      <c r="B748" s="10" t="inlineStr">
        <is>
          <t>APOYO</t>
        </is>
      </c>
      <c r="C748" s="10" t="inlineStr">
        <is>
          <t>Gestión de Tecnología de la Información</t>
        </is>
      </c>
      <c r="D748" s="10" t="inlineStr">
        <is>
          <t>GTI</t>
        </is>
      </c>
      <c r="E748" s="10" t="inlineStr">
        <is>
          <t>Gestión de Seguridad Informática</t>
        </is>
      </c>
      <c r="F748" s="10" t="inlineStr">
        <is>
          <t>-</t>
        </is>
      </c>
      <c r="G748" s="10" t="inlineStr">
        <is>
          <t>Gestión de incidentes de seguridad</t>
        </is>
      </c>
      <c r="H748" s="10" t="inlineStr">
        <is>
          <t>Informe de gestión</t>
        </is>
      </c>
      <c r="I748" s="10" t="inlineStr">
        <is>
          <t>Informe de incidentes presentados, análisis y selección de nuevos controles que ayuden a mitigar los riesgos y lo incluye en plan de infraestructura</t>
        </is>
      </c>
      <c r="J748" s="10" t="inlineStr">
        <is>
          <t>Administrador de seguridad informática</t>
        </is>
      </c>
      <c r="K748" s="10" t="inlineStr">
        <is>
          <t>Administrador de Seguridad Informática</t>
        </is>
      </c>
      <c r="L748" s="10" t="inlineStr">
        <is>
          <t>UBICACIÓN DIGITAL-EQUIPO DEL CUSTODIO</t>
        </is>
      </c>
      <c r="M748" s="10" t="inlineStr">
        <is>
          <t>DISCOS DUROS, SERVIDORES, DISCOS O MEDIOS PORTÁTILES, CINTAS O MEDIOS DE VIDEO Y AUDIO, ETC.</t>
        </is>
      </c>
      <c r="N748" s="10" t="inlineStr">
        <is>
          <t>PRIMARIOS</t>
        </is>
      </c>
      <c r="O748" s="10" t="inlineStr">
        <is>
          <t>DOCUMENTOS TÉCNICOS</t>
        </is>
      </c>
      <c r="P748" s="10" t="inlineStr">
        <is>
          <t>RESTRINGIDO(3)</t>
        </is>
      </c>
      <c r="Q748" s="10" t="inlineStr">
        <is>
          <t>BAJA(1)</t>
        </is>
      </c>
      <c r="R748" s="10" t="inlineStr">
        <is>
          <t>MEDIA(2)</t>
        </is>
      </c>
      <c r="S748" s="10">
        <f>+(IF(P748="PUBLICA(1)",1,IF(P748="USO INTERNO(2)",2,IF(P748="RESTRINGIDO(3)",3,3))))+(IF(Q748="BAJA(1)",1,IF(Q748="MEDIA(2)",2,IF(Q748="ALTA(3)",3,3))))+(IF(R748="BAJA(1)",1,IF(R748="MEDIA(2)",2,IF(R748="ALTA(3)",3,3))))</f>
        <v/>
      </c>
      <c r="T748" s="10">
        <f>+IF(S748&lt;6,"BAJA",IF(S748&lt;8,"MEDIA","ALTA"))</f>
        <v/>
      </c>
      <c r="U748" s="10" t="inlineStr">
        <is>
          <t>-</t>
        </is>
      </c>
      <c r="V748" s="24" t="n">
        <v>45687</v>
      </c>
      <c r="W748" s="19" t="inlineStr">
        <is>
          <t>N/A</t>
        </is>
      </c>
      <c r="X748" s="10">
        <f>+IFERROR(IF(VLOOKUP(Tabla2[[#This Row],[ID]],'EVALUACION DE RIESGO'!A:A,1,FALSE)=Tabla2[[#This Row],[ID]],"SI","NO"),"NO")</f>
        <v/>
      </c>
      <c r="AD748">
        <f>IF(AND(Y748="",AA748=""),"",IF(OR(LEFT(AA748,2)="L0",LEFT(AA748,2)="L1",Y748="No Iniciado"),"CRÍTICO - Incumplimiento Normativo SEPS",IF(AND(OR(LEFT(AA748,2)="L4",LEFT(AA748,2)="L5"),AND(AC748&lt;&gt;"",AC748&lt;&gt;"N/A")),"CONFORME - Control Efectivo ISO 27001","OBSERVACIÓN - Revisar Controles")))</f>
        <v/>
      </c>
    </row>
    <row r="749">
      <c r="A749" s="99" t="inlineStr">
        <is>
          <t>46-GTI</t>
        </is>
      </c>
      <c r="B749" s="10" t="inlineStr">
        <is>
          <t>APOYO</t>
        </is>
      </c>
      <c r="C749" s="10" t="inlineStr">
        <is>
          <t>Gestión de Tecnología de la Información</t>
        </is>
      </c>
      <c r="D749" s="10" t="inlineStr">
        <is>
          <t>GTI</t>
        </is>
      </c>
      <c r="E749" s="10" t="inlineStr">
        <is>
          <t>Gestión de Seguridad Informática</t>
        </is>
      </c>
      <c r="F749" s="10" t="inlineStr">
        <is>
          <t>-</t>
        </is>
      </c>
      <c r="G749" s="10" t="inlineStr">
        <is>
          <t>Control de la seguridad de la red</t>
        </is>
      </c>
      <c r="H749" s="10" t="inlineStr">
        <is>
          <t>Informe de gestión</t>
        </is>
      </c>
      <c r="I749" s="10" t="inlineStr">
        <is>
          <t>Ejecución de planes de acción a las vulnerabilidades detectadas</t>
        </is>
      </c>
      <c r="J749" s="10" t="inlineStr">
        <is>
          <t>Administrador de seguridad informática</t>
        </is>
      </c>
      <c r="K749" s="10" t="inlineStr">
        <is>
          <t>Administrador de Seguridad Informática</t>
        </is>
      </c>
      <c r="L749" s="10" t="inlineStr">
        <is>
          <t>UBICACIÓN DIGITAL-EQUIPO DEL CUSTODIO</t>
        </is>
      </c>
      <c r="M749" s="10" t="inlineStr">
        <is>
          <t>DISCOS DUROS, SERVIDORES, DISCOS O MEDIOS PORTÁTILES, CINTAS O MEDIOS DE VIDEO Y AUDIO, ETC.</t>
        </is>
      </c>
      <c r="N749" s="10" t="inlineStr">
        <is>
          <t>PRIMARIOS</t>
        </is>
      </c>
      <c r="O749" s="10" t="inlineStr">
        <is>
          <t>DOCUMENTOS TÉCNICOS</t>
        </is>
      </c>
      <c r="P749" s="10" t="inlineStr">
        <is>
          <t>USO INTERNO(2)</t>
        </is>
      </c>
      <c r="Q749" s="10" t="inlineStr">
        <is>
          <t>BAJA(1)</t>
        </is>
      </c>
      <c r="R749" s="10" t="inlineStr">
        <is>
          <t>MEDIA(2)</t>
        </is>
      </c>
      <c r="S749" s="10">
        <f>+(IF(P749="PUBLICA(1)",1,IF(P749="USO INTERNO(2)",2,IF(P749="RESTRINGIDO(3)",3,3))))+(IF(Q749="BAJA(1)",1,IF(Q749="MEDIA(2)",2,IF(Q749="ALTA(3)",3,3))))+(IF(R749="BAJA(1)",1,IF(R749="MEDIA(2)",2,IF(R749="ALTA(3)",3,3))))</f>
        <v/>
      </c>
      <c r="T749" s="10">
        <f>+IF(S749&lt;6,"BAJA",IF(S749&lt;8,"MEDIA","ALTA"))</f>
        <v/>
      </c>
      <c r="U749" s="10" t="inlineStr">
        <is>
          <t>-</t>
        </is>
      </c>
      <c r="V749" s="24" t="n">
        <v>45687</v>
      </c>
      <c r="W749" s="19" t="inlineStr">
        <is>
          <t>N/A</t>
        </is>
      </c>
      <c r="X749" s="10">
        <f>+IFERROR(IF(VLOOKUP(Tabla2[[#This Row],[ID]],'EVALUACION DE RIESGO'!A:A,1,FALSE)=Tabla2[[#This Row],[ID]],"SI","NO"),"NO")</f>
        <v/>
      </c>
      <c r="AD749">
        <f>IF(AND(Y749="",AA749=""),"",IF(OR(LEFT(AA749,2)="L0",LEFT(AA749,2)="L1",Y749="No Iniciado"),"CRÍTICO - Incumplimiento Normativo SEPS",IF(AND(OR(LEFT(AA749,2)="L4",LEFT(AA749,2)="L5"),AND(AC749&lt;&gt;"",AC749&lt;&gt;"N/A")),"CONFORME - Control Efectivo ISO 27001","OBSERVACIÓN - Revisar Controles")))</f>
        <v/>
      </c>
    </row>
    <row r="750">
      <c r="A750" s="99" t="inlineStr">
        <is>
          <t>47-GTI</t>
        </is>
      </c>
      <c r="B750" s="10" t="inlineStr">
        <is>
          <t>APOYO</t>
        </is>
      </c>
      <c r="C750" s="10" t="inlineStr">
        <is>
          <t>Gestión de Tecnología de la Información</t>
        </is>
      </c>
      <c r="D750" s="10" t="inlineStr">
        <is>
          <t>GTI</t>
        </is>
      </c>
      <c r="E750" s="10" t="inlineStr">
        <is>
          <t>Gestión del Desarrollo del Software</t>
        </is>
      </c>
      <c r="F750" s="10" t="inlineStr">
        <is>
          <t>-</t>
        </is>
      </c>
      <c r="G750" s="10" t="inlineStr">
        <is>
          <t>Análisis del requerimiento</t>
        </is>
      </c>
      <c r="H750" s="10" t="inlineStr">
        <is>
          <t>Formulario de requerimiento legalizado</t>
        </is>
      </c>
      <c r="I750" s="10" t="inlineStr">
        <is>
          <t>Formulario que contiene toda la definición funcional del alcance del requerimiento, responsables, objetivo</t>
        </is>
      </c>
      <c r="J750" s="10" t="inlineStr">
        <is>
          <t>Administrador de desarrollo de software</t>
        </is>
      </c>
      <c r="K750" s="10" t="inlineStr">
        <is>
          <t>Jefe de Desarrollo de software</t>
        </is>
      </c>
      <c r="L750" s="10" t="inlineStr">
        <is>
          <t>UBICACIÓN DIGITAL-EQUIPO DEL RESPONSABLE</t>
        </is>
      </c>
      <c r="M750" s="10" t="inlineStr">
        <is>
          <t>DISCOS DUROS, SERVIDORES, DISCOS O MEDIOS PORTÁTILES, CINTAS O MEDIOS DE VIDEO Y AUDIO, ETC.</t>
        </is>
      </c>
      <c r="N750" s="10" t="inlineStr">
        <is>
          <t>PRIMARIOS</t>
        </is>
      </c>
      <c r="O750" s="10" t="inlineStr">
        <is>
          <t>DOCUMENTOS TÉCNICOS</t>
        </is>
      </c>
      <c r="P750" s="10" t="inlineStr">
        <is>
          <t>USO INTERNO(2)</t>
        </is>
      </c>
      <c r="Q750" s="10" t="inlineStr">
        <is>
          <t>BAJA(1)</t>
        </is>
      </c>
      <c r="R750" s="10" t="inlineStr">
        <is>
          <t>BAJA(1)</t>
        </is>
      </c>
      <c r="S750" s="10">
        <f>+(IF(P750="PUBLICA(1)",1,IF(P750="USO INTERNO(2)",2,IF(P750="RESTRINGIDO(3)",3,3))))+(IF(Q750="BAJA(1)",1,IF(Q750="MEDIA(2)",2,IF(Q750="ALTA(3)",3,3))))+(IF(R750="BAJA(1)",1,IF(R750="MEDIA(2)",2,IF(R750="ALTA(3)",3,3))))</f>
        <v/>
      </c>
      <c r="T750" s="10">
        <f>+IF(S750&lt;6,"BAJA",IF(S750&lt;8,"MEDIA","ALTA"))</f>
        <v/>
      </c>
      <c r="U750" s="10" t="inlineStr">
        <is>
          <t>-</t>
        </is>
      </c>
      <c r="V750" s="24" t="n">
        <v>45687</v>
      </c>
      <c r="W750" s="19" t="inlineStr">
        <is>
          <t>N/A</t>
        </is>
      </c>
      <c r="X750" s="10">
        <f>+IFERROR(IF(VLOOKUP(Tabla2[[#This Row],[ID]],'EVALUACION DE RIESGO'!A:A,1,FALSE)=Tabla2[[#This Row],[ID]],"SI","NO"),"NO")</f>
        <v/>
      </c>
      <c r="AD750">
        <f>IF(AND(Y750="",AA750=""),"",IF(OR(LEFT(AA750,2)="L0",LEFT(AA750,2)="L1",Y750="No Iniciado"),"CRÍTICO - Incumplimiento Normativo SEPS",IF(AND(OR(LEFT(AA750,2)="L4",LEFT(AA750,2)="L5"),AND(AC750&lt;&gt;"",AC750&lt;&gt;"N/A")),"CONFORME - Control Efectivo ISO 27001","OBSERVACIÓN - Revisar Controles")))</f>
        <v/>
      </c>
    </row>
    <row r="751">
      <c r="A751" s="99" t="inlineStr">
        <is>
          <t>48-GTI</t>
        </is>
      </c>
      <c r="B751" s="10" t="inlineStr">
        <is>
          <t>APOYO</t>
        </is>
      </c>
      <c r="C751" s="10" t="inlineStr">
        <is>
          <t>Gestión de Tecnología de la Información</t>
        </is>
      </c>
      <c r="D751" s="10" t="inlineStr">
        <is>
          <t>GTI</t>
        </is>
      </c>
      <c r="E751" s="10" t="inlineStr">
        <is>
          <t>Gestión del Desarrollo del Software</t>
        </is>
      </c>
      <c r="F751" s="10" t="inlineStr">
        <is>
          <t>-</t>
        </is>
      </c>
      <c r="G751" s="10" t="inlineStr">
        <is>
          <t>Diseño del software</t>
        </is>
      </c>
      <c r="H751" s="10" t="inlineStr">
        <is>
          <t>Diagramas de diseño del software</t>
        </is>
      </c>
      <c r="I751" s="10" t="inlineStr">
        <is>
          <t>Documento que contiene el diagrama de componentes, entidad relación de BDD y mecanismo de conexión con terceros</t>
        </is>
      </c>
      <c r="J751" s="10" t="inlineStr">
        <is>
          <t>Administrador de desarrollo de software</t>
        </is>
      </c>
      <c r="K751" s="10" t="inlineStr">
        <is>
          <t>Jefe de Desarrollo de software</t>
        </is>
      </c>
      <c r="L751" s="10" t="inlineStr">
        <is>
          <t>UBICACIÓN DIGITAL-EQUIPO DEL RESPONSABLE</t>
        </is>
      </c>
      <c r="M751" s="10" t="inlineStr">
        <is>
          <t>DISCOS DUROS, SERVIDORES, DISCOS O MEDIOS PORTÁTILES, CINTAS O MEDIOS DE VIDEO Y AUDIO, ETC.</t>
        </is>
      </c>
      <c r="N751" s="10" t="inlineStr">
        <is>
          <t>PRIMARIOS</t>
        </is>
      </c>
      <c r="O751" s="10" t="inlineStr">
        <is>
          <t>DOCUMENTOS TÉCNICOS</t>
        </is>
      </c>
      <c r="P751" s="10" t="inlineStr">
        <is>
          <t>USO INTERNO(2)</t>
        </is>
      </c>
      <c r="Q751" s="10" t="inlineStr">
        <is>
          <t>BAJA(1)</t>
        </is>
      </c>
      <c r="R751" s="10" t="inlineStr">
        <is>
          <t>MEDIA(2)</t>
        </is>
      </c>
      <c r="S751" s="10">
        <f>+(IF(P751="PUBLICA(1)",1,IF(P751="USO INTERNO(2)",2,IF(P751="RESTRINGIDO(3)",3,3))))+(IF(Q751="BAJA(1)",1,IF(Q751="MEDIA(2)",2,IF(Q751="ALTA(3)",3,3))))+(IF(R751="BAJA(1)",1,IF(R751="MEDIA(2)",2,IF(R751="ALTA(3)",3,3))))</f>
        <v/>
      </c>
      <c r="T751" s="10">
        <f>+IF(S751&lt;6,"BAJA",IF(S751&lt;8,"MEDIA","ALTA"))</f>
        <v/>
      </c>
      <c r="U751" s="10" t="inlineStr">
        <is>
          <t>-</t>
        </is>
      </c>
      <c r="V751" s="24" t="n">
        <v>45687</v>
      </c>
      <c r="W751" s="19" t="inlineStr">
        <is>
          <t>N/A</t>
        </is>
      </c>
      <c r="X751" s="10">
        <f>+IFERROR(IF(VLOOKUP(Tabla2[[#This Row],[ID]],'EVALUACION DE RIESGO'!A:A,1,FALSE)=Tabla2[[#This Row],[ID]],"SI","NO"),"NO")</f>
        <v/>
      </c>
      <c r="AD751">
        <f>IF(AND(Y751="",AA751=""),"",IF(OR(LEFT(AA751,2)="L0",LEFT(AA751,2)="L1",Y751="No Iniciado"),"CRÍTICO - Incumplimiento Normativo SEPS",IF(AND(OR(LEFT(AA751,2)="L4",LEFT(AA751,2)="L5"),AND(AC751&lt;&gt;"",AC751&lt;&gt;"N/A")),"CONFORME - Control Efectivo ISO 27001","OBSERVACIÓN - Revisar Controles")))</f>
        <v/>
      </c>
    </row>
    <row r="752">
      <c r="A752" s="99" t="inlineStr">
        <is>
          <t>49-GTI</t>
        </is>
      </c>
      <c r="B752" s="10" t="inlineStr">
        <is>
          <t>APOYO</t>
        </is>
      </c>
      <c r="C752" s="10" t="inlineStr">
        <is>
          <t>Gestión de Tecnología de la Información</t>
        </is>
      </c>
      <c r="D752" s="10" t="inlineStr">
        <is>
          <t>GTI</t>
        </is>
      </c>
      <c r="E752" s="10" t="inlineStr">
        <is>
          <t>Gestión del Desarrollo del Software</t>
        </is>
      </c>
      <c r="F752" s="10" t="inlineStr">
        <is>
          <t>-</t>
        </is>
      </c>
      <c r="G752" s="10" t="inlineStr">
        <is>
          <t>Diseño del software</t>
        </is>
      </c>
      <c r="H752" s="10" t="inlineStr">
        <is>
          <t>Diccionario de datos</t>
        </is>
      </c>
      <c r="I752" s="10" t="inlineStr">
        <is>
          <t>Diagrama de entidad relación y detalle estructural de cada tabla de BDD</t>
        </is>
      </c>
      <c r="J752" s="10" t="inlineStr">
        <is>
          <t>Administrador de desarrollo de software</t>
        </is>
      </c>
      <c r="K752" s="10" t="inlineStr">
        <is>
          <t>Jefe de Desarrollo de software</t>
        </is>
      </c>
      <c r="L752" s="10" t="inlineStr">
        <is>
          <t>UBICACIÓN DIGITAL-EQUIPO DEL RESPONSABLE</t>
        </is>
      </c>
      <c r="M752" s="10" t="inlineStr">
        <is>
          <t>DISCOS DUROS, SERVIDORES, DISCOS O MEDIOS PORTÁTILES, CINTAS O MEDIOS DE VIDEO Y AUDIO, ETC.</t>
        </is>
      </c>
      <c r="N752" s="10" t="inlineStr">
        <is>
          <t>PRIMARIOS</t>
        </is>
      </c>
      <c r="O752" s="10" t="inlineStr">
        <is>
          <t>DOCUMENTOS TÉCNICOS</t>
        </is>
      </c>
      <c r="P752" s="10" t="inlineStr">
        <is>
          <t>USO INTERNO(2)</t>
        </is>
      </c>
      <c r="Q752" s="10" t="inlineStr">
        <is>
          <t>BAJA(1)</t>
        </is>
      </c>
      <c r="R752" s="10" t="inlineStr">
        <is>
          <t>MEDIA(2)</t>
        </is>
      </c>
      <c r="S752" s="10">
        <f>+(IF(P752="PUBLICA(1)",1,IF(P752="USO INTERNO(2)",2,IF(P752="RESTRINGIDO(3)",3,3))))+(IF(Q752="BAJA(1)",1,IF(Q752="MEDIA(2)",2,IF(Q752="ALTA(3)",3,3))))+(IF(R752="BAJA(1)",1,IF(R752="MEDIA(2)",2,IF(R752="ALTA(3)",3,3))))</f>
        <v/>
      </c>
      <c r="T752" s="10">
        <f>+IF(S752&lt;6,"BAJA",IF(S752&lt;8,"MEDIA","ALTA"))</f>
        <v/>
      </c>
      <c r="U752" s="10" t="inlineStr">
        <is>
          <t>-</t>
        </is>
      </c>
      <c r="V752" s="24" t="n">
        <v>45687</v>
      </c>
      <c r="W752" s="19" t="inlineStr">
        <is>
          <t>N/A</t>
        </is>
      </c>
      <c r="X752" s="10">
        <f>+IFERROR(IF(VLOOKUP(Tabla2[[#This Row],[ID]],'EVALUACION DE RIESGO'!A:A,1,FALSE)=Tabla2[[#This Row],[ID]],"SI","NO"),"NO")</f>
        <v/>
      </c>
      <c r="AD752">
        <f>IF(AND(Y752="",AA752=""),"",IF(OR(LEFT(AA752,2)="L0",LEFT(AA752,2)="L1",Y752="No Iniciado"),"CRÍTICO - Incumplimiento Normativo SEPS",IF(AND(OR(LEFT(AA752,2)="L4",LEFT(AA752,2)="L5"),AND(AC752&lt;&gt;"",AC752&lt;&gt;"N/A")),"CONFORME - Control Efectivo ISO 27001","OBSERVACIÓN - Revisar Controles")))</f>
        <v/>
      </c>
    </row>
    <row r="753">
      <c r="A753" s="99" t="inlineStr">
        <is>
          <t>50-GTI</t>
        </is>
      </c>
      <c r="B753" s="10" t="inlineStr">
        <is>
          <t>APOYO</t>
        </is>
      </c>
      <c r="C753" s="10" t="inlineStr">
        <is>
          <t>Gestión de Tecnología de la Información</t>
        </is>
      </c>
      <c r="D753" s="10" t="inlineStr">
        <is>
          <t>GTI</t>
        </is>
      </c>
      <c r="E753" s="10" t="inlineStr">
        <is>
          <t>Gestión del Desarrollo del Software</t>
        </is>
      </c>
      <c r="F753" s="10" t="inlineStr">
        <is>
          <t>-</t>
        </is>
      </c>
      <c r="G753" s="10" t="inlineStr">
        <is>
          <t>Construcción del software</t>
        </is>
      </c>
      <c r="H753" s="10" t="inlineStr">
        <is>
          <t>Formulario de pruebas de aceptación</t>
        </is>
      </c>
      <c r="I753" s="10" t="inlineStr">
        <is>
          <t>Documento generado una vez certificado el desarrollo con firmas de autorización para el paso a producción</t>
        </is>
      </c>
      <c r="J753" s="10" t="inlineStr">
        <is>
          <t>Administrador de desarrollo de software</t>
        </is>
      </c>
      <c r="K753" s="10" t="inlineStr">
        <is>
          <t>Jefe de Desarrollo de software</t>
        </is>
      </c>
      <c r="L753" s="10" t="inlineStr">
        <is>
          <t>UBICACIÓN DIGITAL-EQUIPO DEL RESPONSABLE</t>
        </is>
      </c>
      <c r="M753" s="10" t="inlineStr">
        <is>
          <t>DISCOS DUROS, SERVIDORES, DISCOS O MEDIOS PORTÁTILES, CINTAS O MEDIOS DE VIDEO Y AUDIO, ETC.</t>
        </is>
      </c>
      <c r="N753" s="10" t="inlineStr">
        <is>
          <t>PRIMARIOS</t>
        </is>
      </c>
      <c r="O753" s="10" t="inlineStr">
        <is>
          <t>DOCUMENTOS TÉCNICOS</t>
        </is>
      </c>
      <c r="P753" s="10" t="inlineStr">
        <is>
          <t>USO INTERNO(2)</t>
        </is>
      </c>
      <c r="Q753" s="10" t="inlineStr">
        <is>
          <t>BAJA(1)</t>
        </is>
      </c>
      <c r="R753" s="10" t="inlineStr">
        <is>
          <t>MEDIA(2)</t>
        </is>
      </c>
      <c r="S753" s="10">
        <f>+(IF(P753="PUBLICA(1)",1,IF(P753="USO INTERNO(2)",2,IF(P753="RESTRINGIDO(3)",3,3))))+(IF(Q753="BAJA(1)",1,IF(Q753="MEDIA(2)",2,IF(Q753="ALTA(3)",3,3))))+(IF(R753="BAJA(1)",1,IF(R753="MEDIA(2)",2,IF(R753="ALTA(3)",3,3))))</f>
        <v/>
      </c>
      <c r="T753" s="10">
        <f>+IF(S753&lt;6,"BAJA",IF(S753&lt;8,"MEDIA","ALTA"))</f>
        <v/>
      </c>
      <c r="U753" s="10" t="inlineStr">
        <is>
          <t>-</t>
        </is>
      </c>
      <c r="V753" s="24" t="n">
        <v>45687</v>
      </c>
      <c r="W753" s="19" t="inlineStr">
        <is>
          <t>N/A</t>
        </is>
      </c>
      <c r="X753" s="10">
        <f>+IFERROR(IF(VLOOKUP(Tabla2[[#This Row],[ID]],'EVALUACION DE RIESGO'!A:A,1,FALSE)=Tabla2[[#This Row],[ID]],"SI","NO"),"NO")</f>
        <v/>
      </c>
      <c r="AD753">
        <f>IF(AND(Y753="",AA753=""),"",IF(OR(LEFT(AA753,2)="L0",LEFT(AA753,2)="L1",Y753="No Iniciado"),"CRÍTICO - Incumplimiento Normativo SEPS",IF(AND(OR(LEFT(AA753,2)="L4",LEFT(AA753,2)="L5"),AND(AC753&lt;&gt;"",AC753&lt;&gt;"N/A")),"CONFORME - Control Efectivo ISO 27001","OBSERVACIÓN - Revisar Controles")))</f>
        <v/>
      </c>
    </row>
    <row r="754">
      <c r="A754" s="99" t="inlineStr">
        <is>
          <t>51-GTI</t>
        </is>
      </c>
      <c r="B754" s="10" t="inlineStr">
        <is>
          <t>APOYO</t>
        </is>
      </c>
      <c r="C754" s="10" t="inlineStr">
        <is>
          <t>Gestión de Tecnología de la Información</t>
        </is>
      </c>
      <c r="D754" s="10" t="inlineStr">
        <is>
          <t>GTI</t>
        </is>
      </c>
      <c r="E754" s="10" t="inlineStr">
        <is>
          <t>Gestión del Desarrollo del Software</t>
        </is>
      </c>
      <c r="F754" s="10" t="inlineStr">
        <is>
          <t>-</t>
        </is>
      </c>
      <c r="G754" s="10" t="inlineStr">
        <is>
          <t>Construcción del software</t>
        </is>
      </c>
      <c r="H754" s="10" t="inlineStr">
        <is>
          <t>Formulario de paso a producción</t>
        </is>
      </c>
      <c r="I754" s="10" t="inlineStr">
        <is>
          <t>Formulario que contiene todo el detalle del despliegue en producción, scripts, configuraciones y demás insumos para implementar la solución, capacitaciones a usuarios.</t>
        </is>
      </c>
      <c r="J754" s="10" t="inlineStr">
        <is>
          <t>Administrador de desarrollo de software</t>
        </is>
      </c>
      <c r="K754" s="10" t="inlineStr">
        <is>
          <t>Jefe de Desarrollo de software</t>
        </is>
      </c>
      <c r="L754" s="10" t="inlineStr">
        <is>
          <t>UBICACIÓN DIGITAL-EQUIPO DEL RESPONSABLE</t>
        </is>
      </c>
      <c r="M754" s="10" t="inlineStr">
        <is>
          <t>DISCOS DUROS, SERVIDORES, DISCOS O MEDIOS PORTÁTILES, CINTAS O MEDIOS DE VIDEO Y AUDIO, ETC.</t>
        </is>
      </c>
      <c r="N754" s="10" t="inlineStr">
        <is>
          <t>PRIMARIOS</t>
        </is>
      </c>
      <c r="O754" s="10" t="inlineStr">
        <is>
          <t>DOCUMENTOS TÉCNICOS</t>
        </is>
      </c>
      <c r="P754" s="10" t="inlineStr">
        <is>
          <t>USO INTERNO(2)</t>
        </is>
      </c>
      <c r="Q754" s="10" t="inlineStr">
        <is>
          <t>BAJA(1)</t>
        </is>
      </c>
      <c r="R754" s="10" t="inlineStr">
        <is>
          <t>MEDIA(2)</t>
        </is>
      </c>
      <c r="S754" s="10">
        <f>+(IF(P754="PUBLICA(1)",1,IF(P754="USO INTERNO(2)",2,IF(P754="RESTRINGIDO(3)",3,3))))+(IF(Q754="BAJA(1)",1,IF(Q754="MEDIA(2)",2,IF(Q754="ALTA(3)",3,3))))+(IF(R754="BAJA(1)",1,IF(R754="MEDIA(2)",2,IF(R754="ALTA(3)",3,3))))</f>
        <v/>
      </c>
      <c r="T754" s="10">
        <f>+IF(S754&lt;6,"BAJA",IF(S754&lt;8,"MEDIA","ALTA"))</f>
        <v/>
      </c>
      <c r="U754" s="10" t="inlineStr">
        <is>
          <t>-</t>
        </is>
      </c>
      <c r="V754" s="24" t="n">
        <v>45687</v>
      </c>
      <c r="W754" s="19" t="inlineStr">
        <is>
          <t>N/A</t>
        </is>
      </c>
      <c r="X754" s="10">
        <f>+IFERROR(IF(VLOOKUP(Tabla2[[#This Row],[ID]],'EVALUACION DE RIESGO'!A:A,1,FALSE)=Tabla2[[#This Row],[ID]],"SI","NO"),"NO")</f>
        <v/>
      </c>
      <c r="AD754">
        <f>IF(AND(Y754="",AA754=""),"",IF(OR(LEFT(AA754,2)="L0",LEFT(AA754,2)="L1",Y754="No Iniciado"),"CRÍTICO - Incumplimiento Normativo SEPS",IF(AND(OR(LEFT(AA754,2)="L4",LEFT(AA754,2)="L5"),AND(AC754&lt;&gt;"",AC754&lt;&gt;"N/A")),"CONFORME - Control Efectivo ISO 27001","OBSERVACIÓN - Revisar Controles")))</f>
        <v/>
      </c>
    </row>
    <row r="755">
      <c r="A755" s="99" t="inlineStr">
        <is>
          <t>52-GTI</t>
        </is>
      </c>
      <c r="B755" s="10" t="inlineStr">
        <is>
          <t>APOYO</t>
        </is>
      </c>
      <c r="C755" s="10" t="inlineStr">
        <is>
          <t>Gestión de Tecnología de la Información</t>
        </is>
      </c>
      <c r="D755" s="10" t="inlineStr">
        <is>
          <t>GTI</t>
        </is>
      </c>
      <c r="E755" s="10" t="inlineStr">
        <is>
          <t>Gestión del Desarrollo del Software</t>
        </is>
      </c>
      <c r="F755" s="10" t="inlineStr">
        <is>
          <t>-</t>
        </is>
      </c>
      <c r="G755" s="10" t="inlineStr">
        <is>
          <t>Construcción del software</t>
        </is>
      </c>
      <c r="H755" s="10" t="inlineStr">
        <is>
          <t>Manual técnico del software</t>
        </is>
      </c>
      <c r="I755" s="10" t="inlineStr">
        <is>
          <t>Manual de instrucciones para el área de Infraestructura Operacional, con el retalle técnico del desarrollo</t>
        </is>
      </c>
      <c r="J755" s="10" t="inlineStr">
        <is>
          <t>Administrador de desarrollo de software</t>
        </is>
      </c>
      <c r="K755" s="10" t="inlineStr">
        <is>
          <t>Jefe de Desarrollo de software</t>
        </is>
      </c>
      <c r="L755" s="10" t="inlineStr">
        <is>
          <t>UBICACIÓN DIGITAL-EQUIPO DEL RESPONSABLE</t>
        </is>
      </c>
      <c r="M755" s="10" t="inlineStr">
        <is>
          <t>DISCOS DUROS, SERVIDORES, DISCOS O MEDIOS PORTÁTILES, CINTAS O MEDIOS DE VIDEO Y AUDIO, ETC.</t>
        </is>
      </c>
      <c r="N755" s="10" t="inlineStr">
        <is>
          <t>PRIMARIOS</t>
        </is>
      </c>
      <c r="O755" s="10" t="inlineStr">
        <is>
          <t>DOCUMENTOS TÉCNICOS</t>
        </is>
      </c>
      <c r="P755" s="10" t="inlineStr">
        <is>
          <t>USO INTERNO(2)</t>
        </is>
      </c>
      <c r="Q755" s="10" t="inlineStr">
        <is>
          <t>BAJA(1)</t>
        </is>
      </c>
      <c r="R755" s="10" t="inlineStr">
        <is>
          <t>MEDIA(2)</t>
        </is>
      </c>
      <c r="S755" s="10">
        <f>+(IF(P755="PUBLICA(1)",1,IF(P755="USO INTERNO(2)",2,IF(P755="RESTRINGIDO(3)",3,3))))+(IF(Q755="BAJA(1)",1,IF(Q755="MEDIA(2)",2,IF(Q755="ALTA(3)",3,3))))+(IF(R755="BAJA(1)",1,IF(R755="MEDIA(2)",2,IF(R755="ALTA(3)",3,3))))</f>
        <v/>
      </c>
      <c r="T755" s="10">
        <f>+IF(S755&lt;6,"BAJA",IF(S755&lt;8,"MEDIA","ALTA"))</f>
        <v/>
      </c>
      <c r="U755" s="10" t="inlineStr">
        <is>
          <t>-</t>
        </is>
      </c>
      <c r="V755" s="24" t="n">
        <v>45687</v>
      </c>
      <c r="W755" s="19" t="inlineStr">
        <is>
          <t>N/A</t>
        </is>
      </c>
      <c r="X755" s="10">
        <f>+IFERROR(IF(VLOOKUP(Tabla2[[#This Row],[ID]],'EVALUACION DE RIESGO'!A:A,1,FALSE)=Tabla2[[#This Row],[ID]],"SI","NO"),"NO")</f>
        <v/>
      </c>
      <c r="AD755">
        <f>IF(AND(Y755="",AA755=""),"",IF(OR(LEFT(AA755,2)="L0",LEFT(AA755,2)="L1",Y755="No Iniciado"),"CRÍTICO - Incumplimiento Normativo SEPS",IF(AND(OR(LEFT(AA755,2)="L4",LEFT(AA755,2)="L5"),AND(AC755&lt;&gt;"",AC755&lt;&gt;"N/A")),"CONFORME - Control Efectivo ISO 27001","OBSERVACIÓN - Revisar Controles")))</f>
        <v/>
      </c>
    </row>
    <row r="756">
      <c r="A756" s="99" t="inlineStr">
        <is>
          <t>53-GTI</t>
        </is>
      </c>
      <c r="B756" s="10" t="inlineStr">
        <is>
          <t>APOYO</t>
        </is>
      </c>
      <c r="C756" s="10" t="inlineStr">
        <is>
          <t>Gestión de Tecnología de la Información</t>
        </is>
      </c>
      <c r="D756" s="10" t="inlineStr">
        <is>
          <t>GTI</t>
        </is>
      </c>
      <c r="E756" s="10" t="inlineStr">
        <is>
          <t>Gestión del Desarrollo del Software</t>
        </is>
      </c>
      <c r="F756" s="10" t="inlineStr">
        <is>
          <t>-</t>
        </is>
      </c>
      <c r="G756" s="10" t="inlineStr">
        <is>
          <t>Construcción del software</t>
        </is>
      </c>
      <c r="H756" s="10" t="inlineStr">
        <is>
          <t>Manual de usuario</t>
        </is>
      </c>
      <c r="I756" s="10" t="inlineStr">
        <is>
          <t>Manual de la solución para el usuario final, funcionamiento de la implementación, datos de entrada y salida</t>
        </is>
      </c>
      <c r="J756" s="10" t="inlineStr">
        <is>
          <t>Administrador de desarrollo de software</t>
        </is>
      </c>
      <c r="K756" s="10" t="inlineStr">
        <is>
          <t>Jefe de Desarrollo de software</t>
        </is>
      </c>
      <c r="L756" s="10" t="inlineStr">
        <is>
          <t>UBICACIÓN DIGITAL-EQUIPO DEL RESPONSABLE</t>
        </is>
      </c>
      <c r="M756" s="10" t="inlineStr">
        <is>
          <t>DISCOS DUROS, SERVIDORES, DISCOS O MEDIOS PORTÁTILES, CINTAS O MEDIOS DE VIDEO Y AUDIO, ETC.</t>
        </is>
      </c>
      <c r="N756" s="10" t="inlineStr">
        <is>
          <t>PRIMARIOS</t>
        </is>
      </c>
      <c r="O756" s="10" t="inlineStr">
        <is>
          <t>DOCUMENTOS TÉCNICOS</t>
        </is>
      </c>
      <c r="P756" s="10" t="inlineStr">
        <is>
          <t>USO INTERNO(2)</t>
        </is>
      </c>
      <c r="Q756" s="10" t="inlineStr">
        <is>
          <t>BAJA(1)</t>
        </is>
      </c>
      <c r="R756" s="10" t="inlineStr">
        <is>
          <t>MEDIA(2)</t>
        </is>
      </c>
      <c r="S756" s="10">
        <f>+(IF(P756="PUBLICA(1)",1,IF(P756="USO INTERNO(2)",2,IF(P756="RESTRINGIDO(3)",3,3))))+(IF(Q756="BAJA(1)",1,IF(Q756="MEDIA(2)",2,IF(Q756="ALTA(3)",3,3))))+(IF(R756="BAJA(1)",1,IF(R756="MEDIA(2)",2,IF(R756="ALTA(3)",3,3))))</f>
        <v/>
      </c>
      <c r="T756" s="10">
        <f>+IF(S756&lt;6,"BAJA",IF(S756&lt;8,"MEDIA","ALTA"))</f>
        <v/>
      </c>
      <c r="U756" s="10" t="inlineStr">
        <is>
          <t>-</t>
        </is>
      </c>
      <c r="V756" s="24" t="n">
        <v>45687</v>
      </c>
      <c r="W756" s="19" t="inlineStr">
        <is>
          <t>N/A</t>
        </is>
      </c>
      <c r="X756" s="10">
        <f>+IFERROR(IF(VLOOKUP(Tabla2[[#This Row],[ID]],'EVALUACION DE RIESGO'!A:A,1,FALSE)=Tabla2[[#This Row],[ID]],"SI","NO"),"NO")</f>
        <v/>
      </c>
      <c r="AD756">
        <f>IF(AND(Y756="",AA756=""),"",IF(OR(LEFT(AA756,2)="L0",LEFT(AA756,2)="L1",Y756="No Iniciado"),"CRÍTICO - Incumplimiento Normativo SEPS",IF(AND(OR(LEFT(AA756,2)="L4",LEFT(AA756,2)="L5"),AND(AC756&lt;&gt;"",AC756&lt;&gt;"N/A")),"CONFORME - Control Efectivo ISO 27001","OBSERVACIÓN - Revisar Controles")))</f>
        <v/>
      </c>
    </row>
    <row r="757">
      <c r="A757" s="99" t="inlineStr">
        <is>
          <t>54-GTI</t>
        </is>
      </c>
      <c r="B757" s="10" t="inlineStr">
        <is>
          <t>APOYO</t>
        </is>
      </c>
      <c r="C757" s="10" t="inlineStr">
        <is>
          <t>Gestión de Tecnología de la Información</t>
        </is>
      </c>
      <c r="D757" s="10" t="inlineStr">
        <is>
          <t>GTI</t>
        </is>
      </c>
      <c r="E757" s="10" t="inlineStr">
        <is>
          <t>Gestión del Desarrollo del Software</t>
        </is>
      </c>
      <c r="F757" s="10" t="inlineStr">
        <is>
          <t>-</t>
        </is>
      </c>
      <c r="G757" s="10" t="inlineStr">
        <is>
          <t>Construcción del software</t>
        </is>
      </c>
      <c r="H757" s="10" t="inlineStr">
        <is>
          <t>Paquete de actualizaciones</t>
        </is>
      </c>
      <c r="I757" s="10" t="inlineStr">
        <is>
          <t>Detalle realizado en el Formulario de paso a producción en el caso de existir nuevas transacciones</t>
        </is>
      </c>
      <c r="J757" s="10" t="inlineStr">
        <is>
          <t>Administrador de desarrollo de software</t>
        </is>
      </c>
      <c r="K757" s="10" t="inlineStr">
        <is>
          <t>Jefe de Desarrollo de software</t>
        </is>
      </c>
      <c r="L757" s="10" t="inlineStr">
        <is>
          <t>UBICACIÓN DIGITAL-EQUIPO DEL RESPONSABLE</t>
        </is>
      </c>
      <c r="M757" s="10" t="inlineStr">
        <is>
          <t>DISCOS DUROS, SERVIDORES, DISCOS O MEDIOS PORTÁTILES, CINTAS O MEDIOS DE VIDEO Y AUDIO, ETC.</t>
        </is>
      </c>
      <c r="N757" s="10" t="inlineStr">
        <is>
          <t>PRIMARIOS</t>
        </is>
      </c>
      <c r="O757" s="10" t="inlineStr">
        <is>
          <t>DOCUMENTOS TÉCNICOS</t>
        </is>
      </c>
      <c r="P757" s="10" t="inlineStr">
        <is>
          <t>USO INTERNO(2)</t>
        </is>
      </c>
      <c r="Q757" s="10" t="inlineStr">
        <is>
          <t>BAJA(1)</t>
        </is>
      </c>
      <c r="R757" s="10" t="inlineStr">
        <is>
          <t>MEDIA(2)</t>
        </is>
      </c>
      <c r="S757" s="10">
        <f>+(IF(P757="PUBLICA(1)",1,IF(P757="USO INTERNO(2)",2,IF(P757="RESTRINGIDO(3)",3,3))))+(IF(Q757="BAJA(1)",1,IF(Q757="MEDIA(2)",2,IF(Q757="ALTA(3)",3,3))))+(IF(R757="BAJA(1)",1,IF(R757="MEDIA(2)",2,IF(R757="ALTA(3)",3,3))))</f>
        <v/>
      </c>
      <c r="T757" s="10">
        <f>+IF(S757&lt;6,"BAJA",IF(S757&lt;8,"MEDIA","ALTA"))</f>
        <v/>
      </c>
      <c r="U757" s="10" t="inlineStr">
        <is>
          <t>-</t>
        </is>
      </c>
      <c r="V757" s="24" t="n">
        <v>45687</v>
      </c>
      <c r="W757" s="19" t="inlineStr">
        <is>
          <t>N/A</t>
        </is>
      </c>
      <c r="X757" s="10">
        <f>+IFERROR(IF(VLOOKUP(Tabla2[[#This Row],[ID]],'EVALUACION DE RIESGO'!A:A,1,FALSE)=Tabla2[[#This Row],[ID]],"SI","NO"),"NO")</f>
        <v/>
      </c>
      <c r="AD757">
        <f>IF(AND(Y757="",AA757=""),"",IF(OR(LEFT(AA757,2)="L0",LEFT(AA757,2)="L1",Y757="No Iniciado"),"CRÍTICO - Incumplimiento Normativo SEPS",IF(AND(OR(LEFT(AA757,2)="L4",LEFT(AA757,2)="L5"),AND(AC757&lt;&gt;"",AC757&lt;&gt;"N/A")),"CONFORME - Control Efectivo ISO 27001","OBSERVACIÓN - Revisar Controles")))</f>
        <v/>
      </c>
    </row>
    <row r="758">
      <c r="A758" s="99" t="inlineStr">
        <is>
          <t>55-GTI</t>
        </is>
      </c>
      <c r="B758" s="10" t="inlineStr">
        <is>
          <t>APOYO</t>
        </is>
      </c>
      <c r="C758" s="10" t="inlineStr">
        <is>
          <t>Gestión de Tecnología de la Información</t>
        </is>
      </c>
      <c r="D758" s="10" t="inlineStr">
        <is>
          <t>GTI</t>
        </is>
      </c>
      <c r="E758" s="10" t="inlineStr">
        <is>
          <t>Gestión del Desarrollo del Software</t>
        </is>
      </c>
      <c r="F758" s="10" t="inlineStr">
        <is>
          <t>-</t>
        </is>
      </c>
      <c r="G758" s="10" t="inlineStr">
        <is>
          <t>Paso a producción del software</t>
        </is>
      </c>
      <c r="H758" s="10" t="inlineStr">
        <is>
          <t>Formulario de paso a producción</t>
        </is>
      </c>
      <c r="I758" s="10" t="inlineStr">
        <is>
          <t>Formulario que contiene todo el detalle del despliegue en producción, scripts, configuraciones y demás insumos para implementar la solución, capacitaciones a usuarios.</t>
        </is>
      </c>
      <c r="J758" s="10" t="inlineStr">
        <is>
          <t>Administrador de desarrollo de software</t>
        </is>
      </c>
      <c r="K758" s="10" t="inlineStr">
        <is>
          <t>Jefe de Desarrollo de software</t>
        </is>
      </c>
      <c r="L758" s="10" t="inlineStr">
        <is>
          <t>UBICACIÓN DIGITAL-EQUIPO DEL RESPONSABLE</t>
        </is>
      </c>
      <c r="M758" s="10" t="inlineStr">
        <is>
          <t>DISCOS DUROS, SERVIDORES, DISCOS O MEDIOS PORTÁTILES, CINTAS O MEDIOS DE VIDEO Y AUDIO, ETC.</t>
        </is>
      </c>
      <c r="N758" s="10" t="inlineStr">
        <is>
          <t>PRIMARIOS</t>
        </is>
      </c>
      <c r="O758" s="10" t="inlineStr">
        <is>
          <t>DOCUMENTOS TÉCNICOS</t>
        </is>
      </c>
      <c r="P758" s="10" t="inlineStr">
        <is>
          <t>USO INTERNO(2)</t>
        </is>
      </c>
      <c r="Q758" s="10" t="inlineStr">
        <is>
          <t>BAJA(1)</t>
        </is>
      </c>
      <c r="R758" s="10" t="inlineStr">
        <is>
          <t>MEDIA(2)</t>
        </is>
      </c>
      <c r="S758" s="10">
        <f>+(IF(P758="PUBLICA(1)",1,IF(P758="USO INTERNO(2)",2,IF(P758="RESTRINGIDO(3)",3,3))))+(IF(Q758="BAJA(1)",1,IF(Q758="MEDIA(2)",2,IF(Q758="ALTA(3)",3,3))))+(IF(R758="BAJA(1)",1,IF(R758="MEDIA(2)",2,IF(R758="ALTA(3)",3,3))))</f>
        <v/>
      </c>
      <c r="T758" s="10">
        <f>+IF(S758&lt;6,"BAJA",IF(S758&lt;8,"MEDIA","ALTA"))</f>
        <v/>
      </c>
      <c r="U758" s="10" t="inlineStr">
        <is>
          <t>-</t>
        </is>
      </c>
      <c r="V758" s="24" t="n">
        <v>45687</v>
      </c>
      <c r="W758" s="19" t="inlineStr">
        <is>
          <t>N/A</t>
        </is>
      </c>
      <c r="X758" s="10">
        <f>+IFERROR(IF(VLOOKUP(Tabla2[[#This Row],[ID]],'EVALUACION DE RIESGO'!A:A,1,FALSE)=Tabla2[[#This Row],[ID]],"SI","NO"),"NO")</f>
        <v/>
      </c>
      <c r="AD758">
        <f>IF(AND(Y758="",AA758=""),"",IF(OR(LEFT(AA758,2)="L0",LEFT(AA758,2)="L1",Y758="No Iniciado"),"CRÍTICO - Incumplimiento Normativo SEPS",IF(AND(OR(LEFT(AA758,2)="L4",LEFT(AA758,2)="L5"),AND(AC758&lt;&gt;"",AC758&lt;&gt;"N/A")),"CONFORME - Control Efectivo ISO 27001","OBSERVACIÓN - Revisar Controles")))</f>
        <v/>
      </c>
    </row>
    <row r="759">
      <c r="A759" s="99" t="inlineStr">
        <is>
          <t>56-GTI</t>
        </is>
      </c>
      <c r="B759" s="10" t="inlineStr">
        <is>
          <t>APOYO</t>
        </is>
      </c>
      <c r="C759" s="10" t="inlineStr">
        <is>
          <t>Gestión de Tecnología de la Información</t>
        </is>
      </c>
      <c r="D759" s="10" t="inlineStr">
        <is>
          <t>GTI</t>
        </is>
      </c>
      <c r="E759" s="10" t="inlineStr">
        <is>
          <t>Gestión del Desarrollo del Software</t>
        </is>
      </c>
      <c r="F759" s="10" t="inlineStr">
        <is>
          <t>-</t>
        </is>
      </c>
      <c r="G759" s="10" t="inlineStr">
        <is>
          <t>Resolución de incidentes de software</t>
        </is>
      </c>
      <c r="H759" s="10" t="inlineStr">
        <is>
          <t>Formulario de pruebas</t>
        </is>
      </c>
      <c r="I759" s="10" t="inlineStr">
        <is>
          <t>Documento generado una vez certificado el desarrollo con firmas de autorización para el paso a producción</t>
        </is>
      </c>
      <c r="J759" s="10" t="inlineStr">
        <is>
          <t>Administrador de desarrollo de software</t>
        </is>
      </c>
      <c r="K759" s="10" t="inlineStr">
        <is>
          <t>Jefe de Desarrollo de software</t>
        </is>
      </c>
      <c r="L759" s="10" t="inlineStr">
        <is>
          <t>UBICACIÓN DIGITAL-EQUIPO DEL RESPONSABLE</t>
        </is>
      </c>
      <c r="M759" s="10" t="inlineStr">
        <is>
          <t>DISCOS DUROS, SERVIDORES, DISCOS O MEDIOS PORTÁTILES, CINTAS O MEDIOS DE VIDEO Y AUDIO, ETC.</t>
        </is>
      </c>
      <c r="N759" s="10" t="inlineStr">
        <is>
          <t>PRIMARIOS</t>
        </is>
      </c>
      <c r="O759" s="10" t="inlineStr">
        <is>
          <t>DOCUMENTOS TÉCNICOS</t>
        </is>
      </c>
      <c r="P759" s="10" t="inlineStr">
        <is>
          <t>USO INTERNO(2)</t>
        </is>
      </c>
      <c r="Q759" s="10" t="inlineStr">
        <is>
          <t>BAJA(1)</t>
        </is>
      </c>
      <c r="R759" s="10" t="inlineStr">
        <is>
          <t>MEDIA(2)</t>
        </is>
      </c>
      <c r="S759" s="10">
        <f>+(IF(P759="PUBLICA(1)",1,IF(P759="USO INTERNO(2)",2,IF(P759="RESTRINGIDO(3)",3,3))))+(IF(Q759="BAJA(1)",1,IF(Q759="MEDIA(2)",2,IF(Q759="ALTA(3)",3,3))))+(IF(R759="BAJA(1)",1,IF(R759="MEDIA(2)",2,IF(R759="ALTA(3)",3,3))))</f>
        <v/>
      </c>
      <c r="T759" s="10">
        <f>+IF(S759&lt;6,"BAJA",IF(S759&lt;8,"MEDIA","ALTA"))</f>
        <v/>
      </c>
      <c r="U759" s="10" t="inlineStr">
        <is>
          <t>-</t>
        </is>
      </c>
      <c r="V759" s="24" t="n">
        <v>45687</v>
      </c>
      <c r="W759" s="19" t="inlineStr">
        <is>
          <t>N/A</t>
        </is>
      </c>
      <c r="X759" s="10">
        <f>+IFERROR(IF(VLOOKUP(Tabla2[[#This Row],[ID]],'EVALUACION DE RIESGO'!A:A,1,FALSE)=Tabla2[[#This Row],[ID]],"SI","NO"),"NO")</f>
        <v/>
      </c>
      <c r="AD759">
        <f>IF(AND(Y759="",AA759=""),"",IF(OR(LEFT(AA759,2)="L0",LEFT(AA759,2)="L1",Y759="No Iniciado"),"CRÍTICO - Incumplimiento Normativo SEPS",IF(AND(OR(LEFT(AA759,2)="L4",LEFT(AA759,2)="L5"),AND(AC759&lt;&gt;"",AC759&lt;&gt;"N/A")),"CONFORME - Control Efectivo ISO 27001","OBSERVACIÓN - Revisar Controles")))</f>
        <v/>
      </c>
    </row>
    <row r="760">
      <c r="A760" s="99" t="inlineStr">
        <is>
          <t>57-GTI</t>
        </is>
      </c>
      <c r="B760" s="10" t="inlineStr">
        <is>
          <t>APOYO</t>
        </is>
      </c>
      <c r="C760" s="10" t="inlineStr">
        <is>
          <t>Gestión de Tecnología de la Información</t>
        </is>
      </c>
      <c r="D760" s="10" t="inlineStr">
        <is>
          <t>GTI</t>
        </is>
      </c>
      <c r="E760" s="10" t="inlineStr">
        <is>
          <t>Gestión del Desarrollo del Software</t>
        </is>
      </c>
      <c r="F760" s="10" t="inlineStr">
        <is>
          <t>-</t>
        </is>
      </c>
      <c r="G760" s="10" t="inlineStr">
        <is>
          <t>Resolución de incidentes de software</t>
        </is>
      </c>
      <c r="H760" s="10" t="inlineStr">
        <is>
          <t>Manual técnico del software</t>
        </is>
      </c>
      <c r="I760" s="10" t="inlineStr">
        <is>
          <t>Manual de instrucciones para el área de Infraestructura Operacional, con el retalle técnico del desarrollo</t>
        </is>
      </c>
      <c r="J760" s="10" t="inlineStr">
        <is>
          <t>Administrador de desarrollo de software</t>
        </is>
      </c>
      <c r="K760" s="10" t="inlineStr">
        <is>
          <t>Jefe de Desarrollo de software</t>
        </is>
      </c>
      <c r="L760" s="10" t="inlineStr">
        <is>
          <t>UBICACIÓN DIGITAL-EQUIPO DEL RESPONSABLE</t>
        </is>
      </c>
      <c r="M760" s="10" t="inlineStr">
        <is>
          <t>DISCOS DUROS, SERVIDORES, DISCOS O MEDIOS PORTÁTILES, CINTAS O MEDIOS DE VIDEO Y AUDIO, ETC.</t>
        </is>
      </c>
      <c r="N760" s="10" t="inlineStr">
        <is>
          <t>PRIMARIOS</t>
        </is>
      </c>
      <c r="O760" s="10" t="inlineStr">
        <is>
          <t>DOCUMENTOS TÉCNICOS</t>
        </is>
      </c>
      <c r="P760" s="10" t="inlineStr">
        <is>
          <t>USO INTERNO(2)</t>
        </is>
      </c>
      <c r="Q760" s="10" t="inlineStr">
        <is>
          <t>BAJA(1)</t>
        </is>
      </c>
      <c r="R760" s="10" t="inlineStr">
        <is>
          <t>MEDIA(2)</t>
        </is>
      </c>
      <c r="S760" s="10">
        <f>+(IF(P760="PUBLICA(1)",1,IF(P760="USO INTERNO(2)",2,IF(P760="RESTRINGIDO(3)",3,3))))+(IF(Q760="BAJA(1)",1,IF(Q760="MEDIA(2)",2,IF(Q760="ALTA(3)",3,3))))+(IF(R760="BAJA(1)",1,IF(R760="MEDIA(2)",2,IF(R760="ALTA(3)",3,3))))</f>
        <v/>
      </c>
      <c r="T760" s="10">
        <f>+IF(S760&lt;6,"BAJA",IF(S760&lt;8,"MEDIA","ALTA"))</f>
        <v/>
      </c>
      <c r="U760" s="10" t="inlineStr">
        <is>
          <t>-</t>
        </is>
      </c>
      <c r="V760" s="24" t="n">
        <v>45687</v>
      </c>
      <c r="W760" s="19" t="inlineStr">
        <is>
          <t>N/A</t>
        </is>
      </c>
      <c r="X760" s="10">
        <f>+IFERROR(IF(VLOOKUP(Tabla2[[#This Row],[ID]],'EVALUACION DE RIESGO'!A:A,1,FALSE)=Tabla2[[#This Row],[ID]],"SI","NO"),"NO")</f>
        <v/>
      </c>
      <c r="AD760">
        <f>IF(AND(Y760="",AA760=""),"",IF(OR(LEFT(AA760,2)="L0",LEFT(AA760,2)="L1",Y760="No Iniciado"),"CRÍTICO - Incumplimiento Normativo SEPS",IF(AND(OR(LEFT(AA760,2)="L4",LEFT(AA760,2)="L5"),AND(AC760&lt;&gt;"",AC760&lt;&gt;"N/A")),"CONFORME - Control Efectivo ISO 27001","OBSERVACIÓN - Revisar Controles")))</f>
        <v/>
      </c>
    </row>
    <row r="761">
      <c r="A761" s="99" t="inlineStr">
        <is>
          <t>58-GTI</t>
        </is>
      </c>
      <c r="B761" s="10" t="inlineStr">
        <is>
          <t>APOYO</t>
        </is>
      </c>
      <c r="C761" s="10" t="inlineStr">
        <is>
          <t>Gestión de Tecnología de la Información</t>
        </is>
      </c>
      <c r="D761" s="10" t="inlineStr">
        <is>
          <t>GTI</t>
        </is>
      </c>
      <c r="E761" s="10" t="inlineStr">
        <is>
          <t>Gestión del Desarrollo del Software</t>
        </is>
      </c>
      <c r="F761" s="10" t="inlineStr">
        <is>
          <t>-</t>
        </is>
      </c>
      <c r="G761" s="10" t="inlineStr">
        <is>
          <t>Resolución de incidentes de software</t>
        </is>
      </c>
      <c r="H761" s="10" t="inlineStr">
        <is>
          <t>Diccionario de datos</t>
        </is>
      </c>
      <c r="I761" s="10" t="inlineStr">
        <is>
          <t>Diagrama de entidad relación y detalle estructural de cada tabla de BDD</t>
        </is>
      </c>
      <c r="J761" s="10" t="inlineStr">
        <is>
          <t>Administrador de desarrollo de software</t>
        </is>
      </c>
      <c r="K761" s="10" t="inlineStr">
        <is>
          <t>Jefe de Desarrollo de software</t>
        </is>
      </c>
      <c r="L761" s="10" t="inlineStr">
        <is>
          <t>UBICACIÓN DIGITAL-EQUIPO DEL RESPONSABLE</t>
        </is>
      </c>
      <c r="M761" s="10" t="inlineStr">
        <is>
          <t>DISCOS DUROS, SERVIDORES, DISCOS O MEDIOS PORTÁTILES, CINTAS O MEDIOS DE VIDEO Y AUDIO, ETC.</t>
        </is>
      </c>
      <c r="N761" s="10" t="inlineStr">
        <is>
          <t>PRIMARIOS</t>
        </is>
      </c>
      <c r="O761" s="10" t="inlineStr">
        <is>
          <t>DOCUMENTOS TÉCNICOS</t>
        </is>
      </c>
      <c r="P761" s="10" t="inlineStr">
        <is>
          <t>USO INTERNO(2)</t>
        </is>
      </c>
      <c r="Q761" s="10" t="inlineStr">
        <is>
          <t>BAJA(1)</t>
        </is>
      </c>
      <c r="R761" s="10" t="inlineStr">
        <is>
          <t>MEDIA(2)</t>
        </is>
      </c>
      <c r="S761" s="10">
        <f>+(IF(P761="PUBLICA(1)",1,IF(P761="USO INTERNO(2)",2,IF(P761="RESTRINGIDO(3)",3,3))))+(IF(Q761="BAJA(1)",1,IF(Q761="MEDIA(2)",2,IF(Q761="ALTA(3)",3,3))))+(IF(R761="BAJA(1)",1,IF(R761="MEDIA(2)",2,IF(R761="ALTA(3)",3,3))))</f>
        <v/>
      </c>
      <c r="T761" s="10">
        <f>+IF(S761&lt;6,"BAJA",IF(S761&lt;8,"MEDIA","ALTA"))</f>
        <v/>
      </c>
      <c r="U761" s="10" t="inlineStr">
        <is>
          <t>-</t>
        </is>
      </c>
      <c r="V761" s="24" t="n">
        <v>45687</v>
      </c>
      <c r="W761" s="19" t="inlineStr">
        <is>
          <t>N/A</t>
        </is>
      </c>
      <c r="X761" s="10">
        <f>+IFERROR(IF(VLOOKUP(Tabla2[[#This Row],[ID]],'EVALUACION DE RIESGO'!A:A,1,FALSE)=Tabla2[[#This Row],[ID]],"SI","NO"),"NO")</f>
        <v/>
      </c>
      <c r="AD761">
        <f>IF(AND(Y761="",AA761=""),"",IF(OR(LEFT(AA761,2)="L0",LEFT(AA761,2)="L1",Y761="No Iniciado"),"CRÍTICO - Incumplimiento Normativo SEPS",IF(AND(OR(LEFT(AA761,2)="L4",LEFT(AA761,2)="L5"),AND(AC761&lt;&gt;"",AC761&lt;&gt;"N/A")),"CONFORME - Control Efectivo ISO 27001","OBSERVACIÓN - Revisar Controles")))</f>
        <v/>
      </c>
    </row>
    <row r="762">
      <c r="A762" s="99" t="inlineStr">
        <is>
          <t>59-GTI</t>
        </is>
      </c>
      <c r="B762" s="10" t="inlineStr">
        <is>
          <t>APOYO</t>
        </is>
      </c>
      <c r="C762" s="10" t="inlineStr">
        <is>
          <t>Gestión de Tecnología de la Información</t>
        </is>
      </c>
      <c r="D762" s="10" t="inlineStr">
        <is>
          <t>GTI</t>
        </is>
      </c>
      <c r="E762" s="10" t="inlineStr">
        <is>
          <t>Gestión del Desarrollo del Software</t>
        </is>
      </c>
      <c r="F762" s="10" t="inlineStr">
        <is>
          <t>-</t>
        </is>
      </c>
      <c r="G762" s="10" t="inlineStr">
        <is>
          <t>Resolución de incidentes de software</t>
        </is>
      </c>
      <c r="H762" s="10" t="inlineStr">
        <is>
          <t>Paquete de actualizaciones</t>
        </is>
      </c>
      <c r="I762" s="10" t="inlineStr">
        <is>
          <t>Detalle realizado en el Formulario de paso a producción en el caso de existir nuevas transacciones</t>
        </is>
      </c>
      <c r="J762" s="10" t="inlineStr">
        <is>
          <t>Administrador de desarrollo de software</t>
        </is>
      </c>
      <c r="K762" s="10" t="inlineStr">
        <is>
          <t>Jefe de Desarrollo de software</t>
        </is>
      </c>
      <c r="L762" s="10" t="inlineStr">
        <is>
          <t>UBICACIÓN DIGITAL-EQUIPO DEL RESPONSABLE</t>
        </is>
      </c>
      <c r="M762" s="10" t="inlineStr">
        <is>
          <t>DISCOS DUROS, SERVIDORES, DISCOS O MEDIOS PORTÁTILES, CINTAS O MEDIOS DE VIDEO Y AUDIO, ETC.</t>
        </is>
      </c>
      <c r="N762" s="10" t="inlineStr">
        <is>
          <t>PRIMARIOS</t>
        </is>
      </c>
      <c r="O762" s="10" t="inlineStr">
        <is>
          <t>DOCUMENTOS TÉCNICOS</t>
        </is>
      </c>
      <c r="P762" s="10" t="inlineStr">
        <is>
          <t>USO INTERNO(2)</t>
        </is>
      </c>
      <c r="Q762" s="10" t="inlineStr">
        <is>
          <t>BAJA(1)</t>
        </is>
      </c>
      <c r="R762" s="10" t="inlineStr">
        <is>
          <t>MEDIA(2)</t>
        </is>
      </c>
      <c r="S762" s="10">
        <f>+(IF(P762="PUBLICA(1)",1,IF(P762="USO INTERNO(2)",2,IF(P762="RESTRINGIDO(3)",3,3))))+(IF(Q762="BAJA(1)",1,IF(Q762="MEDIA(2)",2,IF(Q762="ALTA(3)",3,3))))+(IF(R762="BAJA(1)",1,IF(R762="MEDIA(2)",2,IF(R762="ALTA(3)",3,3))))</f>
        <v/>
      </c>
      <c r="T762" s="10">
        <f>+IF(S762&lt;6,"BAJA",IF(S762&lt;8,"MEDIA","ALTA"))</f>
        <v/>
      </c>
      <c r="U762" s="10" t="inlineStr">
        <is>
          <t>-</t>
        </is>
      </c>
      <c r="V762" s="24" t="n">
        <v>45687</v>
      </c>
      <c r="W762" s="19" t="inlineStr">
        <is>
          <t>N/A</t>
        </is>
      </c>
      <c r="X762" s="10">
        <f>+IFERROR(IF(VLOOKUP(Tabla2[[#This Row],[ID]],'EVALUACION DE RIESGO'!A:A,1,FALSE)=Tabla2[[#This Row],[ID]],"SI","NO"),"NO")</f>
        <v/>
      </c>
      <c r="AD762">
        <f>IF(AND(Y762="",AA762=""),"",IF(OR(LEFT(AA762,2)="L0",LEFT(AA762,2)="L1",Y762="No Iniciado"),"CRÍTICO - Incumplimiento Normativo SEPS",IF(AND(OR(LEFT(AA762,2)="L4",LEFT(AA762,2)="L5"),AND(AC762&lt;&gt;"",AC762&lt;&gt;"N/A")),"CONFORME - Control Efectivo ISO 27001","OBSERVACIÓN - Revisar Controles")))</f>
        <v/>
      </c>
    </row>
    <row r="763">
      <c r="A763" s="99" t="inlineStr">
        <is>
          <t>60-GTI</t>
        </is>
      </c>
      <c r="B763" s="10" t="inlineStr">
        <is>
          <t>APOYO</t>
        </is>
      </c>
      <c r="C763" s="10" t="inlineStr">
        <is>
          <t>Gestión de Tecnología de la Información</t>
        </is>
      </c>
      <c r="D763" s="10" t="inlineStr">
        <is>
          <t>GTI</t>
        </is>
      </c>
      <c r="E763" s="10" t="inlineStr">
        <is>
          <t>Gestión del Desarrollo del Software</t>
        </is>
      </c>
      <c r="F763" s="10" t="inlineStr">
        <is>
          <t>-</t>
        </is>
      </c>
      <c r="G763" s="10" t="inlineStr">
        <is>
          <t>Respaldo del software</t>
        </is>
      </c>
      <c r="H763" s="10" t="inlineStr">
        <is>
          <t>Formulario de respaldos</t>
        </is>
      </c>
      <c r="I763" s="10" t="inlineStr">
        <is>
          <t>Reporte mensual de respaldos realizada por el área de Infraestructura Operacional</t>
        </is>
      </c>
      <c r="J763" s="10" t="inlineStr">
        <is>
          <t>Administrador de desarrollo de software</t>
        </is>
      </c>
      <c r="K763" s="10" t="inlineStr">
        <is>
          <t>Asistente de Infraestructura tecnologica</t>
        </is>
      </c>
      <c r="L763" s="10" t="inlineStr">
        <is>
          <t>DISCO DURO EXTERNO</t>
        </is>
      </c>
      <c r="M763" s="10" t="inlineStr">
        <is>
          <t>DISCOS DUROS, SERVIDORES, DISCOS O MEDIOS PORTÁTILES, CINTAS O MEDIOS DE VIDEO Y AUDIO, ETC.</t>
        </is>
      </c>
      <c r="N763" s="10" t="inlineStr">
        <is>
          <t>PRIMARIOS</t>
        </is>
      </c>
      <c r="O763" s="10" t="inlineStr">
        <is>
          <t>DOCUMENTOS TÉCNICOS</t>
        </is>
      </c>
      <c r="P763" s="10" t="inlineStr">
        <is>
          <t>USO INTERNO(2)</t>
        </is>
      </c>
      <c r="Q763" s="10" t="inlineStr">
        <is>
          <t>BAJA(1)</t>
        </is>
      </c>
      <c r="R763" s="10" t="inlineStr">
        <is>
          <t>MEDIA(2)</t>
        </is>
      </c>
      <c r="S763" s="10">
        <f>+(IF(P763="PUBLICA(1)",1,IF(P763="USO INTERNO(2)",2,IF(P763="RESTRINGIDO(3)",3,3))))+(IF(Q763="BAJA(1)",1,IF(Q763="MEDIA(2)",2,IF(Q763="ALTA(3)",3,3))))+(IF(R763="BAJA(1)",1,IF(R763="MEDIA(2)",2,IF(R763="ALTA(3)",3,3))))</f>
        <v/>
      </c>
      <c r="T763" s="10">
        <f>+IF(S763&lt;6,"BAJA",IF(S763&lt;8,"MEDIA","ALTA"))</f>
        <v/>
      </c>
      <c r="U763" s="10" t="inlineStr">
        <is>
          <t>-</t>
        </is>
      </c>
      <c r="V763" s="24" t="n">
        <v>45687</v>
      </c>
      <c r="W763" s="19" t="inlineStr">
        <is>
          <t>N/A</t>
        </is>
      </c>
      <c r="X763" s="10">
        <f>+IFERROR(IF(VLOOKUP(Tabla2[[#This Row],[ID]],'EVALUACION DE RIESGO'!A:A,1,FALSE)=Tabla2[[#This Row],[ID]],"SI","NO"),"NO")</f>
        <v/>
      </c>
      <c r="AD763">
        <f>IF(AND(Y763="",AA763=""),"",IF(OR(LEFT(AA763,2)="L0",LEFT(AA763,2)="L1",Y763="No Iniciado"),"CRÍTICO - Incumplimiento Normativo SEPS",IF(AND(OR(LEFT(AA763,2)="L4",LEFT(AA763,2)="L5"),AND(AC763&lt;&gt;"",AC763&lt;&gt;"N/A")),"CONFORME - Control Efectivo ISO 27001","OBSERVACIÓN - Revisar Controles")))</f>
        <v/>
      </c>
    </row>
    <row r="764">
      <c r="A764" s="99" t="inlineStr">
        <is>
          <t>61-GTI</t>
        </is>
      </c>
      <c r="B764" s="10" t="inlineStr">
        <is>
          <t>APOYO</t>
        </is>
      </c>
      <c r="C764" s="10" t="inlineStr">
        <is>
          <t>Gestión de Tecnología de la Información</t>
        </is>
      </c>
      <c r="D764" s="10" t="inlineStr">
        <is>
          <t>GTI</t>
        </is>
      </c>
      <c r="E764" s="10" t="inlineStr">
        <is>
          <t>Gestión del Desarrollo del Software</t>
        </is>
      </c>
      <c r="F764" s="10" t="inlineStr">
        <is>
          <t>-</t>
        </is>
      </c>
      <c r="G764" s="10" t="inlineStr">
        <is>
          <t>Baja de software</t>
        </is>
      </c>
      <c r="H764" s="10" t="inlineStr">
        <is>
          <t>Formulario de baja de software</t>
        </is>
      </c>
      <c r="I764" s="10" t="inlineStr">
        <is>
          <t>Formulario realizado cuando una aplicación finaliza la vida útil del software, detalle, motivo y legalización de la baja del software</t>
        </is>
      </c>
      <c r="J764" s="10" t="inlineStr">
        <is>
          <t>Administrador de desarrollo de software</t>
        </is>
      </c>
      <c r="K764" s="10" t="inlineStr">
        <is>
          <t>Jefe de Desarrollo de software</t>
        </is>
      </c>
      <c r="L764" s="10" t="inlineStr">
        <is>
          <t>UBICACIÓN DIGITAL-EQUIPO DEL RESPONSABLE</t>
        </is>
      </c>
      <c r="M764" s="10" t="inlineStr">
        <is>
          <t>DISCOS DUROS, SERVIDORES, DISCOS O MEDIOS PORTÁTILES, CINTAS O MEDIOS DE VIDEO Y AUDIO, ETC.</t>
        </is>
      </c>
      <c r="N764" s="10" t="inlineStr">
        <is>
          <t>PRIMARIOS</t>
        </is>
      </c>
      <c r="O764" s="10" t="inlineStr">
        <is>
          <t>DOCUMENTOS TÉCNICOS</t>
        </is>
      </c>
      <c r="P764" s="10" t="inlineStr">
        <is>
          <t>USO INTERNO(2)</t>
        </is>
      </c>
      <c r="Q764" s="10" t="inlineStr">
        <is>
          <t>BAJA(1)</t>
        </is>
      </c>
      <c r="R764" s="10" t="inlineStr">
        <is>
          <t>MEDIA(2)</t>
        </is>
      </c>
      <c r="S764" s="10">
        <f>+(IF(P764="PUBLICA(1)",1,IF(P764="USO INTERNO(2)",2,IF(P764="RESTRINGIDO(3)",3,3))))+(IF(Q764="BAJA(1)",1,IF(Q764="MEDIA(2)",2,IF(Q764="ALTA(3)",3,3))))+(IF(R764="BAJA(1)",1,IF(R764="MEDIA(2)",2,IF(R764="ALTA(3)",3,3))))</f>
        <v/>
      </c>
      <c r="T764" s="10">
        <f>+IF(S764&lt;6,"BAJA",IF(S764&lt;8,"MEDIA","ALTA"))</f>
        <v/>
      </c>
      <c r="U764" s="10" t="inlineStr">
        <is>
          <t>-</t>
        </is>
      </c>
      <c r="V764" s="24" t="n">
        <v>45687</v>
      </c>
      <c r="W764" s="19" t="inlineStr">
        <is>
          <t>N/A</t>
        </is>
      </c>
      <c r="X764" s="10">
        <f>+IFERROR(IF(VLOOKUP(Tabla2[[#This Row],[ID]],'EVALUACION DE RIESGO'!A:A,1,FALSE)=Tabla2[[#This Row],[ID]],"SI","NO"),"NO")</f>
        <v/>
      </c>
      <c r="AD764">
        <f>IF(AND(Y764="",AA764=""),"",IF(OR(LEFT(AA764,2)="L0",LEFT(AA764,2)="L1",Y764="No Iniciado"),"CRÍTICO - Incumplimiento Normativo SEPS",IF(AND(OR(LEFT(AA764,2)="L4",LEFT(AA764,2)="L5"),AND(AC764&lt;&gt;"",AC764&lt;&gt;"N/A")),"CONFORME - Control Efectivo ISO 27001","OBSERVACIÓN - Revisar Controles")))</f>
        <v/>
      </c>
    </row>
    <row r="765">
      <c r="A765" s="99" t="inlineStr">
        <is>
          <t>62-GTI</t>
        </is>
      </c>
      <c r="B765" s="10" t="inlineStr">
        <is>
          <t>APOYO</t>
        </is>
      </c>
      <c r="C765" s="10" t="inlineStr">
        <is>
          <t>Gestión de Tecnología de la Información</t>
        </is>
      </c>
      <c r="D765" s="10" t="inlineStr">
        <is>
          <t>GTI</t>
        </is>
      </c>
      <c r="E765" s="10" t="inlineStr">
        <is>
          <t>Gestión del Desarrollo del Software</t>
        </is>
      </c>
      <c r="F765" s="10" t="inlineStr">
        <is>
          <t>-</t>
        </is>
      </c>
      <c r="G765" s="10" t="inlineStr">
        <is>
          <t>Baja de software</t>
        </is>
      </c>
      <c r="H765" s="10" t="inlineStr">
        <is>
          <t>Resolución del Comité Informático</t>
        </is>
      </c>
      <c r="I765" s="10" t="inlineStr">
        <is>
          <t>Resolución de aprobación generada en el Comité Informático</t>
        </is>
      </c>
      <c r="J765" s="10" t="inlineStr">
        <is>
          <t>Administrador de desarrollo de software</t>
        </is>
      </c>
      <c r="K765" s="10" t="inlineStr">
        <is>
          <t>Jefe de Desarrollo de software</t>
        </is>
      </c>
      <c r="L765" s="10" t="inlineStr">
        <is>
          <t>UBICACIÓN DIGITAL-EQUIPO DEL RESPONSABLE</t>
        </is>
      </c>
      <c r="M765" s="10" t="inlineStr">
        <is>
          <t>DISCOS DUROS, SERVIDORES, DISCOS O MEDIOS PORTÁTILES, CINTAS O MEDIOS DE VIDEO Y AUDIO, ETC.</t>
        </is>
      </c>
      <c r="N765" s="10" t="inlineStr">
        <is>
          <t>PRIMARIOS</t>
        </is>
      </c>
      <c r="O765" s="10" t="inlineStr">
        <is>
          <t>COMUNICACIÓN INTERNA</t>
        </is>
      </c>
      <c r="P765" s="10" t="inlineStr">
        <is>
          <t>USO INTERNO(2)</t>
        </is>
      </c>
      <c r="Q765" s="10" t="inlineStr">
        <is>
          <t>BAJA(1)</t>
        </is>
      </c>
      <c r="R765" s="10" t="inlineStr">
        <is>
          <t>MEDIA(2)</t>
        </is>
      </c>
      <c r="S765" s="10">
        <f>+(IF(P765="PUBLICA(1)",1,IF(P765="USO INTERNO(2)",2,IF(P765="RESTRINGIDO(3)",3,3))))+(IF(Q765="BAJA(1)",1,IF(Q765="MEDIA(2)",2,IF(Q765="ALTA(3)",3,3))))+(IF(R765="BAJA(1)",1,IF(R765="MEDIA(2)",2,IF(R765="ALTA(3)",3,3))))</f>
        <v/>
      </c>
      <c r="T765" s="10">
        <f>+IF(S765&lt;6,"BAJA",IF(S765&lt;8,"MEDIA","ALTA"))</f>
        <v/>
      </c>
      <c r="U765" s="10" t="inlineStr">
        <is>
          <t>-</t>
        </is>
      </c>
      <c r="V765" s="24" t="n">
        <v>45687</v>
      </c>
      <c r="W765" s="19" t="inlineStr">
        <is>
          <t>N/A</t>
        </is>
      </c>
      <c r="X765" s="10">
        <f>+IFERROR(IF(VLOOKUP(Tabla2[[#This Row],[ID]],'EVALUACION DE RIESGO'!A:A,1,FALSE)=Tabla2[[#This Row],[ID]],"SI","NO"),"NO")</f>
        <v/>
      </c>
      <c r="AD765">
        <f>IF(AND(Y765="",AA765=""),"",IF(OR(LEFT(AA765,2)="L0",LEFT(AA765,2)="L1",Y765="No Iniciado"),"CRÍTICO - Incumplimiento Normativo SEPS",IF(AND(OR(LEFT(AA765,2)="L4",LEFT(AA765,2)="L5"),AND(AC765&lt;&gt;"",AC765&lt;&gt;"N/A")),"CONFORME - Control Efectivo ISO 27001","OBSERVACIÓN - Revisar Controles")))</f>
        <v/>
      </c>
    </row>
    <row r="766" ht="12" customHeight="1" s="106">
      <c r="A766" s="40" t="inlineStr">
        <is>
          <t>63-GTI</t>
        </is>
      </c>
      <c r="B766" s="10" t="inlineStr">
        <is>
          <t>APOYO</t>
        </is>
      </c>
      <c r="C766" s="10" t="inlineStr">
        <is>
          <t>Gestión de Tecnología de la Información</t>
        </is>
      </c>
      <c r="D766" s="10" t="inlineStr">
        <is>
          <t>GTI</t>
        </is>
      </c>
      <c r="E766" s="10" t="inlineStr">
        <is>
          <t>Gestión de Seguridad Informática</t>
        </is>
      </c>
      <c r="F766" s="10" t="inlineStr">
        <is>
          <t>-</t>
        </is>
      </c>
      <c r="G766" s="10" t="inlineStr">
        <is>
          <t>Administración de accesos a sistemas de aplicación</t>
        </is>
      </c>
      <c r="H766" s="17" t="inlineStr">
        <is>
          <t>Home Banking</t>
        </is>
      </c>
      <c r="I766" s="17" t="inlineStr">
        <is>
          <t>Aplicación Banca Virtual</t>
        </is>
      </c>
      <c r="J766" s="10" t="inlineStr">
        <is>
          <t>GERENTE DE TI</t>
        </is>
      </c>
      <c r="K766" s="10" t="inlineStr">
        <is>
          <t>ADMINISTRADOR DE SEGURIDAD INFORMÁTICA</t>
        </is>
      </c>
      <c r="L766" s="10" t="inlineStr">
        <is>
          <t>UBICACIÓN FISICA-SUCURSAL IBARRA</t>
        </is>
      </c>
      <c r="M766" s="10" t="inlineStr">
        <is>
          <t>DISCOS DUROS, SERVIDORES, DISCOS O MEDIOS PORTÁTILES, CINTAS O MEDIOS DE VIDEO Y AUDIO, ETC.</t>
        </is>
      </c>
      <c r="N766" s="10" t="inlineStr">
        <is>
          <t>APOYO</t>
        </is>
      </c>
      <c r="O766" s="10" t="inlineStr">
        <is>
          <t>SOFTWARE</t>
        </is>
      </c>
      <c r="P766" s="10" t="inlineStr">
        <is>
          <t>RESTRINGIDO(3)</t>
        </is>
      </c>
      <c r="Q766" s="10" t="inlineStr">
        <is>
          <t>MEDIA(2)</t>
        </is>
      </c>
      <c r="R766" s="10" t="inlineStr">
        <is>
          <t>ALTA(3)</t>
        </is>
      </c>
      <c r="S766" s="10">
        <f>+(IF(P766="PUBLICA(1)",1,IF(P766="USO INTERNO(2)",2,IF(P766="RESTRINGIDO(3)",3,3))))+(IF(Q766="BAJA(1)",1,IF(Q766="MEDIA(2)",2,IF(Q766="ALTA(3)",3,3))))+(IF(R766="BAJA(1)",1,IF(R766="MEDIA(2)",2,IF(R766="ALTA(3)",3,3))))</f>
        <v/>
      </c>
      <c r="T766" s="10">
        <f>+IF(S766&lt;6,"BAJA",IF(S766&lt;8,"MEDIA","ALTA"))</f>
        <v/>
      </c>
      <c r="U766" s="10" t="inlineStr">
        <is>
          <t>-</t>
        </is>
      </c>
      <c r="V766" s="24" t="n">
        <v>43815</v>
      </c>
      <c r="W766" s="19" t="inlineStr">
        <is>
          <t>N/A</t>
        </is>
      </c>
      <c r="X766" s="10">
        <f>+IFERROR(IF(VLOOKUP(Tabla2[[#This Row],[ID]],'EVALUACION DE RIESGO'!A:A,1,FALSE)=Tabla2[[#This Row],[ID]],"SI","NO"),"NO")</f>
        <v/>
      </c>
      <c r="AD766">
        <f>IF(AND(Y766="",AA766=""),"",IF(OR(LEFT(AA766,2)="L0",LEFT(AA766,2)="L1",Y766="No Iniciado"),"CRÍTICO - Incumplimiento Normativo SEPS",IF(AND(OR(LEFT(AA766,2)="L4",LEFT(AA766,2)="L5"),AND(AC766&lt;&gt;"",AC766&lt;&gt;"N/A")),"CONFORME - Control Efectivo ISO 27001","OBSERVACIÓN - Revisar Controles")))</f>
        <v/>
      </c>
    </row>
    <row r="767" ht="20.45" customHeight="1" s="106">
      <c r="A767" s="40" t="inlineStr">
        <is>
          <t>64-GTI</t>
        </is>
      </c>
      <c r="B767" s="10" t="inlineStr">
        <is>
          <t>APOYO</t>
        </is>
      </c>
      <c r="C767" s="10" t="inlineStr">
        <is>
          <t>Gestión de Tecnología de la Información</t>
        </is>
      </c>
      <c r="D767" s="10" t="inlineStr">
        <is>
          <t>GTI</t>
        </is>
      </c>
      <c r="E767" s="10" t="inlineStr">
        <is>
          <t>Gestión de Seguridad Informática</t>
        </is>
      </c>
      <c r="F767" s="10" t="inlineStr">
        <is>
          <t>-</t>
        </is>
      </c>
      <c r="G767" s="10" t="inlineStr">
        <is>
          <t>Administración de accesos a sistemas de aplicación</t>
        </is>
      </c>
      <c r="H767" s="17" t="inlineStr">
        <is>
          <t>Cooperativa Virtual</t>
        </is>
      </c>
      <c r="I767" s="17" t="inlineStr">
        <is>
          <t>Servidor que aloja la Banca Electronica  
192.168.23.11</t>
        </is>
      </c>
      <c r="J767" s="10" t="inlineStr">
        <is>
          <t>GERENTE DE TI</t>
        </is>
      </c>
      <c r="K767" s="10" t="inlineStr">
        <is>
          <t>ADMINISTRADOR DE SEGURIDAD INFORMÁTICA</t>
        </is>
      </c>
      <c r="L767" s="10" t="inlineStr">
        <is>
          <t>UBICACIÓN FISICA-SUCURSAL IBARRA</t>
        </is>
      </c>
      <c r="M767" s="10" t="inlineStr">
        <is>
          <t>DISCOS DUROS, SERVIDORES, DISCOS O MEDIOS PORTÁTILES, CINTAS O MEDIOS DE VIDEO Y AUDIO, ETC.</t>
        </is>
      </c>
      <c r="N767" s="10" t="inlineStr">
        <is>
          <t>APOYO</t>
        </is>
      </c>
      <c r="O767" s="10" t="inlineStr">
        <is>
          <t>HARDWARE</t>
        </is>
      </c>
      <c r="P767" s="10" t="inlineStr">
        <is>
          <t>USO INTERNO(2)</t>
        </is>
      </c>
      <c r="Q767" s="10" t="inlineStr">
        <is>
          <t>ALTA(3)</t>
        </is>
      </c>
      <c r="R767" s="10" t="inlineStr">
        <is>
          <t>ALTA(3)</t>
        </is>
      </c>
      <c r="S767" s="10">
        <f>+(IF(P767="PUBLICA(1)",1,IF(P767="USO INTERNO(2)",2,IF(P767="RESTRINGIDO(3)",3,3))))+(IF(Q767="BAJA(1)",1,IF(Q767="MEDIA(2)",2,IF(Q767="ALTA(3)",3,3))))+(IF(R767="BAJA(1)",1,IF(R767="MEDIA(2)",2,IF(R767="ALTA(3)",3,3))))</f>
        <v/>
      </c>
      <c r="T767" s="10">
        <f>+IF(S767&lt;6,"BAJA",IF(S767&lt;8,"MEDIA","ALTA"))</f>
        <v/>
      </c>
      <c r="U767" s="10" t="inlineStr">
        <is>
          <t>-</t>
        </is>
      </c>
      <c r="V767" s="24" t="n">
        <v>43815</v>
      </c>
      <c r="W767" s="19" t="inlineStr">
        <is>
          <t>N/A</t>
        </is>
      </c>
      <c r="X767" s="10">
        <f>+IFERROR(IF(VLOOKUP(Tabla2[[#This Row],[ID]],'EVALUACION DE RIESGO'!A:A,1,FALSE)=Tabla2[[#This Row],[ID]],"SI","NO"),"NO")</f>
        <v/>
      </c>
      <c r="AD767">
        <f>IF(AND(Y767="",AA767=""),"",IF(OR(LEFT(AA767,2)="L0",LEFT(AA767,2)="L1",Y767="No Iniciado"),"CRÍTICO - Incumplimiento Normativo SEPS",IF(AND(OR(LEFT(AA767,2)="L4",LEFT(AA767,2)="L5"),AND(AC767&lt;&gt;"",AC767&lt;&gt;"N/A")),"CONFORME - Control Efectivo ISO 27001","OBSERVACIÓN - Revisar Controles")))</f>
        <v/>
      </c>
    </row>
    <row r="768" ht="12" customHeight="1" s="106">
      <c r="A768" s="40" t="inlineStr">
        <is>
          <t>65-GTI</t>
        </is>
      </c>
      <c r="B768" s="10" t="inlineStr">
        <is>
          <t>APOYO</t>
        </is>
      </c>
      <c r="C768" s="10" t="inlineStr">
        <is>
          <t>Gestión de Tecnología de la Información</t>
        </is>
      </c>
      <c r="D768" s="10" t="inlineStr">
        <is>
          <t>GTI</t>
        </is>
      </c>
      <c r="E768" s="10" t="inlineStr">
        <is>
          <t>Gestión de Seguridad Informática</t>
        </is>
      </c>
      <c r="F768" s="10" t="inlineStr">
        <is>
          <t>-</t>
        </is>
      </c>
      <c r="G768" s="10" t="inlineStr">
        <is>
          <t>Administración de accesos a sistemas de aplicación</t>
        </is>
      </c>
      <c r="H768" s="17" t="inlineStr">
        <is>
          <t>Sendmail</t>
        </is>
      </c>
      <c r="I768" s="17" t="inlineStr">
        <is>
          <t>Administracion Contenidos y Correo electrónico</t>
        </is>
      </c>
      <c r="J768" s="10" t="inlineStr">
        <is>
          <t>GERENTE DE TI</t>
        </is>
      </c>
      <c r="K768" s="10" t="inlineStr">
        <is>
          <t>ADMINISTRADOR DE SEGURIDAD INFORMÁTICA</t>
        </is>
      </c>
      <c r="L768" s="10" t="inlineStr">
        <is>
          <t>UBICACIÓN FISICA-SUCURSAL IBARRA</t>
        </is>
      </c>
      <c r="M768" s="10" t="inlineStr">
        <is>
          <t>DISCOS DUROS, SERVIDORES, DISCOS O MEDIOS PORTÁTILES, CINTAS O MEDIOS DE VIDEO Y AUDIO, ETC.</t>
        </is>
      </c>
      <c r="N768" s="10" t="inlineStr">
        <is>
          <t>APOYO</t>
        </is>
      </c>
      <c r="O768" s="10" t="inlineStr">
        <is>
          <t>SOFTWARE</t>
        </is>
      </c>
      <c r="P768" s="10" t="inlineStr">
        <is>
          <t>RESTRINGIDO(3)</t>
        </is>
      </c>
      <c r="Q768" s="10" t="inlineStr">
        <is>
          <t>MEDIA(2)</t>
        </is>
      </c>
      <c r="R768" s="10" t="inlineStr">
        <is>
          <t>ALTA(3)</t>
        </is>
      </c>
      <c r="S768" s="10">
        <f>+(IF(P768="PUBLICA(1)",1,IF(P768="USO INTERNO(2)",2,IF(P768="RESTRINGIDO(3)",3,3))))+(IF(Q768="BAJA(1)",1,IF(Q768="MEDIA(2)",2,IF(Q768="ALTA(3)",3,3))))+(IF(R768="BAJA(1)",1,IF(R768="MEDIA(2)",2,IF(R768="ALTA(3)",3,3))))</f>
        <v/>
      </c>
      <c r="T768" s="10">
        <f>+IF(S768&lt;6,"BAJA",IF(S768&lt;8,"MEDIA","ALTA"))</f>
        <v/>
      </c>
      <c r="U768" s="10" t="inlineStr">
        <is>
          <t>-</t>
        </is>
      </c>
      <c r="V768" s="24" t="n">
        <v>43815</v>
      </c>
      <c r="W768" s="19" t="inlineStr">
        <is>
          <t>N/A</t>
        </is>
      </c>
      <c r="X768" s="10">
        <f>+IFERROR(IF(VLOOKUP(Tabla2[[#This Row],[ID]],'EVALUACION DE RIESGO'!A:A,1,FALSE)=Tabla2[[#This Row],[ID]],"SI","NO"),"NO")</f>
        <v/>
      </c>
      <c r="AD768">
        <f>IF(AND(Y768="",AA768=""),"",IF(OR(LEFT(AA768,2)="L0",LEFT(AA768,2)="L1",Y768="No Iniciado"),"CRÍTICO - Incumplimiento Normativo SEPS",IF(AND(OR(LEFT(AA768,2)="L4",LEFT(AA768,2)="L5"),AND(AC768&lt;&gt;"",AC768&lt;&gt;"N/A")),"CONFORME - Control Efectivo ISO 27001","OBSERVACIÓN - Revisar Controles")))</f>
        <v/>
      </c>
    </row>
    <row r="769" ht="20.45" customHeight="1" s="106">
      <c r="A769" s="40" t="inlineStr">
        <is>
          <t>66-GTI</t>
        </is>
      </c>
      <c r="B769" s="10" t="inlineStr">
        <is>
          <t>APOYO</t>
        </is>
      </c>
      <c r="C769" s="10" t="inlineStr">
        <is>
          <t>Gestión de Tecnología de la Información</t>
        </is>
      </c>
      <c r="D769" s="10" t="inlineStr">
        <is>
          <t>GTI</t>
        </is>
      </c>
      <c r="E769" s="10" t="inlineStr">
        <is>
          <t>Gestión de Seguridad Informática</t>
        </is>
      </c>
      <c r="F769" s="10" t="inlineStr">
        <is>
          <t>-</t>
        </is>
      </c>
      <c r="G769" s="10" t="inlineStr">
        <is>
          <t>Administración de accesos a sistemas de aplicación</t>
        </is>
      </c>
      <c r="H769" s="17" t="inlineStr">
        <is>
          <t>correo electronico</t>
        </is>
      </c>
      <c r="I769" s="17" t="inlineStr">
        <is>
          <t>Servidor web administracion correo electronico
192.168.23.2</t>
        </is>
      </c>
      <c r="J769" s="10" t="inlineStr">
        <is>
          <t>GERENTE DE TI</t>
        </is>
      </c>
      <c r="K769" s="10" t="inlineStr">
        <is>
          <t>ADMINISTRADOR DE SEGURIDAD INFORMÁTICA</t>
        </is>
      </c>
      <c r="L769" s="10" t="inlineStr">
        <is>
          <t>UBICACIÓN FISICA-SUCURSAL IBARRA</t>
        </is>
      </c>
      <c r="M769" s="10" t="inlineStr">
        <is>
          <t>DISCOS DUROS, SERVIDORES, DISCOS O MEDIOS PORTÁTILES, CINTAS O MEDIOS DE VIDEO Y AUDIO, ETC.</t>
        </is>
      </c>
      <c r="N769" s="10" t="inlineStr">
        <is>
          <t>APOYO</t>
        </is>
      </c>
      <c r="O769" s="10" t="inlineStr">
        <is>
          <t>HARDWARE</t>
        </is>
      </c>
      <c r="P769" s="10" t="inlineStr">
        <is>
          <t>USO INTERNO(2)</t>
        </is>
      </c>
      <c r="Q769" s="10" t="inlineStr">
        <is>
          <t>ALTA(3)</t>
        </is>
      </c>
      <c r="R769" s="10" t="inlineStr">
        <is>
          <t>ALTA(3)</t>
        </is>
      </c>
      <c r="S769" s="10">
        <f>+(IF(P769="PUBLICA(1)",1,IF(P769="USO INTERNO(2)",2,IF(P769="RESTRINGIDO(3)",3,3))))+(IF(Q769="BAJA(1)",1,IF(Q769="MEDIA(2)",2,IF(Q769="ALTA(3)",3,3))))+(IF(R769="BAJA(1)",1,IF(R769="MEDIA(2)",2,IF(R769="ALTA(3)",3,3))))</f>
        <v/>
      </c>
      <c r="T769" s="10">
        <f>+IF(S769&lt;6,"BAJA",IF(S769&lt;8,"MEDIA","ALTA"))</f>
        <v/>
      </c>
      <c r="U769" s="10" t="inlineStr">
        <is>
          <t>-</t>
        </is>
      </c>
      <c r="V769" s="24" t="n">
        <v>43815</v>
      </c>
      <c r="W769" s="19" t="inlineStr">
        <is>
          <t>N/A</t>
        </is>
      </c>
      <c r="X769" s="10">
        <f>+IFERROR(IF(VLOOKUP(Tabla2[[#This Row],[ID]],'EVALUACION DE RIESGO'!A:A,1,FALSE)=Tabla2[[#This Row],[ID]],"SI","NO"),"NO")</f>
        <v/>
      </c>
      <c r="AD769">
        <f>IF(AND(Y769="",AA769=""),"",IF(OR(LEFT(AA769,2)="L0",LEFT(AA769,2)="L1",Y769="No Iniciado"),"CRÍTICO - Incumplimiento Normativo SEPS",IF(AND(OR(LEFT(AA769,2)="L4",LEFT(AA769,2)="L5"),AND(AC769&lt;&gt;"",AC769&lt;&gt;"N/A")),"CONFORME - Control Efectivo ISO 27001","OBSERVACIÓN - Revisar Controles")))</f>
        <v/>
      </c>
    </row>
    <row r="770" ht="20.45" customHeight="1" s="106">
      <c r="A770" s="40" t="inlineStr">
        <is>
          <t>67-GTI</t>
        </is>
      </c>
      <c r="B770" s="10" t="inlineStr">
        <is>
          <t>APOYO</t>
        </is>
      </c>
      <c r="C770" s="10" t="inlineStr">
        <is>
          <t>Gestión de Tecnología de la Información</t>
        </is>
      </c>
      <c r="D770" s="10" t="inlineStr">
        <is>
          <t>GTI</t>
        </is>
      </c>
      <c r="E770" s="10" t="inlineStr">
        <is>
          <t>Gestión de Seguridad Informática</t>
        </is>
      </c>
      <c r="F770" s="10" t="inlineStr">
        <is>
          <t>-</t>
        </is>
      </c>
      <c r="G770" s="10" t="inlineStr">
        <is>
          <t>Control de la seguridad de la red</t>
        </is>
      </c>
      <c r="H770" s="17" t="inlineStr">
        <is>
          <t>Check Point</t>
        </is>
      </c>
      <c r="I770" s="17" t="inlineStr">
        <is>
          <t>Proteccion perimetral, Analiza todas las conexiones, eventos inusuales</t>
        </is>
      </c>
      <c r="J770" s="10" t="inlineStr">
        <is>
          <t>GERENTE DE TI</t>
        </is>
      </c>
      <c r="K770" s="10" t="inlineStr">
        <is>
          <t>ADMINISTRADOR DE SEGURIDAD INFORMÁTICA</t>
        </is>
      </c>
      <c r="L770" s="10" t="inlineStr">
        <is>
          <t>UBICACIÓN FISICA-SUCURSAL IBARRA</t>
        </is>
      </c>
      <c r="M770" s="10" t="inlineStr">
        <is>
          <t>DISCOS DUROS, SERVIDORES, DISCOS O MEDIOS PORTÁTILES, CINTAS O MEDIOS DE VIDEO Y AUDIO, ETC.</t>
        </is>
      </c>
      <c r="N770" s="10" t="inlineStr">
        <is>
          <t>APOYO</t>
        </is>
      </c>
      <c r="O770" s="10" t="inlineStr">
        <is>
          <t>SOFTWARE</t>
        </is>
      </c>
      <c r="P770" s="10" t="inlineStr">
        <is>
          <t>RESTRINGIDO(3)</t>
        </is>
      </c>
      <c r="Q770" s="10" t="inlineStr">
        <is>
          <t>MEDIA(2)</t>
        </is>
      </c>
      <c r="R770" s="10" t="inlineStr">
        <is>
          <t>ALTA(3)</t>
        </is>
      </c>
      <c r="S770" s="10">
        <f>+(IF(P770="PUBLICA(1)",1,IF(P770="USO INTERNO(2)",2,IF(P770="RESTRINGIDO(3)",3,3))))+(IF(Q770="BAJA(1)",1,IF(Q770="MEDIA(2)",2,IF(Q770="ALTA(3)",3,3))))+(IF(R770="BAJA(1)",1,IF(R770="MEDIA(2)",2,IF(R770="ALTA(3)",3,3))))</f>
        <v/>
      </c>
      <c r="T770" s="10">
        <f>+IF(S770&lt;6,"BAJA",IF(S770&lt;8,"MEDIA","ALTA"))</f>
        <v/>
      </c>
      <c r="U770" s="10" t="inlineStr">
        <is>
          <t>-</t>
        </is>
      </c>
      <c r="V770" s="24" t="n">
        <v>43815</v>
      </c>
      <c r="W770" s="19" t="inlineStr">
        <is>
          <t>N/A</t>
        </is>
      </c>
      <c r="X770" s="10">
        <f>+IFERROR(IF(VLOOKUP(Tabla2[[#This Row],[ID]],'EVALUACION DE RIESGO'!A:A,1,FALSE)=Tabla2[[#This Row],[ID]],"SI","NO"),"NO")</f>
        <v/>
      </c>
      <c r="AD770">
        <f>IF(AND(Y770="",AA770=""),"",IF(OR(LEFT(AA770,2)="L0",LEFT(AA770,2)="L1",Y770="No Iniciado"),"CRÍTICO - Incumplimiento Normativo SEPS",IF(AND(OR(LEFT(AA770,2)="L4",LEFT(AA770,2)="L5"),AND(AC770&lt;&gt;"",AC770&lt;&gt;"N/A")),"CONFORME - Control Efectivo ISO 27001","OBSERVACIÓN - Revisar Controles")))</f>
        <v/>
      </c>
    </row>
    <row r="771" ht="12" customHeight="1" s="106">
      <c r="A771" s="40" t="inlineStr">
        <is>
          <t>68-GTI</t>
        </is>
      </c>
      <c r="B771" s="10" t="inlineStr">
        <is>
          <t>APOYO</t>
        </is>
      </c>
      <c r="C771" s="10" t="inlineStr">
        <is>
          <t>Gestión de Tecnología de la Información</t>
        </is>
      </c>
      <c r="D771" s="10" t="inlineStr">
        <is>
          <t>GTI</t>
        </is>
      </c>
      <c r="E771" s="10" t="inlineStr">
        <is>
          <t>Gestión de Seguridad Informática</t>
        </is>
      </c>
      <c r="F771" s="10" t="inlineStr">
        <is>
          <t>-</t>
        </is>
      </c>
      <c r="G771" s="10" t="inlineStr">
        <is>
          <t>Control de la seguridad de la red</t>
        </is>
      </c>
      <c r="H771" s="17" t="inlineStr">
        <is>
          <t>FortiAnalyzer</t>
        </is>
      </c>
      <c r="I771" s="17" t="inlineStr">
        <is>
          <t>Analizador de logs</t>
        </is>
      </c>
      <c r="J771" s="10" t="inlineStr">
        <is>
          <t>GERENTE DE TI</t>
        </is>
      </c>
      <c r="K771" s="10" t="inlineStr">
        <is>
          <t>ADMINISTRADOR DE SEGURIDAD INFORMÁTICA</t>
        </is>
      </c>
      <c r="L771" s="10" t="inlineStr">
        <is>
          <t>UBICACIÓN FISICA-SUCURSAL IBARRA</t>
        </is>
      </c>
      <c r="M771" s="10" t="inlineStr">
        <is>
          <t>DISCOS DUROS, SERVIDORES, DISCOS O MEDIOS PORTÁTILES, CINTAS O MEDIOS DE VIDEO Y AUDIO, ETC.</t>
        </is>
      </c>
      <c r="N771" s="10" t="inlineStr">
        <is>
          <t>APOYO</t>
        </is>
      </c>
      <c r="O771" s="10" t="inlineStr">
        <is>
          <t>SOFTWARE</t>
        </is>
      </c>
      <c r="P771" s="10" t="inlineStr">
        <is>
          <t>RESTRINGIDO(3)</t>
        </is>
      </c>
      <c r="Q771" s="10" t="inlineStr">
        <is>
          <t>MEDIA(2)</t>
        </is>
      </c>
      <c r="R771" s="10" t="inlineStr">
        <is>
          <t>ALTA(3)</t>
        </is>
      </c>
      <c r="S771" s="10">
        <f>+(IF(P771="PUBLICA(1)",1,IF(P771="USO INTERNO(2)",2,IF(P771="RESTRINGIDO(3)",3,3))))+(IF(Q771="BAJA(1)",1,IF(Q771="MEDIA(2)",2,IF(Q771="ALTA(3)",3,3))))+(IF(R771="BAJA(1)",1,IF(R771="MEDIA(2)",2,IF(R771="ALTA(3)",3,3))))</f>
        <v/>
      </c>
      <c r="T771" s="10">
        <f>+IF(S771&lt;6,"BAJA",IF(S771&lt;8,"MEDIA","ALTA"))</f>
        <v/>
      </c>
      <c r="U771" s="10" t="inlineStr">
        <is>
          <t>-</t>
        </is>
      </c>
      <c r="V771" s="24" t="n">
        <v>43815</v>
      </c>
      <c r="W771" s="19" t="inlineStr">
        <is>
          <t>N/A</t>
        </is>
      </c>
      <c r="X771" s="10">
        <f>+IFERROR(IF(VLOOKUP(Tabla2[[#This Row],[ID]],'EVALUACION DE RIESGO'!A:A,1,FALSE)=Tabla2[[#This Row],[ID]],"SI","NO"),"NO")</f>
        <v/>
      </c>
      <c r="AD771">
        <f>IF(AND(Y771="",AA771=""),"",IF(OR(LEFT(AA771,2)="L0",LEFT(AA771,2)="L1",Y771="No Iniciado"),"CRÍTICO - Incumplimiento Normativo SEPS",IF(AND(OR(LEFT(AA771,2)="L4",LEFT(AA771,2)="L5"),AND(AC771&lt;&gt;"",AC771&lt;&gt;"N/A")),"CONFORME - Control Efectivo ISO 27001","OBSERVACIÓN - Revisar Controles")))</f>
        <v/>
      </c>
    </row>
    <row r="772" ht="12" customHeight="1" s="106">
      <c r="A772" s="40" t="inlineStr">
        <is>
          <t>69-GTI</t>
        </is>
      </c>
      <c r="B772" s="10" t="inlineStr">
        <is>
          <t>APOYO</t>
        </is>
      </c>
      <c r="C772" s="10" t="inlineStr">
        <is>
          <t>Gestión de Tecnología de la Información</t>
        </is>
      </c>
      <c r="D772" s="10" t="inlineStr">
        <is>
          <t>GTI</t>
        </is>
      </c>
      <c r="E772" s="10" t="inlineStr">
        <is>
          <t>Gestión de Seguridad Informática</t>
        </is>
      </c>
      <c r="F772" s="10" t="inlineStr">
        <is>
          <t>-</t>
        </is>
      </c>
      <c r="G772" s="10" t="inlineStr">
        <is>
          <t>Control de la seguridad de la red</t>
        </is>
      </c>
      <c r="H772" s="17" t="inlineStr">
        <is>
          <t>UTM Fortinet</t>
        </is>
      </c>
      <c r="I772" s="17" t="inlineStr">
        <is>
          <t>Revision y categorizacion urls y sitios peligrosos</t>
        </is>
      </c>
      <c r="J772" s="10" t="inlineStr">
        <is>
          <t>GERENTE DE TI</t>
        </is>
      </c>
      <c r="K772" s="10" t="inlineStr">
        <is>
          <t>ADMINISTRADOR DE SEGURIDAD INFORMÁTICA</t>
        </is>
      </c>
      <c r="L772" s="10" t="inlineStr">
        <is>
          <t>UBICACIÓN FISICA-SUCURSAL IBARRA</t>
        </is>
      </c>
      <c r="M772" s="10" t="inlineStr">
        <is>
          <t>DISCOS DUROS, SERVIDORES, DISCOS O MEDIOS PORTÁTILES, CINTAS O MEDIOS DE VIDEO Y AUDIO, ETC.</t>
        </is>
      </c>
      <c r="N772" s="10" t="inlineStr">
        <is>
          <t>APOYO</t>
        </is>
      </c>
      <c r="O772" s="10" t="inlineStr">
        <is>
          <t>SOFTWARE</t>
        </is>
      </c>
      <c r="P772" s="10" t="inlineStr">
        <is>
          <t>RESTRINGIDO(3)</t>
        </is>
      </c>
      <c r="Q772" s="10" t="inlineStr">
        <is>
          <t>MEDIA(2)</t>
        </is>
      </c>
      <c r="R772" s="10" t="inlineStr">
        <is>
          <t>ALTA(3)</t>
        </is>
      </c>
      <c r="S772" s="10">
        <f>+(IF(P772="PUBLICA(1)",1,IF(P772="USO INTERNO(2)",2,IF(P772="RESTRINGIDO(3)",3,3))))+(IF(Q772="BAJA(1)",1,IF(Q772="MEDIA(2)",2,IF(Q772="ALTA(3)",3,3))))+(IF(R772="BAJA(1)",1,IF(R772="MEDIA(2)",2,IF(R772="ALTA(3)",3,3))))</f>
        <v/>
      </c>
      <c r="T772" s="10">
        <f>+IF(S772&lt;6,"BAJA",IF(S772&lt;8,"MEDIA","ALTA"))</f>
        <v/>
      </c>
      <c r="U772" s="10" t="inlineStr">
        <is>
          <t>-</t>
        </is>
      </c>
      <c r="V772" s="24" t="n">
        <v>43815</v>
      </c>
      <c r="W772" s="19" t="inlineStr">
        <is>
          <t>N/A</t>
        </is>
      </c>
      <c r="X772" s="10">
        <f>+IFERROR(IF(VLOOKUP(Tabla2[[#This Row],[ID]],'EVALUACION DE RIESGO'!A:A,1,FALSE)=Tabla2[[#This Row],[ID]],"SI","NO"),"NO")</f>
        <v/>
      </c>
      <c r="AD772">
        <f>IF(AND(Y772="",AA772=""),"",IF(OR(LEFT(AA772,2)="L0",LEFT(AA772,2)="L1",Y772="No Iniciado"),"CRÍTICO - Incumplimiento Normativo SEPS",IF(AND(OR(LEFT(AA772,2)="L4",LEFT(AA772,2)="L5"),AND(AC772&lt;&gt;"",AC772&lt;&gt;"N/A")),"CONFORME - Control Efectivo ISO 27001","OBSERVACIÓN - Revisar Controles")))</f>
        <v/>
      </c>
    </row>
    <row r="773" ht="12" customHeight="1" s="106">
      <c r="A773" s="40" t="inlineStr">
        <is>
          <t>70-GTI</t>
        </is>
      </c>
      <c r="B773" s="10" t="inlineStr">
        <is>
          <t>APOYO</t>
        </is>
      </c>
      <c r="C773" s="10" t="inlineStr">
        <is>
          <t>Gestión de Tecnología de la Información</t>
        </is>
      </c>
      <c r="D773" s="10" t="inlineStr">
        <is>
          <t>GTI</t>
        </is>
      </c>
      <c r="E773" s="10" t="inlineStr">
        <is>
          <t>Gestión de Seguridad Informática</t>
        </is>
      </c>
      <c r="F773" s="10" t="inlineStr">
        <is>
          <t>-</t>
        </is>
      </c>
      <c r="G773" s="10" t="inlineStr">
        <is>
          <t>Control de software malicioso</t>
        </is>
      </c>
      <c r="H773" s="17" t="inlineStr">
        <is>
          <t>Eset Endpoint Security</t>
        </is>
      </c>
      <c r="I773" s="17" t="inlineStr">
        <is>
          <t>Herramienta de control de software malicioso</t>
        </is>
      </c>
      <c r="J773" s="10" t="inlineStr">
        <is>
          <t>GERENTE DE TI</t>
        </is>
      </c>
      <c r="K773" s="10" t="inlineStr">
        <is>
          <t>ADMINISTRADOR DE SEGURIDAD INFORMÁTICA</t>
        </is>
      </c>
      <c r="L773" s="10" t="inlineStr">
        <is>
          <t>UBICACIÓN FISICA-SUCURSAL IBARRA</t>
        </is>
      </c>
      <c r="M773" s="10" t="inlineStr">
        <is>
          <t>DISCOS DUROS, SERVIDORES, DISCOS O MEDIOS PORTÁTILES, CINTAS O MEDIOS DE VIDEO Y AUDIO, ETC.</t>
        </is>
      </c>
      <c r="N773" s="10" t="inlineStr">
        <is>
          <t>APOYO</t>
        </is>
      </c>
      <c r="O773" s="10" t="inlineStr">
        <is>
          <t>SOFTWARE</t>
        </is>
      </c>
      <c r="P773" s="10" t="inlineStr">
        <is>
          <t>RESTRINGIDO(3)</t>
        </is>
      </c>
      <c r="Q773" s="10" t="inlineStr">
        <is>
          <t>MEDIA(2)</t>
        </is>
      </c>
      <c r="R773" s="10" t="inlineStr">
        <is>
          <t>ALTA(3)</t>
        </is>
      </c>
      <c r="S773" s="10">
        <f>+(IF(P773="PUBLICA(1)",1,IF(P773="USO INTERNO(2)",2,IF(P773="RESTRINGIDO(3)",3,3))))+(IF(Q773="BAJA(1)",1,IF(Q773="MEDIA(2)",2,IF(Q773="ALTA(3)",3,3))))+(IF(R773="BAJA(1)",1,IF(R773="MEDIA(2)",2,IF(R773="ALTA(3)",3,3))))</f>
        <v/>
      </c>
      <c r="T773" s="10">
        <f>+IF(S773&lt;6,"BAJA",IF(S773&lt;8,"MEDIA","ALTA"))</f>
        <v/>
      </c>
      <c r="U773" s="10" t="inlineStr">
        <is>
          <t>-</t>
        </is>
      </c>
      <c r="V773" s="24" t="n">
        <v>43815</v>
      </c>
      <c r="W773" s="19" t="inlineStr">
        <is>
          <t>N/A</t>
        </is>
      </c>
      <c r="X773" s="10">
        <f>+IFERROR(IF(VLOOKUP(Tabla2[[#This Row],[ID]],'EVALUACION DE RIESGO'!A:A,1,FALSE)=Tabla2[[#This Row],[ID]],"SI","NO"),"NO")</f>
        <v/>
      </c>
      <c r="AD773">
        <f>IF(AND(Y773="",AA773=""),"",IF(OR(LEFT(AA773,2)="L0",LEFT(AA773,2)="L1",Y773="No Iniciado"),"CRÍTICO - Incumplimiento Normativo SEPS",IF(AND(OR(LEFT(AA773,2)="L4",LEFT(AA773,2)="L5"),AND(AC773&lt;&gt;"",AC773&lt;&gt;"N/A")),"CONFORME - Control Efectivo ISO 27001","OBSERVACIÓN - Revisar Controles")))</f>
        <v/>
      </c>
    </row>
    <row r="774" ht="12" customHeight="1" s="106">
      <c r="A774" s="40" t="inlineStr">
        <is>
          <t>71-GTI</t>
        </is>
      </c>
      <c r="B774" s="10" t="inlineStr">
        <is>
          <t>APOYO</t>
        </is>
      </c>
      <c r="C774" s="10" t="inlineStr">
        <is>
          <t>Gestión de Tecnología de la Información</t>
        </is>
      </c>
      <c r="D774" s="10" t="inlineStr">
        <is>
          <t>GTI</t>
        </is>
      </c>
      <c r="E774" s="10" t="inlineStr">
        <is>
          <t>Gestión de Seguridad Informática</t>
        </is>
      </c>
      <c r="F774" s="10" t="inlineStr">
        <is>
          <t>-</t>
        </is>
      </c>
      <c r="G774" s="10" t="inlineStr">
        <is>
          <t>Control de software malicioso</t>
        </is>
      </c>
      <c r="H774" s="17" t="inlineStr">
        <is>
          <t>FortiMail</t>
        </is>
      </c>
      <c r="I774" s="17" t="inlineStr">
        <is>
          <t>Control de correo no deseado Antispam</t>
        </is>
      </c>
      <c r="J774" s="10" t="inlineStr">
        <is>
          <t>GERENTE DE TI</t>
        </is>
      </c>
      <c r="K774" s="10" t="inlineStr">
        <is>
          <t>ADMINISTRADOR DE SEGURIDAD INFORMÁTICA</t>
        </is>
      </c>
      <c r="L774" s="10" t="inlineStr">
        <is>
          <t>UBICACIÓN FISICA-SUCURSAL IBARRA</t>
        </is>
      </c>
      <c r="M774" s="10" t="inlineStr">
        <is>
          <t>DISCOS DUROS, SERVIDORES, DISCOS O MEDIOS PORTÁTILES, CINTAS O MEDIOS DE VIDEO Y AUDIO, ETC.</t>
        </is>
      </c>
      <c r="N774" s="10" t="inlineStr">
        <is>
          <t>APOYO</t>
        </is>
      </c>
      <c r="O774" s="10" t="inlineStr">
        <is>
          <t>SOFTWARE</t>
        </is>
      </c>
      <c r="P774" s="10" t="inlineStr">
        <is>
          <t>RESTRINGIDO(3)</t>
        </is>
      </c>
      <c r="Q774" s="10" t="inlineStr">
        <is>
          <t>MEDIA(2)</t>
        </is>
      </c>
      <c r="R774" s="10" t="inlineStr">
        <is>
          <t>ALTA(3)</t>
        </is>
      </c>
      <c r="S774" s="10">
        <f>+(IF(P774="PUBLICA(1)",1,IF(P774="USO INTERNO(2)",2,IF(P774="RESTRINGIDO(3)",3,3))))+(IF(Q774="BAJA(1)",1,IF(Q774="MEDIA(2)",2,IF(Q774="ALTA(3)",3,3))))+(IF(R774="BAJA(1)",1,IF(R774="MEDIA(2)",2,IF(R774="ALTA(3)",3,3))))</f>
        <v/>
      </c>
      <c r="T774" s="10">
        <f>+IF(S774&lt;6,"BAJA",IF(S774&lt;8,"MEDIA","ALTA"))</f>
        <v/>
      </c>
      <c r="U774" s="10" t="inlineStr">
        <is>
          <t>-</t>
        </is>
      </c>
      <c r="V774" s="24" t="n">
        <v>43815</v>
      </c>
      <c r="W774" s="19" t="inlineStr">
        <is>
          <t>N/A</t>
        </is>
      </c>
      <c r="X774" s="10">
        <f>+IFERROR(IF(VLOOKUP(Tabla2[[#This Row],[ID]],'EVALUACION DE RIESGO'!A:A,1,FALSE)=Tabla2[[#This Row],[ID]],"SI","NO"),"NO")</f>
        <v/>
      </c>
      <c r="AD774">
        <f>IF(AND(Y774="",AA774=""),"",IF(OR(LEFT(AA774,2)="L0",LEFT(AA774,2)="L1",Y774="No Iniciado"),"CRÍTICO - Incumplimiento Normativo SEPS",IF(AND(OR(LEFT(AA774,2)="L4",LEFT(AA774,2)="L5"),AND(AC774&lt;&gt;"",AC774&lt;&gt;"N/A")),"CONFORME - Control Efectivo ISO 27001","OBSERVACIÓN - Revisar Controles")))</f>
        <v/>
      </c>
    </row>
    <row r="775" ht="12" customHeight="1" s="106">
      <c r="A775" s="40" t="inlineStr">
        <is>
          <t>72-GTI</t>
        </is>
      </c>
      <c r="B775" s="10" t="inlineStr">
        <is>
          <t>APOYO</t>
        </is>
      </c>
      <c r="C775" s="10" t="inlineStr">
        <is>
          <t>Gestión de Tecnología de la Información</t>
        </is>
      </c>
      <c r="D775" s="10" t="inlineStr">
        <is>
          <t>GTI</t>
        </is>
      </c>
      <c r="E775" s="10" t="inlineStr">
        <is>
          <t>Gestión de Seguridad Informática</t>
        </is>
      </c>
      <c r="F775" s="10" t="inlineStr">
        <is>
          <t>-</t>
        </is>
      </c>
      <c r="G775" s="10" t="inlineStr">
        <is>
          <t>Gestión de incidentes de seguridad</t>
        </is>
      </c>
      <c r="H775" s="17" t="inlineStr">
        <is>
          <t>Informe de gestión</t>
        </is>
      </c>
      <c r="I775" s="17" t="inlineStr">
        <is>
          <t>Informe eventos de seguridad</t>
        </is>
      </c>
      <c r="J775" s="10" t="inlineStr">
        <is>
          <t>GERENTE DE TI</t>
        </is>
      </c>
      <c r="K775" s="10" t="inlineStr">
        <is>
          <t>ADMINISTRADOR DE SEGURIDAD INFORMÁTICA</t>
        </is>
      </c>
      <c r="L775" s="10" t="inlineStr">
        <is>
          <t>UBICACIÓN FISICA-SUCURSAL IBARRA</t>
        </is>
      </c>
      <c r="M775" s="10" t="inlineStr">
        <is>
          <t>DISCOS DUROS, SERVIDORES, DISCOS O MEDIOS PORTÁTILES, CINTAS O MEDIOS DE VIDEO Y AUDIO, ETC.</t>
        </is>
      </c>
      <c r="N775" s="10" t="inlineStr">
        <is>
          <t>PRIMARIOS</t>
        </is>
      </c>
      <c r="O775" s="10" t="inlineStr">
        <is>
          <t>DOCUMENTOS TÉCNICOS</t>
        </is>
      </c>
      <c r="P775" s="10" t="inlineStr">
        <is>
          <t>RESTRINGIDO(3)</t>
        </is>
      </c>
      <c r="Q775" s="10" t="inlineStr">
        <is>
          <t>MEDIA(2)</t>
        </is>
      </c>
      <c r="R775" s="10" t="inlineStr">
        <is>
          <t>ALTA(3)</t>
        </is>
      </c>
      <c r="S775" s="10">
        <f>+(IF(P775="PUBLICA(1)",1,IF(P775="USO INTERNO(2)",2,IF(P775="RESTRINGIDO(3)",3,3))))+(IF(Q775="BAJA(1)",1,IF(Q775="MEDIA(2)",2,IF(Q775="ALTA(3)",3,3))))+(IF(R775="BAJA(1)",1,IF(R775="MEDIA(2)",2,IF(R775="ALTA(3)",3,3))))</f>
        <v/>
      </c>
      <c r="T775" s="10">
        <f>+IF(S775&lt;6,"BAJA",IF(S775&lt;8,"MEDIA","ALTA"))</f>
        <v/>
      </c>
      <c r="U775" s="10" t="inlineStr">
        <is>
          <t>-</t>
        </is>
      </c>
      <c r="V775" s="24" t="n">
        <v>43815</v>
      </c>
      <c r="W775" s="19" t="inlineStr">
        <is>
          <t>N/A</t>
        </is>
      </c>
      <c r="X775" s="10">
        <f>+IFERROR(IF(VLOOKUP(Tabla2[[#This Row],[ID]],'EVALUACION DE RIESGO'!A:A,1,FALSE)=Tabla2[[#This Row],[ID]],"SI","NO"),"NO")</f>
        <v/>
      </c>
      <c r="AD775">
        <f>IF(AND(Y775="",AA775=""),"",IF(OR(LEFT(AA775,2)="L0",LEFT(AA775,2)="L1",Y775="No Iniciado"),"CRÍTICO - Incumplimiento Normativo SEPS",IF(AND(OR(LEFT(AA775,2)="L4",LEFT(AA775,2)="L5"),AND(AC775&lt;&gt;"",AC775&lt;&gt;"N/A")),"CONFORME - Control Efectivo ISO 27001","OBSERVACIÓN - Revisar Controles")))</f>
        <v/>
      </c>
    </row>
    <row r="776" ht="20.45" customHeight="1" s="106">
      <c r="A776" s="40" t="inlineStr">
        <is>
          <t>73-GTI</t>
        </is>
      </c>
      <c r="B776" s="10" t="inlineStr">
        <is>
          <t>APOYO</t>
        </is>
      </c>
      <c r="C776" s="10" t="inlineStr">
        <is>
          <t>Gestión de Tecnología de la Información</t>
        </is>
      </c>
      <c r="D776" s="10" t="inlineStr">
        <is>
          <t>GTI</t>
        </is>
      </c>
      <c r="E776" s="10" t="inlineStr">
        <is>
          <t>Gestión de Seguridad Informática</t>
        </is>
      </c>
      <c r="F776" s="10" t="inlineStr">
        <is>
          <t>-</t>
        </is>
      </c>
      <c r="G776" s="10" t="inlineStr">
        <is>
          <t>Control de software malicioso</t>
        </is>
      </c>
      <c r="H776" s="17" t="inlineStr">
        <is>
          <t>Consola ESET</t>
        </is>
      </c>
      <c r="I776" s="17" t="inlineStr">
        <is>
          <t>Servidor control software malicioso 
192.168.100.235</t>
        </is>
      </c>
      <c r="J776" s="10" t="inlineStr">
        <is>
          <t>GERENTE DE TI</t>
        </is>
      </c>
      <c r="K776" s="10" t="inlineStr">
        <is>
          <t>ADMINISTRADOR DE SEGURIDAD INFORMÁTICA</t>
        </is>
      </c>
      <c r="L776" s="10" t="inlineStr">
        <is>
          <t>UBICACIÓN FISICA-SUCURSAL IBARRA</t>
        </is>
      </c>
      <c r="M776" s="10" t="inlineStr">
        <is>
          <t>DISCOS DUROS, SERVIDORES, DISCOS O MEDIOS PORTÁTILES, CINTAS O MEDIOS DE VIDEO Y AUDIO, ETC.</t>
        </is>
      </c>
      <c r="N776" s="10" t="inlineStr">
        <is>
          <t>APOYO</t>
        </is>
      </c>
      <c r="O776" s="10" t="inlineStr">
        <is>
          <t>HARDWARE</t>
        </is>
      </c>
      <c r="P776" s="10" t="inlineStr">
        <is>
          <t>USO INTERNO(2)</t>
        </is>
      </c>
      <c r="Q776" s="10" t="inlineStr">
        <is>
          <t>ALTA(3)</t>
        </is>
      </c>
      <c r="R776" s="10" t="inlineStr">
        <is>
          <t>ALTA(3)</t>
        </is>
      </c>
      <c r="S776" s="10">
        <f>+(IF(P776="PUBLICA(1)",1,IF(P776="USO INTERNO(2)",2,IF(P776="RESTRINGIDO(3)",3,3))))+(IF(Q776="BAJA(1)",1,IF(Q776="MEDIA(2)",2,IF(Q776="ALTA(3)",3,3))))+(IF(R776="BAJA(1)",1,IF(R776="MEDIA(2)",2,IF(R776="ALTA(3)",3,3))))</f>
        <v/>
      </c>
      <c r="T776" s="10">
        <f>+IF(S776&lt;6,"BAJA",IF(S776&lt;8,"MEDIA","ALTA"))</f>
        <v/>
      </c>
      <c r="U776" s="10" t="inlineStr">
        <is>
          <t>-</t>
        </is>
      </c>
      <c r="V776" s="24" t="n">
        <v>43815</v>
      </c>
      <c r="W776" s="19" t="inlineStr">
        <is>
          <t>N/A</t>
        </is>
      </c>
      <c r="X776" s="10">
        <f>+IFERROR(IF(VLOOKUP(Tabla2[[#This Row],[ID]],'EVALUACION DE RIESGO'!A:A,1,FALSE)=Tabla2[[#This Row],[ID]],"SI","NO"),"NO")</f>
        <v/>
      </c>
      <c r="AD776">
        <f>IF(AND(Y776="",AA776=""),"",IF(OR(LEFT(AA776,2)="L0",LEFT(AA776,2)="L1",Y776="No Iniciado"),"CRÍTICO - Incumplimiento Normativo SEPS",IF(AND(OR(LEFT(AA776,2)="L4",LEFT(AA776,2)="L5"),AND(AC776&lt;&gt;"",AC776&lt;&gt;"N/A")),"CONFORME - Control Efectivo ISO 27001","OBSERVACIÓN - Revisar Controles")))</f>
        <v/>
      </c>
    </row>
    <row r="777" ht="20.45" customHeight="1" s="106">
      <c r="A777" s="40" t="inlineStr">
        <is>
          <t>74-GTI</t>
        </is>
      </c>
      <c r="B777" s="10" t="inlineStr">
        <is>
          <t>APOYO</t>
        </is>
      </c>
      <c r="C777" s="10" t="inlineStr">
        <is>
          <t>Gestión de Tecnología de la Información</t>
        </is>
      </c>
      <c r="D777" s="10" t="inlineStr">
        <is>
          <t>GTI</t>
        </is>
      </c>
      <c r="E777" s="10" t="inlineStr">
        <is>
          <t>Gestión de Seguridad Informática</t>
        </is>
      </c>
      <c r="F777" s="10" t="inlineStr">
        <is>
          <t>-</t>
        </is>
      </c>
      <c r="G777" s="10" t="inlineStr">
        <is>
          <t>Control de software malicioso</t>
        </is>
      </c>
      <c r="H777" s="17" t="inlineStr">
        <is>
          <t>Consola AntiSpam</t>
        </is>
      </c>
      <c r="I777" s="17" t="inlineStr">
        <is>
          <t>Servidor prevencion correo no deseado  
192.168.23.6</t>
        </is>
      </c>
      <c r="J777" s="10" t="inlineStr">
        <is>
          <t>GERENTE DE TI</t>
        </is>
      </c>
      <c r="K777" s="10" t="inlineStr">
        <is>
          <t>ADMINISTRADOR DE SEGURIDAD INFORMÁTICA</t>
        </is>
      </c>
      <c r="L777" s="10" t="inlineStr">
        <is>
          <t>UBICACIÓN FISICA-SUCURSAL IBARRA</t>
        </is>
      </c>
      <c r="M777" s="10" t="inlineStr">
        <is>
          <t>DISCOS DUROS, SERVIDORES, DISCOS O MEDIOS PORTÁTILES, CINTAS O MEDIOS DE VIDEO Y AUDIO, ETC.</t>
        </is>
      </c>
      <c r="N777" s="10" t="inlineStr">
        <is>
          <t>APOYO</t>
        </is>
      </c>
      <c r="O777" s="10" t="inlineStr">
        <is>
          <t>HARDWARE</t>
        </is>
      </c>
      <c r="P777" s="10" t="inlineStr">
        <is>
          <t>USO INTERNO(2)</t>
        </is>
      </c>
      <c r="Q777" s="10" t="inlineStr">
        <is>
          <t>ALTA(3)</t>
        </is>
      </c>
      <c r="R777" s="10" t="inlineStr">
        <is>
          <t>ALTA(3)</t>
        </is>
      </c>
      <c r="S777" s="10">
        <f>+(IF(P777="PUBLICA(1)",1,IF(P777="USO INTERNO(2)",2,IF(P777="RESTRINGIDO(3)",3,3))))+(IF(Q777="BAJA(1)",1,IF(Q777="MEDIA(2)",2,IF(Q777="ALTA(3)",3,3))))+(IF(R777="BAJA(1)",1,IF(R777="MEDIA(2)",2,IF(R777="ALTA(3)",3,3))))</f>
        <v/>
      </c>
      <c r="T777" s="10">
        <f>+IF(S777&lt;6,"BAJA",IF(S777&lt;8,"MEDIA","ALTA"))</f>
        <v/>
      </c>
      <c r="U777" s="10" t="inlineStr">
        <is>
          <t>-</t>
        </is>
      </c>
      <c r="V777" s="24" t="n">
        <v>43815</v>
      </c>
      <c r="W777" s="19" t="inlineStr">
        <is>
          <t>N/A</t>
        </is>
      </c>
      <c r="X777" s="10">
        <f>+IFERROR(IF(VLOOKUP(Tabla2[[#This Row],[ID]],'EVALUACION DE RIESGO'!A:A,1,FALSE)=Tabla2[[#This Row],[ID]],"SI","NO"),"NO")</f>
        <v/>
      </c>
      <c r="AD777">
        <f>IF(AND(Y777="",AA777=""),"",IF(OR(LEFT(AA777,2)="L0",LEFT(AA777,2)="L1",Y777="No Iniciado"),"CRÍTICO - Incumplimiento Normativo SEPS",IF(AND(OR(LEFT(AA777,2)="L4",LEFT(AA777,2)="L5"),AND(AC777&lt;&gt;"",AC777&lt;&gt;"N/A")),"CONFORME - Control Efectivo ISO 27001","OBSERVACIÓN - Revisar Controles")))</f>
        <v/>
      </c>
    </row>
    <row r="778" ht="20.45" customHeight="1" s="106">
      <c r="A778" s="40" t="inlineStr">
        <is>
          <t>75-GTI</t>
        </is>
      </c>
      <c r="B778" s="10" t="inlineStr">
        <is>
          <t>APOYO</t>
        </is>
      </c>
      <c r="C778" s="10" t="inlineStr">
        <is>
          <t>Gestión de Tecnología de la Información</t>
        </is>
      </c>
      <c r="D778" s="10" t="inlineStr">
        <is>
          <t>GTI</t>
        </is>
      </c>
      <c r="E778" s="10" t="inlineStr">
        <is>
          <t>Gestión de Seguridad Informática</t>
        </is>
      </c>
      <c r="F778" s="10" t="inlineStr">
        <is>
          <t>-</t>
        </is>
      </c>
      <c r="G778" s="10" t="inlineStr">
        <is>
          <t>Seguridad Perimetral</t>
        </is>
      </c>
      <c r="H778" s="17" t="inlineStr">
        <is>
          <t>Consola Firewall</t>
        </is>
      </c>
      <c r="I778" s="17" t="inlineStr">
        <is>
          <t>Consola de administracion firewall
192.168.21.2</t>
        </is>
      </c>
      <c r="J778" s="10" t="inlineStr">
        <is>
          <t>GERENTE DE TI</t>
        </is>
      </c>
      <c r="K778" s="10" t="inlineStr">
        <is>
          <t>ADMINISTRADOR DE SEGURIDAD INFORMÁTICA</t>
        </is>
      </c>
      <c r="L778" s="10" t="inlineStr">
        <is>
          <t>UBICACIÓN FISICA-SUCURSAL IBARRA</t>
        </is>
      </c>
      <c r="M778" s="10" t="inlineStr">
        <is>
          <t>DISCOS DUROS, SERVIDORES, DISCOS O MEDIOS PORTÁTILES, CINTAS O MEDIOS DE VIDEO Y AUDIO, ETC.</t>
        </is>
      </c>
      <c r="N778" s="10" t="inlineStr">
        <is>
          <t>APOYO</t>
        </is>
      </c>
      <c r="O778" s="10" t="inlineStr">
        <is>
          <t>HARDWARE</t>
        </is>
      </c>
      <c r="P778" s="10" t="inlineStr">
        <is>
          <t>USO INTERNO(2)</t>
        </is>
      </c>
      <c r="Q778" s="10" t="inlineStr">
        <is>
          <t>ALTA(3)</t>
        </is>
      </c>
      <c r="R778" s="10" t="inlineStr">
        <is>
          <t>ALTA(3)</t>
        </is>
      </c>
      <c r="S778" s="10">
        <f>+(IF(P778="PUBLICA(1)",1,IF(P778="USO INTERNO(2)",2,IF(P778="RESTRINGIDO(3)",3,3))))+(IF(Q778="BAJA(1)",1,IF(Q778="MEDIA(2)",2,IF(Q778="ALTA(3)",3,3))))+(IF(R778="BAJA(1)",1,IF(R778="MEDIA(2)",2,IF(R778="ALTA(3)",3,3))))</f>
        <v/>
      </c>
      <c r="T778" s="10">
        <f>+IF(S778&lt;6,"BAJA",IF(S778&lt;8,"MEDIA","ALTA"))</f>
        <v/>
      </c>
      <c r="U778" s="10" t="inlineStr">
        <is>
          <t>-</t>
        </is>
      </c>
      <c r="V778" s="24" t="n">
        <v>43815</v>
      </c>
      <c r="W778" s="19" t="inlineStr">
        <is>
          <t>N/A</t>
        </is>
      </c>
      <c r="X778" s="10">
        <f>+IFERROR(IF(VLOOKUP(Tabla2[[#This Row],[ID]],'EVALUACION DE RIESGO'!A:A,1,FALSE)=Tabla2[[#This Row],[ID]],"SI","NO"),"NO")</f>
        <v/>
      </c>
      <c r="AD778">
        <f>IF(AND(Y778="",AA778=""),"",IF(OR(LEFT(AA778,2)="L0",LEFT(AA778,2)="L1",Y778="No Iniciado"),"CRÍTICO - Incumplimiento Normativo SEPS",IF(AND(OR(LEFT(AA778,2)="L4",LEFT(AA778,2)="L5"),AND(AC778&lt;&gt;"",AC778&lt;&gt;"N/A")),"CONFORME - Control Efectivo ISO 27001","OBSERVACIÓN - Revisar Controles")))</f>
        <v/>
      </c>
    </row>
    <row r="779">
      <c r="A779" s="99" t="inlineStr">
        <is>
          <t>76-GTI</t>
        </is>
      </c>
      <c r="B779" s="10" t="inlineStr">
        <is>
          <t>APOYO</t>
        </is>
      </c>
      <c r="C779" s="10" t="inlineStr">
        <is>
          <t>Gestión de Tecnología de la Información</t>
        </is>
      </c>
      <c r="D779" s="10" t="inlineStr">
        <is>
          <t>GTI</t>
        </is>
      </c>
      <c r="E779" s="10" t="inlineStr">
        <is>
          <t>Gestión de Seguridad Informática</t>
        </is>
      </c>
      <c r="F779" s="10" t="inlineStr">
        <is>
          <t>-</t>
        </is>
      </c>
      <c r="G779" s="10" t="inlineStr">
        <is>
          <t>Seguridad Perimetral</t>
        </is>
      </c>
      <c r="H779" s="10" t="inlineStr">
        <is>
          <t>Firewall</t>
        </is>
      </c>
      <c r="I779" s="10" t="inlineStr">
        <is>
          <t>Firewall Perimetral
192.168.21.1</t>
        </is>
      </c>
      <c r="J779" s="10" t="inlineStr">
        <is>
          <t>GERENTE DE TI</t>
        </is>
      </c>
      <c r="K779" s="10" t="inlineStr">
        <is>
          <t>ADMINISTRADOR DE SEGURIDAD INFORMÁTICA</t>
        </is>
      </c>
      <c r="L779" s="10" t="inlineStr">
        <is>
          <t>UBICACIÓN FISICA-SUCURSAL IBARRA</t>
        </is>
      </c>
      <c r="M779" s="10" t="inlineStr">
        <is>
          <t>DISCOS DUROS, SERVIDORES, DISCOS O MEDIOS PORTÁTILES, CINTAS O MEDIOS DE VIDEO Y AUDIO, ETC.</t>
        </is>
      </c>
      <c r="N779" s="10" t="inlineStr">
        <is>
          <t>APOYO</t>
        </is>
      </c>
      <c r="O779" s="10" t="inlineStr">
        <is>
          <t>HARDWARE</t>
        </is>
      </c>
      <c r="P779" s="10" t="inlineStr">
        <is>
          <t>USO INTERNO(2)</t>
        </is>
      </c>
      <c r="Q779" s="10" t="inlineStr">
        <is>
          <t>BAJA(1)</t>
        </is>
      </c>
      <c r="R779" s="10" t="inlineStr">
        <is>
          <t>ALTA(3)</t>
        </is>
      </c>
      <c r="S779" s="10">
        <f>+(IF(P779="PUBLICA(1)",1,IF(P779="USO INTERNO(2)",2,IF(P779="RESTRINGIDO(3)",3,3))))+(IF(Q779="BAJA(1)",1,IF(Q779="MEDIA(2)",2,IF(Q779="ALTA(3)",3,3))))+(IF(R779="BAJA(1)",1,IF(R779="MEDIA(2)",2,IF(R779="ALTA(3)",3,3))))</f>
        <v/>
      </c>
      <c r="T779" s="10">
        <f>+IF(S779&lt;6,"BAJA",IF(S779&lt;8,"MEDIA","ALTA"))</f>
        <v/>
      </c>
      <c r="U779" s="10" t="inlineStr">
        <is>
          <t>-</t>
        </is>
      </c>
      <c r="V779" s="24" t="n">
        <v>43815</v>
      </c>
      <c r="W779" s="19" t="inlineStr">
        <is>
          <t>N/A</t>
        </is>
      </c>
      <c r="X779" s="10">
        <f>+IFERROR(IF(VLOOKUP(Tabla2[[#This Row],[ID]],'EVALUACION DE RIESGO'!A:A,1,FALSE)=Tabla2[[#This Row],[ID]],"SI","NO"),"NO")</f>
        <v/>
      </c>
      <c r="AD779">
        <f>IF(AND(Y779="",AA779=""),"",IF(OR(LEFT(AA779,2)="L0",LEFT(AA779,2)="L1",Y779="No Iniciado"),"CRÍTICO - Incumplimiento Normativo SEPS",IF(AND(OR(LEFT(AA779,2)="L4",LEFT(AA779,2)="L5"),AND(AC779&lt;&gt;"",AC779&lt;&gt;"N/A")),"CONFORME - Control Efectivo ISO 27001","OBSERVACIÓN - Revisar Controles")))</f>
        <v/>
      </c>
    </row>
    <row r="780" ht="20.45" customHeight="1" s="106">
      <c r="A780" s="40" t="inlineStr">
        <is>
          <t>77-GTI</t>
        </is>
      </c>
      <c r="B780" s="10" t="inlineStr">
        <is>
          <t>APOYO</t>
        </is>
      </c>
      <c r="C780" s="10" t="inlineStr">
        <is>
          <t>Gestión de Tecnología de la Información</t>
        </is>
      </c>
      <c r="D780" s="10" t="inlineStr">
        <is>
          <t>GTI</t>
        </is>
      </c>
      <c r="E780" s="10" t="inlineStr">
        <is>
          <t>Gestión de Seguridad Informática</t>
        </is>
      </c>
      <c r="F780" s="10" t="inlineStr">
        <is>
          <t>-</t>
        </is>
      </c>
      <c r="G780" s="10" t="inlineStr">
        <is>
          <t>Seguridad Perimetral</t>
        </is>
      </c>
      <c r="H780" s="17" t="inlineStr">
        <is>
          <t>Consola FortiAnalizer</t>
        </is>
      </c>
      <c r="I780" s="17" t="inlineStr">
        <is>
          <t>Analizador de logs
192.168.100.232</t>
        </is>
      </c>
      <c r="J780" s="10" t="inlineStr">
        <is>
          <t>GERENTE DE TI</t>
        </is>
      </c>
      <c r="K780" s="10" t="inlineStr">
        <is>
          <t>ADMINISTRADOR DE SEGURIDAD INFORMÁTICA</t>
        </is>
      </c>
      <c r="L780" s="10" t="inlineStr">
        <is>
          <t>UBICACIÓN FISICA-SUCURSAL IBARRA</t>
        </is>
      </c>
      <c r="M780" s="10" t="inlineStr">
        <is>
          <t>DISCOS DUROS, SERVIDORES, DISCOS O MEDIOS PORTÁTILES, CINTAS O MEDIOS DE VIDEO Y AUDIO, ETC.</t>
        </is>
      </c>
      <c r="N780" s="10" t="inlineStr">
        <is>
          <t>APOYO</t>
        </is>
      </c>
      <c r="O780" s="10" t="inlineStr">
        <is>
          <t>HARDWARE</t>
        </is>
      </c>
      <c r="P780" s="10" t="inlineStr">
        <is>
          <t>USO INTERNO(2)</t>
        </is>
      </c>
      <c r="Q780" s="10" t="inlineStr">
        <is>
          <t>ALTA(3)</t>
        </is>
      </c>
      <c r="R780" s="10" t="inlineStr">
        <is>
          <t>ALTA(3)</t>
        </is>
      </c>
      <c r="S780" s="10">
        <f>+(IF(P780="PUBLICA(1)",1,IF(P780="USO INTERNO(2)",2,IF(P780="RESTRINGIDO(3)",3,3))))+(IF(Q780="BAJA(1)",1,IF(Q780="MEDIA(2)",2,IF(Q780="ALTA(3)",3,3))))+(IF(R780="BAJA(1)",1,IF(R780="MEDIA(2)",2,IF(R780="ALTA(3)",3,3))))</f>
        <v/>
      </c>
      <c r="T780" s="10">
        <f>+IF(S780&lt;6,"BAJA",IF(S780&lt;8,"MEDIA","ALTA"))</f>
        <v/>
      </c>
      <c r="U780" s="10" t="inlineStr">
        <is>
          <t>-</t>
        </is>
      </c>
      <c r="V780" s="24" t="n">
        <v>43815</v>
      </c>
      <c r="W780" s="19" t="inlineStr">
        <is>
          <t>N/A</t>
        </is>
      </c>
      <c r="X780" s="10">
        <f>+IFERROR(IF(VLOOKUP(Tabla2[[#This Row],[ID]],'EVALUACION DE RIESGO'!A:A,1,FALSE)=Tabla2[[#This Row],[ID]],"SI","NO"),"NO")</f>
        <v/>
      </c>
      <c r="AD780">
        <f>IF(AND(Y780="",AA780=""),"",IF(OR(LEFT(AA780,2)="L0",LEFT(AA780,2)="L1",Y780="No Iniciado"),"CRÍTICO - Incumplimiento Normativo SEPS",IF(AND(OR(LEFT(AA780,2)="L4",LEFT(AA780,2)="L5"),AND(AC780&lt;&gt;"",AC780&lt;&gt;"N/A")),"CONFORME - Control Efectivo ISO 27001","OBSERVACIÓN - Revisar Controles")))</f>
        <v/>
      </c>
    </row>
    <row r="781" ht="20.45" customHeight="1" s="106">
      <c r="A781" s="99" t="inlineStr">
        <is>
          <t>78-GTI</t>
        </is>
      </c>
      <c r="B781" s="10" t="inlineStr">
        <is>
          <t>APOYO</t>
        </is>
      </c>
      <c r="C781" s="10" t="inlineStr">
        <is>
          <t>Gestión de Tecnología de la Información</t>
        </is>
      </c>
      <c r="D781" s="10" t="inlineStr">
        <is>
          <t>GTI</t>
        </is>
      </c>
      <c r="E781" s="10" t="inlineStr">
        <is>
          <t>Gestión de Seguridad Informática</t>
        </is>
      </c>
      <c r="F781" s="10" t="inlineStr">
        <is>
          <t>-</t>
        </is>
      </c>
      <c r="G781" s="10" t="inlineStr">
        <is>
          <t>Seguridad Perimetral</t>
        </is>
      </c>
      <c r="H781" s="17" t="inlineStr">
        <is>
          <t>FortiGate</t>
        </is>
      </c>
      <c r="I781" s="17" t="inlineStr">
        <is>
          <t>Consola de administracion  
192.168.100.238</t>
        </is>
      </c>
      <c r="J781" s="10" t="inlineStr">
        <is>
          <t>GERENTE DE TI</t>
        </is>
      </c>
      <c r="K781" s="10" t="inlineStr">
        <is>
          <t>ADMINISTRADOR DE SEGURIDAD INFORMÁTICA</t>
        </is>
      </c>
      <c r="L781" s="10" t="inlineStr">
        <is>
          <t>UBICACIÓN FISICA-SUCURSAL IBARRA</t>
        </is>
      </c>
      <c r="M781" s="10" t="inlineStr">
        <is>
          <t>DISCOS DUROS, SERVIDORES, DISCOS O MEDIOS PORTÁTILES, CINTAS O MEDIOS DE VIDEO Y AUDIO, ETC.</t>
        </is>
      </c>
      <c r="N781" s="10" t="inlineStr">
        <is>
          <t>APOYO</t>
        </is>
      </c>
      <c r="O781" s="10" t="inlineStr">
        <is>
          <t>HARDWARE</t>
        </is>
      </c>
      <c r="P781" s="10" t="inlineStr">
        <is>
          <t>USO INTERNO(2)</t>
        </is>
      </c>
      <c r="Q781" s="10" t="inlineStr">
        <is>
          <t>ALTA(3)</t>
        </is>
      </c>
      <c r="R781" s="10" t="inlineStr">
        <is>
          <t>ALTA(3)</t>
        </is>
      </c>
      <c r="S781" s="10">
        <f>+(IF(P781="PUBLICA(1)",1,IF(P781="USO INTERNO(2)",2,IF(P781="RESTRINGIDO(3)",3,3))))+(IF(Q781="BAJA(1)",1,IF(Q781="MEDIA(2)",2,IF(Q781="ALTA(3)",3,3))))+(IF(R781="BAJA(1)",1,IF(R781="MEDIA(2)",2,IF(R781="ALTA(3)",3,3))))</f>
        <v/>
      </c>
      <c r="T781" s="10">
        <f>+IF(S781&lt;6,"BAJA",IF(S781&lt;8,"MEDIA","ALTA"))</f>
        <v/>
      </c>
      <c r="U781" s="10" t="inlineStr">
        <is>
          <t>-</t>
        </is>
      </c>
      <c r="V781" s="24" t="n">
        <v>43815</v>
      </c>
      <c r="W781" s="19" t="inlineStr">
        <is>
          <t>N/A</t>
        </is>
      </c>
      <c r="X781" s="10">
        <f>+IFERROR(IF(VLOOKUP(Tabla2[[#This Row],[ID]],'EVALUACION DE RIESGO'!A:A,1,FALSE)=Tabla2[[#This Row],[ID]],"SI","NO"),"NO")</f>
        <v/>
      </c>
      <c r="AD781">
        <f>IF(AND(Y781="",AA781=""),"",IF(OR(LEFT(AA781,2)="L0",LEFT(AA781,2)="L1",Y781="No Iniciado"),"CRÍTICO - Incumplimiento Normativo SEPS",IF(AND(OR(LEFT(AA781,2)="L4",LEFT(AA781,2)="L5"),AND(AC781&lt;&gt;"",AC781&lt;&gt;"N/A")),"CONFORME - Control Efectivo ISO 27001","OBSERVACIÓN - Revisar Controles")))</f>
        <v/>
      </c>
    </row>
    <row r="782">
      <c r="A782" s="99" t="inlineStr">
        <is>
          <t>79-GTI</t>
        </is>
      </c>
      <c r="B782" s="10" t="inlineStr">
        <is>
          <t>APOYO</t>
        </is>
      </c>
      <c r="C782" s="10" t="inlineStr">
        <is>
          <t>Gestión de Tecnología de la Información</t>
        </is>
      </c>
      <c r="D782" s="10" t="inlineStr">
        <is>
          <t>GTI</t>
        </is>
      </c>
      <c r="E782" s="10" t="inlineStr">
        <is>
          <t>Gestión de Seguridad Informática</t>
        </is>
      </c>
      <c r="F782" s="10" t="inlineStr">
        <is>
          <t>-</t>
        </is>
      </c>
      <c r="G782" s="10" t="inlineStr">
        <is>
          <t xml:space="preserve">Gestión de respaldos        </t>
        </is>
      </c>
      <c r="H782" s="10" t="inlineStr">
        <is>
          <t>Veeam Backup</t>
        </is>
      </c>
      <c r="I782" s="10" t="inlineStr">
        <is>
          <t>Servidor de copias de seguridad 
192.168.100.233</t>
        </is>
      </c>
      <c r="J782" s="10" t="inlineStr">
        <is>
          <t>GERENTE DE TI</t>
        </is>
      </c>
      <c r="K782" s="10" t="inlineStr">
        <is>
          <t>ADMINISTRADOR DE SEGURIDAD INFORMÁTICA</t>
        </is>
      </c>
      <c r="L782" s="10" t="inlineStr">
        <is>
          <t>UBICACIÓN FISICA-SUCURSAL IBARRA</t>
        </is>
      </c>
      <c r="M782" s="10" t="inlineStr">
        <is>
          <t>DISCOS DUROS, SERVIDORES, DISCOS O MEDIOS PORTÁTILES, CINTAS O MEDIOS DE VIDEO Y AUDIO, ETC.</t>
        </is>
      </c>
      <c r="N782" s="10" t="inlineStr">
        <is>
          <t>APOYO</t>
        </is>
      </c>
      <c r="O782" s="10" t="inlineStr">
        <is>
          <t>HARDWARE</t>
        </is>
      </c>
      <c r="P782" s="10" t="inlineStr">
        <is>
          <t>USO INTERNO(2)</t>
        </is>
      </c>
      <c r="Q782" s="10" t="inlineStr">
        <is>
          <t>MEDIA(2)</t>
        </is>
      </c>
      <c r="R782" s="10" t="inlineStr">
        <is>
          <t>MEDIA(2)</t>
        </is>
      </c>
      <c r="S782" s="10">
        <f>+(IF(P782="PUBLICA(1)",1,IF(P782="USO INTERNO(2)",2,IF(P782="RESTRINGIDO(3)",3,3))))+(IF(Q782="BAJA(1)",1,IF(Q782="MEDIA(2)",2,IF(Q782="ALTA(3)",3,3))))+(IF(R782="BAJA(1)",1,IF(R782="MEDIA(2)",2,IF(R782="ALTA(3)",3,3))))</f>
        <v/>
      </c>
      <c r="T782" s="10">
        <f>+IF(S782&lt;6,"BAJA",IF(S782&lt;8,"MEDIA","ALTA"))</f>
        <v/>
      </c>
      <c r="U782" s="10" t="inlineStr">
        <is>
          <t>-</t>
        </is>
      </c>
      <c r="V782" s="24" t="n">
        <v>43815</v>
      </c>
      <c r="W782" s="19" t="inlineStr">
        <is>
          <t>N/A</t>
        </is>
      </c>
      <c r="X782" s="10">
        <f>+IFERROR(IF(VLOOKUP(Tabla2[[#This Row],[ID]],'EVALUACION DE RIESGO'!A:A,1,FALSE)=Tabla2[[#This Row],[ID]],"SI","NO"),"NO")</f>
        <v/>
      </c>
      <c r="AD782">
        <f>IF(AND(Y782="",AA782=""),"",IF(OR(LEFT(AA782,2)="L0",LEFT(AA782,2)="L1",Y782="No Iniciado"),"CRÍTICO - Incumplimiento Normativo SEPS",IF(AND(OR(LEFT(AA782,2)="L4",LEFT(AA782,2)="L5"),AND(AC782&lt;&gt;"",AC782&lt;&gt;"N/A")),"CONFORME - Control Efectivo ISO 27001","OBSERVACIÓN - Revisar Controles")))</f>
        <v/>
      </c>
    </row>
    <row r="783" ht="20.45" customHeight="1" s="106">
      <c r="A783" s="99" t="inlineStr">
        <is>
          <t>80-GTI</t>
        </is>
      </c>
      <c r="B783" s="10" t="inlineStr">
        <is>
          <t>APOYO</t>
        </is>
      </c>
      <c r="C783" s="10" t="inlineStr">
        <is>
          <t>Gestión de Tecnología de la Información</t>
        </is>
      </c>
      <c r="D783" s="10" t="inlineStr">
        <is>
          <t>GTI</t>
        </is>
      </c>
      <c r="E783" s="10" t="inlineStr">
        <is>
          <t>Gestión de Seguridad Informática</t>
        </is>
      </c>
      <c r="F783" s="10" t="inlineStr">
        <is>
          <t>-</t>
        </is>
      </c>
      <c r="G783" s="10" t="inlineStr">
        <is>
          <t>N/A</t>
        </is>
      </c>
      <c r="H783" s="17" t="inlineStr">
        <is>
          <t>Administrador de Seguridad Informática</t>
        </is>
      </c>
      <c r="I783" s="17" t="inlineStr">
        <is>
          <t>Funcionarios con el cargo de Administrador de Seguridad Informática</t>
        </is>
      </c>
      <c r="J783" s="10" t="inlineStr">
        <is>
          <t>N/A</t>
        </is>
      </c>
      <c r="K783" s="10" t="inlineStr">
        <is>
          <t>N/A</t>
        </is>
      </c>
      <c r="L783" s="10" t="inlineStr">
        <is>
          <t>N/A</t>
        </is>
      </c>
      <c r="M783" s="10" t="inlineStr">
        <is>
          <t>N/A</t>
        </is>
      </c>
      <c r="N783" s="10" t="inlineStr">
        <is>
          <t>APOYO</t>
        </is>
      </c>
      <c r="O783" s="10" t="inlineStr">
        <is>
          <t>RECURSO HUMANO</t>
        </is>
      </c>
      <c r="P783" s="10" t="inlineStr">
        <is>
          <t>USO INTERNO(2)</t>
        </is>
      </c>
      <c r="Q783" s="10" t="inlineStr">
        <is>
          <t>ALTA(3)</t>
        </is>
      </c>
      <c r="R783" s="10" t="inlineStr">
        <is>
          <t>ALTA(3)</t>
        </is>
      </c>
      <c r="S783" s="10">
        <f>+(IF(P783="PUBLICA(1)",1,IF(P783="USO INTERNO(2)",2,IF(P783="RESTRINGIDO(3)",3,3))))+(IF(Q783="BAJA(1)",1,IF(Q783="MEDIA(2)",2,IF(Q783="ALTA(3)",3,3))))+(IF(R783="BAJA(1)",1,IF(R783="MEDIA(2)",2,IF(R783="ALTA(3)",3,3))))</f>
        <v/>
      </c>
      <c r="T783" s="10">
        <f>+IF(S783&lt;6,"BAJA",IF(S783&lt;8,"MEDIA","ALTA"))</f>
        <v/>
      </c>
      <c r="U783" s="10" t="inlineStr">
        <is>
          <t>-</t>
        </is>
      </c>
      <c r="V783" s="24" t="inlineStr">
        <is>
          <t>N/A</t>
        </is>
      </c>
      <c r="W783" s="19" t="inlineStr">
        <is>
          <t>N/A</t>
        </is>
      </c>
      <c r="X783" s="10">
        <f>+IFERROR(IF(VLOOKUP(Tabla2[[#This Row],[ID]],'EVALUACION DE RIESGO'!A:A,1,FALSE)=Tabla2[[#This Row],[ID]],"SI","NO"),"NO")</f>
        <v/>
      </c>
      <c r="AD783">
        <f>IF(AND(Y783="",AA783=""),"",IF(OR(LEFT(AA783,2)="L0",LEFT(AA783,2)="L1",Y783="No Iniciado"),"CRÍTICO - Incumplimiento Normativo SEPS",IF(AND(OR(LEFT(AA783,2)="L4",LEFT(AA783,2)="L5"),AND(AC783&lt;&gt;"",AC783&lt;&gt;"N/A")),"CONFORME - Control Efectivo ISO 27001","OBSERVACIÓN - Revisar Controles")))</f>
        <v/>
      </c>
    </row>
    <row r="784" ht="20.45" customHeight="1" s="106">
      <c r="A784" s="99" t="inlineStr">
        <is>
          <t>81-GTI</t>
        </is>
      </c>
      <c r="B784" s="10" t="inlineStr">
        <is>
          <t>APOYO</t>
        </is>
      </c>
      <c r="C784" s="10" t="inlineStr">
        <is>
          <t>Gestión de Tecnología de la Información</t>
        </is>
      </c>
      <c r="D784" s="10" t="inlineStr">
        <is>
          <t>GTI</t>
        </is>
      </c>
      <c r="E784" s="10" t="inlineStr">
        <is>
          <t>Gestión de Seguridad Informática</t>
        </is>
      </c>
      <c r="F784" s="10" t="inlineStr">
        <is>
          <t>-</t>
        </is>
      </c>
      <c r="G784" s="10" t="inlineStr">
        <is>
          <t>N/A</t>
        </is>
      </c>
      <c r="H784" s="17" t="inlineStr">
        <is>
          <t>Administrador de Base de Datos</t>
        </is>
      </c>
      <c r="I784" s="17" t="inlineStr">
        <is>
          <t>Funcionarios con el cargo de Administrador de Base de Datos</t>
        </is>
      </c>
      <c r="J784" s="10" t="inlineStr">
        <is>
          <t>N/A</t>
        </is>
      </c>
      <c r="K784" s="10" t="inlineStr">
        <is>
          <t>N/A</t>
        </is>
      </c>
      <c r="L784" s="10" t="inlineStr">
        <is>
          <t>N/A</t>
        </is>
      </c>
      <c r="M784" s="10" t="inlineStr">
        <is>
          <t>N/A</t>
        </is>
      </c>
      <c r="N784" s="10" t="inlineStr">
        <is>
          <t>APOYO</t>
        </is>
      </c>
      <c r="O784" s="10" t="inlineStr">
        <is>
          <t>RECURSO HUMANO</t>
        </is>
      </c>
      <c r="P784" s="10" t="inlineStr">
        <is>
          <t>USO INTERNO(2)</t>
        </is>
      </c>
      <c r="Q784" s="10" t="inlineStr">
        <is>
          <t>ALTA(3)</t>
        </is>
      </c>
      <c r="R784" s="10" t="inlineStr">
        <is>
          <t>ALTA(3)</t>
        </is>
      </c>
      <c r="S784" s="10">
        <f>+(IF(P784="PUBLICA(1)",1,IF(P784="USO INTERNO(2)",2,IF(P784="RESTRINGIDO(3)",3,3))))+(IF(Q784="BAJA(1)",1,IF(Q784="MEDIA(2)",2,IF(Q784="ALTA(3)",3,3))))+(IF(R784="BAJA(1)",1,IF(R784="MEDIA(2)",2,IF(R784="ALTA(3)",3,3))))</f>
        <v/>
      </c>
      <c r="T784" s="10">
        <f>+IF(S784&lt;6,"BAJA",IF(S784&lt;8,"MEDIA","ALTA"))</f>
        <v/>
      </c>
      <c r="U784" s="10" t="inlineStr">
        <is>
          <t>-</t>
        </is>
      </c>
      <c r="V784" s="24" t="n">
        <v>43815</v>
      </c>
      <c r="W784" s="19" t="inlineStr">
        <is>
          <t>N/A</t>
        </is>
      </c>
      <c r="X784" s="10">
        <f>+IFERROR(IF(VLOOKUP(Tabla2[[#This Row],[ID]],'EVALUACION DE RIESGO'!A:A,1,FALSE)=Tabla2[[#This Row],[ID]],"SI","NO"),"NO")</f>
        <v/>
      </c>
      <c r="AD784">
        <f>IF(AND(Y784="",AA784=""),"",IF(OR(LEFT(AA784,2)="L0",LEFT(AA784,2)="L1",Y784="No Iniciado"),"CRÍTICO - Incumplimiento Normativo SEPS",IF(AND(OR(LEFT(AA784,2)="L4",LEFT(AA784,2)="L5"),AND(AC784&lt;&gt;"",AC784&lt;&gt;"N/A")),"CONFORME - Control Efectivo ISO 27001","OBSERVACIÓN - Revisar Controles")))</f>
        <v/>
      </c>
    </row>
    <row r="785">
      <c r="A785" s="99" t="inlineStr">
        <is>
          <t>82-GTI</t>
        </is>
      </c>
      <c r="B785" s="10" t="inlineStr">
        <is>
          <t>APOYO</t>
        </is>
      </c>
      <c r="C785" s="10" t="inlineStr">
        <is>
          <t>Gestión de Tecnología de la Información</t>
        </is>
      </c>
      <c r="D785" s="10" t="inlineStr">
        <is>
          <t>GTI</t>
        </is>
      </c>
      <c r="E785" s="10" t="inlineStr">
        <is>
          <t>Gestión de las Operaciones de TI</t>
        </is>
      </c>
      <c r="F785" s="10" t="inlineStr">
        <is>
          <t>-</t>
        </is>
      </c>
      <c r="G785" s="10" t="inlineStr">
        <is>
          <t>Administración de la Capacidad y Desempeño de la infraestructura de TI</t>
        </is>
      </c>
      <c r="H785" s="10" t="inlineStr">
        <is>
          <t xml:space="preserve">Pandora FMS </t>
        </is>
      </c>
      <c r="I785" s="10" t="inlineStr">
        <is>
          <t>Herramienta de monitoreo de los recursos tecnológicos instalado en el equipo 192.18.20.117 - Servidor PANDORA FMS Enterprise 7.0NG 760</t>
        </is>
      </c>
      <c r="J785" s="10" t="inlineStr">
        <is>
          <t>GERENTE DE TI</t>
        </is>
      </c>
      <c r="K785" s="10" t="inlineStr">
        <is>
          <t>ADMINISTRADOR DE COMUNICACIÓN E INFRESTRUCTURA</t>
        </is>
      </c>
      <c r="L785" s="10" t="inlineStr">
        <is>
          <t>UBICACIÓN FISICA-MATRIZ ATUNTAQUI</t>
        </is>
      </c>
      <c r="M785" s="10" t="inlineStr">
        <is>
          <t>DOCUMENTO DE ARCHIVO-FÍSICO</t>
        </is>
      </c>
      <c r="N785" s="10" t="inlineStr">
        <is>
          <t>APOYO</t>
        </is>
      </c>
      <c r="O785" s="10" t="inlineStr">
        <is>
          <t>SOFTWARE</t>
        </is>
      </c>
      <c r="P785" s="10" t="inlineStr">
        <is>
          <t>USO INTERNO(2)</t>
        </is>
      </c>
      <c r="Q785" s="10" t="inlineStr">
        <is>
          <t>BAJA(1)</t>
        </is>
      </c>
      <c r="R785" s="10" t="inlineStr">
        <is>
          <t>ALTA(3)</t>
        </is>
      </c>
      <c r="S785" s="10">
        <f>+(IF(P785="PUBLICA(1)",1,IF(P785="USO INTERNO(2)",2,IF(P785="RESTRINGIDO(3)",3,3))))+(IF(Q785="BAJA(1)",1,IF(Q785="MEDIA(2)",2,IF(Q785="ALTA(3)",3,3))))+(IF(R785="BAJA(1)",1,IF(R785="MEDIA(2)",2,IF(R785="ALTA(3)",3,3))))</f>
        <v/>
      </c>
      <c r="T785" s="10">
        <f>+IF(S785&lt;6,"BAJA",IF(S785&lt;8,"MEDIA","ALTA"))</f>
        <v/>
      </c>
      <c r="U785" s="10" t="inlineStr">
        <is>
          <t>-</t>
        </is>
      </c>
      <c r="V785" s="24" t="n">
        <v>43815</v>
      </c>
      <c r="W785" s="19" t="inlineStr">
        <is>
          <t>N/A</t>
        </is>
      </c>
      <c r="X785" s="10">
        <f>+IFERROR(IF(VLOOKUP(Tabla2[[#This Row],[ID]],'EVALUACION DE RIESGO'!A:A,1,FALSE)=Tabla2[[#This Row],[ID]],"SI","NO"),"NO")</f>
        <v/>
      </c>
      <c r="AD785">
        <f>IF(AND(Y785="",AA785=""),"",IF(OR(LEFT(AA785,2)="L0",LEFT(AA785,2)="L1",Y785="No Iniciado"),"CRÍTICO - Incumplimiento Normativo SEPS",IF(AND(OR(LEFT(AA785,2)="L4",LEFT(AA785,2)="L5"),AND(AC785&lt;&gt;"",AC785&lt;&gt;"N/A")),"CONFORME - Control Efectivo ISO 27001","OBSERVACIÓN - Revisar Controles")))</f>
        <v/>
      </c>
    </row>
    <row r="786">
      <c r="A786" s="99" t="inlineStr">
        <is>
          <t>83-GTI</t>
        </is>
      </c>
      <c r="B786" s="10" t="inlineStr">
        <is>
          <t>APOYO</t>
        </is>
      </c>
      <c r="C786" s="10" t="inlineStr">
        <is>
          <t>Gestión de Tecnología de la Información</t>
        </is>
      </c>
      <c r="D786" s="10" t="inlineStr">
        <is>
          <t>GTI</t>
        </is>
      </c>
      <c r="E786" s="10" t="inlineStr">
        <is>
          <t>Gestión de las Operaciones de TI</t>
        </is>
      </c>
      <c r="F786" s="10" t="inlineStr">
        <is>
          <t>-</t>
        </is>
      </c>
      <c r="G786" s="10" t="inlineStr">
        <is>
          <t>Administración de servidores</t>
        </is>
      </c>
      <c r="H786" s="10" t="inlineStr">
        <is>
          <t>Isabel / pbx-atuntaqui</t>
        </is>
      </c>
      <c r="I786" s="10" t="inlineStr">
        <is>
          <t>Servidor de telefonía IP / 192.168.20.200</t>
        </is>
      </c>
      <c r="J786" s="10" t="inlineStr">
        <is>
          <t>GERENTE DE TI</t>
        </is>
      </c>
      <c r="K786" s="10" t="inlineStr">
        <is>
          <t>ADMINISTRADOR DE COMUNICACIÓN E INFRESTRUCTURA</t>
        </is>
      </c>
      <c r="L786" s="10" t="inlineStr">
        <is>
          <t>UBICACIÓN FISICA-MATRIZ ATUNTAQUI</t>
        </is>
      </c>
      <c r="M786" s="10" t="inlineStr">
        <is>
          <t>DISCOS DUROS, SERVIDORES, DISCOS O MEDIOS PORTÁTILES, CINTAS O MEDIOS DE VIDEO Y AUDIO, ETC.</t>
        </is>
      </c>
      <c r="N786" s="10" t="inlineStr">
        <is>
          <t>APOYO</t>
        </is>
      </c>
      <c r="O786" s="10" t="inlineStr">
        <is>
          <t>HARDWARE</t>
        </is>
      </c>
      <c r="P786" s="10" t="inlineStr">
        <is>
          <t>USO INTERNO(2)</t>
        </is>
      </c>
      <c r="Q786" s="10" t="inlineStr">
        <is>
          <t>BAJA(1)</t>
        </is>
      </c>
      <c r="R786" s="10" t="inlineStr">
        <is>
          <t>ALTA(3)</t>
        </is>
      </c>
      <c r="S786" s="10">
        <f>+(IF(P786="PUBLICA(1)",1,IF(P786="USO INTERNO(2)",2,IF(P786="RESTRINGIDO(3)",3,3))))+(IF(Q786="BAJA(1)",1,IF(Q786="MEDIA(2)",2,IF(Q786="ALTA(3)",3,3))))+(IF(R786="BAJA(1)",1,IF(R786="MEDIA(2)",2,IF(R786="ALTA(3)",3,3))))</f>
        <v/>
      </c>
      <c r="T786" s="10">
        <f>+IF(S786&lt;6,"BAJA",IF(S786&lt;8,"MEDIA","ALTA"))</f>
        <v/>
      </c>
      <c r="U786" s="10" t="inlineStr">
        <is>
          <t>-</t>
        </is>
      </c>
      <c r="V786" s="24" t="n">
        <v>43815</v>
      </c>
      <c r="W786" s="19" t="inlineStr">
        <is>
          <t>N/A</t>
        </is>
      </c>
      <c r="X786" s="10">
        <f>+IFERROR(IF(VLOOKUP(Tabla2[[#This Row],[ID]],'EVALUACION DE RIESGO'!A:A,1,FALSE)=Tabla2[[#This Row],[ID]],"SI","NO"),"NO")</f>
        <v/>
      </c>
      <c r="AD786">
        <f>IF(AND(Y786="",AA786=""),"",IF(OR(LEFT(AA786,2)="L0",LEFT(AA786,2)="L1",Y786="No Iniciado"),"CRÍTICO - Incumplimiento Normativo SEPS",IF(AND(OR(LEFT(AA786,2)="L4",LEFT(AA786,2)="L5"),AND(AC786&lt;&gt;"",AC786&lt;&gt;"N/A")),"CONFORME - Control Efectivo ISO 27001","OBSERVACIÓN - Revisar Controles")))</f>
        <v/>
      </c>
    </row>
    <row r="787">
      <c r="A787" s="99" t="inlineStr">
        <is>
          <t>84-GTI</t>
        </is>
      </c>
      <c r="B787" s="10" t="inlineStr">
        <is>
          <t>APOYO</t>
        </is>
      </c>
      <c r="C787" s="10" t="inlineStr">
        <is>
          <t>Gestión de Tecnología de la Información</t>
        </is>
      </c>
      <c r="D787" s="10" t="inlineStr">
        <is>
          <t>GTI</t>
        </is>
      </c>
      <c r="E787" s="10" t="inlineStr">
        <is>
          <t>Gestión de las Operaciones de TI</t>
        </is>
      </c>
      <c r="F787" s="10" t="inlineStr">
        <is>
          <t>-</t>
        </is>
      </c>
      <c r="G787" s="10" t="inlineStr">
        <is>
          <t>Administración de servidores</t>
        </is>
      </c>
      <c r="H787" s="10" t="inlineStr">
        <is>
          <t>Isabel / pbx-ibarra</t>
        </is>
      </c>
      <c r="I787" s="10" t="inlineStr">
        <is>
          <t>Servidor de telefonía IP / 192.168.100.200</t>
        </is>
      </c>
      <c r="J787" s="10" t="inlineStr">
        <is>
          <t>GERENTE DE TI</t>
        </is>
      </c>
      <c r="K787" s="10" t="inlineStr">
        <is>
          <t>ADMINISTRADOR DE COMUNICACIÓN E INFRESTRUCTURA</t>
        </is>
      </c>
      <c r="L787" s="10" t="inlineStr">
        <is>
          <t>UBICACIÓN FISICA-MATRIZ ATUNTAQUI</t>
        </is>
      </c>
      <c r="M787" s="10" t="inlineStr">
        <is>
          <t>DISCOS DUROS, SERVIDORES, DISCOS O MEDIOS PORTÁTILES, CINTAS O MEDIOS DE VIDEO Y AUDIO, ETC.</t>
        </is>
      </c>
      <c r="N787" s="10" t="inlineStr">
        <is>
          <t>APOYO</t>
        </is>
      </c>
      <c r="O787" s="10" t="inlineStr">
        <is>
          <t>HARDWARE</t>
        </is>
      </c>
      <c r="P787" s="10" t="inlineStr">
        <is>
          <t>USO INTERNO(2)</t>
        </is>
      </c>
      <c r="Q787" s="10" t="inlineStr">
        <is>
          <t>BAJA(1)</t>
        </is>
      </c>
      <c r="R787" s="10" t="inlineStr">
        <is>
          <t>ALTA(3)</t>
        </is>
      </c>
      <c r="S787" s="10">
        <f>+(IF(P787="PUBLICA(1)",1,IF(P787="USO INTERNO(2)",2,IF(P787="RESTRINGIDO(3)",3,3))))+(IF(Q787="BAJA(1)",1,IF(Q787="MEDIA(2)",2,IF(Q787="ALTA(3)",3,3))))+(IF(R787="BAJA(1)",1,IF(R787="MEDIA(2)",2,IF(R787="ALTA(3)",3,3))))</f>
        <v/>
      </c>
      <c r="T787" s="10">
        <f>+IF(S787&lt;6,"BAJA",IF(S787&lt;8,"MEDIA","ALTA"))</f>
        <v/>
      </c>
      <c r="U787" s="10" t="inlineStr">
        <is>
          <t>-</t>
        </is>
      </c>
      <c r="V787" s="24" t="n">
        <v>43815</v>
      </c>
      <c r="W787" s="19" t="inlineStr">
        <is>
          <t>N/A</t>
        </is>
      </c>
      <c r="X787" s="10">
        <f>+IFERROR(IF(VLOOKUP(Tabla2[[#This Row],[ID]],'EVALUACION DE RIESGO'!A:A,1,FALSE)=Tabla2[[#This Row],[ID]],"SI","NO"),"NO")</f>
        <v/>
      </c>
      <c r="AD787">
        <f>IF(AND(Y787="",AA787=""),"",IF(OR(LEFT(AA787,2)="L0",LEFT(AA787,2)="L1",Y787="No Iniciado"),"CRÍTICO - Incumplimiento Normativo SEPS",IF(AND(OR(LEFT(AA787,2)="L4",LEFT(AA787,2)="L5"),AND(AC787&lt;&gt;"",AC787&lt;&gt;"N/A")),"CONFORME - Control Efectivo ISO 27001","OBSERVACIÓN - Revisar Controles")))</f>
        <v/>
      </c>
    </row>
    <row r="788" ht="20.45" customHeight="1" s="106">
      <c r="A788" s="99" t="inlineStr">
        <is>
          <t>85-GTI</t>
        </is>
      </c>
      <c r="B788" s="10" t="inlineStr">
        <is>
          <t>APOYO</t>
        </is>
      </c>
      <c r="C788" s="10" t="inlineStr">
        <is>
          <t>Gestión de Tecnología de la Información</t>
        </is>
      </c>
      <c r="D788" s="10" t="inlineStr">
        <is>
          <t>GTI</t>
        </is>
      </c>
      <c r="E788" s="10" t="inlineStr">
        <is>
          <t>Gestión de las Operaciones de TI</t>
        </is>
      </c>
      <c r="F788" s="10" t="inlineStr">
        <is>
          <t>-</t>
        </is>
      </c>
      <c r="G788" s="10" t="inlineStr">
        <is>
          <t>Administración de la capacidad y desempeño de la infraestructura de TI</t>
        </is>
      </c>
      <c r="H788" s="17" t="inlineStr">
        <is>
          <t>Ruteador CISCO 1900 Series (02)</t>
        </is>
      </c>
      <c r="I788" s="17" t="inlineStr">
        <is>
          <t>Ruteador para enlaces de comunicación / 192.168.100.253</t>
        </is>
      </c>
      <c r="J788" s="10" t="inlineStr">
        <is>
          <t>GERENTE DE TI</t>
        </is>
      </c>
      <c r="K788" s="10" t="inlineStr">
        <is>
          <t>ADMINISTRADOR DE COMUNICACIÓN E INFRESTRUCTURA</t>
        </is>
      </c>
      <c r="L788" s="10" t="inlineStr">
        <is>
          <t>UBICACIÓN FISICA-SUCURSAL IBARRA</t>
        </is>
      </c>
      <c r="M788" s="10" t="inlineStr">
        <is>
          <t>DISCOS DUROS, SERVIDORES, DISCOS O MEDIOS PORTÁTILES, CINTAS O MEDIOS DE VIDEO Y AUDIO, ETC.</t>
        </is>
      </c>
      <c r="N788" s="10" t="inlineStr">
        <is>
          <t>APOYO</t>
        </is>
      </c>
      <c r="O788" s="10" t="inlineStr">
        <is>
          <t>REDES</t>
        </is>
      </c>
      <c r="P788" s="10" t="inlineStr">
        <is>
          <t>RESTRINGIDO(3)</t>
        </is>
      </c>
      <c r="Q788" s="10" t="inlineStr">
        <is>
          <t>ALTA(3)</t>
        </is>
      </c>
      <c r="R788" s="10" t="inlineStr">
        <is>
          <t>ALTA(3)</t>
        </is>
      </c>
      <c r="S788" s="10">
        <f>+(IF(P788="PUBLICA(1)",1,IF(P788="USO INTERNO(2)",2,IF(P788="RESTRINGIDO(3)",3,3))))+(IF(Q788="BAJA(1)",1,IF(Q788="MEDIA(2)",2,IF(Q788="ALTA(3)",3,3))))+(IF(R788="BAJA(1)",1,IF(R788="MEDIA(2)",2,IF(R788="ALTA(3)",3,3))))</f>
        <v/>
      </c>
      <c r="T788" s="10">
        <f>+IF(S788&lt;6,"BAJA",IF(S788&lt;8,"MEDIA","ALTA"))</f>
        <v/>
      </c>
      <c r="U788" s="10" t="inlineStr">
        <is>
          <t>-</t>
        </is>
      </c>
      <c r="V788" s="24" t="n">
        <v>43815</v>
      </c>
      <c r="W788" s="19" t="inlineStr">
        <is>
          <t>N/A</t>
        </is>
      </c>
      <c r="X788" s="10">
        <f>+IFERROR(IF(VLOOKUP(Tabla2[[#This Row],[ID]],'EVALUACION DE RIESGO'!A:A,1,FALSE)=Tabla2[[#This Row],[ID]],"SI","NO"),"NO")</f>
        <v/>
      </c>
      <c r="AD788">
        <f>IF(AND(Y788="",AA788=""),"",IF(OR(LEFT(AA788,2)="L0",LEFT(AA788,2)="L1",Y788="No Iniciado"),"CRÍTICO - Incumplimiento Normativo SEPS",IF(AND(OR(LEFT(AA788,2)="L4",LEFT(AA788,2)="L5"),AND(AC788&lt;&gt;"",AC788&lt;&gt;"N/A")),"CONFORME - Control Efectivo ISO 27001","OBSERVACIÓN - Revisar Controles")))</f>
        <v/>
      </c>
    </row>
    <row r="789" ht="20.45" customHeight="1" s="106">
      <c r="A789" s="99" t="inlineStr">
        <is>
          <t>86-GTI</t>
        </is>
      </c>
      <c r="B789" s="10" t="inlineStr">
        <is>
          <t>APOYO</t>
        </is>
      </c>
      <c r="C789" s="10" t="inlineStr">
        <is>
          <t>Gestión de Tecnología de la Información</t>
        </is>
      </c>
      <c r="D789" s="10" t="inlineStr">
        <is>
          <t>GTI</t>
        </is>
      </c>
      <c r="E789" s="10" t="inlineStr">
        <is>
          <t>Gestión de las Operaciones de TI</t>
        </is>
      </c>
      <c r="F789" s="10" t="inlineStr">
        <is>
          <t>-</t>
        </is>
      </c>
      <c r="G789" s="10" t="inlineStr">
        <is>
          <t>Administración de la capacidad y desempeño de la infraestructura de TI</t>
        </is>
      </c>
      <c r="H789" s="17" t="inlineStr">
        <is>
          <t>Ruteador CISCO 1900 Series (03)</t>
        </is>
      </c>
      <c r="I789" s="17" t="inlineStr">
        <is>
          <t>Ruteador para enlaces de comunicación / 192.168.40.253</t>
        </is>
      </c>
      <c r="J789" s="10" t="inlineStr">
        <is>
          <t>GERENTE DE TI</t>
        </is>
      </c>
      <c r="K789" s="10" t="inlineStr">
        <is>
          <t>ADMINISTRADOR DE COMUNICACIÓN E INFRESTRUCTURA</t>
        </is>
      </c>
      <c r="L789" s="10" t="inlineStr">
        <is>
          <t>UBICACIÓN FISICA-SUCURSAL OTAVALO</t>
        </is>
      </c>
      <c r="M789" s="10" t="inlineStr">
        <is>
          <t>DISCOS DUROS, SERVIDORES, DISCOS O MEDIOS PORTÁTILES, CINTAS O MEDIOS DE VIDEO Y AUDIO, ETC.</t>
        </is>
      </c>
      <c r="N789" s="10" t="inlineStr">
        <is>
          <t>APOYO</t>
        </is>
      </c>
      <c r="O789" s="10" t="inlineStr">
        <is>
          <t>REDES</t>
        </is>
      </c>
      <c r="P789" s="10" t="inlineStr">
        <is>
          <t>RESTRINGIDO(3)</t>
        </is>
      </c>
      <c r="Q789" s="10" t="inlineStr">
        <is>
          <t>ALTA(3)</t>
        </is>
      </c>
      <c r="R789" s="10" t="inlineStr">
        <is>
          <t>ALTA(3)</t>
        </is>
      </c>
      <c r="S789" s="10">
        <f>+(IF(P789="PUBLICA(1)",1,IF(P789="USO INTERNO(2)",2,IF(P789="RESTRINGIDO(3)",3,3))))+(IF(Q789="BAJA(1)",1,IF(Q789="MEDIA(2)",2,IF(Q789="ALTA(3)",3,3))))+(IF(R789="BAJA(1)",1,IF(R789="MEDIA(2)",2,IF(R789="ALTA(3)",3,3))))</f>
        <v/>
      </c>
      <c r="T789" s="10">
        <f>+IF(S789&lt;6,"BAJA",IF(S789&lt;8,"MEDIA","ALTA"))</f>
        <v/>
      </c>
      <c r="U789" s="10" t="inlineStr">
        <is>
          <t>-</t>
        </is>
      </c>
      <c r="V789" s="24" t="n">
        <v>43815</v>
      </c>
      <c r="W789" s="19" t="inlineStr">
        <is>
          <t>N/A</t>
        </is>
      </c>
      <c r="X789" s="10">
        <f>+IFERROR(IF(VLOOKUP(Tabla2[[#This Row],[ID]],'EVALUACION DE RIESGO'!A:A,1,FALSE)=Tabla2[[#This Row],[ID]],"SI","NO"),"NO")</f>
        <v/>
      </c>
      <c r="AD789">
        <f>IF(AND(Y789="",AA789=""),"",IF(OR(LEFT(AA789,2)="L0",LEFT(AA789,2)="L1",Y789="No Iniciado"),"CRÍTICO - Incumplimiento Normativo SEPS",IF(AND(OR(LEFT(AA789,2)="L4",LEFT(AA789,2)="L5"),AND(AC789&lt;&gt;"",AC789&lt;&gt;"N/A")),"CONFORME - Control Efectivo ISO 27001","OBSERVACIÓN - Revisar Controles")))</f>
        <v/>
      </c>
    </row>
    <row r="790" ht="20.45" customHeight="1" s="106">
      <c r="A790" s="99" t="inlineStr">
        <is>
          <t>87-GTI</t>
        </is>
      </c>
      <c r="B790" s="10" t="inlineStr">
        <is>
          <t>APOYO</t>
        </is>
      </c>
      <c r="C790" s="10" t="inlineStr">
        <is>
          <t>Gestión de Tecnología de la Información</t>
        </is>
      </c>
      <c r="D790" s="10" t="inlineStr">
        <is>
          <t>GTI</t>
        </is>
      </c>
      <c r="E790" s="10" t="inlineStr">
        <is>
          <t>Gestión de las Operaciones de TI</t>
        </is>
      </c>
      <c r="F790" s="10" t="inlineStr">
        <is>
          <t>-</t>
        </is>
      </c>
      <c r="G790" s="10" t="inlineStr">
        <is>
          <t>Administración de la capacidad y desempeño de la infraestructura de TI</t>
        </is>
      </c>
      <c r="H790" s="17" t="inlineStr">
        <is>
          <t>Ruteador CISCO 1900 Series (04)</t>
        </is>
      </c>
      <c r="I790" s="17" t="inlineStr">
        <is>
          <t>Ruteador para enlaces de comunicación / 192.168.50.253</t>
        </is>
      </c>
      <c r="J790" s="10" t="inlineStr">
        <is>
          <t>GERENTE DE TI</t>
        </is>
      </c>
      <c r="K790" s="10" t="inlineStr">
        <is>
          <t>ADMINISTRADOR DE COMUNICACIÓN E INFRESTRUCTURA</t>
        </is>
      </c>
      <c r="L790" s="10" t="inlineStr">
        <is>
          <t>UBICACIÓN FISICA-AGENCIA PIMAMPIRO</t>
        </is>
      </c>
      <c r="M790" s="10" t="inlineStr">
        <is>
          <t>DISCOS DUROS, SERVIDORES, DISCOS O MEDIOS PORTÁTILES, CINTAS O MEDIOS DE VIDEO Y AUDIO, ETC.</t>
        </is>
      </c>
      <c r="N790" s="10" t="inlineStr">
        <is>
          <t>APOYO</t>
        </is>
      </c>
      <c r="O790" s="10" t="inlineStr">
        <is>
          <t>REDES</t>
        </is>
      </c>
      <c r="P790" s="10" t="inlineStr">
        <is>
          <t>RESTRINGIDO(3)</t>
        </is>
      </c>
      <c r="Q790" s="10" t="inlineStr">
        <is>
          <t>ALTA(3)</t>
        </is>
      </c>
      <c r="R790" s="10" t="inlineStr">
        <is>
          <t>ALTA(3)</t>
        </is>
      </c>
      <c r="S790" s="10">
        <f>+(IF(P790="PUBLICA(1)",1,IF(P790="USO INTERNO(2)",2,IF(P790="RESTRINGIDO(3)",3,3))))+(IF(Q790="BAJA(1)",1,IF(Q790="MEDIA(2)",2,IF(Q790="ALTA(3)",3,3))))+(IF(R790="BAJA(1)",1,IF(R790="MEDIA(2)",2,IF(R790="ALTA(3)",3,3))))</f>
        <v/>
      </c>
      <c r="T790" s="10">
        <f>+IF(S790&lt;6,"BAJA",IF(S790&lt;8,"MEDIA","ALTA"))</f>
        <v/>
      </c>
      <c r="U790" s="10" t="inlineStr">
        <is>
          <t>-</t>
        </is>
      </c>
      <c r="V790" s="24" t="n">
        <v>43815</v>
      </c>
      <c r="W790" s="19" t="inlineStr">
        <is>
          <t>N/A</t>
        </is>
      </c>
      <c r="X790" s="10">
        <f>+IFERROR(IF(VLOOKUP(Tabla2[[#This Row],[ID]],'EVALUACION DE RIESGO'!A:A,1,FALSE)=Tabla2[[#This Row],[ID]],"SI","NO"),"NO")</f>
        <v/>
      </c>
      <c r="AD790">
        <f>IF(AND(Y790="",AA790=""),"",IF(OR(LEFT(AA790,2)="L0",LEFT(AA790,2)="L1",Y790="No Iniciado"),"CRÍTICO - Incumplimiento Normativo SEPS",IF(AND(OR(LEFT(AA790,2)="L4",LEFT(AA790,2)="L5"),AND(AC790&lt;&gt;"",AC790&lt;&gt;"N/A")),"CONFORME - Control Efectivo ISO 27001","OBSERVACIÓN - Revisar Controles")))</f>
        <v/>
      </c>
    </row>
    <row r="791" ht="20.45" customHeight="1" s="106">
      <c r="A791" s="99" t="inlineStr">
        <is>
          <t>88-GTI</t>
        </is>
      </c>
      <c r="B791" s="10" t="inlineStr">
        <is>
          <t>APOYO</t>
        </is>
      </c>
      <c r="C791" s="10" t="inlineStr">
        <is>
          <t>Gestión de Tecnología de la Información</t>
        </is>
      </c>
      <c r="D791" s="10" t="inlineStr">
        <is>
          <t>GTI</t>
        </is>
      </c>
      <c r="E791" s="10" t="inlineStr">
        <is>
          <t>Gestión de las Operaciones de TI</t>
        </is>
      </c>
      <c r="F791" s="10" t="inlineStr">
        <is>
          <t>-</t>
        </is>
      </c>
      <c r="G791" s="10" t="inlineStr">
        <is>
          <t xml:space="preserve">Administración de seguridad en equipos y servidores de aplicación    </t>
        </is>
      </c>
      <c r="H791" s="17" t="inlineStr">
        <is>
          <t>ATUNPRODU</t>
        </is>
      </c>
      <c r="I791" s="17" t="inlineStr">
        <is>
          <t>Servidor que contiene el servidor BDD Oracle / SERVIDOR APARK 192.168.10.72</t>
        </is>
      </c>
      <c r="J791" s="10" t="inlineStr">
        <is>
          <t>GERENTE DE TI</t>
        </is>
      </c>
      <c r="K791" s="10" t="inlineStr">
        <is>
          <t>ADMINISTRADOR DE BASE DE DATOS</t>
        </is>
      </c>
      <c r="L791" s="10" t="inlineStr">
        <is>
          <t>UBICACIÓN FISICA-SUCURSAL IBARRA</t>
        </is>
      </c>
      <c r="M791" s="10" t="inlineStr">
        <is>
          <t>DISCOS DUROS, SERVIDORES, DISCOS O MEDIOS PORTÁTILES, CINTAS O MEDIOS DE VIDEO Y AUDIO, ETC.</t>
        </is>
      </c>
      <c r="N791" s="10" t="inlineStr">
        <is>
          <t>APOYO</t>
        </is>
      </c>
      <c r="O791" s="10" t="inlineStr">
        <is>
          <t>HARDWARE</t>
        </is>
      </c>
      <c r="P791" s="10" t="inlineStr">
        <is>
          <t>RESTRINGIDO(3)</t>
        </is>
      </c>
      <c r="Q791" s="10" t="inlineStr">
        <is>
          <t>ALTA(3)</t>
        </is>
      </c>
      <c r="R791" s="10" t="inlineStr">
        <is>
          <t>ALTA(3)</t>
        </is>
      </c>
      <c r="S791" s="10">
        <f>+(IF(P791="PUBLICA(1)",1,IF(P791="USO INTERNO(2)",2,IF(P791="RESTRINGIDO(3)",3,3))))+(IF(Q791="BAJA(1)",1,IF(Q791="MEDIA(2)",2,IF(Q791="ALTA(3)",3,3))))+(IF(R791="BAJA(1)",1,IF(R791="MEDIA(2)",2,IF(R791="ALTA(3)",3,3))))</f>
        <v/>
      </c>
      <c r="T791" s="10">
        <f>+IF(S791&lt;6,"BAJA",IF(S791&lt;8,"MEDIA","ALTA"))</f>
        <v/>
      </c>
      <c r="U791" s="10" t="inlineStr">
        <is>
          <t>-</t>
        </is>
      </c>
      <c r="V791" s="24" t="n">
        <v>43815</v>
      </c>
      <c r="W791" s="19" t="inlineStr">
        <is>
          <t>N/A</t>
        </is>
      </c>
      <c r="X791" s="10">
        <f>+IFERROR(IF(VLOOKUP(Tabla2[[#This Row],[ID]],'EVALUACION DE RIESGO'!A:A,1,FALSE)=Tabla2[[#This Row],[ID]],"SI","NO"),"NO")</f>
        <v/>
      </c>
      <c r="AD791">
        <f>IF(AND(Y791="",AA791=""),"",IF(OR(LEFT(AA791,2)="L0",LEFT(AA791,2)="L1",Y791="No Iniciado"),"CRÍTICO - Incumplimiento Normativo SEPS",IF(AND(OR(LEFT(AA791,2)="L4",LEFT(AA791,2)="L5"),AND(AC791&lt;&gt;"",AC791&lt;&gt;"N/A")),"CONFORME - Control Efectivo ISO 27001","OBSERVACIÓN - Revisar Controles")))</f>
        <v/>
      </c>
    </row>
    <row r="792" ht="20.45" customHeight="1" s="106">
      <c r="A792" s="99" t="inlineStr">
        <is>
          <t>89-GTI</t>
        </is>
      </c>
      <c r="B792" s="10" t="inlineStr">
        <is>
          <t>APOYO</t>
        </is>
      </c>
      <c r="C792" s="10" t="inlineStr">
        <is>
          <t>Gestión de Tecnología de la Información</t>
        </is>
      </c>
      <c r="D792" s="10" t="inlineStr">
        <is>
          <t>GTI</t>
        </is>
      </c>
      <c r="E792" s="10" t="inlineStr">
        <is>
          <t>Gestión de las Operaciones de TI</t>
        </is>
      </c>
      <c r="F792" s="10" t="inlineStr">
        <is>
          <t>-</t>
        </is>
      </c>
      <c r="G792" s="10" t="inlineStr">
        <is>
          <t>Administración de la capacidad y desempeño de la infraestructura de TI</t>
        </is>
      </c>
      <c r="H792" s="17" t="inlineStr">
        <is>
          <t>Ruteador CISCO 880 Series (05)</t>
        </is>
      </c>
      <c r="I792" s="17" t="inlineStr">
        <is>
          <t>Ruteador para enlaces de comunicación / 192.168.60.253</t>
        </is>
      </c>
      <c r="J792" s="10" t="inlineStr">
        <is>
          <t>GERENTE DE TI</t>
        </is>
      </c>
      <c r="K792" s="10" t="inlineStr">
        <is>
          <t>ADMINISTRADOR DE COMUNICACIÓN E INFRESTRUCTURA</t>
        </is>
      </c>
      <c r="L792" s="10" t="inlineStr">
        <is>
          <t>UBICACIÓN FISICA-AGENCIA COTACACHI</t>
        </is>
      </c>
      <c r="M792" s="10" t="inlineStr">
        <is>
          <t>DISCOS DUROS, SERVIDORES, DISCOS O MEDIOS PORTÁTILES, CINTAS O MEDIOS DE VIDEO Y AUDIO, ETC.</t>
        </is>
      </c>
      <c r="N792" s="10" t="inlineStr">
        <is>
          <t>APOYO</t>
        </is>
      </c>
      <c r="O792" s="10" t="inlineStr">
        <is>
          <t>REDES</t>
        </is>
      </c>
      <c r="P792" s="10" t="inlineStr">
        <is>
          <t>RESTRINGIDO(3)</t>
        </is>
      </c>
      <c r="Q792" s="10" t="inlineStr">
        <is>
          <t>ALTA(3)</t>
        </is>
      </c>
      <c r="R792" s="10" t="inlineStr">
        <is>
          <t>ALTA(3)</t>
        </is>
      </c>
      <c r="S792" s="10">
        <f>+(IF(P792="PUBLICA(1)",1,IF(P792="USO INTERNO(2)",2,IF(P792="RESTRINGIDO(3)",3,3))))+(IF(Q792="BAJA(1)",1,IF(Q792="MEDIA(2)",2,IF(Q792="ALTA(3)",3,3))))+(IF(R792="BAJA(1)",1,IF(R792="MEDIA(2)",2,IF(R792="ALTA(3)",3,3))))</f>
        <v/>
      </c>
      <c r="T792" s="10">
        <f>+IF(S792&lt;6,"BAJA",IF(S792&lt;8,"MEDIA","ALTA"))</f>
        <v/>
      </c>
      <c r="U792" s="10" t="inlineStr">
        <is>
          <t>-</t>
        </is>
      </c>
      <c r="V792" s="24" t="n">
        <v>43815</v>
      </c>
      <c r="W792" s="19" t="inlineStr">
        <is>
          <t>N/A</t>
        </is>
      </c>
      <c r="X792" s="10">
        <f>+IFERROR(IF(VLOOKUP(Tabla2[[#This Row],[ID]],'EVALUACION DE RIESGO'!A:A,1,FALSE)=Tabla2[[#This Row],[ID]],"SI","NO"),"NO")</f>
        <v/>
      </c>
      <c r="AD792">
        <f>IF(AND(Y792="",AA792=""),"",IF(OR(LEFT(AA792,2)="L0",LEFT(AA792,2)="L1",Y792="No Iniciado"),"CRÍTICO - Incumplimiento Normativo SEPS",IF(AND(OR(LEFT(AA792,2)="L4",LEFT(AA792,2)="L5"),AND(AC792&lt;&gt;"",AC792&lt;&gt;"N/A")),"CONFORME - Control Efectivo ISO 27001","OBSERVACIÓN - Revisar Controles")))</f>
        <v/>
      </c>
    </row>
    <row r="793" ht="20.45" customHeight="1" s="106">
      <c r="A793" s="99" t="inlineStr">
        <is>
          <t>90-GTI</t>
        </is>
      </c>
      <c r="B793" s="10" t="inlineStr">
        <is>
          <t>APOYO</t>
        </is>
      </c>
      <c r="C793" s="10" t="inlineStr">
        <is>
          <t>Gestión de Tecnología de la Información</t>
        </is>
      </c>
      <c r="D793" s="10" t="inlineStr">
        <is>
          <t>GTI</t>
        </is>
      </c>
      <c r="E793" s="10" t="inlineStr">
        <is>
          <t>Gestión de las Operaciones de TI</t>
        </is>
      </c>
      <c r="F793" s="10" t="inlineStr">
        <is>
          <t>-</t>
        </is>
      </c>
      <c r="G793" s="10" t="inlineStr">
        <is>
          <t>Administración de la capacidad y desempeño de la infraestructura de TI</t>
        </is>
      </c>
      <c r="H793" s="17" t="inlineStr">
        <is>
          <t>Ruteador CISCO 1800 Series (06)</t>
        </is>
      </c>
      <c r="I793" s="17" t="inlineStr">
        <is>
          <t>Ruteador para enlaces de comunicación / 192.168.31.253</t>
        </is>
      </c>
      <c r="J793" s="10" t="inlineStr">
        <is>
          <t>GERENTE DE TI</t>
        </is>
      </c>
      <c r="K793" s="10" t="inlineStr">
        <is>
          <t>ADMINISTRADOR DE COMUNICACIÓN E INFRESTRUCTURA</t>
        </is>
      </c>
      <c r="L793" s="10" t="inlineStr">
        <is>
          <t>UBICACIÓN FISICA-AGENCIA IBARRA</t>
        </is>
      </c>
      <c r="M793" s="10" t="inlineStr">
        <is>
          <t>DISCOS DUROS, SERVIDORES, DISCOS O MEDIOS PORTÁTILES, CINTAS O MEDIOS DE VIDEO Y AUDIO, ETC.</t>
        </is>
      </c>
      <c r="N793" s="10" t="inlineStr">
        <is>
          <t>APOYO</t>
        </is>
      </c>
      <c r="O793" s="10" t="inlineStr">
        <is>
          <t>REDES</t>
        </is>
      </c>
      <c r="P793" s="10" t="inlineStr">
        <is>
          <t>RESTRINGIDO(3)</t>
        </is>
      </c>
      <c r="Q793" s="10" t="inlineStr">
        <is>
          <t>ALTA(3)</t>
        </is>
      </c>
      <c r="R793" s="10" t="inlineStr">
        <is>
          <t>ALTA(3)</t>
        </is>
      </c>
      <c r="S793" s="10">
        <f>+(IF(P793="PUBLICA(1)",1,IF(P793="USO INTERNO(2)",2,IF(P793="RESTRINGIDO(3)",3,3))))+(IF(Q793="BAJA(1)",1,IF(Q793="MEDIA(2)",2,IF(Q793="ALTA(3)",3,3))))+(IF(R793="BAJA(1)",1,IF(R793="MEDIA(2)",2,IF(R793="ALTA(3)",3,3))))</f>
        <v/>
      </c>
      <c r="T793" s="10">
        <f>+IF(S793&lt;6,"BAJA",IF(S793&lt;8,"MEDIA","ALTA"))</f>
        <v/>
      </c>
      <c r="U793" s="10" t="inlineStr">
        <is>
          <t>-</t>
        </is>
      </c>
      <c r="V793" s="24" t="n">
        <v>43815</v>
      </c>
      <c r="W793" s="19" t="inlineStr">
        <is>
          <t>N/A</t>
        </is>
      </c>
      <c r="X793" s="10">
        <f>+IFERROR(IF(VLOOKUP(Tabla2[[#This Row],[ID]],'EVALUACION DE RIESGO'!A:A,1,FALSE)=Tabla2[[#This Row],[ID]],"SI","NO"),"NO")</f>
        <v/>
      </c>
      <c r="AD793">
        <f>IF(AND(Y793="",AA793=""),"",IF(OR(LEFT(AA793,2)="L0",LEFT(AA793,2)="L1",Y793="No Iniciado"),"CRÍTICO - Incumplimiento Normativo SEPS",IF(AND(OR(LEFT(AA793,2)="L4",LEFT(AA793,2)="L5"),AND(AC793&lt;&gt;"",AC793&lt;&gt;"N/A")),"CONFORME - Control Efectivo ISO 27001","OBSERVACIÓN - Revisar Controles")))</f>
        <v/>
      </c>
    </row>
    <row r="794" ht="20.45" customHeight="1" s="106">
      <c r="A794" s="99" t="inlineStr">
        <is>
          <t>91-GTI</t>
        </is>
      </c>
      <c r="B794" s="10" t="inlineStr">
        <is>
          <t>APOYO</t>
        </is>
      </c>
      <c r="C794" s="10" t="inlineStr">
        <is>
          <t>Gestión de Tecnología de la Información</t>
        </is>
      </c>
      <c r="D794" s="10" t="inlineStr">
        <is>
          <t>GTI</t>
        </is>
      </c>
      <c r="E794" s="10" t="inlineStr">
        <is>
          <t>Gestión de las Operaciones de TI</t>
        </is>
      </c>
      <c r="F794" s="10" t="inlineStr">
        <is>
          <t>-</t>
        </is>
      </c>
      <c r="G794" s="10" t="inlineStr">
        <is>
          <t>Administración de la capacidad y desempeño de la infraestructura de TI</t>
        </is>
      </c>
      <c r="H794" s="17" t="inlineStr">
        <is>
          <t>Ruteador CISCO 1800 Series (07)</t>
        </is>
      </c>
      <c r="I794" s="17" t="inlineStr">
        <is>
          <t>Ruteador para enlaces de comunicación / 192.168.80.253</t>
        </is>
      </c>
      <c r="J794" s="10" t="inlineStr">
        <is>
          <t>GERENTE DE TI</t>
        </is>
      </c>
      <c r="K794" s="10" t="inlineStr">
        <is>
          <t>ADMINISTRADOR DE COMUNICACIÓN E INFRESTRUCTURA</t>
        </is>
      </c>
      <c r="L794" s="10" t="inlineStr">
        <is>
          <t>UBICACIÓN FISICA-AGENCIA EL EJIDO</t>
        </is>
      </c>
      <c r="M794" s="10" t="inlineStr">
        <is>
          <t>DISCOS DUROS, SERVIDORES, DISCOS O MEDIOS PORTÁTILES, CINTAS O MEDIOS DE VIDEO Y AUDIO, ETC.</t>
        </is>
      </c>
      <c r="N794" s="10" t="inlineStr">
        <is>
          <t>APOYO</t>
        </is>
      </c>
      <c r="O794" s="10" t="inlineStr">
        <is>
          <t>REDES</t>
        </is>
      </c>
      <c r="P794" s="10" t="inlineStr">
        <is>
          <t>RESTRINGIDO(3)</t>
        </is>
      </c>
      <c r="Q794" s="10" t="inlineStr">
        <is>
          <t>ALTA(3)</t>
        </is>
      </c>
      <c r="R794" s="10" t="inlineStr">
        <is>
          <t>ALTA(3)</t>
        </is>
      </c>
      <c r="S794" s="10">
        <f>+(IF(P794="PUBLICA(1)",1,IF(P794="USO INTERNO(2)",2,IF(P794="RESTRINGIDO(3)",3,3))))+(IF(Q794="BAJA(1)",1,IF(Q794="MEDIA(2)",2,IF(Q794="ALTA(3)",3,3))))+(IF(R794="BAJA(1)",1,IF(R794="MEDIA(2)",2,IF(R794="ALTA(3)",3,3))))</f>
        <v/>
      </c>
      <c r="T794" s="10">
        <f>+IF(S794&lt;6,"BAJA",IF(S794&lt;8,"MEDIA","ALTA"))</f>
        <v/>
      </c>
      <c r="U794" s="10" t="inlineStr">
        <is>
          <t>-</t>
        </is>
      </c>
      <c r="V794" s="24" t="n">
        <v>43815</v>
      </c>
      <c r="W794" s="19" t="inlineStr">
        <is>
          <t>N/A</t>
        </is>
      </c>
      <c r="X794" s="10">
        <f>+IFERROR(IF(VLOOKUP(Tabla2[[#This Row],[ID]],'EVALUACION DE RIESGO'!A:A,1,FALSE)=Tabla2[[#This Row],[ID]],"SI","NO"),"NO")</f>
        <v/>
      </c>
      <c r="AD794">
        <f>IF(AND(Y794="",AA794=""),"",IF(OR(LEFT(AA794,2)="L0",LEFT(AA794,2)="L1",Y794="No Iniciado"),"CRÍTICO - Incumplimiento Normativo SEPS",IF(AND(OR(LEFT(AA794,2)="L4",LEFT(AA794,2)="L5"),AND(AC794&lt;&gt;"",AC794&lt;&gt;"N/A")),"CONFORME - Control Efectivo ISO 27001","OBSERVACIÓN - Revisar Controles")))</f>
        <v/>
      </c>
    </row>
    <row r="795" ht="20.45" customHeight="1" s="106">
      <c r="A795" s="99" t="inlineStr">
        <is>
          <t>92-GTI</t>
        </is>
      </c>
      <c r="B795" s="10" t="inlineStr">
        <is>
          <t>APOYO</t>
        </is>
      </c>
      <c r="C795" s="10" t="inlineStr">
        <is>
          <t>Gestión de Tecnología de la Información</t>
        </is>
      </c>
      <c r="D795" s="10" t="inlineStr">
        <is>
          <t>GTI</t>
        </is>
      </c>
      <c r="E795" s="10" t="inlineStr">
        <is>
          <t>Gestión de las Operaciones de TI</t>
        </is>
      </c>
      <c r="F795" s="10" t="inlineStr">
        <is>
          <t>-</t>
        </is>
      </c>
      <c r="G795" s="10" t="inlineStr">
        <is>
          <t>Administración de la capacidad y desempeño de la infraestructura de TI</t>
        </is>
      </c>
      <c r="H795" s="17" t="inlineStr">
        <is>
          <t>Ruteador CISCO 1800 Series (09)</t>
        </is>
      </c>
      <c r="I795" s="17" t="inlineStr">
        <is>
          <t>Ruteador para enlaces de comunicación / 192.168.82.253</t>
        </is>
      </c>
      <c r="J795" s="10" t="inlineStr">
        <is>
          <t>GERENTE DE TI</t>
        </is>
      </c>
      <c r="K795" s="10" t="inlineStr">
        <is>
          <t>ADMINISTRADOR DE COMUNICACIÓN E INFRESTRUCTURA</t>
        </is>
      </c>
      <c r="L795" s="10" t="inlineStr">
        <is>
          <t>UBICACIÓN FISICA-AGENCIA CARAPUNGO</t>
        </is>
      </c>
      <c r="M795" s="10" t="inlineStr">
        <is>
          <t>DISCOS DUROS, SERVIDORES, DISCOS O MEDIOS PORTÁTILES, CINTAS O MEDIOS DE VIDEO Y AUDIO, ETC.</t>
        </is>
      </c>
      <c r="N795" s="10" t="inlineStr">
        <is>
          <t>APOYO</t>
        </is>
      </c>
      <c r="O795" s="10" t="inlineStr">
        <is>
          <t>REDES</t>
        </is>
      </c>
      <c r="P795" s="10" t="inlineStr">
        <is>
          <t>RESTRINGIDO(3)</t>
        </is>
      </c>
      <c r="Q795" s="10" t="inlineStr">
        <is>
          <t>ALTA(3)</t>
        </is>
      </c>
      <c r="R795" s="10" t="inlineStr">
        <is>
          <t>ALTA(3)</t>
        </is>
      </c>
      <c r="S795" s="10">
        <f>+(IF(P795="PUBLICA(1)",1,IF(P795="USO INTERNO(2)",2,IF(P795="RESTRINGIDO(3)",3,3))))+(IF(Q795="BAJA(1)",1,IF(Q795="MEDIA(2)",2,IF(Q795="ALTA(3)",3,3))))+(IF(R795="BAJA(1)",1,IF(R795="MEDIA(2)",2,IF(R795="ALTA(3)",3,3))))</f>
        <v/>
      </c>
      <c r="T795" s="10">
        <f>+IF(S795&lt;6,"BAJA",IF(S795&lt;8,"MEDIA","ALTA"))</f>
        <v/>
      </c>
      <c r="U795" s="10" t="inlineStr">
        <is>
          <t>-</t>
        </is>
      </c>
      <c r="V795" s="24" t="n">
        <v>43815</v>
      </c>
      <c r="W795" s="19" t="inlineStr">
        <is>
          <t>N/A</t>
        </is>
      </c>
      <c r="X795" s="10">
        <f>+IFERROR(IF(VLOOKUP(Tabla2[[#This Row],[ID]],'EVALUACION DE RIESGO'!A:A,1,FALSE)=Tabla2[[#This Row],[ID]],"SI","NO"),"NO")</f>
        <v/>
      </c>
      <c r="AD795">
        <f>IF(AND(Y795="",AA795=""),"",IF(OR(LEFT(AA795,2)="L0",LEFT(AA795,2)="L1",Y795="No Iniciado"),"CRÍTICO - Incumplimiento Normativo SEPS",IF(AND(OR(LEFT(AA795,2)="L4",LEFT(AA795,2)="L5"),AND(AC795&lt;&gt;"",AC795&lt;&gt;"N/A")),"CONFORME - Control Efectivo ISO 27001","OBSERVACIÓN - Revisar Controles")))</f>
        <v/>
      </c>
    </row>
    <row r="796" ht="20.45" customHeight="1" s="106">
      <c r="A796" s="99" t="inlineStr">
        <is>
          <t>93-GTI</t>
        </is>
      </c>
      <c r="B796" s="10" t="inlineStr">
        <is>
          <t>APOYO</t>
        </is>
      </c>
      <c r="C796" s="10" t="inlineStr">
        <is>
          <t>Gestión de Tecnología de la Información</t>
        </is>
      </c>
      <c r="D796" s="10" t="inlineStr">
        <is>
          <t>GTI</t>
        </is>
      </c>
      <c r="E796" s="10" t="inlineStr">
        <is>
          <t>Gestión de las Operaciones de TI</t>
        </is>
      </c>
      <c r="F796" s="10" t="inlineStr">
        <is>
          <t>-</t>
        </is>
      </c>
      <c r="G796" s="10" t="inlineStr">
        <is>
          <t>Administración de la capacidad y desempeño de la infraestructura de TI</t>
        </is>
      </c>
      <c r="H796" s="17" t="inlineStr">
        <is>
          <t>Ruteador CISCO 1800 Series (08)</t>
        </is>
      </c>
      <c r="I796" s="17" t="inlineStr">
        <is>
          <t>Ruteador para enlaces de comunicación / 192.168.81.253</t>
        </is>
      </c>
      <c r="J796" s="10" t="inlineStr">
        <is>
          <t>GERENTE DE TI</t>
        </is>
      </c>
      <c r="K796" s="10" t="inlineStr">
        <is>
          <t>ADMINISTRADOR DE COMUNICACIÓN E INFRESTRUCTURA</t>
        </is>
      </c>
      <c r="L796" s="10" t="inlineStr">
        <is>
          <t>UBICACIÓN FISICA-AGENCIA VILLAFLORA</t>
        </is>
      </c>
      <c r="M796" s="10" t="inlineStr">
        <is>
          <t>DISCOS DUROS, SERVIDORES, DISCOS O MEDIOS PORTÁTILES, CINTAS O MEDIOS DE VIDEO Y AUDIO, ETC.</t>
        </is>
      </c>
      <c r="N796" s="10" t="inlineStr">
        <is>
          <t>APOYO</t>
        </is>
      </c>
      <c r="O796" s="10" t="inlineStr">
        <is>
          <t>REDES</t>
        </is>
      </c>
      <c r="P796" s="10" t="inlineStr">
        <is>
          <t>RESTRINGIDO(3)</t>
        </is>
      </c>
      <c r="Q796" s="10" t="inlineStr">
        <is>
          <t>ALTA(3)</t>
        </is>
      </c>
      <c r="R796" s="10" t="inlineStr">
        <is>
          <t>ALTA(3)</t>
        </is>
      </c>
      <c r="S796" s="10">
        <f>+(IF(P796="PUBLICA(1)",1,IF(P796="USO INTERNO(2)",2,IF(P796="RESTRINGIDO(3)",3,3))))+(IF(Q796="BAJA(1)",1,IF(Q796="MEDIA(2)",2,IF(Q796="ALTA(3)",3,3))))+(IF(R796="BAJA(1)",1,IF(R796="MEDIA(2)",2,IF(R796="ALTA(3)",3,3))))</f>
        <v/>
      </c>
      <c r="T796" s="10">
        <f>+IF(S796&lt;6,"BAJA",IF(S796&lt;8,"MEDIA","ALTA"))</f>
        <v/>
      </c>
      <c r="U796" s="10" t="inlineStr">
        <is>
          <t>-</t>
        </is>
      </c>
      <c r="V796" s="24" t="n">
        <v>43815</v>
      </c>
      <c r="W796" s="19" t="inlineStr">
        <is>
          <t>N/A</t>
        </is>
      </c>
      <c r="X796" s="10">
        <f>+IFERROR(IF(VLOOKUP(Tabla2[[#This Row],[ID]],'EVALUACION DE RIESGO'!A:A,1,FALSE)=Tabla2[[#This Row],[ID]],"SI","NO"),"NO")</f>
        <v/>
      </c>
      <c r="AD796">
        <f>IF(AND(Y796="",AA796=""),"",IF(OR(LEFT(AA796,2)="L0",LEFT(AA796,2)="L1",Y796="No Iniciado"),"CRÍTICO - Incumplimiento Normativo SEPS",IF(AND(OR(LEFT(AA796,2)="L4",LEFT(AA796,2)="L5"),AND(AC796&lt;&gt;"",AC796&lt;&gt;"N/A")),"CONFORME - Control Efectivo ISO 27001","OBSERVACIÓN - Revisar Controles")))</f>
        <v/>
      </c>
    </row>
    <row r="797" ht="24" customHeight="1" s="106">
      <c r="A797" s="99" t="inlineStr">
        <is>
          <t>94-GTI</t>
        </is>
      </c>
      <c r="B797" s="10" t="inlineStr">
        <is>
          <t>APOYO</t>
        </is>
      </c>
      <c r="C797" s="10" t="inlineStr">
        <is>
          <t>Gestión de Tecnología de la Información</t>
        </is>
      </c>
      <c r="D797" s="10" t="inlineStr">
        <is>
          <t>GTI</t>
        </is>
      </c>
      <c r="E797" s="10" t="inlineStr">
        <is>
          <t>Gestión de las Operaciones de TI</t>
        </is>
      </c>
      <c r="F797" s="10" t="inlineStr">
        <is>
          <t>-</t>
        </is>
      </c>
      <c r="G797" s="10" t="inlineStr">
        <is>
          <t>Administración de la capacidad y desempeño de la infraestructura de TI</t>
        </is>
      </c>
      <c r="H797" s="17" t="inlineStr">
        <is>
          <t>Ruteador CISCO 1800 Series (SERVIPAGOS)</t>
        </is>
      </c>
      <c r="I797" s="17" t="inlineStr">
        <is>
          <t>Ruteador para enlaces de comunicación</t>
        </is>
      </c>
      <c r="J797" s="10" t="inlineStr">
        <is>
          <t>GERENTE DE TI</t>
        </is>
      </c>
      <c r="K797" s="10" t="inlineStr">
        <is>
          <t>ADMINISTRADOR DE COMUNICACIÓN E INFRESTRUCTURA</t>
        </is>
      </c>
      <c r="L797" s="10" t="inlineStr">
        <is>
          <t>UBICACIÓN FISICA-SUCURSAL IBARRA</t>
        </is>
      </c>
      <c r="M797" s="10" t="inlineStr">
        <is>
          <t>DISCOS DUROS, SERVIDORES, DISCOS O MEDIOS PORTÁTILES, CINTAS O MEDIOS DE VIDEO Y AUDIO, ETC.</t>
        </is>
      </c>
      <c r="N797" s="10" t="inlineStr">
        <is>
          <t>APOYO</t>
        </is>
      </c>
      <c r="O797" s="10" t="inlineStr">
        <is>
          <t>REDES</t>
        </is>
      </c>
      <c r="P797" s="10" t="inlineStr">
        <is>
          <t>RESTRINGIDO(3)</t>
        </is>
      </c>
      <c r="Q797" s="10" t="inlineStr">
        <is>
          <t>ALTA(3)</t>
        </is>
      </c>
      <c r="R797" s="10" t="inlineStr">
        <is>
          <t>ALTA(3)</t>
        </is>
      </c>
      <c r="S797" s="10">
        <f>+(IF(P797="PUBLICA(1)",1,IF(P797="USO INTERNO(2)",2,IF(P797="RESTRINGIDO(3)",3,3))))+(IF(Q797="BAJA(1)",1,IF(Q797="MEDIA(2)",2,IF(Q797="ALTA(3)",3,3))))+(IF(R797="BAJA(1)",1,IF(R797="MEDIA(2)",2,IF(R797="ALTA(3)",3,3))))</f>
        <v/>
      </c>
      <c r="T797" s="10">
        <f>+IF(S797&lt;6,"BAJA",IF(S797&lt;8,"MEDIA","ALTA"))</f>
        <v/>
      </c>
      <c r="U797" s="10" t="inlineStr">
        <is>
          <t>-</t>
        </is>
      </c>
      <c r="V797" s="24" t="n">
        <v>43815</v>
      </c>
      <c r="W797" s="19" t="inlineStr">
        <is>
          <t>N/A</t>
        </is>
      </c>
      <c r="X797" s="10">
        <f>+IFERROR(IF(VLOOKUP(Tabla2[[#This Row],[ID]],'EVALUACION DE RIESGO'!A:A,1,FALSE)=Tabla2[[#This Row],[ID]],"SI","NO"),"NO")</f>
        <v/>
      </c>
      <c r="AD797">
        <f>IF(AND(Y797="",AA797=""),"",IF(OR(LEFT(AA797,2)="L0",LEFT(AA797,2)="L1",Y797="No Iniciado"),"CRÍTICO - Incumplimiento Normativo SEPS",IF(AND(OR(LEFT(AA797,2)="L4",LEFT(AA797,2)="L5"),AND(AC797&lt;&gt;"",AC797&lt;&gt;"N/A")),"CONFORME - Control Efectivo ISO 27001","OBSERVACIÓN - Revisar Controles")))</f>
        <v/>
      </c>
    </row>
    <row r="798">
      <c r="A798" s="99" t="inlineStr">
        <is>
          <t>95-GTI</t>
        </is>
      </c>
      <c r="B798" s="10" t="inlineStr">
        <is>
          <t>APOYO</t>
        </is>
      </c>
      <c r="C798" s="10" t="inlineStr">
        <is>
          <t>Gestión de Tecnología de la Información</t>
        </is>
      </c>
      <c r="D798" s="10" t="inlineStr">
        <is>
          <t>GTI</t>
        </is>
      </c>
      <c r="E798" s="10" t="inlineStr">
        <is>
          <t>Gestión de las Operaciones de TI</t>
        </is>
      </c>
      <c r="F798" s="10" t="inlineStr">
        <is>
          <t>-</t>
        </is>
      </c>
      <c r="G798" s="10" t="inlineStr">
        <is>
          <t xml:space="preserve">Administración de seguridad en equipos y servidores de aplicación    </t>
        </is>
      </c>
      <c r="H798" s="10" t="inlineStr">
        <is>
          <t>Base de datos SYBASE</t>
        </is>
      </c>
      <c r="I798" s="10" t="inlineStr">
        <is>
          <t>Servicio de base de datos 192.168.10.1</t>
        </is>
      </c>
      <c r="J798" s="10" t="inlineStr">
        <is>
          <t>GERENTE DE TI</t>
        </is>
      </c>
      <c r="K798" s="10" t="inlineStr">
        <is>
          <t>ADMINISTRADOR DE BASE DE DATOS</t>
        </is>
      </c>
      <c r="L798" s="10" t="inlineStr">
        <is>
          <t>UBICACIÓN FISICA-SUCURSAL IBARRA</t>
        </is>
      </c>
      <c r="M798" s="10" t="inlineStr">
        <is>
          <t>DISCOS DUROS, SERVIDORES, DISCOS O MEDIOS PORTÁTILES, CINTAS O MEDIOS DE VIDEO Y AUDIO, ETC.</t>
        </is>
      </c>
      <c r="N798" s="10" t="inlineStr">
        <is>
          <t>APOYO</t>
        </is>
      </c>
      <c r="O798" s="10" t="inlineStr">
        <is>
          <t>SERVICIOS</t>
        </is>
      </c>
      <c r="P798" s="10" t="inlineStr">
        <is>
          <t>USO INTERNO(2)</t>
        </is>
      </c>
      <c r="Q798" s="10" t="inlineStr">
        <is>
          <t>BAJA(1)</t>
        </is>
      </c>
      <c r="R798" s="10" t="inlineStr">
        <is>
          <t>ALTA(3)</t>
        </is>
      </c>
      <c r="S798" s="10">
        <f>+(IF(P798="PUBLICA(1)",1,IF(P798="USO INTERNO(2)",2,IF(P798="RESTRINGIDO(3)",3,3))))+(IF(Q798="BAJA(1)",1,IF(Q798="MEDIA(2)",2,IF(Q798="ALTA(3)",3,3))))+(IF(R798="BAJA(1)",1,IF(R798="MEDIA(2)",2,IF(R798="ALTA(3)",3,3))))</f>
        <v/>
      </c>
      <c r="T798" s="10">
        <f>+IF(S798&lt;6,"BAJA",IF(S798&lt;8,"MEDIA","ALTA"))</f>
        <v/>
      </c>
      <c r="U798" s="10" t="inlineStr">
        <is>
          <t>-</t>
        </is>
      </c>
      <c r="V798" s="24" t="n">
        <v>43815</v>
      </c>
      <c r="W798" s="19" t="inlineStr">
        <is>
          <t>N/A</t>
        </is>
      </c>
      <c r="X798" s="10">
        <f>+IFERROR(IF(VLOOKUP(Tabla2[[#This Row],[ID]],'EVALUACION DE RIESGO'!A:A,1,FALSE)=Tabla2[[#This Row],[ID]],"SI","NO"),"NO")</f>
        <v/>
      </c>
      <c r="AD798">
        <f>IF(AND(Y798="",AA798=""),"",IF(OR(LEFT(AA798,2)="L0",LEFT(AA798,2)="L1",Y798="No Iniciado"),"CRÍTICO - Incumplimiento Normativo SEPS",IF(AND(OR(LEFT(AA798,2)="L4",LEFT(AA798,2)="L5"),AND(AC798&lt;&gt;"",AC798&lt;&gt;"N/A")),"CONFORME - Control Efectivo ISO 27001","OBSERVACIÓN - Revisar Controles")))</f>
        <v/>
      </c>
    </row>
    <row r="799">
      <c r="A799" s="99" t="inlineStr">
        <is>
          <t>96-GTI</t>
        </is>
      </c>
      <c r="B799" s="10" t="inlineStr">
        <is>
          <t>APOYO</t>
        </is>
      </c>
      <c r="C799" s="10" t="inlineStr">
        <is>
          <t>Gestión de Tecnología de la Información</t>
        </is>
      </c>
      <c r="D799" s="10" t="inlineStr">
        <is>
          <t>GTI</t>
        </is>
      </c>
      <c r="E799" s="10" t="inlineStr">
        <is>
          <t>Gestión de las Operaciones de TI</t>
        </is>
      </c>
      <c r="F799" s="10" t="inlineStr">
        <is>
          <t>-</t>
        </is>
      </c>
      <c r="G799" s="10" t="inlineStr">
        <is>
          <t xml:space="preserve">Administración de seguridad en equipos y servidores de aplicación    </t>
        </is>
      </c>
      <c r="H799" s="10" t="inlineStr">
        <is>
          <t>STANDBY</t>
        </is>
      </c>
      <c r="I799" s="10" t="inlineStr">
        <is>
          <t>Servidor de marca SUN  con sistema operativo Solaris 11 para contingencia de base de datos de producción / 192.168.10.48</t>
        </is>
      </c>
      <c r="J799" s="10" t="inlineStr">
        <is>
          <t>GERENTE DE TI</t>
        </is>
      </c>
      <c r="K799" s="10" t="inlineStr">
        <is>
          <t>ADMINISTRADOR DE BASE DE DATOS</t>
        </is>
      </c>
      <c r="L799" s="10" t="inlineStr">
        <is>
          <t>UBICACIÓN FISICA-SUCURSAL IBARRA</t>
        </is>
      </c>
      <c r="M799" s="10" t="inlineStr">
        <is>
          <t>DISCOS DUROS, SERVIDORES, DISCOS O MEDIOS PORTÁTILES, CINTAS O MEDIOS DE VIDEO Y AUDIO, ETC.</t>
        </is>
      </c>
      <c r="N799" s="10" t="inlineStr">
        <is>
          <t>APOYO</t>
        </is>
      </c>
      <c r="O799" s="10" t="inlineStr">
        <is>
          <t>HARDWARE</t>
        </is>
      </c>
      <c r="P799" s="10" t="inlineStr">
        <is>
          <t>USO INTERNO(2)</t>
        </is>
      </c>
      <c r="Q799" s="10" t="inlineStr">
        <is>
          <t>BAJA(1)</t>
        </is>
      </c>
      <c r="R799" s="10" t="inlineStr">
        <is>
          <t>MEDIA(2)</t>
        </is>
      </c>
      <c r="S799" s="10">
        <f>+(IF(P799="PUBLICA(1)",1,IF(P799="USO INTERNO(2)",2,IF(P799="RESTRINGIDO(3)",3,3))))+(IF(Q799="BAJA(1)",1,IF(Q799="MEDIA(2)",2,IF(Q799="ALTA(3)",3,3))))+(IF(R799="BAJA(1)",1,IF(R799="MEDIA(2)",2,IF(R799="ALTA(3)",3,3))))</f>
        <v/>
      </c>
      <c r="T799" s="10">
        <f>+IF(S799&lt;6,"BAJA",IF(S799&lt;8,"MEDIA","ALTA"))</f>
        <v/>
      </c>
      <c r="U799" s="10" t="inlineStr">
        <is>
          <t>-</t>
        </is>
      </c>
      <c r="V799" s="24" t="n">
        <v>43815</v>
      </c>
      <c r="W799" s="19" t="inlineStr">
        <is>
          <t>N/A</t>
        </is>
      </c>
      <c r="X799" s="10">
        <f>+IFERROR(IF(VLOOKUP(Tabla2[[#This Row],[ID]],'EVALUACION DE RIESGO'!A:A,1,FALSE)=Tabla2[[#This Row],[ID]],"SI","NO"),"NO")</f>
        <v/>
      </c>
      <c r="AD799">
        <f>IF(AND(Y799="",AA799=""),"",IF(OR(LEFT(AA799,2)="L0",LEFT(AA799,2)="L1",Y799="No Iniciado"),"CRÍTICO - Incumplimiento Normativo SEPS",IF(AND(OR(LEFT(AA799,2)="L4",LEFT(AA799,2)="L5"),AND(AC799&lt;&gt;"",AC799&lt;&gt;"N/A")),"CONFORME - Control Efectivo ISO 27001","OBSERVACIÓN - Revisar Controles")))</f>
        <v/>
      </c>
    </row>
    <row r="800">
      <c r="A800" s="99" t="inlineStr">
        <is>
          <t>97-GTI</t>
        </is>
      </c>
      <c r="B800" s="10" t="inlineStr">
        <is>
          <t>APOYO</t>
        </is>
      </c>
      <c r="C800" s="10" t="inlineStr">
        <is>
          <t>Gestión de Tecnología de la Información</t>
        </is>
      </c>
      <c r="D800" s="10" t="inlineStr">
        <is>
          <t>GTI</t>
        </is>
      </c>
      <c r="E800" s="10" t="inlineStr">
        <is>
          <t>Gestión de las Operaciones de TI</t>
        </is>
      </c>
      <c r="F800" s="10" t="inlineStr">
        <is>
          <t>-</t>
        </is>
      </c>
      <c r="G800" s="10" t="inlineStr">
        <is>
          <t xml:space="preserve">Administración de seguridad en equipos y servidores de aplicación    </t>
        </is>
      </c>
      <c r="H800" s="10" t="inlineStr">
        <is>
          <t>Sistema Financiero FIT</t>
        </is>
      </c>
      <c r="I800" s="10" t="inlineStr">
        <is>
          <t>Sistema Financiero FIT /192.168.10.41</t>
        </is>
      </c>
      <c r="J800" s="10" t="inlineStr">
        <is>
          <t>GERENTE DE TI</t>
        </is>
      </c>
      <c r="K800" s="10" t="inlineStr">
        <is>
          <t>ADMINISTRADOR DE BASE DE DATOS</t>
        </is>
      </c>
      <c r="L800" s="10" t="inlineStr">
        <is>
          <t>UBICACIÓN FISICA-SUCURSAL IBARRA</t>
        </is>
      </c>
      <c r="M800" s="10" t="inlineStr">
        <is>
          <t>DISCOS DUROS, SERVIDORES, DISCOS O MEDIOS PORTÁTILES, CINTAS O MEDIOS DE VIDEO Y AUDIO, ETC.</t>
        </is>
      </c>
      <c r="N800" s="10" t="inlineStr">
        <is>
          <t>APOYO</t>
        </is>
      </c>
      <c r="O800" s="10" t="inlineStr">
        <is>
          <t>SOFTWARE</t>
        </is>
      </c>
      <c r="P800" s="10" t="inlineStr">
        <is>
          <t>USO INTERNO(2)</t>
        </is>
      </c>
      <c r="Q800" s="10" t="inlineStr">
        <is>
          <t>BAJA(1)</t>
        </is>
      </c>
      <c r="R800" s="10" t="inlineStr">
        <is>
          <t>ALTA(3)</t>
        </is>
      </c>
      <c r="S800" s="10">
        <f>+(IF(P800="PUBLICA(1)",1,IF(P800="USO INTERNO(2)",2,IF(P800="RESTRINGIDO(3)",3,3))))+(IF(Q800="BAJA(1)",1,IF(Q800="MEDIA(2)",2,IF(Q800="ALTA(3)",3,3))))+(IF(R800="BAJA(1)",1,IF(R800="MEDIA(2)",2,IF(R800="ALTA(3)",3,3))))</f>
        <v/>
      </c>
      <c r="T800" s="10">
        <f>+IF(S800&lt;6,"BAJA",IF(S800&lt;8,"MEDIA","ALTA"))</f>
        <v/>
      </c>
      <c r="U800" s="10" t="inlineStr">
        <is>
          <t>-</t>
        </is>
      </c>
      <c r="V800" s="24" t="n">
        <v>43815</v>
      </c>
      <c r="W800" s="19" t="inlineStr">
        <is>
          <t>N/A</t>
        </is>
      </c>
      <c r="X800" s="10">
        <f>+IFERROR(IF(VLOOKUP(Tabla2[[#This Row],[ID]],'EVALUACION DE RIESGO'!A:A,1,FALSE)=Tabla2[[#This Row],[ID]],"SI","NO"),"NO")</f>
        <v/>
      </c>
      <c r="AD800">
        <f>IF(AND(Y800="",AA800=""),"",IF(OR(LEFT(AA800,2)="L0",LEFT(AA800,2)="L1",Y800="No Iniciado"),"CRÍTICO - Incumplimiento Normativo SEPS",IF(AND(OR(LEFT(AA800,2)="L4",LEFT(AA800,2)="L5"),AND(AC800&lt;&gt;"",AC800&lt;&gt;"N/A")),"CONFORME - Control Efectivo ISO 27001","OBSERVACIÓN - Revisar Controles")))</f>
        <v/>
      </c>
    </row>
    <row r="801">
      <c r="A801" s="99" t="inlineStr">
        <is>
          <t>98-GTI</t>
        </is>
      </c>
      <c r="B801" s="10" t="inlineStr">
        <is>
          <t>APOYO</t>
        </is>
      </c>
      <c r="C801" s="10" t="inlineStr">
        <is>
          <t>Gestión de Tecnología de la Información</t>
        </is>
      </c>
      <c r="D801" s="10" t="inlineStr">
        <is>
          <t>GTI</t>
        </is>
      </c>
      <c r="E801" s="10" t="inlineStr">
        <is>
          <t>Gestión de las Operaciones de TI</t>
        </is>
      </c>
      <c r="F801" s="10" t="inlineStr">
        <is>
          <t>-</t>
        </is>
      </c>
      <c r="G801" s="10" t="inlineStr">
        <is>
          <t>Administración de la capacidad y desempeño de la infraestructura de TI</t>
        </is>
      </c>
      <c r="H801" s="10" t="inlineStr">
        <is>
          <t>Sistema de Alertas</t>
        </is>
      </c>
      <c r="I801" s="10" t="inlineStr">
        <is>
          <t>Sistema de Alertas PRTG / 192.168.100.1</t>
        </is>
      </c>
      <c r="J801" s="10" t="inlineStr">
        <is>
          <t>GERENTE DE TI</t>
        </is>
      </c>
      <c r="K801" s="10" t="inlineStr">
        <is>
          <t>ADMINISTRADOR DE COMUNICACIÓN E INFRESTRUCTURA</t>
        </is>
      </c>
      <c r="L801" s="10" t="inlineStr">
        <is>
          <t>UBICACIÓN FISICA-SUCURSAL IBARRA</t>
        </is>
      </c>
      <c r="M801" s="10" t="inlineStr">
        <is>
          <t>DISCOS DUROS, SERVIDORES, DISCOS O MEDIOS PORTÁTILES, CINTAS O MEDIOS DE VIDEO Y AUDIO, ETC.</t>
        </is>
      </c>
      <c r="N801" s="10" t="inlineStr">
        <is>
          <t>APOYO</t>
        </is>
      </c>
      <c r="O801" s="10" t="inlineStr">
        <is>
          <t>SERVICIOS</t>
        </is>
      </c>
      <c r="P801" s="10" t="inlineStr">
        <is>
          <t>USO INTERNO(2)</t>
        </is>
      </c>
      <c r="Q801" s="10" t="inlineStr">
        <is>
          <t>MEDIA(2)</t>
        </is>
      </c>
      <c r="R801" s="10" t="inlineStr">
        <is>
          <t>MEDIA(2)</t>
        </is>
      </c>
      <c r="S801" s="10">
        <f>+(IF(P801="PUBLICA(1)",1,IF(P801="USO INTERNO(2)",2,IF(P801="RESTRINGIDO(3)",3,3))))+(IF(Q801="BAJA(1)",1,IF(Q801="MEDIA(2)",2,IF(Q801="ALTA(3)",3,3))))+(IF(R801="BAJA(1)",1,IF(R801="MEDIA(2)",2,IF(R801="ALTA(3)",3,3))))</f>
        <v/>
      </c>
      <c r="T801" s="10">
        <f>+IF(S801&lt;6,"BAJA",IF(S801&lt;8,"MEDIA","ALTA"))</f>
        <v/>
      </c>
      <c r="U801" s="10" t="inlineStr">
        <is>
          <t>-</t>
        </is>
      </c>
      <c r="V801" s="24" t="n">
        <v>43815</v>
      </c>
      <c r="W801" s="19" t="inlineStr">
        <is>
          <t>N/A</t>
        </is>
      </c>
      <c r="X801" s="10">
        <f>+IFERROR(IF(VLOOKUP(Tabla2[[#This Row],[ID]],'EVALUACION DE RIESGO'!A:A,1,FALSE)=Tabla2[[#This Row],[ID]],"SI","NO"),"NO")</f>
        <v/>
      </c>
      <c r="AD801">
        <f>IF(AND(Y801="",AA801=""),"",IF(OR(LEFT(AA801,2)="L0",LEFT(AA801,2)="L1",Y801="No Iniciado"),"CRÍTICO - Incumplimiento Normativo SEPS",IF(AND(OR(LEFT(AA801,2)="L4",LEFT(AA801,2)="L5"),AND(AC801&lt;&gt;"",AC801&lt;&gt;"N/A")),"CONFORME - Control Efectivo ISO 27001","OBSERVACIÓN - Revisar Controles")))</f>
        <v/>
      </c>
    </row>
    <row r="802">
      <c r="A802" s="99" t="inlineStr">
        <is>
          <t>99-GTI</t>
        </is>
      </c>
      <c r="B802" s="10" t="inlineStr">
        <is>
          <t>APOYO</t>
        </is>
      </c>
      <c r="C802" s="10" t="inlineStr">
        <is>
          <t>Gestión de Tecnología de la Información</t>
        </is>
      </c>
      <c r="D802" s="10" t="inlineStr">
        <is>
          <t>GTI</t>
        </is>
      </c>
      <c r="E802" s="10" t="inlineStr">
        <is>
          <t>Gestión de las Operaciones de TI</t>
        </is>
      </c>
      <c r="F802" s="10" t="inlineStr">
        <is>
          <t>-</t>
        </is>
      </c>
      <c r="G802" s="10" t="inlineStr">
        <is>
          <t>Administración de servidores</t>
        </is>
      </c>
      <c r="H802" s="10" t="inlineStr">
        <is>
          <t xml:space="preserve">SVR Dominio VMSRVHPRECEO
</t>
        </is>
      </c>
      <c r="I802" s="10" t="inlineStr">
        <is>
          <t>SVR 192.168.81.160 - Contiene virtualizado Servidor de Dominio (Active Directory) y DNS</t>
        </is>
      </c>
      <c r="J802" s="10" t="inlineStr">
        <is>
          <t>GERENTE DE TI</t>
        </is>
      </c>
      <c r="K802" s="10" t="inlineStr">
        <is>
          <t>ADMINISTRADOR DE COMUNICACIÓN E INFRESTRUCTURA</t>
        </is>
      </c>
      <c r="L802" s="10" t="inlineStr">
        <is>
          <t>UBICACIÓN FISICA-AGENCIA VILLAFLORA</t>
        </is>
      </c>
      <c r="M802" s="10" t="inlineStr">
        <is>
          <t>DISCOS DUROS, SERVIDORES, DISCOS O MEDIOS PORTÁTILES, CINTAS O MEDIOS DE VIDEO Y AUDIO, ETC.</t>
        </is>
      </c>
      <c r="N802" s="10" t="inlineStr">
        <is>
          <t>APOYO</t>
        </is>
      </c>
      <c r="O802" s="10" t="inlineStr">
        <is>
          <t>HARDWARE</t>
        </is>
      </c>
      <c r="P802" s="10" t="inlineStr">
        <is>
          <t>USO INTERNO(2)</t>
        </is>
      </c>
      <c r="Q802" s="10" t="inlineStr">
        <is>
          <t>BAJA(1)</t>
        </is>
      </c>
      <c r="R802" s="10" t="inlineStr">
        <is>
          <t>ALTA(3)</t>
        </is>
      </c>
      <c r="S802" s="10">
        <f>+(IF(P802="PUBLICA(1)",1,IF(P802="USO INTERNO(2)",2,IF(P802="RESTRINGIDO(3)",3,3))))+(IF(Q802="BAJA(1)",1,IF(Q802="MEDIA(2)",2,IF(Q802="ALTA(3)",3,3))))+(IF(R802="BAJA(1)",1,IF(R802="MEDIA(2)",2,IF(R802="ALTA(3)",3,3))))</f>
        <v/>
      </c>
      <c r="T802" s="10">
        <f>+IF(S802&lt;6,"BAJA",IF(S802&lt;8,"MEDIA","ALTA"))</f>
        <v/>
      </c>
      <c r="U802" s="10" t="inlineStr">
        <is>
          <t>-</t>
        </is>
      </c>
      <c r="V802" s="24" t="n">
        <v>43815</v>
      </c>
      <c r="W802" s="19" t="inlineStr">
        <is>
          <t>N/A</t>
        </is>
      </c>
      <c r="X802" s="10">
        <f>+IFERROR(IF(VLOOKUP(Tabla2[[#This Row],[ID]],'EVALUACION DE RIESGO'!A:A,1,FALSE)=Tabla2[[#This Row],[ID]],"SI","NO"),"NO")</f>
        <v/>
      </c>
      <c r="AD802">
        <f>IF(AND(Y802="",AA802=""),"",IF(OR(LEFT(AA802,2)="L0",LEFT(AA802,2)="L1",Y802="No Iniciado"),"CRÍTICO - Incumplimiento Normativo SEPS",IF(AND(OR(LEFT(AA802,2)="L4",LEFT(AA802,2)="L5"),AND(AC802&lt;&gt;"",AC802&lt;&gt;"N/A")),"CONFORME - Control Efectivo ISO 27001","OBSERVACIÓN - Revisar Controles")))</f>
        <v/>
      </c>
    </row>
    <row r="803">
      <c r="A803" s="99" t="inlineStr">
        <is>
          <t>100-GTI</t>
        </is>
      </c>
      <c r="B803" s="10" t="inlineStr">
        <is>
          <t>APOYO</t>
        </is>
      </c>
      <c r="C803" s="10" t="inlineStr">
        <is>
          <t>Gestión de Tecnología de la Información</t>
        </is>
      </c>
      <c r="D803" s="10" t="inlineStr">
        <is>
          <t>GTI</t>
        </is>
      </c>
      <c r="E803" s="10" t="inlineStr">
        <is>
          <t>Gestión de las Operaciones de TI</t>
        </is>
      </c>
      <c r="F803" s="10" t="inlineStr">
        <is>
          <t>-</t>
        </is>
      </c>
      <c r="G803" s="10" t="inlineStr">
        <is>
          <t>Administración de servidores</t>
        </is>
      </c>
      <c r="H803" s="10" t="inlineStr">
        <is>
          <t xml:space="preserve">SVR Dominio VMHPCARAPUNGO
</t>
        </is>
      </c>
      <c r="I803" s="10" t="inlineStr">
        <is>
          <t>VMHPCARAPUNGO - Directorio Activo - Codigo de activo 003427</t>
        </is>
      </c>
      <c r="J803" s="10" t="inlineStr">
        <is>
          <t>GERENTE DE TI</t>
        </is>
      </c>
      <c r="K803" s="10" t="inlineStr">
        <is>
          <t>ADMINISTRADOR DE COMUNICACIÓN E INFRESTRUCTURA</t>
        </is>
      </c>
      <c r="L803" s="10" t="inlineStr">
        <is>
          <t>UBICACIÓN FISICA-AGENCIA CARAPUNGO</t>
        </is>
      </c>
      <c r="M803" s="10" t="inlineStr">
        <is>
          <t>DISCOS DUROS, SERVIDORES, DISCOS O MEDIOS PORTÁTILES, CINTAS O MEDIOS DE VIDEO Y AUDIO, ETC.</t>
        </is>
      </c>
      <c r="N803" s="10" t="inlineStr">
        <is>
          <t>APOYO</t>
        </is>
      </c>
      <c r="O803" s="10" t="inlineStr">
        <is>
          <t>HARDWARE</t>
        </is>
      </c>
      <c r="P803" s="10" t="inlineStr">
        <is>
          <t>USO INTERNO(2)</t>
        </is>
      </c>
      <c r="Q803" s="10" t="inlineStr">
        <is>
          <t>BAJA(1)</t>
        </is>
      </c>
      <c r="R803" s="10" t="inlineStr">
        <is>
          <t>ALTA(3)</t>
        </is>
      </c>
      <c r="S803" s="10">
        <f>+(IF(P803="PUBLICA(1)",1,IF(P803="USO INTERNO(2)",2,IF(P803="RESTRINGIDO(3)",3,3))))+(IF(Q803="BAJA(1)",1,IF(Q803="MEDIA(2)",2,IF(Q803="ALTA(3)",3,3))))+(IF(R803="BAJA(1)",1,IF(R803="MEDIA(2)",2,IF(R803="ALTA(3)",3,3))))</f>
        <v/>
      </c>
      <c r="T803" s="10">
        <f>+IF(S803&lt;6,"BAJA",IF(S803&lt;8,"MEDIA","ALTA"))</f>
        <v/>
      </c>
      <c r="U803" s="10" t="inlineStr">
        <is>
          <t>-</t>
        </is>
      </c>
      <c r="V803" s="24" t="n">
        <v>43815</v>
      </c>
      <c r="W803" s="19" t="inlineStr">
        <is>
          <t>N/A</t>
        </is>
      </c>
      <c r="X803" s="10">
        <f>+IFERROR(IF(VLOOKUP(Tabla2[[#This Row],[ID]],'EVALUACION DE RIESGO'!A:A,1,FALSE)=Tabla2[[#This Row],[ID]],"SI","NO"),"NO")</f>
        <v/>
      </c>
      <c r="AD803">
        <f>IF(AND(Y803="",AA803=""),"",IF(OR(LEFT(AA803,2)="L0",LEFT(AA803,2)="L1",Y803="No Iniciado"),"CRÍTICO - Incumplimiento Normativo SEPS",IF(AND(OR(LEFT(AA803,2)="L4",LEFT(AA803,2)="L5"),AND(AC803&lt;&gt;"",AC803&lt;&gt;"N/A")),"CONFORME - Control Efectivo ISO 27001","OBSERVACIÓN - Revisar Controles")))</f>
        <v/>
      </c>
    </row>
    <row r="804">
      <c r="A804" s="99" t="inlineStr">
        <is>
          <t>101-GTI</t>
        </is>
      </c>
      <c r="B804" s="10" t="inlineStr">
        <is>
          <t>APOYO</t>
        </is>
      </c>
      <c r="C804" s="10" t="inlineStr">
        <is>
          <t>Gestión de Tecnología de la Información</t>
        </is>
      </c>
      <c r="D804" s="10" t="inlineStr">
        <is>
          <t>GTI</t>
        </is>
      </c>
      <c r="E804" s="10" t="inlineStr">
        <is>
          <t>Gestión de las Operaciones de TI</t>
        </is>
      </c>
      <c r="F804" s="10" t="inlineStr">
        <is>
          <t>-</t>
        </is>
      </c>
      <c r="G804" s="10" t="inlineStr">
        <is>
          <t>Ejecución de procesos Batch</t>
        </is>
      </c>
      <c r="H804" s="10" t="inlineStr">
        <is>
          <t>VB Manual de fin de día</t>
        </is>
      </c>
      <c r="I804" s="10" t="inlineStr">
        <is>
          <t>Conjunto de procesos por lotes que permiten consolidar y jornalizar la información generada diariamente por los distintos módulos de los sistemas de aplicación existentes</t>
        </is>
      </c>
      <c r="J804" s="10" t="inlineStr">
        <is>
          <t>GERENTE DE TI</t>
        </is>
      </c>
      <c r="K804" s="10" t="inlineStr">
        <is>
          <t>ADMINISTRADOR DE COMUNICACIÓN E INFRESTRUCTURA</t>
        </is>
      </c>
      <c r="L804" s="10" t="inlineStr">
        <is>
          <t>UBICACIÓN FISICA-SUCURSAL IBARRA</t>
        </is>
      </c>
      <c r="M804" s="10" t="inlineStr">
        <is>
          <t>DISCOS DUROS, SERVIDORES, DISCOS O MEDIOS PORTÁTILES, CINTAS O MEDIOS DE VIDEO Y AUDIO, ETC.</t>
        </is>
      </c>
      <c r="N804" s="10" t="inlineStr">
        <is>
          <t>APOYO</t>
        </is>
      </c>
      <c r="O804" s="10" t="inlineStr">
        <is>
          <t>OTROS</t>
        </is>
      </c>
      <c r="P804" s="10" t="inlineStr">
        <is>
          <t>RESTRINGIDO(3)</t>
        </is>
      </c>
      <c r="Q804" s="10" t="inlineStr">
        <is>
          <t>BAJA(1)</t>
        </is>
      </c>
      <c r="R804" s="10" t="inlineStr">
        <is>
          <t>ALTA(3)</t>
        </is>
      </c>
      <c r="S804" s="10">
        <f>+(IF(P804="PUBLICA(1)",1,IF(P804="USO INTERNO(2)",2,IF(P804="RESTRINGIDO(3)",3,3))))+(IF(Q804="BAJA(1)",1,IF(Q804="MEDIA(2)",2,IF(Q804="ALTA(3)",3,3))))+(IF(R804="BAJA(1)",1,IF(R804="MEDIA(2)",2,IF(R804="ALTA(3)",3,3))))</f>
        <v/>
      </c>
      <c r="T804" s="10">
        <f>+IF(S804&lt;6,"BAJA",IF(S804&lt;8,"MEDIA","ALTA"))</f>
        <v/>
      </c>
      <c r="U804" s="10" t="inlineStr">
        <is>
          <t>-</t>
        </is>
      </c>
      <c r="V804" s="24" t="n">
        <v>43815</v>
      </c>
      <c r="W804" s="19" t="inlineStr">
        <is>
          <t>N/A</t>
        </is>
      </c>
      <c r="X804" s="10">
        <f>+IFERROR(IF(VLOOKUP(Tabla2[[#This Row],[ID]],'EVALUACION DE RIESGO'!A:A,1,FALSE)=Tabla2[[#This Row],[ID]],"SI","NO"),"NO")</f>
        <v/>
      </c>
      <c r="AD804">
        <f>IF(AND(Y804="",AA804=""),"",IF(OR(LEFT(AA804,2)="L0",LEFT(AA804,2)="L1",Y804="No Iniciado"),"CRÍTICO - Incumplimiento Normativo SEPS",IF(AND(OR(LEFT(AA804,2)="L4",LEFT(AA804,2)="L5"),AND(AC804&lt;&gt;"",AC804&lt;&gt;"N/A")),"CONFORME - Control Efectivo ISO 27001","OBSERVACIÓN - Revisar Controles")))</f>
        <v/>
      </c>
    </row>
    <row r="805">
      <c r="A805" s="99" t="inlineStr">
        <is>
          <t>102-GTI</t>
        </is>
      </c>
      <c r="B805" s="10" t="inlineStr">
        <is>
          <t>APOYO</t>
        </is>
      </c>
      <c r="C805" s="10" t="inlineStr">
        <is>
          <t>Gestión de Tecnología de la Información</t>
        </is>
      </c>
      <c r="D805" s="10" t="inlineStr">
        <is>
          <t>GTI</t>
        </is>
      </c>
      <c r="E805" s="10" t="inlineStr">
        <is>
          <t>Gestión de las Operaciones de TI</t>
        </is>
      </c>
      <c r="F805" s="10" t="inlineStr">
        <is>
          <t>-</t>
        </is>
      </c>
      <c r="G805" s="10" t="inlineStr">
        <is>
          <t>Ejecución de procesos Batch</t>
        </is>
      </c>
      <c r="H805" s="10" t="inlineStr">
        <is>
          <t>VB Manual de fin de mes</t>
        </is>
      </c>
      <c r="I805" s="10" t="inlineStr">
        <is>
          <t>Conjunto de procesos por lotes que permiten consolidar y jornalizar la información generada mensualmente por los distintos módulos de los sistemas de aplicación existentes</t>
        </is>
      </c>
      <c r="J805" s="10" t="inlineStr">
        <is>
          <t>GERENTE DE TI</t>
        </is>
      </c>
      <c r="K805" s="10" t="inlineStr">
        <is>
          <t>ADMINISTRADOR DE COMUNICACIÓN E INFRESTRUCTURA</t>
        </is>
      </c>
      <c r="L805" s="10" t="inlineStr">
        <is>
          <t>UBICACIÓN FISICA-SUCURSAL IBARRA</t>
        </is>
      </c>
      <c r="M805" s="10" t="inlineStr">
        <is>
          <t>DISCOS DUROS, SERVIDORES, DISCOS O MEDIOS PORTÁTILES, CINTAS O MEDIOS DE VIDEO Y AUDIO, ETC.</t>
        </is>
      </c>
      <c r="N805" s="10" t="inlineStr">
        <is>
          <t>APOYO</t>
        </is>
      </c>
      <c r="O805" s="10" t="inlineStr">
        <is>
          <t>OTROS</t>
        </is>
      </c>
      <c r="P805" s="10" t="inlineStr">
        <is>
          <t>RESTRINGIDO(3)</t>
        </is>
      </c>
      <c r="Q805" s="10" t="inlineStr">
        <is>
          <t>BAJA(1)</t>
        </is>
      </c>
      <c r="R805" s="10" t="inlineStr">
        <is>
          <t>ALTA(3)</t>
        </is>
      </c>
      <c r="S805" s="10">
        <f>+(IF(P805="PUBLICA(1)",1,IF(P805="USO INTERNO(2)",2,IF(P805="RESTRINGIDO(3)",3,3))))+(IF(Q805="BAJA(1)",1,IF(Q805="MEDIA(2)",2,IF(Q805="ALTA(3)",3,3))))+(IF(R805="BAJA(1)",1,IF(R805="MEDIA(2)",2,IF(R805="ALTA(3)",3,3))))</f>
        <v/>
      </c>
      <c r="T805" s="10">
        <f>+IF(S805&lt;6,"BAJA",IF(S805&lt;8,"MEDIA","ALTA"))</f>
        <v/>
      </c>
      <c r="U805" s="10" t="inlineStr">
        <is>
          <t>-</t>
        </is>
      </c>
      <c r="V805" s="24" t="n">
        <v>43815</v>
      </c>
      <c r="W805" s="19" t="inlineStr">
        <is>
          <t>N/A</t>
        </is>
      </c>
      <c r="X805" s="10">
        <f>+IFERROR(IF(VLOOKUP(Tabla2[[#This Row],[ID]],'EVALUACION DE RIESGO'!A:A,1,FALSE)=Tabla2[[#This Row],[ID]],"SI","NO"),"NO")</f>
        <v/>
      </c>
      <c r="AD805">
        <f>IF(AND(Y805="",AA805=""),"",IF(OR(LEFT(AA805,2)="L0",LEFT(AA805,2)="L1",Y805="No Iniciado"),"CRÍTICO - Incumplimiento Normativo SEPS",IF(AND(OR(LEFT(AA805,2)="L4",LEFT(AA805,2)="L5"),AND(AC805&lt;&gt;"",AC805&lt;&gt;"N/A")),"CONFORME - Control Efectivo ISO 27001","OBSERVACIÓN - Revisar Controles")))</f>
        <v/>
      </c>
    </row>
    <row r="806">
      <c r="A806" s="99" t="inlineStr">
        <is>
          <t>103-GTI</t>
        </is>
      </c>
      <c r="B806" s="10" t="inlineStr">
        <is>
          <t>APOYO</t>
        </is>
      </c>
      <c r="C806" s="10" t="inlineStr">
        <is>
          <t>Gestión de Tecnología de la Información</t>
        </is>
      </c>
      <c r="D806" s="10" t="inlineStr">
        <is>
          <t>GTI</t>
        </is>
      </c>
      <c r="E806" s="10" t="inlineStr">
        <is>
          <t>Gestión de las Operaciones de TI</t>
        </is>
      </c>
      <c r="F806" s="10" t="inlineStr">
        <is>
          <t>-</t>
        </is>
      </c>
      <c r="G806" s="10" t="inlineStr">
        <is>
          <t>Administración de la capacidad y desempeño de la infraestructura de TI</t>
        </is>
      </c>
      <c r="H806" s="10" t="inlineStr">
        <is>
          <t>Enlaces de Comunicación</t>
        </is>
      </c>
      <c r="I806" s="10" t="inlineStr">
        <is>
          <t>Enlaces de comunicación en todas las oficinas de la cooperativa</t>
        </is>
      </c>
      <c r="J806" s="10" t="inlineStr">
        <is>
          <t>GERENTE DE TI</t>
        </is>
      </c>
      <c r="K806" s="10" t="inlineStr">
        <is>
          <t>ADMINISTRADOR DE COMUNICACIÓN E INFRESTRUCTURA</t>
        </is>
      </c>
      <c r="L806" s="10" t="inlineStr">
        <is>
          <t>UBICACIÓN FISICA-SUCURSAL IBARRA</t>
        </is>
      </c>
      <c r="M806" s="10" t="inlineStr">
        <is>
          <t>DISCOS DUROS, SERVIDORES, DISCOS O MEDIOS PORTÁTILES, CINTAS O MEDIOS DE VIDEO Y AUDIO, ETC.</t>
        </is>
      </c>
      <c r="N806" s="10" t="inlineStr">
        <is>
          <t>APOYO</t>
        </is>
      </c>
      <c r="O806" s="10" t="inlineStr">
        <is>
          <t>REDES</t>
        </is>
      </c>
      <c r="P806" s="10" t="inlineStr">
        <is>
          <t>USO INTERNO(2)</t>
        </is>
      </c>
      <c r="Q806" s="10" t="inlineStr">
        <is>
          <t>BAJA(1)</t>
        </is>
      </c>
      <c r="R806" s="10" t="inlineStr">
        <is>
          <t>ALTA(3)</t>
        </is>
      </c>
      <c r="S806" s="10">
        <f>+(IF(P806="PUBLICA(1)",1,IF(P806="USO INTERNO(2)",2,IF(P806="RESTRINGIDO(3)",3,3))))+(IF(Q806="BAJA(1)",1,IF(Q806="MEDIA(2)",2,IF(Q806="ALTA(3)",3,3))))+(IF(R806="BAJA(1)",1,IF(R806="MEDIA(2)",2,IF(R806="ALTA(3)",3,3))))</f>
        <v/>
      </c>
      <c r="T806" s="10">
        <f>+IF(S806&lt;6,"BAJA",IF(S806&lt;8,"MEDIA","ALTA"))</f>
        <v/>
      </c>
      <c r="U806" s="10" t="inlineStr">
        <is>
          <t>-</t>
        </is>
      </c>
      <c r="V806" s="24" t="n">
        <v>43815</v>
      </c>
      <c r="W806" s="19" t="inlineStr">
        <is>
          <t>N/A</t>
        </is>
      </c>
      <c r="X806" s="10">
        <f>+IFERROR(IF(VLOOKUP(Tabla2[[#This Row],[ID]],'EVALUACION DE RIESGO'!A:A,1,FALSE)=Tabla2[[#This Row],[ID]],"SI","NO"),"NO")</f>
        <v/>
      </c>
      <c r="AD806">
        <f>IF(AND(Y806="",AA806=""),"",IF(OR(LEFT(AA806,2)="L0",LEFT(AA806,2)="L1",Y806="No Iniciado"),"CRÍTICO - Incumplimiento Normativo SEPS",IF(AND(OR(LEFT(AA806,2)="L4",LEFT(AA806,2)="L5"),AND(AC806&lt;&gt;"",AC806&lt;&gt;"N/A")),"CONFORME - Control Efectivo ISO 27001","OBSERVACIÓN - Revisar Controles")))</f>
        <v/>
      </c>
    </row>
    <row r="807">
      <c r="A807" s="99" t="inlineStr">
        <is>
          <t>104-GTI</t>
        </is>
      </c>
      <c r="B807" s="10" t="inlineStr">
        <is>
          <t>APOYO</t>
        </is>
      </c>
      <c r="C807" s="10" t="inlineStr">
        <is>
          <t>Gestión de Tecnología de la Información</t>
        </is>
      </c>
      <c r="D807" s="10" t="inlineStr">
        <is>
          <t>GTI</t>
        </is>
      </c>
      <c r="E807" s="10" t="inlineStr">
        <is>
          <t>Gestión de las Operaciones de TI</t>
        </is>
      </c>
      <c r="F807" s="10" t="inlineStr">
        <is>
          <t>-</t>
        </is>
      </c>
      <c r="G807" s="10" t="inlineStr">
        <is>
          <t>Administración de servidores</t>
        </is>
      </c>
      <c r="H807" s="10" t="inlineStr">
        <is>
          <t xml:space="preserve">SVR Dominio VMSRVATUNTAQUI
</t>
        </is>
      </c>
      <c r="I807" s="10" t="inlineStr">
        <is>
          <t xml:space="preserve">SVR 192.168.20.229 - Codigo de activo 004091 - contiene virtualizado: Servidor de Dominio (Active Directory) y DNS - Servidor de Desarrollo - Webcoop </t>
        </is>
      </c>
      <c r="J807" s="10" t="inlineStr">
        <is>
          <t>GERENTE DE TI</t>
        </is>
      </c>
      <c r="K807" s="10" t="inlineStr">
        <is>
          <t>ADMINISTRADOR DE COMUNICACIÓN E INFRESTRUCTURA</t>
        </is>
      </c>
      <c r="L807" s="10" t="inlineStr">
        <is>
          <t>UBICACIÓN FISICA-MATRIZ ATUNTAQUI</t>
        </is>
      </c>
      <c r="M807" s="10" t="inlineStr">
        <is>
          <t>DISCOS DUROS, SERVIDORES, DISCOS O MEDIOS PORTÁTILES, CINTAS O MEDIOS DE VIDEO Y AUDIO, ETC.</t>
        </is>
      </c>
      <c r="N807" s="10" t="inlineStr">
        <is>
          <t>APOYO</t>
        </is>
      </c>
      <c r="O807" s="10" t="inlineStr">
        <is>
          <t>HARDWARE</t>
        </is>
      </c>
      <c r="P807" s="10" t="inlineStr">
        <is>
          <t>USO INTERNO(2)</t>
        </is>
      </c>
      <c r="Q807" s="10" t="inlineStr">
        <is>
          <t>BAJA(1)</t>
        </is>
      </c>
      <c r="R807" s="10" t="inlineStr">
        <is>
          <t>ALTA(3)</t>
        </is>
      </c>
      <c r="S807" s="10">
        <f>+(IF(P807="PUBLICA(1)",1,IF(P807="USO INTERNO(2)",2,IF(P807="RESTRINGIDO(3)",3,3))))+(IF(Q807="BAJA(1)",1,IF(Q807="MEDIA(2)",2,IF(Q807="ALTA(3)",3,3))))+(IF(R807="BAJA(1)",1,IF(R807="MEDIA(2)",2,IF(R807="ALTA(3)",3,3))))</f>
        <v/>
      </c>
      <c r="T807" s="10">
        <f>+IF(S807&lt;6,"BAJA",IF(S807&lt;8,"MEDIA","ALTA"))</f>
        <v/>
      </c>
      <c r="U807" s="10" t="inlineStr">
        <is>
          <t>-</t>
        </is>
      </c>
      <c r="V807" s="24" t="n">
        <v>43815</v>
      </c>
      <c r="W807" s="19" t="inlineStr">
        <is>
          <t>N/A</t>
        </is>
      </c>
      <c r="X807" s="10">
        <f>+IFERROR(IF(VLOOKUP(Tabla2[[#This Row],[ID]],'EVALUACION DE RIESGO'!A:A,1,FALSE)=Tabla2[[#This Row],[ID]],"SI","NO"),"NO")</f>
        <v/>
      </c>
      <c r="AD807">
        <f>IF(AND(Y807="",AA807=""),"",IF(OR(LEFT(AA807,2)="L0",LEFT(AA807,2)="L1",Y807="No Iniciado"),"CRÍTICO - Incumplimiento Normativo SEPS",IF(AND(OR(LEFT(AA807,2)="L4",LEFT(AA807,2)="L5"),AND(AC807&lt;&gt;"",AC807&lt;&gt;"N/A")),"CONFORME - Control Efectivo ISO 27001","OBSERVACIÓN - Revisar Controles")))</f>
        <v/>
      </c>
    </row>
    <row r="808">
      <c r="A808" s="99" t="inlineStr">
        <is>
          <t>105-GTI</t>
        </is>
      </c>
      <c r="B808" s="10" t="inlineStr">
        <is>
          <t>APOYO</t>
        </is>
      </c>
      <c r="C808" s="10" t="inlineStr">
        <is>
          <t>Gestión de Tecnología de la Información</t>
        </is>
      </c>
      <c r="D808" s="10" t="inlineStr">
        <is>
          <t>GTI</t>
        </is>
      </c>
      <c r="E808" s="10" t="inlineStr">
        <is>
          <t>Gestión de las Operaciones de TI</t>
        </is>
      </c>
      <c r="F808" s="10" t="inlineStr">
        <is>
          <t>-</t>
        </is>
      </c>
      <c r="G808" s="10" t="inlineStr">
        <is>
          <t>Administración de servidores</t>
        </is>
      </c>
      <c r="H808" s="10" t="inlineStr">
        <is>
          <t xml:space="preserve">SVR Dominio NAS-HPE
</t>
        </is>
      </c>
      <c r="I808" s="10" t="inlineStr">
        <is>
          <t>NAS-HPE - Directorio Activo - Codigo de activo 006090</t>
        </is>
      </c>
      <c r="J808" s="10" t="inlineStr">
        <is>
          <t>GERENTE DE TI</t>
        </is>
      </c>
      <c r="K808" s="10" t="inlineStr">
        <is>
          <t>ADMINISTRADOR DE COMUNICACIÓN E INFRESTRUCTURA</t>
        </is>
      </c>
      <c r="L808" s="10" t="inlineStr">
        <is>
          <t>UBICACIÓN FISICA-SUCURSAL IBARRA</t>
        </is>
      </c>
      <c r="M808" s="10" t="inlineStr">
        <is>
          <t>DISCOS DUROS, SERVIDORES, DISCOS O MEDIOS PORTÁTILES, CINTAS O MEDIOS DE VIDEO Y AUDIO, ETC.</t>
        </is>
      </c>
      <c r="N808" s="10" t="inlineStr">
        <is>
          <t>APOYO</t>
        </is>
      </c>
      <c r="O808" s="10" t="inlineStr">
        <is>
          <t>HARDWARE</t>
        </is>
      </c>
      <c r="P808" s="10" t="inlineStr">
        <is>
          <t>USO INTERNO(2)</t>
        </is>
      </c>
      <c r="Q808" s="10" t="inlineStr">
        <is>
          <t>BAJA(1)</t>
        </is>
      </c>
      <c r="R808" s="10" t="inlineStr">
        <is>
          <t>ALTA(3)</t>
        </is>
      </c>
      <c r="S808" s="10">
        <f>+(IF(P808="PUBLICA(1)",1,IF(P808="USO INTERNO(2)",2,IF(P808="RESTRINGIDO(3)",3,3))))+(IF(Q808="BAJA(1)",1,IF(Q808="MEDIA(2)",2,IF(Q808="ALTA(3)",3,3))))+(IF(R808="BAJA(1)",1,IF(R808="MEDIA(2)",2,IF(R808="ALTA(3)",3,3))))</f>
        <v/>
      </c>
      <c r="T808" s="10">
        <f>+IF(S808&lt;6,"BAJA",IF(S808&lt;8,"MEDIA","ALTA"))</f>
        <v/>
      </c>
      <c r="U808" s="10" t="inlineStr">
        <is>
          <t>-</t>
        </is>
      </c>
      <c r="V808" s="24" t="n">
        <v>43815</v>
      </c>
      <c r="W808" s="19" t="inlineStr">
        <is>
          <t>N/A</t>
        </is>
      </c>
      <c r="X808" s="10">
        <f>+IFERROR(IF(VLOOKUP(Tabla2[[#This Row],[ID]],'EVALUACION DE RIESGO'!A:A,1,FALSE)=Tabla2[[#This Row],[ID]],"SI","NO"),"NO")</f>
        <v/>
      </c>
      <c r="AD808">
        <f>IF(AND(Y808="",AA808=""),"",IF(OR(LEFT(AA808,2)="L0",LEFT(AA808,2)="L1",Y808="No Iniciado"),"CRÍTICO - Incumplimiento Normativo SEPS",IF(AND(OR(LEFT(AA808,2)="L4",LEFT(AA808,2)="L5"),AND(AC808&lt;&gt;"",AC808&lt;&gt;"N/A")),"CONFORME - Control Efectivo ISO 27001","OBSERVACIÓN - Revisar Controles")))</f>
        <v/>
      </c>
    </row>
    <row r="809">
      <c r="A809" s="99" t="inlineStr">
        <is>
          <t>106-GTI</t>
        </is>
      </c>
      <c r="B809" s="10" t="inlineStr">
        <is>
          <t>APOYO</t>
        </is>
      </c>
      <c r="C809" s="10" t="inlineStr">
        <is>
          <t>Gestión de Tecnología de la Información</t>
        </is>
      </c>
      <c r="D809" s="10" t="inlineStr">
        <is>
          <t>GTI</t>
        </is>
      </c>
      <c r="E809" s="10" t="inlineStr">
        <is>
          <t>Gestión de las Operaciones de TI</t>
        </is>
      </c>
      <c r="F809" s="10" t="inlineStr">
        <is>
          <t>-</t>
        </is>
      </c>
      <c r="G809" s="10" t="inlineStr">
        <is>
          <t>Administración de servidores</t>
        </is>
      </c>
      <c r="H809" s="10" t="inlineStr">
        <is>
          <t xml:space="preserve">SVR Dominio VMSRVHPOTAVALO
</t>
        </is>
      </c>
      <c r="I809" s="10" t="inlineStr">
        <is>
          <t>Svr 192.168.40.165 - Contiene virtualizado Servidor de Dominio (Active Directory) y DNS</t>
        </is>
      </c>
      <c r="J809" s="10" t="inlineStr">
        <is>
          <t>GERENTE DE TI</t>
        </is>
      </c>
      <c r="K809" s="10" t="inlineStr">
        <is>
          <t>ADMINISTRADOR DE COMUNICACIÓN E INFRESTRUCTURA</t>
        </is>
      </c>
      <c r="L809" s="10" t="inlineStr">
        <is>
          <t>UBICACIÓN FISICA-SUCURSAL OTAVALO</t>
        </is>
      </c>
      <c r="M809" s="10" t="inlineStr">
        <is>
          <t>DISCOS DUROS, SERVIDORES, DISCOS O MEDIOS PORTÁTILES, CINTAS O MEDIOS DE VIDEO Y AUDIO, ETC.</t>
        </is>
      </c>
      <c r="N809" s="10" t="inlineStr">
        <is>
          <t>APOYO</t>
        </is>
      </c>
      <c r="O809" s="10" t="inlineStr">
        <is>
          <t>HARDWARE</t>
        </is>
      </c>
      <c r="P809" s="10" t="inlineStr">
        <is>
          <t>USO INTERNO(2)</t>
        </is>
      </c>
      <c r="Q809" s="10" t="inlineStr">
        <is>
          <t>BAJA(1)</t>
        </is>
      </c>
      <c r="R809" s="10" t="inlineStr">
        <is>
          <t>ALTA(3)</t>
        </is>
      </c>
      <c r="S809" s="10">
        <f>+(IF(P809="PUBLICA(1)",1,IF(P809="USO INTERNO(2)",2,IF(P809="RESTRINGIDO(3)",3,3))))+(IF(Q809="BAJA(1)",1,IF(Q809="MEDIA(2)",2,IF(Q809="ALTA(3)",3,3))))+(IF(R809="BAJA(1)",1,IF(R809="MEDIA(2)",2,IF(R809="ALTA(3)",3,3))))</f>
        <v/>
      </c>
      <c r="T809" s="10">
        <f>+IF(S809&lt;6,"BAJA",IF(S809&lt;8,"MEDIA","ALTA"))</f>
        <v/>
      </c>
      <c r="U809" s="10" t="inlineStr">
        <is>
          <t>-</t>
        </is>
      </c>
      <c r="V809" s="24" t="n">
        <v>43815</v>
      </c>
      <c r="W809" s="19" t="inlineStr">
        <is>
          <t>N/A</t>
        </is>
      </c>
      <c r="X809" s="10">
        <f>+IFERROR(IF(VLOOKUP(Tabla2[[#This Row],[ID]],'EVALUACION DE RIESGO'!A:A,1,FALSE)=Tabla2[[#This Row],[ID]],"SI","NO"),"NO")</f>
        <v/>
      </c>
      <c r="AD809">
        <f>IF(AND(Y809="",AA809=""),"",IF(OR(LEFT(AA809,2)="L0",LEFT(AA809,2)="L1",Y809="No Iniciado"),"CRÍTICO - Incumplimiento Normativo SEPS",IF(AND(OR(LEFT(AA809,2)="L4",LEFT(AA809,2)="L5"),AND(AC809&lt;&gt;"",AC809&lt;&gt;"N/A")),"CONFORME - Control Efectivo ISO 27001","OBSERVACIÓN - Revisar Controles")))</f>
        <v/>
      </c>
    </row>
    <row r="810">
      <c r="A810" s="99" t="inlineStr">
        <is>
          <t>107-GTI</t>
        </is>
      </c>
      <c r="B810" s="10" t="inlineStr">
        <is>
          <t>APOYO</t>
        </is>
      </c>
      <c r="C810" s="10" t="inlineStr">
        <is>
          <t>Gestión de Tecnología de la Información</t>
        </is>
      </c>
      <c r="D810" s="10" t="inlineStr">
        <is>
          <t>GTI</t>
        </is>
      </c>
      <c r="E810" s="10" t="inlineStr">
        <is>
          <t>Gestión de las Operaciones de TI</t>
        </is>
      </c>
      <c r="F810" s="10" t="inlineStr">
        <is>
          <t>-</t>
        </is>
      </c>
      <c r="G810" s="10" t="inlineStr">
        <is>
          <t>Administración de servidores</t>
        </is>
      </c>
      <c r="H810" s="10" t="inlineStr">
        <is>
          <t xml:space="preserve">SVR Dominio HPPIMAMPIRO
</t>
        </is>
      </c>
      <c r="I810" s="10" t="inlineStr">
        <is>
          <t>HPPIMAMPIRO - Directorio Activo - Codigo de activo 001581</t>
        </is>
      </c>
      <c r="J810" s="10" t="inlineStr">
        <is>
          <t>GERENTE DE TI</t>
        </is>
      </c>
      <c r="K810" s="10" t="inlineStr">
        <is>
          <t>ADMINISTRADOR DE COMUNICACIÓN E INFRESTRUCTURA</t>
        </is>
      </c>
      <c r="L810" s="10" t="inlineStr">
        <is>
          <t>UBICACIÓN FISICA-AGENCIA PIMAMPIRO</t>
        </is>
      </c>
      <c r="M810" s="10" t="inlineStr">
        <is>
          <t>DISCOS DUROS, SERVIDORES, DISCOS O MEDIOS PORTÁTILES, CINTAS O MEDIOS DE VIDEO Y AUDIO, ETC.</t>
        </is>
      </c>
      <c r="N810" s="10" t="inlineStr">
        <is>
          <t>APOYO</t>
        </is>
      </c>
      <c r="O810" s="10" t="inlineStr">
        <is>
          <t>HARDWARE</t>
        </is>
      </c>
      <c r="P810" s="10" t="inlineStr">
        <is>
          <t>USO INTERNO(2)</t>
        </is>
      </c>
      <c r="Q810" s="10" t="inlineStr">
        <is>
          <t>BAJA(1)</t>
        </is>
      </c>
      <c r="R810" s="10" t="inlineStr">
        <is>
          <t>ALTA(3)</t>
        </is>
      </c>
      <c r="S810" s="10">
        <f>+(IF(P810="PUBLICA(1)",1,IF(P810="USO INTERNO(2)",2,IF(P810="RESTRINGIDO(3)",3,3))))+(IF(Q810="BAJA(1)",1,IF(Q810="MEDIA(2)",2,IF(Q810="ALTA(3)",3,3))))+(IF(R810="BAJA(1)",1,IF(R810="MEDIA(2)",2,IF(R810="ALTA(3)",3,3))))</f>
        <v/>
      </c>
      <c r="T810" s="10">
        <f>+IF(S810&lt;6,"BAJA",IF(S810&lt;8,"MEDIA","ALTA"))</f>
        <v/>
      </c>
      <c r="U810" s="10" t="inlineStr">
        <is>
          <t>-</t>
        </is>
      </c>
      <c r="V810" s="24" t="n">
        <v>43815</v>
      </c>
      <c r="W810" s="19" t="inlineStr">
        <is>
          <t>N/A</t>
        </is>
      </c>
      <c r="X810" s="10">
        <f>+IFERROR(IF(VLOOKUP(Tabla2[[#This Row],[ID]],'EVALUACION DE RIESGO'!A:A,1,FALSE)=Tabla2[[#This Row],[ID]],"SI","NO"),"NO")</f>
        <v/>
      </c>
      <c r="AD810">
        <f>IF(AND(Y810="",AA810=""),"",IF(OR(LEFT(AA810,2)="L0",LEFT(AA810,2)="L1",Y810="No Iniciado"),"CRÍTICO - Incumplimiento Normativo SEPS",IF(AND(OR(LEFT(AA810,2)="L4",LEFT(AA810,2)="L5"),AND(AC810&lt;&gt;"",AC810&lt;&gt;"N/A")),"CONFORME - Control Efectivo ISO 27001","OBSERVACIÓN - Revisar Controles")))</f>
        <v/>
      </c>
    </row>
    <row r="811">
      <c r="A811" s="99" t="inlineStr">
        <is>
          <t>108-GTI</t>
        </is>
      </c>
      <c r="B811" s="10" t="inlineStr">
        <is>
          <t>APOYO</t>
        </is>
      </c>
      <c r="C811" s="10" t="inlineStr">
        <is>
          <t>Gestión de Tecnología de la Información</t>
        </is>
      </c>
      <c r="D811" s="10" t="inlineStr">
        <is>
          <t>GTI</t>
        </is>
      </c>
      <c r="E811" s="10" t="inlineStr">
        <is>
          <t>Gestión de las Operaciones de TI</t>
        </is>
      </c>
      <c r="F811" s="10" t="inlineStr">
        <is>
          <t>-</t>
        </is>
      </c>
      <c r="G811" s="10" t="inlineStr">
        <is>
          <t>Administración de servidores</t>
        </is>
      </c>
      <c r="H811" s="10" t="inlineStr">
        <is>
          <t xml:space="preserve">SVR Dominio VMHPCOTACA
</t>
        </is>
      </c>
      <c r="I811" s="10" t="inlineStr">
        <is>
          <t>VMHPCOTACA - Directorio Activo - Codigo de activo 001580</t>
        </is>
      </c>
      <c r="J811" s="10" t="inlineStr">
        <is>
          <t>GERENTE DE TI</t>
        </is>
      </c>
      <c r="K811" s="10" t="inlineStr">
        <is>
          <t>ADMINISTRADOR DE COMUNICACIÓN E INFRESTRUCTURA</t>
        </is>
      </c>
      <c r="L811" s="10" t="inlineStr">
        <is>
          <t>UBICACIÓN FISICA-AGENCIA COTACACHI</t>
        </is>
      </c>
      <c r="M811" s="10" t="inlineStr">
        <is>
          <t>DISCOS DUROS, SERVIDORES, DISCOS O MEDIOS PORTÁTILES, CINTAS O MEDIOS DE VIDEO Y AUDIO, ETC.</t>
        </is>
      </c>
      <c r="N811" s="10" t="inlineStr">
        <is>
          <t>APOYO</t>
        </is>
      </c>
      <c r="O811" s="10" t="inlineStr">
        <is>
          <t>HARDWARE</t>
        </is>
      </c>
      <c r="P811" s="10" t="inlineStr">
        <is>
          <t>USO INTERNO(2)</t>
        </is>
      </c>
      <c r="Q811" s="10" t="inlineStr">
        <is>
          <t>BAJA(1)</t>
        </is>
      </c>
      <c r="R811" s="10" t="inlineStr">
        <is>
          <t>ALTA(3)</t>
        </is>
      </c>
      <c r="S811" s="10">
        <f>+(IF(P811="PUBLICA(1)",1,IF(P811="USO INTERNO(2)",2,IF(P811="RESTRINGIDO(3)",3,3))))+(IF(Q811="BAJA(1)",1,IF(Q811="MEDIA(2)",2,IF(Q811="ALTA(3)",3,3))))+(IF(R811="BAJA(1)",1,IF(R811="MEDIA(2)",2,IF(R811="ALTA(3)",3,3))))</f>
        <v/>
      </c>
      <c r="T811" s="10">
        <f>+IF(S811&lt;6,"BAJA",IF(S811&lt;8,"MEDIA","ALTA"))</f>
        <v/>
      </c>
      <c r="U811" s="10" t="inlineStr">
        <is>
          <t>-</t>
        </is>
      </c>
      <c r="V811" s="24" t="n">
        <v>43815</v>
      </c>
      <c r="W811" s="19" t="inlineStr">
        <is>
          <t>N/A</t>
        </is>
      </c>
      <c r="X811" s="10">
        <f>+IFERROR(IF(VLOOKUP(Tabla2[[#This Row],[ID]],'EVALUACION DE RIESGO'!A:A,1,FALSE)=Tabla2[[#This Row],[ID]],"SI","NO"),"NO")</f>
        <v/>
      </c>
      <c r="AD811">
        <f>IF(AND(Y811="",AA811=""),"",IF(OR(LEFT(AA811,2)="L0",LEFT(AA811,2)="L1",Y811="No Iniciado"),"CRÍTICO - Incumplimiento Normativo SEPS",IF(AND(OR(LEFT(AA811,2)="L4",LEFT(AA811,2)="L5"),AND(AC811&lt;&gt;"",AC811&lt;&gt;"N/A")),"CONFORME - Control Efectivo ISO 27001","OBSERVACIÓN - Revisar Controles")))</f>
        <v/>
      </c>
    </row>
    <row r="812">
      <c r="A812" s="99" t="inlineStr">
        <is>
          <t>109-GTI</t>
        </is>
      </c>
      <c r="B812" s="10" t="inlineStr">
        <is>
          <t>APOYO</t>
        </is>
      </c>
      <c r="C812" s="10" t="inlineStr">
        <is>
          <t>Gestión de Tecnología de la Información</t>
        </is>
      </c>
      <c r="D812" s="10" t="inlineStr">
        <is>
          <t>GTI</t>
        </is>
      </c>
      <c r="E812" s="10" t="inlineStr">
        <is>
          <t>Gestión de las Operaciones de TI</t>
        </is>
      </c>
      <c r="F812" s="10" t="inlineStr">
        <is>
          <t>-</t>
        </is>
      </c>
      <c r="G812" s="10" t="inlineStr">
        <is>
          <t>Administración de servidores</t>
        </is>
      </c>
      <c r="H812" s="10" t="inlineStr">
        <is>
          <t xml:space="preserve">SVR Dominio VMSRVHPAIBARRA
</t>
        </is>
      </c>
      <c r="I812" s="10" t="inlineStr">
        <is>
          <t>SVR 192.168.31.139 -  Codigo de activo 003152  - Contiene virtualizado Servidor de Dominio (Active Directory) y DNS</t>
        </is>
      </c>
      <c r="J812" s="10" t="inlineStr">
        <is>
          <t>GERENTE DE TI</t>
        </is>
      </c>
      <c r="K812" s="10" t="inlineStr">
        <is>
          <t>ADMINISTRADOR DE COMUNICACIÓN E INFRESTRUCTURA</t>
        </is>
      </c>
      <c r="L812" s="10" t="inlineStr">
        <is>
          <t>UBICACIÓN FISICA-AGENCIA IBARRA</t>
        </is>
      </c>
      <c r="M812" s="10" t="inlineStr">
        <is>
          <t>DISCOS DUROS, SERVIDORES, DISCOS O MEDIOS PORTÁTILES, CINTAS O MEDIOS DE VIDEO Y AUDIO, ETC.</t>
        </is>
      </c>
      <c r="N812" s="10" t="inlineStr">
        <is>
          <t>APOYO</t>
        </is>
      </c>
      <c r="O812" s="10" t="inlineStr">
        <is>
          <t>HARDWARE</t>
        </is>
      </c>
      <c r="P812" s="10" t="inlineStr">
        <is>
          <t>USO INTERNO(2)</t>
        </is>
      </c>
      <c r="Q812" s="10" t="inlineStr">
        <is>
          <t>BAJA(1)</t>
        </is>
      </c>
      <c r="R812" s="10" t="inlineStr">
        <is>
          <t>ALTA(3)</t>
        </is>
      </c>
      <c r="S812" s="10">
        <f>+(IF(P812="PUBLICA(1)",1,IF(P812="USO INTERNO(2)",2,IF(P812="RESTRINGIDO(3)",3,3))))+(IF(Q812="BAJA(1)",1,IF(Q812="MEDIA(2)",2,IF(Q812="ALTA(3)",3,3))))+(IF(R812="BAJA(1)",1,IF(R812="MEDIA(2)",2,IF(R812="ALTA(3)",3,3))))</f>
        <v/>
      </c>
      <c r="T812" s="10">
        <f>+IF(S812&lt;6,"BAJA",IF(S812&lt;8,"MEDIA","ALTA"))</f>
        <v/>
      </c>
      <c r="U812" s="10" t="inlineStr">
        <is>
          <t>-</t>
        </is>
      </c>
      <c r="V812" s="24" t="n">
        <v>43815</v>
      </c>
      <c r="W812" s="19" t="inlineStr">
        <is>
          <t>N/A</t>
        </is>
      </c>
      <c r="X812" s="10">
        <f>+IFERROR(IF(VLOOKUP(Tabla2[[#This Row],[ID]],'EVALUACION DE RIESGO'!A:A,1,FALSE)=Tabla2[[#This Row],[ID]],"SI","NO"),"NO")</f>
        <v/>
      </c>
      <c r="AD812">
        <f>IF(AND(Y812="",AA812=""),"",IF(OR(LEFT(AA812,2)="L0",LEFT(AA812,2)="L1",Y812="No Iniciado"),"CRÍTICO - Incumplimiento Normativo SEPS",IF(AND(OR(LEFT(AA812,2)="L4",LEFT(AA812,2)="L5"),AND(AC812&lt;&gt;"",AC812&lt;&gt;"N/A")),"CONFORME - Control Efectivo ISO 27001","OBSERVACIÓN - Revisar Controles")))</f>
        <v/>
      </c>
    </row>
    <row r="813">
      <c r="A813" s="99" t="inlineStr">
        <is>
          <t>110-GTI</t>
        </is>
      </c>
      <c r="B813" s="10" t="inlineStr">
        <is>
          <t>APOYO</t>
        </is>
      </c>
      <c r="C813" s="10" t="inlineStr">
        <is>
          <t>Gestión de Tecnología de la Información</t>
        </is>
      </c>
      <c r="D813" s="10" t="inlineStr">
        <is>
          <t>GTI</t>
        </is>
      </c>
      <c r="E813" s="10" t="inlineStr">
        <is>
          <t>Gestión de las Operaciones de TI</t>
        </is>
      </c>
      <c r="F813" s="10" t="inlineStr">
        <is>
          <t>-</t>
        </is>
      </c>
      <c r="G813" s="10" t="inlineStr">
        <is>
          <t>Administración de servidores</t>
        </is>
      </c>
      <c r="H813" s="10" t="inlineStr">
        <is>
          <t xml:space="preserve">SVR Dominio VMSRVHPQUITO
</t>
        </is>
      </c>
      <c r="I813" s="10" t="inlineStr">
        <is>
          <t>SVR 192.168.80.160 - Codigo de activo 003994 - contiene virtualizado Servidor de Dominio (Active Directory) y DNS</t>
        </is>
      </c>
      <c r="J813" s="10" t="inlineStr">
        <is>
          <t>GERENTE DE TI</t>
        </is>
      </c>
      <c r="K813" s="10" t="inlineStr">
        <is>
          <t>ADMINISTRADOR DE COMUNICACIÓN E INFRESTRUCTURA</t>
        </is>
      </c>
      <c r="L813" s="10" t="inlineStr">
        <is>
          <t>UBICACIÓN FISICA-AGENCIA EL EJIDO</t>
        </is>
      </c>
      <c r="M813" s="10" t="inlineStr">
        <is>
          <t>DISCOS DUROS, SERVIDORES, DISCOS O MEDIOS PORTÁTILES, CINTAS O MEDIOS DE VIDEO Y AUDIO, ETC.</t>
        </is>
      </c>
      <c r="N813" s="10" t="inlineStr">
        <is>
          <t>APOYO</t>
        </is>
      </c>
      <c r="O813" s="10" t="inlineStr">
        <is>
          <t>HARDWARE</t>
        </is>
      </c>
      <c r="P813" s="10" t="inlineStr">
        <is>
          <t>USO INTERNO(2)</t>
        </is>
      </c>
      <c r="Q813" s="10" t="inlineStr">
        <is>
          <t>BAJA(1)</t>
        </is>
      </c>
      <c r="R813" s="10" t="inlineStr">
        <is>
          <t>ALTA(3)</t>
        </is>
      </c>
      <c r="S813" s="10">
        <f>+(IF(P813="PUBLICA(1)",1,IF(P813="USO INTERNO(2)",2,IF(P813="RESTRINGIDO(3)",3,3))))+(IF(Q813="BAJA(1)",1,IF(Q813="MEDIA(2)",2,IF(Q813="ALTA(3)",3,3))))+(IF(R813="BAJA(1)",1,IF(R813="MEDIA(2)",2,IF(R813="ALTA(3)",3,3))))</f>
        <v/>
      </c>
      <c r="T813" s="10">
        <f>+IF(S813&lt;6,"BAJA",IF(S813&lt;8,"MEDIA","ALTA"))</f>
        <v/>
      </c>
      <c r="U813" s="10" t="inlineStr">
        <is>
          <t>-</t>
        </is>
      </c>
      <c r="V813" s="24" t="n">
        <v>43815</v>
      </c>
      <c r="W813" s="19" t="inlineStr">
        <is>
          <t>N/A</t>
        </is>
      </c>
      <c r="X813" s="10">
        <f>+IFERROR(IF(VLOOKUP(Tabla2[[#This Row],[ID]],'EVALUACION DE RIESGO'!A:A,1,FALSE)=Tabla2[[#This Row],[ID]],"SI","NO"),"NO")</f>
        <v/>
      </c>
      <c r="AD813">
        <f>IF(AND(Y813="",AA813=""),"",IF(OR(LEFT(AA813,2)="L0",LEFT(AA813,2)="L1",Y813="No Iniciado"),"CRÍTICO - Incumplimiento Normativo SEPS",IF(AND(OR(LEFT(AA813,2)="L4",LEFT(AA813,2)="L5"),AND(AC813&lt;&gt;"",AC813&lt;&gt;"N/A")),"CONFORME - Control Efectivo ISO 27001","OBSERVACIÓN - Revisar Controles")))</f>
        <v/>
      </c>
    </row>
    <row r="814">
      <c r="A814" s="99" t="inlineStr">
        <is>
          <t>111-GTI</t>
        </is>
      </c>
      <c r="B814" s="10" t="inlineStr">
        <is>
          <t>APOYO</t>
        </is>
      </c>
      <c r="C814" s="10" t="inlineStr">
        <is>
          <t>Gestión de Tecnología de la Información</t>
        </is>
      </c>
      <c r="D814" s="10" t="inlineStr">
        <is>
          <t>GTI</t>
        </is>
      </c>
      <c r="E814" s="10" t="inlineStr">
        <is>
          <t>Gestión de las Operaciones de TI</t>
        </is>
      </c>
      <c r="F814" s="10" t="inlineStr">
        <is>
          <t>-</t>
        </is>
      </c>
      <c r="G814" s="10" t="inlineStr">
        <is>
          <t>Administración de servidores</t>
        </is>
      </c>
      <c r="H814" s="10" t="inlineStr">
        <is>
          <t xml:space="preserve">SVR Dominio VMSRVHPAMBATO
</t>
        </is>
      </c>
      <c r="I814" s="10" t="inlineStr">
        <is>
          <t>SVR 192.168.70.160 - Contiene virtualizado Servidor de Dominio (Active Directory) y DNS</t>
        </is>
      </c>
      <c r="J814" s="10" t="inlineStr">
        <is>
          <t>GERENTE DE TI</t>
        </is>
      </c>
      <c r="K814" s="10" t="inlineStr">
        <is>
          <t>ADMINISTRADOR DE COMUNICACIÓN E INFRESTRUCTURA</t>
        </is>
      </c>
      <c r="L814" s="10" t="inlineStr">
        <is>
          <t>UBICACIÓN FISICA-AGENCIA AMBATO</t>
        </is>
      </c>
      <c r="M814" s="10" t="inlineStr">
        <is>
          <t>DISCOS DUROS, SERVIDORES, DISCOS O MEDIOS PORTÁTILES, CINTAS O MEDIOS DE VIDEO Y AUDIO, ETC.</t>
        </is>
      </c>
      <c r="N814" s="10" t="inlineStr">
        <is>
          <t>APOYO</t>
        </is>
      </c>
      <c r="O814" s="10" t="inlineStr">
        <is>
          <t>HARDWARE</t>
        </is>
      </c>
      <c r="P814" s="10" t="inlineStr">
        <is>
          <t>USO INTERNO(2)</t>
        </is>
      </c>
      <c r="Q814" s="10" t="inlineStr">
        <is>
          <t>BAJA(1)</t>
        </is>
      </c>
      <c r="R814" s="10" t="inlineStr">
        <is>
          <t>ALTA(3)</t>
        </is>
      </c>
      <c r="S814" s="10">
        <f>+(IF(P814="PUBLICA(1)",1,IF(P814="USO INTERNO(2)",2,IF(P814="RESTRINGIDO(3)",3,3))))+(IF(Q814="BAJA(1)",1,IF(Q814="MEDIA(2)",2,IF(Q814="ALTA(3)",3,3))))+(IF(R814="BAJA(1)",1,IF(R814="MEDIA(2)",2,IF(R814="ALTA(3)",3,3))))</f>
        <v/>
      </c>
      <c r="T814" s="10">
        <f>+IF(S814&lt;6,"BAJA",IF(S814&lt;8,"MEDIA","ALTA"))</f>
        <v/>
      </c>
      <c r="U814" s="10" t="inlineStr">
        <is>
          <t>-</t>
        </is>
      </c>
      <c r="V814" s="24" t="n">
        <v>43815</v>
      </c>
      <c r="W814" s="19" t="inlineStr">
        <is>
          <t>N/A</t>
        </is>
      </c>
      <c r="X814" s="10">
        <f>+IFERROR(IF(VLOOKUP(Tabla2[[#This Row],[ID]],'EVALUACION DE RIESGO'!A:A,1,FALSE)=Tabla2[[#This Row],[ID]],"SI","NO"),"NO")</f>
        <v/>
      </c>
      <c r="AD814">
        <f>IF(AND(Y814="",AA814=""),"",IF(OR(LEFT(AA814,2)="L0",LEFT(AA814,2)="L1",Y814="No Iniciado"),"CRÍTICO - Incumplimiento Normativo SEPS",IF(AND(OR(LEFT(AA814,2)="L4",LEFT(AA814,2)="L5"),AND(AC814&lt;&gt;"",AC814&lt;&gt;"N/A")),"CONFORME - Control Efectivo ISO 27001","OBSERVACIÓN - Revisar Controles")))</f>
        <v/>
      </c>
    </row>
    <row r="815">
      <c r="A815" s="99" t="inlineStr">
        <is>
          <t>112-GTI</t>
        </is>
      </c>
      <c r="B815" s="10" t="inlineStr">
        <is>
          <t>APOYO</t>
        </is>
      </c>
      <c r="C815" s="10" t="inlineStr">
        <is>
          <t>Gestión de Tecnología de la Información</t>
        </is>
      </c>
      <c r="D815" s="10" t="inlineStr">
        <is>
          <t>GTI</t>
        </is>
      </c>
      <c r="E815" s="10" t="inlineStr">
        <is>
          <t>Gestión de las Operaciones de TI</t>
        </is>
      </c>
      <c r="F815" s="10" t="inlineStr">
        <is>
          <t>-</t>
        </is>
      </c>
      <c r="G815" s="10" t="inlineStr">
        <is>
          <t>Administración de servidores</t>
        </is>
      </c>
      <c r="H815" s="10" t="inlineStr">
        <is>
          <t xml:space="preserve">SVR Dominio VMSRVHPCAYAMBE
</t>
        </is>
      </c>
      <c r="I815" s="10" t="inlineStr">
        <is>
          <t>SVR 192.168.83.160 - Contiene virtualizado Servidor de Dominio (Active Directory) y DNS</t>
        </is>
      </c>
      <c r="J815" s="10" t="inlineStr">
        <is>
          <t>GERENTE DE TI</t>
        </is>
      </c>
      <c r="K815" s="10" t="inlineStr">
        <is>
          <t>ADMINISTRADOR DE COMUNICACIÓN E INFRESTRUCTURA</t>
        </is>
      </c>
      <c r="L815" s="10" t="inlineStr">
        <is>
          <t>UBICACIÓN FISICA-AGENCIA CAYAMBE</t>
        </is>
      </c>
      <c r="M815" s="10" t="inlineStr">
        <is>
          <t>DISCOS DUROS, SERVIDORES, DISCOS O MEDIOS PORTÁTILES, CINTAS O MEDIOS DE VIDEO Y AUDIO, ETC.</t>
        </is>
      </c>
      <c r="N815" s="10" t="inlineStr">
        <is>
          <t>APOYO</t>
        </is>
      </c>
      <c r="O815" s="10" t="inlineStr">
        <is>
          <t>HARDWARE</t>
        </is>
      </c>
      <c r="P815" s="10" t="inlineStr">
        <is>
          <t>USO INTERNO(2)</t>
        </is>
      </c>
      <c r="Q815" s="10" t="inlineStr">
        <is>
          <t>BAJA(1)</t>
        </is>
      </c>
      <c r="R815" s="10" t="inlineStr">
        <is>
          <t>ALTA(3)</t>
        </is>
      </c>
      <c r="S815" s="10">
        <f>+(IF(P815="PUBLICA(1)",1,IF(P815="USO INTERNO(2)",2,IF(P815="RESTRINGIDO(3)",3,3))))+(IF(Q815="BAJA(1)",1,IF(Q815="MEDIA(2)",2,IF(Q815="ALTA(3)",3,3))))+(IF(R815="BAJA(1)",1,IF(R815="MEDIA(2)",2,IF(R815="ALTA(3)",3,3))))</f>
        <v/>
      </c>
      <c r="T815" s="10">
        <f>+IF(S815&lt;6,"BAJA",IF(S815&lt;8,"MEDIA","ALTA"))</f>
        <v/>
      </c>
      <c r="U815" s="10" t="inlineStr">
        <is>
          <t>-</t>
        </is>
      </c>
      <c r="V815" s="24" t="n">
        <v>43815</v>
      </c>
      <c r="W815" s="19" t="inlineStr">
        <is>
          <t>N/A</t>
        </is>
      </c>
      <c r="X815" s="10">
        <f>+IFERROR(IF(VLOOKUP(Tabla2[[#This Row],[ID]],'EVALUACION DE RIESGO'!A:A,1,FALSE)=Tabla2[[#This Row],[ID]],"SI","NO"),"NO")</f>
        <v/>
      </c>
      <c r="AD815">
        <f>IF(AND(Y815="",AA815=""),"",IF(OR(LEFT(AA815,2)="L0",LEFT(AA815,2)="L1",Y815="No Iniciado"),"CRÍTICO - Incumplimiento Normativo SEPS",IF(AND(OR(LEFT(AA815,2)="L4",LEFT(AA815,2)="L5"),AND(AC815&lt;&gt;"",AC815&lt;&gt;"N/A")),"CONFORME - Control Efectivo ISO 27001","OBSERVACIÓN - Revisar Controles")))</f>
        <v/>
      </c>
    </row>
    <row r="816">
      <c r="A816" s="99" t="inlineStr">
        <is>
          <t>113-GTI</t>
        </is>
      </c>
      <c r="B816" s="10" t="inlineStr">
        <is>
          <t>APOYO</t>
        </is>
      </c>
      <c r="C816" s="10" t="inlineStr">
        <is>
          <t>Gestión de Tecnología de la Información</t>
        </is>
      </c>
      <c r="D816" s="10" t="inlineStr">
        <is>
          <t>GTI</t>
        </is>
      </c>
      <c r="E816" s="10" t="inlineStr">
        <is>
          <t>Gestión de las Operaciones de TI</t>
        </is>
      </c>
      <c r="F816" s="10" t="inlineStr">
        <is>
          <t>-</t>
        </is>
      </c>
      <c r="G816" s="10" t="inlineStr">
        <is>
          <t>Administración de servidores</t>
        </is>
      </c>
      <c r="H816" s="10" t="inlineStr">
        <is>
          <t>SRVIVR</t>
        </is>
      </c>
      <c r="I816" s="10" t="inlineStr">
        <is>
          <t>Servidor  IVR y servipagos</t>
        </is>
      </c>
      <c r="J816" s="10" t="inlineStr">
        <is>
          <t>GERENTE DE TI</t>
        </is>
      </c>
      <c r="K816" s="10" t="inlineStr">
        <is>
          <t>ADMINISTRADOR DE COMUNICACIÓN E INFRESTRUCTURA</t>
        </is>
      </c>
      <c r="L816" s="10" t="inlineStr">
        <is>
          <t>UBICACIÓN FISICA-SUCURSAL IBARRA</t>
        </is>
      </c>
      <c r="M816" s="10" t="inlineStr">
        <is>
          <t>DISCOS DUROS, SERVIDORES, DISCOS O MEDIOS PORTÁTILES, CINTAS O MEDIOS DE VIDEO Y AUDIO, ETC.</t>
        </is>
      </c>
      <c r="N816" s="10" t="inlineStr">
        <is>
          <t>APOYO</t>
        </is>
      </c>
      <c r="O816" s="10" t="inlineStr">
        <is>
          <t>HARDWARE</t>
        </is>
      </c>
      <c r="P816" s="10" t="inlineStr">
        <is>
          <t>USO INTERNO(2)</t>
        </is>
      </c>
      <c r="Q816" s="10" t="inlineStr">
        <is>
          <t>BAJA(1)</t>
        </is>
      </c>
      <c r="R816" s="10" t="inlineStr">
        <is>
          <t>ALTA(3)</t>
        </is>
      </c>
      <c r="S816" s="10">
        <f>+(IF(P816="PUBLICA(1)",1,IF(P816="USO INTERNO(2)",2,IF(P816="RESTRINGIDO(3)",3,3))))+(IF(Q816="BAJA(1)",1,IF(Q816="MEDIA(2)",2,IF(Q816="ALTA(3)",3,3))))+(IF(R816="BAJA(1)",1,IF(R816="MEDIA(2)",2,IF(R816="ALTA(3)",3,3))))</f>
        <v/>
      </c>
      <c r="T816" s="10">
        <f>+IF(S816&lt;6,"BAJA",IF(S816&lt;8,"MEDIA","ALTA"))</f>
        <v/>
      </c>
      <c r="U816" s="10" t="inlineStr">
        <is>
          <t>-</t>
        </is>
      </c>
      <c r="V816" s="24" t="n">
        <v>43815</v>
      </c>
      <c r="W816" s="19" t="inlineStr">
        <is>
          <t>N/A</t>
        </is>
      </c>
      <c r="X816" s="10">
        <f>+IFERROR(IF(VLOOKUP(Tabla2[[#This Row],[ID]],'EVALUACION DE RIESGO'!A:A,1,FALSE)=Tabla2[[#This Row],[ID]],"SI","NO"),"NO")</f>
        <v/>
      </c>
      <c r="AD816">
        <f>IF(AND(Y816="",AA816=""),"",IF(OR(LEFT(AA816,2)="L0",LEFT(AA816,2)="L1",Y816="No Iniciado"),"CRÍTICO - Incumplimiento Normativo SEPS",IF(AND(OR(LEFT(AA816,2)="L4",LEFT(AA816,2)="L5"),AND(AC816&lt;&gt;"",AC816&lt;&gt;"N/A")),"CONFORME - Control Efectivo ISO 27001","OBSERVACIÓN - Revisar Controles")))</f>
        <v/>
      </c>
    </row>
    <row r="817">
      <c r="A817" s="99" t="inlineStr">
        <is>
          <t>114-GTI</t>
        </is>
      </c>
      <c r="B817" s="10" t="inlineStr">
        <is>
          <t>APOYO</t>
        </is>
      </c>
      <c r="C817" s="10" t="inlineStr">
        <is>
          <t>Gestión de Tecnología de la Información</t>
        </is>
      </c>
      <c r="D817" s="10" t="inlineStr">
        <is>
          <t>GTI</t>
        </is>
      </c>
      <c r="E817" s="10" t="inlineStr">
        <is>
          <t>Gestión de las Operaciones de TI</t>
        </is>
      </c>
      <c r="F817" s="10" t="inlineStr">
        <is>
          <t>-</t>
        </is>
      </c>
      <c r="G817" s="10" t="inlineStr">
        <is>
          <t>Administración de servidores</t>
        </is>
      </c>
      <c r="H817" s="10" t="inlineStr">
        <is>
          <t>SWITCH CAJEROS</t>
        </is>
      </c>
      <c r="I817" s="10" t="inlineStr">
        <is>
          <t>Servidor para el manejo de los cajeros automáticos</t>
        </is>
      </c>
      <c r="J817" s="10" t="inlineStr">
        <is>
          <t>GERENTE DE TI</t>
        </is>
      </c>
      <c r="K817" s="10" t="inlineStr">
        <is>
          <t>ADMINISTRADOR DE COMUNICACIÓN E INFRESTRUCTURA</t>
        </is>
      </c>
      <c r="L817" s="10" t="inlineStr">
        <is>
          <t>UBICACIÓN FISICA-SUCURSAL IBARRA</t>
        </is>
      </c>
      <c r="M817" s="10" t="inlineStr">
        <is>
          <t>DISCOS DUROS, SERVIDORES, DISCOS O MEDIOS PORTÁTILES, CINTAS O MEDIOS DE VIDEO Y AUDIO, ETC.</t>
        </is>
      </c>
      <c r="N817" s="10" t="inlineStr">
        <is>
          <t>APOYO</t>
        </is>
      </c>
      <c r="O817" s="10" t="inlineStr">
        <is>
          <t>HARDWARE</t>
        </is>
      </c>
      <c r="P817" s="10" t="inlineStr">
        <is>
          <t>RESTRINGIDO(3)</t>
        </is>
      </c>
      <c r="Q817" s="10" t="inlineStr">
        <is>
          <t>BAJA(1)</t>
        </is>
      </c>
      <c r="R817" s="10" t="inlineStr">
        <is>
          <t>ALTA(3)</t>
        </is>
      </c>
      <c r="S817" s="10">
        <f>+(IF(P817="PUBLICA(1)",1,IF(P817="USO INTERNO(2)",2,IF(P817="RESTRINGIDO(3)",3,3))))+(IF(Q817="BAJA(1)",1,IF(Q817="MEDIA(2)",2,IF(Q817="ALTA(3)",3,3))))+(IF(R817="BAJA(1)",1,IF(R817="MEDIA(2)",2,IF(R817="ALTA(3)",3,3))))</f>
        <v/>
      </c>
      <c r="T817" s="10">
        <f>+IF(S817&lt;6,"BAJA",IF(S817&lt;8,"MEDIA","ALTA"))</f>
        <v/>
      </c>
      <c r="U817" s="10" t="inlineStr">
        <is>
          <t>-</t>
        </is>
      </c>
      <c r="V817" s="24" t="n">
        <v>43815</v>
      </c>
      <c r="W817" s="19" t="inlineStr">
        <is>
          <t>N/A</t>
        </is>
      </c>
      <c r="X817" s="10">
        <f>+IFERROR(IF(VLOOKUP(Tabla2[[#This Row],[ID]],'EVALUACION DE RIESGO'!A:A,1,FALSE)=Tabla2[[#This Row],[ID]],"SI","NO"),"NO")</f>
        <v/>
      </c>
      <c r="AD817">
        <f>IF(AND(Y817="",AA817=""),"",IF(OR(LEFT(AA817,2)="L0",LEFT(AA817,2)="L1",Y817="No Iniciado"),"CRÍTICO - Incumplimiento Normativo SEPS",IF(AND(OR(LEFT(AA817,2)="L4",LEFT(AA817,2)="L5"),AND(AC817&lt;&gt;"",AC817&lt;&gt;"N/A")),"CONFORME - Control Efectivo ISO 27001","OBSERVACIÓN - Revisar Controles")))</f>
        <v/>
      </c>
    </row>
    <row r="818" ht="41.1" customHeight="1" s="106">
      <c r="A818" s="99" t="inlineStr">
        <is>
          <t>115-GTI</t>
        </is>
      </c>
      <c r="B818" s="10" t="inlineStr">
        <is>
          <t>APOYO</t>
        </is>
      </c>
      <c r="C818" s="10" t="inlineStr">
        <is>
          <t>Gestión de Tecnología de la Información</t>
        </is>
      </c>
      <c r="D818" s="10" t="inlineStr">
        <is>
          <t>GTI</t>
        </is>
      </c>
      <c r="E818" s="10" t="inlineStr">
        <is>
          <t>Gestión de las Operaciones de TI</t>
        </is>
      </c>
      <c r="F818" s="10" t="inlineStr">
        <is>
          <t>-</t>
        </is>
      </c>
      <c r="G818" s="10" t="inlineStr">
        <is>
          <t>Administración de servidores</t>
        </is>
      </c>
      <c r="H818" s="17" t="inlineStr">
        <is>
          <t>SERVIDOR VM ESXI (Sistemas Externos, WS/APP Públicos)</t>
        </is>
      </c>
      <c r="I818" s="17" t="inlineStr">
        <is>
          <t>SVR 192.168.100.145 que contiene Virtualizados: Servidor de Riesgos-Servidor PANDORA FMS Enterprise 7.0NG 760-Sistemas, WS Acceso Público</t>
        </is>
      </c>
      <c r="J818" s="10" t="inlineStr">
        <is>
          <t>GERENTE DE TI</t>
        </is>
      </c>
      <c r="K818" s="10" t="inlineStr">
        <is>
          <t>ADMINISTRADOR DE COMUNICACIÓN E INFRESTRUCTURA</t>
        </is>
      </c>
      <c r="L818" s="10" t="inlineStr">
        <is>
          <t>UBICACIÓN FISICA-SUCURSAL IBARRA</t>
        </is>
      </c>
      <c r="M818" s="10" t="inlineStr">
        <is>
          <t>DISCOS DUROS, SERVIDORES, DISCOS O MEDIOS PORTÁTILES, CINTAS O MEDIOS DE VIDEO Y AUDIO, ETC.</t>
        </is>
      </c>
      <c r="N818" s="10" t="inlineStr">
        <is>
          <t>APOYO</t>
        </is>
      </c>
      <c r="O818" s="10" t="inlineStr">
        <is>
          <t>HARDWARE</t>
        </is>
      </c>
      <c r="P818" s="10" t="inlineStr">
        <is>
          <t>RESTRINGIDO(3)</t>
        </is>
      </c>
      <c r="Q818" s="10" t="inlineStr">
        <is>
          <t>ALTA(3)</t>
        </is>
      </c>
      <c r="R818" s="10" t="inlineStr">
        <is>
          <t>ALTA(3)</t>
        </is>
      </c>
      <c r="S818" s="10">
        <f>+(IF(P818="PUBLICA(1)",1,IF(P818="USO INTERNO(2)",2,IF(P818="RESTRINGIDO(3)",3,3))))+(IF(Q818="BAJA(1)",1,IF(Q818="MEDIA(2)",2,IF(Q818="ALTA(3)",3,3))))+(IF(R818="BAJA(1)",1,IF(R818="MEDIA(2)",2,IF(R818="ALTA(3)",3,3))))</f>
        <v/>
      </c>
      <c r="T818" s="10">
        <f>+IF(S818&lt;6,"BAJA",IF(S818&lt;8,"MEDIA","ALTA"))</f>
        <v/>
      </c>
      <c r="U818" s="10" t="inlineStr">
        <is>
          <t>-</t>
        </is>
      </c>
      <c r="V818" s="24" t="n">
        <v>45708</v>
      </c>
      <c r="W818" s="19" t="inlineStr">
        <is>
          <t>N/A</t>
        </is>
      </c>
      <c r="X818" s="10">
        <f>+IFERROR(IF(VLOOKUP(Tabla2[[#This Row],[ID]],'EVALUACION DE RIESGO'!A:A,1,FALSE)=Tabla2[[#This Row],[ID]],"SI","NO"),"NO")</f>
        <v/>
      </c>
      <c r="AD818">
        <f>IF(AND(Y818="",AA818=""),"",IF(OR(LEFT(AA818,2)="L0",LEFT(AA818,2)="L1",Y818="No Iniciado"),"CRÍTICO - Incumplimiento Normativo SEPS",IF(AND(OR(LEFT(AA818,2)="L4",LEFT(AA818,2)="L5"),AND(AC818&lt;&gt;"",AC818&lt;&gt;"N/A")),"CONFORME - Control Efectivo ISO 27001","OBSERVACIÓN - Revisar Controles")))</f>
        <v/>
      </c>
    </row>
    <row r="819" ht="51" customHeight="1" s="106">
      <c r="A819" s="99" t="inlineStr">
        <is>
          <t>116-GTI</t>
        </is>
      </c>
      <c r="B819" s="10" t="inlineStr">
        <is>
          <t>APOYO</t>
        </is>
      </c>
      <c r="C819" s="10" t="inlineStr">
        <is>
          <t>Gestión de Tecnología de la Información</t>
        </is>
      </c>
      <c r="D819" s="10" t="inlineStr">
        <is>
          <t>GTI</t>
        </is>
      </c>
      <c r="E819" s="10" t="inlineStr">
        <is>
          <t>Gestión de las Operaciones de TI</t>
        </is>
      </c>
      <c r="F819" s="10" t="inlineStr">
        <is>
          <t>-</t>
        </is>
      </c>
      <c r="G819" s="10" t="inlineStr">
        <is>
          <t>Administración de servidores</t>
        </is>
      </c>
      <c r="H819" s="17" t="inlineStr">
        <is>
          <t>SERVIDOR VM ESXI (SW Cajeros)(VMSRVINTERNOS2)</t>
        </is>
      </c>
      <c r="I819" s="17" t="inlineStr">
        <is>
          <t>SVR 192.168.100.149 que contiene Virtualizados: Switch Transaccional Cajeros Automaticos PROSUPLY - Consola para Administracion Remota de Cajeros Automaticos- Consola para Administracion Remota de Cajeros Automaticos</t>
        </is>
      </c>
      <c r="J819" s="10" t="inlineStr">
        <is>
          <t>GERENTE DE TI</t>
        </is>
      </c>
      <c r="K819" s="10" t="inlineStr">
        <is>
          <t>ADMINISTRADOR DE COMUNICACIÓN E INFRESTRUCTURA</t>
        </is>
      </c>
      <c r="L819" s="10" t="inlineStr">
        <is>
          <t>UBICACIÓN FISICA-SUCURSAL IBARRA</t>
        </is>
      </c>
      <c r="M819" s="10" t="inlineStr">
        <is>
          <t>DISCOS DUROS, SERVIDORES, DISCOS O MEDIOS PORTÁTILES, CINTAS O MEDIOS DE VIDEO Y AUDIO, ETC.</t>
        </is>
      </c>
      <c r="N819" s="10" t="inlineStr">
        <is>
          <t>APOYO</t>
        </is>
      </c>
      <c r="O819" s="10" t="inlineStr">
        <is>
          <t>HARDWARE</t>
        </is>
      </c>
      <c r="P819" s="10" t="inlineStr">
        <is>
          <t>RESTRINGIDO(3)</t>
        </is>
      </c>
      <c r="Q819" s="10" t="inlineStr">
        <is>
          <t>ALTA(3)</t>
        </is>
      </c>
      <c r="R819" s="10" t="inlineStr">
        <is>
          <t>ALTA(3)</t>
        </is>
      </c>
      <c r="S819" s="10">
        <f>+(IF(P819="PUBLICA(1)",1,IF(P819="USO INTERNO(2)",2,IF(P819="RESTRINGIDO(3)",3,3))))+(IF(Q819="BAJA(1)",1,IF(Q819="MEDIA(2)",2,IF(Q819="ALTA(3)",3,3))))+(IF(R819="BAJA(1)",1,IF(R819="MEDIA(2)",2,IF(R819="ALTA(3)",3,3))))</f>
        <v/>
      </c>
      <c r="T819" s="10">
        <f>+IF(S819&lt;6,"BAJA",IF(S819&lt;8,"MEDIA","ALTA"))</f>
        <v/>
      </c>
      <c r="U819" s="10" t="inlineStr">
        <is>
          <t>-</t>
        </is>
      </c>
      <c r="V819" s="24" t="n">
        <v>45708</v>
      </c>
      <c r="W819" s="19" t="inlineStr">
        <is>
          <t>N/A</t>
        </is>
      </c>
      <c r="X819" s="10">
        <f>+IFERROR(IF(VLOOKUP(Tabla2[[#This Row],[ID]],'EVALUACION DE RIESGO'!A:A,1,FALSE)=Tabla2[[#This Row],[ID]],"SI","NO"),"NO")</f>
        <v/>
      </c>
      <c r="AD819">
        <f>IF(AND(Y819="",AA819=""),"",IF(OR(LEFT(AA819,2)="L0",LEFT(AA819,2)="L1",Y819="No Iniciado"),"CRÍTICO - Incumplimiento Normativo SEPS",IF(AND(OR(LEFT(AA819,2)="L4",LEFT(AA819,2)="L5"),AND(AC819&lt;&gt;"",AC819&lt;&gt;"N/A")),"CONFORME - Control Efectivo ISO 27001","OBSERVACIÓN - Revisar Controles")))</f>
        <v/>
      </c>
    </row>
    <row r="820" ht="61.35" customHeight="1" s="106">
      <c r="A820" s="99" t="inlineStr">
        <is>
          <t>117-GTI</t>
        </is>
      </c>
      <c r="B820" s="10" t="inlineStr">
        <is>
          <t>APOYO</t>
        </is>
      </c>
      <c r="C820" s="10" t="inlineStr">
        <is>
          <t>Gestión de Tecnología de la Información</t>
        </is>
      </c>
      <c r="D820" s="10" t="inlineStr">
        <is>
          <t>GTI</t>
        </is>
      </c>
      <c r="E820" s="10" t="inlineStr">
        <is>
          <t>Gestión de las Operaciones de TI</t>
        </is>
      </c>
      <c r="F820" s="10" t="inlineStr">
        <is>
          <t>-</t>
        </is>
      </c>
      <c r="G820" s="10" t="inlineStr">
        <is>
          <t>Administración de servidores</t>
        </is>
      </c>
      <c r="H820" s="17" t="inlineStr">
        <is>
          <t>SERVIDOR VM ESXI (Sistemas, WS Internos) (VMSRVINTERNOS)</t>
        </is>
      </c>
      <c r="I820" s="17" t="inlineStr">
        <is>
          <t>AVR 192.168.100.146 que contiene virtualizados :  Servidor de Dominio (Active Directory) y DNS - Servidor Webcoop/Dynacoop/ Alertas SMS OTP Correo - Web Service Equifax, Bdd Sybase Riesgos - Servidor de Veeam Backup/ Servidor Impresión RICOH</t>
        </is>
      </c>
      <c r="J820" s="10" t="inlineStr">
        <is>
          <t>GERENTE DE TI</t>
        </is>
      </c>
      <c r="K820" s="10" t="inlineStr">
        <is>
          <t>ADMINISTRADOR DE COMUNICACIÓN E INFRESTRUCTURA</t>
        </is>
      </c>
      <c r="L820" s="10" t="inlineStr">
        <is>
          <t>UBICACIÓN FISICA-SUCURSAL IBARRA</t>
        </is>
      </c>
      <c r="M820" s="10" t="inlineStr">
        <is>
          <t>DISCOS DUROS, SERVIDORES, DISCOS O MEDIOS PORTÁTILES, CINTAS O MEDIOS DE VIDEO Y AUDIO, ETC.</t>
        </is>
      </c>
      <c r="N820" s="10" t="inlineStr">
        <is>
          <t>APOYO</t>
        </is>
      </c>
      <c r="O820" s="10" t="inlineStr">
        <is>
          <t>HARDWARE</t>
        </is>
      </c>
      <c r="P820" s="10" t="inlineStr">
        <is>
          <t>RESTRINGIDO(3)</t>
        </is>
      </c>
      <c r="Q820" s="10" t="inlineStr">
        <is>
          <t>ALTA(3)</t>
        </is>
      </c>
      <c r="R820" s="10" t="inlineStr">
        <is>
          <t>ALTA(3)</t>
        </is>
      </c>
      <c r="S820" s="10">
        <f>+(IF(P820="PUBLICA(1)",1,IF(P820="USO INTERNO(2)",2,IF(P820="RESTRINGIDO(3)",3,3))))+(IF(Q820="BAJA(1)",1,IF(Q820="MEDIA(2)",2,IF(Q820="ALTA(3)",3,3))))+(IF(R820="BAJA(1)",1,IF(R820="MEDIA(2)",2,IF(R820="ALTA(3)",3,3))))</f>
        <v/>
      </c>
      <c r="T820" s="10">
        <f>+IF(S820&lt;6,"BAJA",IF(S820&lt;8,"MEDIA","ALTA"))</f>
        <v/>
      </c>
      <c r="U820" s="10" t="inlineStr">
        <is>
          <t>-</t>
        </is>
      </c>
      <c r="V820" s="24" t="n">
        <v>45708</v>
      </c>
      <c r="W820" s="19" t="inlineStr">
        <is>
          <t>N/A</t>
        </is>
      </c>
      <c r="X820" s="10">
        <f>+IFERROR(IF(VLOOKUP(Tabla2[[#This Row],[ID]],'EVALUACION DE RIESGO'!A:A,1,FALSE)=Tabla2[[#This Row],[ID]],"SI","NO"),"NO")</f>
        <v/>
      </c>
      <c r="AD820">
        <f>IF(AND(Y820="",AA820=""),"",IF(OR(LEFT(AA820,2)="L0",LEFT(AA820,2)="L1",Y820="No Iniciado"),"CRÍTICO - Incumplimiento Normativo SEPS",IF(AND(OR(LEFT(AA820,2)="L4",LEFT(AA820,2)="L5"),AND(AC820&lt;&gt;"",AC820&lt;&gt;"N/A")),"CONFORME - Control Efectivo ISO 27001","OBSERVACIÓN - Revisar Controles")))</f>
        <v/>
      </c>
    </row>
    <row r="821" ht="20.45" customHeight="1" s="106">
      <c r="A821" s="99" t="inlineStr">
        <is>
          <t>118-GTI</t>
        </is>
      </c>
      <c r="B821" s="10" t="inlineStr">
        <is>
          <t>APOYO</t>
        </is>
      </c>
      <c r="C821" s="10" t="inlineStr">
        <is>
          <t>Gestión de Tecnología de la Información</t>
        </is>
      </c>
      <c r="D821" s="10" t="inlineStr">
        <is>
          <t>GTI</t>
        </is>
      </c>
      <c r="E821" s="10" t="inlineStr">
        <is>
          <t>Gestión de las Operaciones de TI</t>
        </is>
      </c>
      <c r="F821" s="10" t="inlineStr">
        <is>
          <t>-</t>
        </is>
      </c>
      <c r="G821" s="10" t="inlineStr">
        <is>
          <t>Administración de servidores</t>
        </is>
      </c>
      <c r="H821" s="17" t="inlineStr">
        <is>
          <t>SERVIDOR VM ESXI (Sistemas, WS Internos)(VMSREXTERNOS3)</t>
        </is>
      </c>
      <c r="I821" s="17" t="inlineStr">
        <is>
          <t>SVR 192.168.100.242 que contiene virtualizados : Oracle VM Manager</t>
        </is>
      </c>
      <c r="J821" s="10" t="inlineStr">
        <is>
          <t>GERENTE DE TI</t>
        </is>
      </c>
      <c r="K821" s="10" t="inlineStr">
        <is>
          <t>ADMINISTRADOR DE COMUNICACIÓN E INFRESTRUCTURA</t>
        </is>
      </c>
      <c r="L821" s="10" t="inlineStr">
        <is>
          <t>UBICACIÓN FISICA-SUCURSAL IBARRA</t>
        </is>
      </c>
      <c r="M821" s="10" t="inlineStr">
        <is>
          <t>DISCOS DUROS, SERVIDORES, DISCOS O MEDIOS PORTÁTILES, CINTAS O MEDIOS DE VIDEO Y AUDIO, ETC.</t>
        </is>
      </c>
      <c r="N821" s="10" t="inlineStr">
        <is>
          <t>APOYO</t>
        </is>
      </c>
      <c r="O821" s="10" t="inlineStr">
        <is>
          <t>HARDWARE</t>
        </is>
      </c>
      <c r="P821" s="10" t="inlineStr">
        <is>
          <t>RESTRINGIDO(3)</t>
        </is>
      </c>
      <c r="Q821" s="10" t="inlineStr">
        <is>
          <t>ALTA(3)</t>
        </is>
      </c>
      <c r="R821" s="10" t="inlineStr">
        <is>
          <t>ALTA(3)</t>
        </is>
      </c>
      <c r="S821" s="10">
        <f>+(IF(P821="PUBLICA(1)",1,IF(P821="USO INTERNO(2)",2,IF(P821="RESTRINGIDO(3)",3,3))))+(IF(Q821="BAJA(1)",1,IF(Q821="MEDIA(2)",2,IF(Q821="ALTA(3)",3,3))))+(IF(R821="BAJA(1)",1,IF(R821="MEDIA(2)",2,IF(R821="ALTA(3)",3,3))))</f>
        <v/>
      </c>
      <c r="T821" s="10">
        <f>+IF(S821&lt;6,"BAJA",IF(S821&lt;8,"MEDIA","ALTA"))</f>
        <v/>
      </c>
      <c r="U821" s="10" t="inlineStr">
        <is>
          <t>-</t>
        </is>
      </c>
      <c r="V821" s="24" t="n">
        <v>45708</v>
      </c>
      <c r="W821" s="19" t="inlineStr">
        <is>
          <t>N/A</t>
        </is>
      </c>
      <c r="X821" s="10">
        <f>+IFERROR(IF(VLOOKUP(Tabla2[[#This Row],[ID]],'EVALUACION DE RIESGO'!A:A,1,FALSE)=Tabla2[[#This Row],[ID]],"SI","NO"),"NO")</f>
        <v/>
      </c>
      <c r="AD821">
        <f>IF(AND(Y821="",AA821=""),"",IF(OR(LEFT(AA821,2)="L0",LEFT(AA821,2)="L1",Y821="No Iniciado"),"CRÍTICO - Incumplimiento Normativo SEPS",IF(AND(OR(LEFT(AA821,2)="L4",LEFT(AA821,2)="L5"),AND(AC821&lt;&gt;"",AC821&lt;&gt;"N/A")),"CONFORME - Control Efectivo ISO 27001","OBSERVACIÓN - Revisar Controles")))</f>
        <v/>
      </c>
    </row>
    <row r="822" ht="30.6" customHeight="1" s="106">
      <c r="A822" s="99" t="inlineStr">
        <is>
          <t>119-GTI</t>
        </is>
      </c>
      <c r="B822" s="10" t="inlineStr">
        <is>
          <t>APOYO</t>
        </is>
      </c>
      <c r="C822" s="10" t="inlineStr">
        <is>
          <t>Gestión de Tecnología de la Información</t>
        </is>
      </c>
      <c r="D822" s="10" t="inlineStr">
        <is>
          <t>GTI</t>
        </is>
      </c>
      <c r="E822" s="10" t="inlineStr">
        <is>
          <t>Gestión de las Operaciones de TI</t>
        </is>
      </c>
      <c r="F822" s="10" t="inlineStr">
        <is>
          <t>-</t>
        </is>
      </c>
      <c r="G822" s="10" t="inlineStr">
        <is>
          <t>N/A</t>
        </is>
      </c>
      <c r="H822" s="17" t="inlineStr">
        <is>
          <t>Administrador de Comunicación e Infrestructura</t>
        </is>
      </c>
      <c r="I822" s="17" t="inlineStr">
        <is>
          <t>Funcionarios con el cargo de Administrador de Comunicación e Infraestructura - Consolas Operador Oracle VM - Web Service SERVIPAGOS</t>
        </is>
      </c>
      <c r="J822" s="10" t="inlineStr">
        <is>
          <t>N/A</t>
        </is>
      </c>
      <c r="K822" s="10" t="inlineStr">
        <is>
          <t>N/A</t>
        </is>
      </c>
      <c r="L822" s="10" t="inlineStr">
        <is>
          <t>N/A</t>
        </is>
      </c>
      <c r="M822" s="10" t="inlineStr">
        <is>
          <t>N/A</t>
        </is>
      </c>
      <c r="N822" s="10" t="inlineStr">
        <is>
          <t>APOYO</t>
        </is>
      </c>
      <c r="O822" s="10" t="inlineStr">
        <is>
          <t>RECURSO HUMANO</t>
        </is>
      </c>
      <c r="P822" s="10" t="inlineStr">
        <is>
          <t>USO INTERNO(2)</t>
        </is>
      </c>
      <c r="Q822" s="10" t="inlineStr">
        <is>
          <t>ALTA(3)</t>
        </is>
      </c>
      <c r="R822" s="10" t="inlineStr">
        <is>
          <t>ALTA(3)</t>
        </is>
      </c>
      <c r="S822" s="10">
        <f>+(IF(P822="PUBLICA(1)",1,IF(P822="USO INTERNO(2)",2,IF(P822="RESTRINGIDO(3)",3,3))))+(IF(Q822="BAJA(1)",1,IF(Q822="MEDIA(2)",2,IF(Q822="ALTA(3)",3,3))))+(IF(R822="BAJA(1)",1,IF(R822="MEDIA(2)",2,IF(R822="ALTA(3)",3,3))))</f>
        <v/>
      </c>
      <c r="T822" s="10">
        <f>+IF(S822&lt;6,"BAJA",IF(S822&lt;8,"MEDIA","ALTA"))</f>
        <v/>
      </c>
      <c r="U822" s="10" t="inlineStr">
        <is>
          <t>-</t>
        </is>
      </c>
      <c r="V822" s="24" t="n">
        <v>43815</v>
      </c>
      <c r="W822" s="19" t="inlineStr">
        <is>
          <t>N/A</t>
        </is>
      </c>
      <c r="X822" s="10">
        <f>+IFERROR(IF(VLOOKUP(Tabla2[[#This Row],[ID]],'EVALUACION DE RIESGO'!A:A,1,FALSE)=Tabla2[[#This Row],[ID]],"SI","NO"),"NO")</f>
        <v/>
      </c>
      <c r="AD822">
        <f>IF(AND(Y822="",AA822=""),"",IF(OR(LEFT(AA822,2)="L0",LEFT(AA822,2)="L1",Y822="No Iniciado"),"CRÍTICO - Incumplimiento Normativo SEPS",IF(AND(OR(LEFT(AA822,2)="L4",LEFT(AA822,2)="L5"),AND(AC822&lt;&gt;"",AC822&lt;&gt;"N/A")),"CONFORME - Control Efectivo ISO 27001","OBSERVACIÓN - Revisar Controles")))</f>
        <v/>
      </c>
    </row>
    <row r="823" ht="20.45" customHeight="1" s="106">
      <c r="A823" s="99" t="inlineStr">
        <is>
          <t>120-GTI</t>
        </is>
      </c>
      <c r="B823" s="10" t="inlineStr">
        <is>
          <t>APOYO</t>
        </is>
      </c>
      <c r="C823" s="10" t="inlineStr">
        <is>
          <t>Gestión de Tecnología de la Información</t>
        </is>
      </c>
      <c r="D823" s="10" t="inlineStr">
        <is>
          <t>GTI</t>
        </is>
      </c>
      <c r="E823" s="10" t="inlineStr">
        <is>
          <t>Gestión de las Operaciones de TI</t>
        </is>
      </c>
      <c r="F823" s="10" t="inlineStr">
        <is>
          <t>-</t>
        </is>
      </c>
      <c r="G823" s="10" t="inlineStr">
        <is>
          <t>N/A</t>
        </is>
      </c>
      <c r="H823" s="17" t="inlineStr">
        <is>
          <t>Administrador de Base de Datos</t>
        </is>
      </c>
      <c r="I823" s="17" t="inlineStr">
        <is>
          <t>Funcionarios con el cargo de Administrador de Base de Datos</t>
        </is>
      </c>
      <c r="J823" s="10" t="inlineStr">
        <is>
          <t>N/A</t>
        </is>
      </c>
      <c r="K823" s="10" t="inlineStr">
        <is>
          <t>N/A</t>
        </is>
      </c>
      <c r="L823" s="10" t="inlineStr">
        <is>
          <t>N/A</t>
        </is>
      </c>
      <c r="M823" s="10" t="inlineStr">
        <is>
          <t>N/A</t>
        </is>
      </c>
      <c r="N823" s="10" t="inlineStr">
        <is>
          <t>APOYO</t>
        </is>
      </c>
      <c r="O823" s="10" t="inlineStr">
        <is>
          <t>RECURSO HUMANO</t>
        </is>
      </c>
      <c r="P823" s="10" t="inlineStr">
        <is>
          <t>USO INTERNO(2)</t>
        </is>
      </c>
      <c r="Q823" s="10" t="inlineStr">
        <is>
          <t>ALTA(3)</t>
        </is>
      </c>
      <c r="R823" s="10" t="inlineStr">
        <is>
          <t>ALTA(3)</t>
        </is>
      </c>
      <c r="S823" s="10">
        <f>+(IF(P823="PUBLICA(1)",1,IF(P823="USO INTERNO(2)",2,IF(P823="RESTRINGIDO(3)",3,3))))+(IF(Q823="BAJA(1)",1,IF(Q823="MEDIA(2)",2,IF(Q823="ALTA(3)",3,3))))+(IF(R823="BAJA(1)",1,IF(R823="MEDIA(2)",2,IF(R823="ALTA(3)",3,3))))</f>
        <v/>
      </c>
      <c r="T823" s="10">
        <f>+IF(S823&lt;6,"BAJA",IF(S823&lt;8,"MEDIA","ALTA"))</f>
        <v/>
      </c>
      <c r="U823" s="10" t="inlineStr">
        <is>
          <t>-</t>
        </is>
      </c>
      <c r="V823" s="24" t="inlineStr">
        <is>
          <t>N/A</t>
        </is>
      </c>
      <c r="W823" s="19" t="inlineStr">
        <is>
          <t>N/A</t>
        </is>
      </c>
      <c r="X823" s="10">
        <f>+IFERROR(IF(VLOOKUP(Tabla2[[#This Row],[ID]],'EVALUACION DE RIESGO'!A:A,1,FALSE)=Tabla2[[#This Row],[ID]],"SI","NO"),"NO")</f>
        <v/>
      </c>
      <c r="AD823">
        <f>IF(AND(Y823="",AA823=""),"",IF(OR(LEFT(AA823,2)="L0",LEFT(AA823,2)="L1",Y823="No Iniciado"),"CRÍTICO - Incumplimiento Normativo SEPS",IF(AND(OR(LEFT(AA823,2)="L4",LEFT(AA823,2)="L5"),AND(AC823&lt;&gt;"",AC823&lt;&gt;"N/A")),"CONFORME - Control Efectivo ISO 27001","OBSERVACIÓN - Revisar Controles")))</f>
        <v/>
      </c>
    </row>
    <row r="824">
      <c r="A824" s="99" t="inlineStr">
        <is>
          <t>1-GES</t>
        </is>
      </c>
      <c r="B824" s="10" t="inlineStr">
        <is>
          <t>ESTRATÉGICO</t>
        </is>
      </c>
      <c r="C824" s="10" t="inlineStr">
        <is>
          <t xml:space="preserve">Gestión Estratégica </t>
        </is>
      </c>
      <c r="D824" s="10" t="inlineStr">
        <is>
          <t>GES</t>
        </is>
      </c>
      <c r="E824" s="10" t="inlineStr">
        <is>
          <t xml:space="preserve">Planificación Estratégica </t>
        </is>
      </c>
      <c r="F824" s="10" t="inlineStr">
        <is>
          <t>-</t>
        </is>
      </c>
      <c r="G824" s="10" t="inlineStr">
        <is>
          <t xml:space="preserve">Preparación para la construcción de la Planificación Estratégica </t>
        </is>
      </c>
      <c r="H824" s="10" t="inlineStr">
        <is>
          <t>Cronograma de trabajo</t>
        </is>
      </c>
      <c r="I824" s="10" t="inlineStr">
        <is>
          <t>Análisis de la situación actual</t>
        </is>
      </c>
      <c r="J824" s="10" t="inlineStr">
        <is>
          <t>JEFE DE PLANIFICACIÓN Y PROCESOS</t>
        </is>
      </c>
      <c r="K824" s="10" t="inlineStr">
        <is>
          <t>JEFE DE PLANIFICACIÓN Y PROCESOS</t>
        </is>
      </c>
      <c r="L824" s="10" t="inlineStr">
        <is>
          <t>UBICACIÓN DIGITAL-EQUIPO DEL CUSTODIO</t>
        </is>
      </c>
      <c r="M824" s="10" t="inlineStr">
        <is>
          <t>DOCUMENTO DE ARCHIVO-ELECTRÓNICO</t>
        </is>
      </c>
      <c r="N824" s="10" t="inlineStr">
        <is>
          <t>PRIMARIOS</t>
        </is>
      </c>
      <c r="O824" s="10" t="inlineStr">
        <is>
          <t>DOCUMENTOS TÉCNICOS</t>
        </is>
      </c>
      <c r="P824" s="10" t="inlineStr">
        <is>
          <t>PUBLICA(1)</t>
        </is>
      </c>
      <c r="Q824" s="10" t="inlineStr">
        <is>
          <t>BAJA(1)</t>
        </is>
      </c>
      <c r="R824" s="10" t="inlineStr">
        <is>
          <t>BAJA(1)</t>
        </is>
      </c>
      <c r="S824" s="10">
        <f>+(IF(P824="PUBLICA(1)",1,IF(P824="USO INTERNO(2)",2,IF(P824="RESTRINGIDO(3)",3,3))))+(IF(Q824="BAJA(1)",1,IF(Q824="MEDIA(2)",2,IF(Q824="ALTA(3)",3,3))))+(IF(R824="BAJA(1)",1,IF(R824="MEDIA(2)",2,IF(R824="ALTA(3)",3,3))))</f>
        <v/>
      </c>
      <c r="T824" s="10">
        <f>+IF(S824&lt;6,"BAJA",IF(S824&lt;8,"MEDIA","ALTA"))</f>
        <v/>
      </c>
      <c r="U824" s="10" t="inlineStr">
        <is>
          <t>-</t>
        </is>
      </c>
      <c r="V824" s="24" t="n">
        <v>45681</v>
      </c>
      <c r="W824" s="19" t="inlineStr">
        <is>
          <t>N/A</t>
        </is>
      </c>
      <c r="X824" s="10">
        <f>+IFERROR(IF(VLOOKUP(Tabla2[[#This Row],[ID]],'EVALUACION DE RIESGO'!A:A,1,FALSE)=Tabla2[[#This Row],[ID]],"SI","NO"),"NO")</f>
        <v/>
      </c>
      <c r="AD824">
        <f>IF(AND(Y824="",AA824=""),"",IF(OR(LEFT(AA824,2)="L0",LEFT(AA824,2)="L1",Y824="No Iniciado"),"CRÍTICO - Incumplimiento Normativo SEPS",IF(AND(OR(LEFT(AA824,2)="L4",LEFT(AA824,2)="L5"),AND(AC824&lt;&gt;"",AC824&lt;&gt;"N/A")),"CONFORME - Control Efectivo ISO 27001","OBSERVACIÓN - Revisar Controles")))</f>
        <v/>
      </c>
    </row>
    <row r="825">
      <c r="A825" s="99" t="inlineStr">
        <is>
          <t>2-GES</t>
        </is>
      </c>
      <c r="B825" s="10" t="inlineStr">
        <is>
          <t>ESTRATÉGICO</t>
        </is>
      </c>
      <c r="C825" s="10" t="inlineStr">
        <is>
          <t xml:space="preserve">Gestión Estratégica </t>
        </is>
      </c>
      <c r="D825" s="10" t="inlineStr">
        <is>
          <t>GES</t>
        </is>
      </c>
      <c r="E825" s="10" t="inlineStr">
        <is>
          <t xml:space="preserve">Planificación Estratégica </t>
        </is>
      </c>
      <c r="F825" s="10" t="inlineStr">
        <is>
          <t>-</t>
        </is>
      </c>
      <c r="G825" s="10" t="inlineStr">
        <is>
          <t xml:space="preserve">Preparación para la construcción de la Planificación Estratégica </t>
        </is>
      </c>
      <c r="H825" s="10" t="inlineStr">
        <is>
          <t xml:space="preserve">Solicitud de contratación de asesor externo </t>
        </is>
      </c>
      <c r="I825" s="10" t="inlineStr">
        <is>
          <t>TDR para la contratación de bienes y servicios menores</t>
        </is>
      </c>
      <c r="J825" s="10" t="inlineStr">
        <is>
          <t>JEFE DE PLANIFICACIÓN Y PROCESOS</t>
        </is>
      </c>
      <c r="K825" s="10" t="inlineStr">
        <is>
          <t>JEFE DE PLANIFICACIÓN Y PROCESOS</t>
        </is>
      </c>
      <c r="L825" s="10" t="inlineStr">
        <is>
          <t>UBICACIÓN DIGITAL-EQUIPO DEL CUSTODIO</t>
        </is>
      </c>
      <c r="M825" s="10" t="inlineStr">
        <is>
          <t>DOCUMENTO DE ARCHIVO-ELECTRÓNICO</t>
        </is>
      </c>
      <c r="N825" s="10" t="inlineStr">
        <is>
          <t>PRIMARIOS</t>
        </is>
      </c>
      <c r="O825" s="10" t="inlineStr">
        <is>
          <t>DOCUMENTOS TÉCNICOS</t>
        </is>
      </c>
      <c r="P825" s="10" t="inlineStr">
        <is>
          <t>PUBLICA(1)</t>
        </is>
      </c>
      <c r="Q825" s="10" t="inlineStr">
        <is>
          <t>BAJA(1)</t>
        </is>
      </c>
      <c r="R825" s="10" t="inlineStr">
        <is>
          <t>BAJA(1)</t>
        </is>
      </c>
      <c r="S825" s="10">
        <f>+(IF(P825="PUBLICA(1)",1,IF(P825="USO INTERNO(2)",2,IF(P825="RESTRINGIDO(3)",3,3))))+(IF(Q825="BAJA(1)",1,IF(Q825="MEDIA(2)",2,IF(Q825="ALTA(3)",3,3))))+(IF(R825="BAJA(1)",1,IF(R825="MEDIA(2)",2,IF(R825="ALTA(3)",3,3))))</f>
        <v/>
      </c>
      <c r="T825" s="10">
        <f>+IF(S825&lt;6,"BAJA",IF(S825&lt;8,"MEDIA","ALTA"))</f>
        <v/>
      </c>
      <c r="U825" s="10" t="inlineStr">
        <is>
          <t>-</t>
        </is>
      </c>
      <c r="V825" s="24" t="n">
        <v>45681</v>
      </c>
      <c r="W825" s="19" t="inlineStr">
        <is>
          <t>N/A</t>
        </is>
      </c>
      <c r="X825" s="10">
        <f>+IFERROR(IF(VLOOKUP(Tabla2[[#This Row],[ID]],'EVALUACION DE RIESGO'!A:A,1,FALSE)=Tabla2[[#This Row],[ID]],"SI","NO"),"NO")</f>
        <v/>
      </c>
      <c r="AD825">
        <f>IF(AND(Y825="",AA825=""),"",IF(OR(LEFT(AA825,2)="L0",LEFT(AA825,2)="L1",Y825="No Iniciado"),"CRÍTICO - Incumplimiento Normativo SEPS",IF(AND(OR(LEFT(AA825,2)="L4",LEFT(AA825,2)="L5"),AND(AC825&lt;&gt;"",AC825&lt;&gt;"N/A")),"CONFORME - Control Efectivo ISO 27001","OBSERVACIÓN - Revisar Controles")))</f>
        <v/>
      </c>
    </row>
    <row r="826">
      <c r="A826" s="99" t="inlineStr">
        <is>
          <t>3-GES</t>
        </is>
      </c>
      <c r="B826" s="10" t="inlineStr">
        <is>
          <t>ESTRATÉGICO</t>
        </is>
      </c>
      <c r="C826" s="10" t="inlineStr">
        <is>
          <t xml:space="preserve">Gestión Estratégica </t>
        </is>
      </c>
      <c r="D826" s="10" t="inlineStr">
        <is>
          <t>GES</t>
        </is>
      </c>
      <c r="E826" s="10" t="inlineStr">
        <is>
          <t xml:space="preserve">Planificación Estratégica </t>
        </is>
      </c>
      <c r="F826" s="10" t="inlineStr">
        <is>
          <t>-</t>
        </is>
      </c>
      <c r="G826" s="10" t="inlineStr">
        <is>
          <t xml:space="preserve">Preparación para la construcción de la Planificación Estratégica </t>
        </is>
      </c>
      <c r="H826" s="10" t="inlineStr">
        <is>
          <t>Email de solicitud de insumos</t>
        </is>
      </c>
      <c r="I826" s="10" t="inlineStr">
        <is>
          <t>Solicitud de requerimientos</t>
        </is>
      </c>
      <c r="J826" s="10" t="inlineStr">
        <is>
          <t>JEFE DE PLANIFICACIÓN Y PROCESOS</t>
        </is>
      </c>
      <c r="K826" s="10" t="inlineStr">
        <is>
          <t>JEFE DE PLANIFICACIÓN Y PROCESOS</t>
        </is>
      </c>
      <c r="L826" s="10" t="inlineStr">
        <is>
          <t>UBICACIÓN DIGITAL-EQUIPO DEL CUSTODIO</t>
        </is>
      </c>
      <c r="M826" s="10" t="inlineStr">
        <is>
          <t>SISTEMA DE MENSAJERÍA ELECTRÓNICA</t>
        </is>
      </c>
      <c r="N826" s="10" t="inlineStr">
        <is>
          <t>APOYO</t>
        </is>
      </c>
      <c r="O826" s="10" t="inlineStr">
        <is>
          <t>SERVICIOS</t>
        </is>
      </c>
      <c r="P826" s="10" t="inlineStr">
        <is>
          <t>PUBLICA(1)</t>
        </is>
      </c>
      <c r="Q826" s="10" t="inlineStr">
        <is>
          <t>BAJA(1)</t>
        </is>
      </c>
      <c r="R826" s="10" t="inlineStr">
        <is>
          <t>BAJA(1)</t>
        </is>
      </c>
      <c r="S826" s="10">
        <f>+(IF(P826="PUBLICA(1)",1,IF(P826="USO INTERNO(2)",2,IF(P826="RESTRINGIDO(3)",3,3))))+(IF(Q826="BAJA(1)",1,IF(Q826="MEDIA(2)",2,IF(Q826="ALTA(3)",3,3))))+(IF(R826="BAJA(1)",1,IF(R826="MEDIA(2)",2,IF(R826="ALTA(3)",3,3))))</f>
        <v/>
      </c>
      <c r="T826" s="10">
        <f>+IF(S826&lt;6,"BAJA",IF(S826&lt;8,"MEDIA","ALTA"))</f>
        <v/>
      </c>
      <c r="U826" s="10" t="inlineStr">
        <is>
          <t>-</t>
        </is>
      </c>
      <c r="V826" s="24" t="n">
        <v>45681</v>
      </c>
      <c r="W826" s="19" t="inlineStr">
        <is>
          <t>N/A</t>
        </is>
      </c>
      <c r="X826" s="10">
        <f>+IFERROR(IF(VLOOKUP(Tabla2[[#This Row],[ID]],'EVALUACION DE RIESGO'!A:A,1,FALSE)=Tabla2[[#This Row],[ID]],"SI","NO"),"NO")</f>
        <v/>
      </c>
      <c r="AD826">
        <f>IF(AND(Y826="",AA826=""),"",IF(OR(LEFT(AA826,2)="L0",LEFT(AA826,2)="L1",Y826="No Iniciado"),"CRÍTICO - Incumplimiento Normativo SEPS",IF(AND(OR(LEFT(AA826,2)="L4",LEFT(AA826,2)="L5"),AND(AC826&lt;&gt;"",AC826&lt;&gt;"N/A")),"CONFORME - Control Efectivo ISO 27001","OBSERVACIÓN - Revisar Controles")))</f>
        <v/>
      </c>
    </row>
    <row r="827">
      <c r="A827" s="99" t="inlineStr">
        <is>
          <t>4-GES</t>
        </is>
      </c>
      <c r="B827" s="10" t="inlineStr">
        <is>
          <t>ESTRATÉGICO</t>
        </is>
      </c>
      <c r="C827" s="10" t="inlineStr">
        <is>
          <t xml:space="preserve">Gestión Estratégica </t>
        </is>
      </c>
      <c r="D827" s="10" t="inlineStr">
        <is>
          <t>GES</t>
        </is>
      </c>
      <c r="E827" s="10" t="inlineStr">
        <is>
          <t xml:space="preserve">Planificación Estratégica </t>
        </is>
      </c>
      <c r="F827" s="10" t="inlineStr">
        <is>
          <t>-</t>
        </is>
      </c>
      <c r="G827" s="10" t="inlineStr">
        <is>
          <t xml:space="preserve">Análisis de la situación actual </t>
        </is>
      </c>
      <c r="H827" s="10" t="inlineStr">
        <is>
          <t>Cronograma de trabajo</t>
        </is>
      </c>
      <c r="I827" s="10" t="inlineStr">
        <is>
          <t>Lista de actividades para la construción del plan</t>
        </is>
      </c>
      <c r="J827" s="10" t="inlineStr">
        <is>
          <t>JEFE DE PLANIFICACIÓN Y PROCESOS</t>
        </is>
      </c>
      <c r="K827" s="10" t="inlineStr">
        <is>
          <t>JEFE DE PLANIFICACIÓN Y PROCESOS</t>
        </is>
      </c>
      <c r="L827" s="10" t="inlineStr">
        <is>
          <t>UBICACIÓN DIGITAL-EQUIPO DEL CUSTODIO</t>
        </is>
      </c>
      <c r="M827" s="10" t="inlineStr">
        <is>
          <t>DOCUMENTO DE ARCHIVO-ELECTRÓNICO</t>
        </is>
      </c>
      <c r="N827" s="10" t="inlineStr">
        <is>
          <t>PRIMARIOS</t>
        </is>
      </c>
      <c r="O827" s="10" t="inlineStr">
        <is>
          <t>DOCUMENTOS TÉCNICOS</t>
        </is>
      </c>
      <c r="P827" s="10" t="inlineStr">
        <is>
          <t>PUBLICA(1)</t>
        </is>
      </c>
      <c r="Q827" s="10" t="inlineStr">
        <is>
          <t>BAJA(1)</t>
        </is>
      </c>
      <c r="R827" s="10" t="inlineStr">
        <is>
          <t>BAJA(1)</t>
        </is>
      </c>
      <c r="S827" s="10">
        <f>+(IF(P827="PUBLICA(1)",1,IF(P827="USO INTERNO(2)",2,IF(P827="RESTRINGIDO(3)",3,3))))+(IF(Q827="BAJA(1)",1,IF(Q827="MEDIA(2)",2,IF(Q827="ALTA(3)",3,3))))+(IF(R827="BAJA(1)",1,IF(R827="MEDIA(2)",2,IF(R827="ALTA(3)",3,3))))</f>
        <v/>
      </c>
      <c r="T827" s="10">
        <f>+IF(S827&lt;6,"BAJA",IF(S827&lt;8,"MEDIA","ALTA"))</f>
        <v/>
      </c>
      <c r="U827" s="10" t="inlineStr">
        <is>
          <t>-</t>
        </is>
      </c>
      <c r="V827" s="24" t="n">
        <v>45681</v>
      </c>
      <c r="W827" s="19" t="inlineStr">
        <is>
          <t>N/A</t>
        </is>
      </c>
      <c r="X827" s="10">
        <f>+IFERROR(IF(VLOOKUP(Tabla2[[#This Row],[ID]],'EVALUACION DE RIESGO'!A:A,1,FALSE)=Tabla2[[#This Row],[ID]],"SI","NO"),"NO")</f>
        <v/>
      </c>
      <c r="AD827">
        <f>IF(AND(Y827="",AA827=""),"",IF(OR(LEFT(AA827,2)="L0",LEFT(AA827,2)="L1",Y827="No Iniciado"),"CRÍTICO - Incumplimiento Normativo SEPS",IF(AND(OR(LEFT(AA827,2)="L4",LEFT(AA827,2)="L5"),AND(AC827&lt;&gt;"",AC827&lt;&gt;"N/A")),"CONFORME - Control Efectivo ISO 27001","OBSERVACIÓN - Revisar Controles")))</f>
        <v/>
      </c>
    </row>
    <row r="828">
      <c r="A828" s="99" t="inlineStr">
        <is>
          <t>5-GES</t>
        </is>
      </c>
      <c r="B828" s="10" t="inlineStr">
        <is>
          <t>ESTRATÉGICO</t>
        </is>
      </c>
      <c r="C828" s="10" t="inlineStr">
        <is>
          <t xml:space="preserve">Gestión Estratégica </t>
        </is>
      </c>
      <c r="D828" s="10" t="inlineStr">
        <is>
          <t>GES</t>
        </is>
      </c>
      <c r="E828" s="10" t="inlineStr">
        <is>
          <t xml:space="preserve">Planificación Estratégica </t>
        </is>
      </c>
      <c r="F828" s="10" t="inlineStr">
        <is>
          <t>-</t>
        </is>
      </c>
      <c r="G828" s="10" t="inlineStr">
        <is>
          <t xml:space="preserve">Análisis de la situación actual </t>
        </is>
      </c>
      <c r="H828" s="10" t="inlineStr">
        <is>
          <t>Email de solicitud de insumos</t>
        </is>
      </c>
      <c r="I828" s="10" t="inlineStr">
        <is>
          <t>Solicitud de requerimientos</t>
        </is>
      </c>
      <c r="J828" s="10" t="inlineStr">
        <is>
          <t>JEFE DE PLANIFICACIÓN Y PROCESOS</t>
        </is>
      </c>
      <c r="K828" s="10" t="inlineStr">
        <is>
          <t>JEFE DE PLANIFICACIÓN Y PROCESOS</t>
        </is>
      </c>
      <c r="L828" s="10" t="inlineStr">
        <is>
          <t>UBICACIÓN DIGITAL-EQUIPO DEL CUSTODIO</t>
        </is>
      </c>
      <c r="M828" s="10" t="inlineStr">
        <is>
          <t>DOCUMENTO DE ARCHIVO-ELECTRÓNICO</t>
        </is>
      </c>
      <c r="N828" s="10" t="inlineStr">
        <is>
          <t>PRIMARIOS</t>
        </is>
      </c>
      <c r="O828" s="10" t="inlineStr">
        <is>
          <t>DOCUMENTOS TÉCNICOS</t>
        </is>
      </c>
      <c r="P828" s="10" t="inlineStr">
        <is>
          <t>PUBLICA(1)</t>
        </is>
      </c>
      <c r="Q828" s="10" t="inlineStr">
        <is>
          <t>BAJA(1)</t>
        </is>
      </c>
      <c r="R828" s="10" t="inlineStr">
        <is>
          <t>BAJA(1)</t>
        </is>
      </c>
      <c r="S828" s="10">
        <f>+(IF(P828="PUBLICA(1)",1,IF(P828="USO INTERNO(2)",2,IF(P828="RESTRINGIDO(3)",3,3))))+(IF(Q828="BAJA(1)",1,IF(Q828="MEDIA(2)",2,IF(Q828="ALTA(3)",3,3))))+(IF(R828="BAJA(1)",1,IF(R828="MEDIA(2)",2,IF(R828="ALTA(3)",3,3))))</f>
        <v/>
      </c>
      <c r="T828" s="10">
        <f>+IF(S828&lt;6,"BAJA",IF(S828&lt;8,"MEDIA","ALTA"))</f>
        <v/>
      </c>
      <c r="U828" s="10" t="inlineStr">
        <is>
          <t>-</t>
        </is>
      </c>
      <c r="V828" s="24" t="n">
        <v>45681</v>
      </c>
      <c r="W828" s="19" t="inlineStr">
        <is>
          <t>N/A</t>
        </is>
      </c>
      <c r="X828" s="10">
        <f>+IFERROR(IF(VLOOKUP(Tabla2[[#This Row],[ID]],'EVALUACION DE RIESGO'!A:A,1,FALSE)=Tabla2[[#This Row],[ID]],"SI","NO"),"NO")</f>
        <v/>
      </c>
      <c r="AD828">
        <f>IF(AND(Y828="",AA828=""),"",IF(OR(LEFT(AA828,2)="L0",LEFT(AA828,2)="L1",Y828="No Iniciado"),"CRÍTICO - Incumplimiento Normativo SEPS",IF(AND(OR(LEFT(AA828,2)="L4",LEFT(AA828,2)="L5"),AND(AC828&lt;&gt;"",AC828&lt;&gt;"N/A")),"CONFORME - Control Efectivo ISO 27001","OBSERVACIÓN - Revisar Controles")))</f>
        <v/>
      </c>
    </row>
    <row r="829">
      <c r="A829" s="99" t="inlineStr">
        <is>
          <t>6-GES</t>
        </is>
      </c>
      <c r="B829" s="10" t="inlineStr">
        <is>
          <t>ESTRATÉGICO</t>
        </is>
      </c>
      <c r="C829" s="10" t="inlineStr">
        <is>
          <t xml:space="preserve">Gestión Estratégica </t>
        </is>
      </c>
      <c r="D829" s="10" t="inlineStr">
        <is>
          <t>GES</t>
        </is>
      </c>
      <c r="E829" s="10" t="inlineStr">
        <is>
          <t xml:space="preserve">Planificación Estratégica </t>
        </is>
      </c>
      <c r="F829" s="10" t="inlineStr">
        <is>
          <t>-</t>
        </is>
      </c>
      <c r="G829" s="10" t="inlineStr">
        <is>
          <t xml:space="preserve">Análisis de la situación actual </t>
        </is>
      </c>
      <c r="H829" s="10" t="inlineStr">
        <is>
          <t>Estudios de mercado y de competencia</t>
        </is>
      </c>
      <c r="I829" s="10" t="inlineStr">
        <is>
          <t>Estudio para analizar la factibilidad de aperturas de oficina o lanzamiento de servicios</t>
        </is>
      </c>
      <c r="J829" s="10" t="inlineStr">
        <is>
          <t>GERENTE DE NEGOCIOS</t>
        </is>
      </c>
      <c r="K829" s="10" t="inlineStr">
        <is>
          <t>JEFE DE PLANIFICACIÓN Y PROCESOS</t>
        </is>
      </c>
      <c r="L829" s="10" t="inlineStr">
        <is>
          <t>UBICACIÓN DIGITAL-EQUIPO DEL CUSTODIO</t>
        </is>
      </c>
      <c r="M829" s="10" t="inlineStr">
        <is>
          <t>DOCUMENTO DE ARCHIVO-ELECTRÓNICO</t>
        </is>
      </c>
      <c r="N829" s="10" t="inlineStr">
        <is>
          <t>PRIMARIOS</t>
        </is>
      </c>
      <c r="O829" s="10" t="inlineStr">
        <is>
          <t>DOCUMENTOS TÉCNICOS</t>
        </is>
      </c>
      <c r="P829" s="10" t="inlineStr">
        <is>
          <t>USO INTERNO(2)</t>
        </is>
      </c>
      <c r="Q829" s="10" t="inlineStr">
        <is>
          <t>MEDIA(2)</t>
        </is>
      </c>
      <c r="R829" s="10" t="inlineStr">
        <is>
          <t>MEDIA(2)</t>
        </is>
      </c>
      <c r="S829" s="10">
        <f>+(IF(P829="PUBLICA(1)",1,IF(P829="USO INTERNO(2)",2,IF(P829="RESTRINGIDO(3)",3,3))))+(IF(Q829="BAJA(1)",1,IF(Q829="MEDIA(2)",2,IF(Q829="ALTA(3)",3,3))))+(IF(R829="BAJA(1)",1,IF(R829="MEDIA(2)",2,IF(R829="ALTA(3)",3,3))))</f>
        <v/>
      </c>
      <c r="T829" s="10">
        <f>+IF(S829&lt;6,"BAJA",IF(S829&lt;8,"MEDIA","ALTA"))</f>
        <v/>
      </c>
      <c r="U829" s="10" t="inlineStr">
        <is>
          <t>-</t>
        </is>
      </c>
      <c r="V829" s="24" t="n">
        <v>45681</v>
      </c>
      <c r="W829" s="19" t="inlineStr">
        <is>
          <t>N/A</t>
        </is>
      </c>
      <c r="X829" s="10">
        <f>+IFERROR(IF(VLOOKUP(Tabla2[[#This Row],[ID]],'EVALUACION DE RIESGO'!A:A,1,FALSE)=Tabla2[[#This Row],[ID]],"SI","NO"),"NO")</f>
        <v/>
      </c>
      <c r="AD829">
        <f>IF(AND(Y829="",AA829=""),"",IF(OR(LEFT(AA829,2)="L0",LEFT(AA829,2)="L1",Y829="No Iniciado"),"CRÍTICO - Incumplimiento Normativo SEPS",IF(AND(OR(LEFT(AA829,2)="L4",LEFT(AA829,2)="L5"),AND(AC829&lt;&gt;"",AC829&lt;&gt;"N/A")),"CONFORME - Control Efectivo ISO 27001","OBSERVACIÓN - Revisar Controles")))</f>
        <v/>
      </c>
    </row>
    <row r="830">
      <c r="A830" s="99" t="inlineStr">
        <is>
          <t>7-GES</t>
        </is>
      </c>
      <c r="B830" s="10" t="inlineStr">
        <is>
          <t>ESTRATÉGICO</t>
        </is>
      </c>
      <c r="C830" s="10" t="inlineStr">
        <is>
          <t xml:space="preserve">Gestión Estratégica </t>
        </is>
      </c>
      <c r="D830" s="10" t="inlineStr">
        <is>
          <t>GES</t>
        </is>
      </c>
      <c r="E830" s="10" t="inlineStr">
        <is>
          <t xml:space="preserve">Planificación Estratégica </t>
        </is>
      </c>
      <c r="F830" s="10" t="inlineStr">
        <is>
          <t>-</t>
        </is>
      </c>
      <c r="G830" s="10" t="inlineStr">
        <is>
          <t xml:space="preserve">Análisis de la situación actual </t>
        </is>
      </c>
      <c r="H830" s="10" t="inlineStr">
        <is>
          <t>Estudios de clima laboral</t>
        </is>
      </c>
      <c r="I830" s="10" t="inlineStr">
        <is>
          <t>Documento de satisfacción de los empleados en el lugar de trabajo</t>
        </is>
      </c>
      <c r="J830" s="10" t="inlineStr">
        <is>
          <t>GERENTE DE TALENTO HUMANO</t>
        </is>
      </c>
      <c r="K830" s="10" t="inlineStr">
        <is>
          <t>JEFE DE PLANIFICACIÓN Y PROCESOS</t>
        </is>
      </c>
      <c r="L830" s="10" t="inlineStr">
        <is>
          <t>UBICACIÓN DIGITAL-EQUIPO DEL CUSTODIO</t>
        </is>
      </c>
      <c r="M830" s="10" t="inlineStr">
        <is>
          <t>DOCUMENTO DE ARCHIVO-ELECTRÓNICO</t>
        </is>
      </c>
      <c r="N830" s="10" t="inlineStr">
        <is>
          <t>PRIMARIOS</t>
        </is>
      </c>
      <c r="O830" s="10" t="inlineStr">
        <is>
          <t>DOCUMENTOS TÉCNICOS</t>
        </is>
      </c>
      <c r="P830" s="10" t="inlineStr">
        <is>
          <t>PUBLICA(1)</t>
        </is>
      </c>
      <c r="Q830" s="10" t="inlineStr">
        <is>
          <t>BAJA(1)</t>
        </is>
      </c>
      <c r="R830" s="10" t="inlineStr">
        <is>
          <t>BAJA(1)</t>
        </is>
      </c>
      <c r="S830" s="10">
        <f>+(IF(P830="PUBLICA(1)",1,IF(P830="USO INTERNO(2)",2,IF(P830="RESTRINGIDO(3)",3,3))))+(IF(Q830="BAJA(1)",1,IF(Q830="MEDIA(2)",2,IF(Q830="ALTA(3)",3,3))))+(IF(R830="BAJA(1)",1,IF(R830="MEDIA(2)",2,IF(R830="ALTA(3)",3,3))))</f>
        <v/>
      </c>
      <c r="T830" s="10">
        <f>+IF(S830&lt;6,"BAJA",IF(S830&lt;8,"MEDIA","ALTA"))</f>
        <v/>
      </c>
      <c r="U830" s="10" t="inlineStr">
        <is>
          <t>-</t>
        </is>
      </c>
      <c r="V830" s="24" t="n">
        <v>45681</v>
      </c>
      <c r="W830" s="19" t="inlineStr">
        <is>
          <t>N/A</t>
        </is>
      </c>
      <c r="X830" s="10">
        <f>+IFERROR(IF(VLOOKUP(Tabla2[[#This Row],[ID]],'EVALUACION DE RIESGO'!A:A,1,FALSE)=Tabla2[[#This Row],[ID]],"SI","NO"),"NO")</f>
        <v/>
      </c>
      <c r="AD830">
        <f>IF(AND(Y830="",AA830=""),"",IF(OR(LEFT(AA830,2)="L0",LEFT(AA830,2)="L1",Y830="No Iniciado"),"CRÍTICO - Incumplimiento Normativo SEPS",IF(AND(OR(LEFT(AA830,2)="L4",LEFT(AA830,2)="L5"),AND(AC830&lt;&gt;"",AC830&lt;&gt;"N/A")),"CONFORME - Control Efectivo ISO 27001","OBSERVACIÓN - Revisar Controles")))</f>
        <v/>
      </c>
    </row>
    <row r="831">
      <c r="A831" s="99" t="inlineStr">
        <is>
          <t>8-GES</t>
        </is>
      </c>
      <c r="B831" s="10" t="inlineStr">
        <is>
          <t>ESTRATÉGICO</t>
        </is>
      </c>
      <c r="C831" s="10" t="inlineStr">
        <is>
          <t xml:space="preserve">Gestión Estratégica </t>
        </is>
      </c>
      <c r="D831" s="10" t="inlineStr">
        <is>
          <t>GES</t>
        </is>
      </c>
      <c r="E831" s="10" t="inlineStr">
        <is>
          <t xml:space="preserve">Planificación Estratégica </t>
        </is>
      </c>
      <c r="F831" s="10" t="inlineStr">
        <is>
          <t>-</t>
        </is>
      </c>
      <c r="G831" s="10" t="inlineStr">
        <is>
          <t xml:space="preserve">Análisis de la situación actual </t>
        </is>
      </c>
      <c r="H831" s="10" t="inlineStr">
        <is>
          <t>Estudios de satisfacción al cliente</t>
        </is>
      </c>
      <c r="I831" s="10" t="inlineStr">
        <is>
          <t>Documento de satisfacción de los clientes</t>
        </is>
      </c>
      <c r="J831" s="10" t="inlineStr">
        <is>
          <t>JEFE DE ATENCIÓN AL CLIENTE</t>
        </is>
      </c>
      <c r="K831" s="10" t="inlineStr">
        <is>
          <t>JEFE DE PLANIFICACIÓN Y PROCESOS</t>
        </is>
      </c>
      <c r="L831" s="10" t="inlineStr">
        <is>
          <t>UBICACIÓN DIGITAL-EQUIPO DEL CUSTODIO</t>
        </is>
      </c>
      <c r="M831" s="10" t="inlineStr">
        <is>
          <t>DOCUMENTO DE ARCHIVO-ELECTRÓNICO</t>
        </is>
      </c>
      <c r="N831" s="10" t="inlineStr">
        <is>
          <t>PRIMARIOS</t>
        </is>
      </c>
      <c r="O831" s="10" t="inlineStr">
        <is>
          <t>DOCUMENTOS TÉCNICOS</t>
        </is>
      </c>
      <c r="P831" s="10" t="inlineStr">
        <is>
          <t>USO INTERNO(2)</t>
        </is>
      </c>
      <c r="Q831" s="10" t="inlineStr">
        <is>
          <t>BAJA(1)</t>
        </is>
      </c>
      <c r="R831" s="10" t="inlineStr">
        <is>
          <t>BAJA(1)</t>
        </is>
      </c>
      <c r="S831" s="10">
        <f>+(IF(P831="PUBLICA(1)",1,IF(P831="USO INTERNO(2)",2,IF(P831="RESTRINGIDO(3)",3,3))))+(IF(Q831="BAJA(1)",1,IF(Q831="MEDIA(2)",2,IF(Q831="ALTA(3)",3,3))))+(IF(R831="BAJA(1)",1,IF(R831="MEDIA(2)",2,IF(R831="ALTA(3)",3,3))))</f>
        <v/>
      </c>
      <c r="T831" s="10">
        <f>+IF(S831&lt;6,"BAJA",IF(S831&lt;8,"MEDIA","ALTA"))</f>
        <v/>
      </c>
      <c r="U831" s="10" t="inlineStr">
        <is>
          <t>-</t>
        </is>
      </c>
      <c r="V831" s="24" t="n">
        <v>45681</v>
      </c>
      <c r="W831" s="19" t="inlineStr">
        <is>
          <t>N/A</t>
        </is>
      </c>
      <c r="X831" s="10">
        <f>+IFERROR(IF(VLOOKUP(Tabla2[[#This Row],[ID]],'EVALUACION DE RIESGO'!A:A,1,FALSE)=Tabla2[[#This Row],[ID]],"SI","NO"),"NO")</f>
        <v/>
      </c>
      <c r="AD831">
        <f>IF(AND(Y831="",AA831=""),"",IF(OR(LEFT(AA831,2)="L0",LEFT(AA831,2)="L1",Y831="No Iniciado"),"CRÍTICO - Incumplimiento Normativo SEPS",IF(AND(OR(LEFT(AA831,2)="L4",LEFT(AA831,2)="L5"),AND(AC831&lt;&gt;"",AC831&lt;&gt;"N/A")),"CONFORME - Control Efectivo ISO 27001","OBSERVACIÓN - Revisar Controles")))</f>
        <v/>
      </c>
    </row>
    <row r="832">
      <c r="A832" s="99" t="inlineStr">
        <is>
          <t>9-GES</t>
        </is>
      </c>
      <c r="B832" s="10" t="inlineStr">
        <is>
          <t>ESTRATÉGICO</t>
        </is>
      </c>
      <c r="C832" s="10" t="inlineStr">
        <is>
          <t xml:space="preserve">Gestión Estratégica </t>
        </is>
      </c>
      <c r="D832" s="10" t="inlineStr">
        <is>
          <t>GES</t>
        </is>
      </c>
      <c r="E832" s="10" t="inlineStr">
        <is>
          <t xml:space="preserve">Planificación Estratégica </t>
        </is>
      </c>
      <c r="F832" s="10" t="inlineStr">
        <is>
          <t>-</t>
        </is>
      </c>
      <c r="G832" s="10" t="inlineStr">
        <is>
          <t xml:space="preserve">Análisis de la situación actual </t>
        </is>
      </c>
      <c r="H832" s="10" t="inlineStr">
        <is>
          <t>Análisis de Macrotendencias</t>
        </is>
      </c>
      <c r="I832" s="10" t="inlineStr">
        <is>
          <t>Pautas para saber las tendencias mundiales, referente a la tecnologia que pueden impactar a la coac</t>
        </is>
      </c>
      <c r="J832" s="10" t="inlineStr">
        <is>
          <t>JEFE DE PLANIFICACIÓN Y PROCESOS</t>
        </is>
      </c>
      <c r="K832" s="10" t="inlineStr">
        <is>
          <t>JEFE DE PLANIFICACIÓN Y PROCESOS</t>
        </is>
      </c>
      <c r="L832" s="10" t="inlineStr">
        <is>
          <t>UBICACIÓN DIGITAL-EQUIPO DEL CUSTODIO</t>
        </is>
      </c>
      <c r="M832" s="10" t="inlineStr">
        <is>
          <t>DOCUMENTO DE ARCHIVO-ELECTRÓNICO</t>
        </is>
      </c>
      <c r="N832" s="10" t="inlineStr">
        <is>
          <t>PRIMARIOS</t>
        </is>
      </c>
      <c r="O832" s="10" t="inlineStr">
        <is>
          <t>DOCUMENTOS TÉCNICOS</t>
        </is>
      </c>
      <c r="P832" s="10" t="inlineStr">
        <is>
          <t>PUBLICA(1)</t>
        </is>
      </c>
      <c r="Q832" s="10" t="inlineStr">
        <is>
          <t>BAJA(1)</t>
        </is>
      </c>
      <c r="R832" s="10" t="inlineStr">
        <is>
          <t>BAJA(1)</t>
        </is>
      </c>
      <c r="S832" s="10">
        <f>+(IF(P832="PUBLICA(1)",1,IF(P832="USO INTERNO(2)",2,IF(P832="RESTRINGIDO(3)",3,3))))+(IF(Q832="BAJA(1)",1,IF(Q832="MEDIA(2)",2,IF(Q832="ALTA(3)",3,3))))+(IF(R832="BAJA(1)",1,IF(R832="MEDIA(2)",2,IF(R832="ALTA(3)",3,3))))</f>
        <v/>
      </c>
      <c r="T832" s="10">
        <f>+IF(S832&lt;6,"BAJA",IF(S832&lt;8,"MEDIA","ALTA"))</f>
        <v/>
      </c>
      <c r="U832" s="10" t="inlineStr">
        <is>
          <t>-</t>
        </is>
      </c>
      <c r="V832" s="24" t="n">
        <v>45681</v>
      </c>
      <c r="W832" s="19" t="inlineStr">
        <is>
          <t>N/A</t>
        </is>
      </c>
      <c r="X832" s="10">
        <f>+IFERROR(IF(VLOOKUP(Tabla2[[#This Row],[ID]],'EVALUACION DE RIESGO'!A:A,1,FALSE)=Tabla2[[#This Row],[ID]],"SI","NO"),"NO")</f>
        <v/>
      </c>
      <c r="AD832">
        <f>IF(AND(Y832="",AA832=""),"",IF(OR(LEFT(AA832,2)="L0",LEFT(AA832,2)="L1",Y832="No Iniciado"),"CRÍTICO - Incumplimiento Normativo SEPS",IF(AND(OR(LEFT(AA832,2)="L4",LEFT(AA832,2)="L5"),AND(AC832&lt;&gt;"",AC832&lt;&gt;"N/A")),"CONFORME - Control Efectivo ISO 27001","OBSERVACIÓN - Revisar Controles")))</f>
        <v/>
      </c>
    </row>
    <row r="833">
      <c r="A833" s="99" t="inlineStr">
        <is>
          <t>10-GES</t>
        </is>
      </c>
      <c r="B833" s="10" t="inlineStr">
        <is>
          <t>ESTRATÉGICO</t>
        </is>
      </c>
      <c r="C833" s="10" t="inlineStr">
        <is>
          <t xml:space="preserve">Gestión Estratégica </t>
        </is>
      </c>
      <c r="D833" s="10" t="inlineStr">
        <is>
          <t>GES</t>
        </is>
      </c>
      <c r="E833" s="10" t="inlineStr">
        <is>
          <t xml:space="preserve">Planificación Estratégica </t>
        </is>
      </c>
      <c r="F833" s="10" t="inlineStr">
        <is>
          <t>-</t>
        </is>
      </c>
      <c r="G833" s="10" t="inlineStr">
        <is>
          <t xml:space="preserve">Análisis de la situación actual </t>
        </is>
      </c>
      <c r="H833" s="10" t="inlineStr">
        <is>
          <t>Análisis financiero nacional, del segmento y de la Cooperativa</t>
        </is>
      </c>
      <c r="I833" s="10" t="inlineStr">
        <is>
          <t>Documento interno con datos externos con indicadores de la competencia</t>
        </is>
      </c>
      <c r="J833" s="10" t="inlineStr">
        <is>
          <t>GERENTE FINANCIERO</t>
        </is>
      </c>
      <c r="K833" s="10" t="inlineStr">
        <is>
          <t>JEFE DE PLANIFICACIÓN Y PROCESOS</t>
        </is>
      </c>
      <c r="L833" s="10" t="inlineStr">
        <is>
          <t>UBICACIÓN DIGITAL-EQUIPO DEL CUSTODIO</t>
        </is>
      </c>
      <c r="M833" s="10" t="inlineStr">
        <is>
          <t>DOCUMENTO DE ARCHIVO-ELECTRÓNICO</t>
        </is>
      </c>
      <c r="N833" s="10" t="inlineStr">
        <is>
          <t>PRIMARIOS</t>
        </is>
      </c>
      <c r="O833" s="10" t="inlineStr">
        <is>
          <t>DOCUMENTOS TÉCNICOS</t>
        </is>
      </c>
      <c r="P833" s="10" t="inlineStr">
        <is>
          <t>PUBLICA(1)</t>
        </is>
      </c>
      <c r="Q833" s="10" t="inlineStr">
        <is>
          <t>BAJA(1)</t>
        </is>
      </c>
      <c r="R833" s="10" t="inlineStr">
        <is>
          <t>BAJA(1)</t>
        </is>
      </c>
      <c r="S833" s="10">
        <f>+(IF(P833="PUBLICA(1)",1,IF(P833="USO INTERNO(2)",2,IF(P833="RESTRINGIDO(3)",3,3))))+(IF(Q833="BAJA(1)",1,IF(Q833="MEDIA(2)",2,IF(Q833="ALTA(3)",3,3))))+(IF(R833="BAJA(1)",1,IF(R833="MEDIA(2)",2,IF(R833="ALTA(3)",3,3))))</f>
        <v/>
      </c>
      <c r="T833" s="10">
        <f>+IF(S833&lt;6,"BAJA",IF(S833&lt;8,"MEDIA","ALTA"))</f>
        <v/>
      </c>
      <c r="U833" s="10" t="inlineStr">
        <is>
          <t>-</t>
        </is>
      </c>
      <c r="V833" s="24" t="n">
        <v>45681</v>
      </c>
      <c r="W833" s="19" t="inlineStr">
        <is>
          <t>N/A</t>
        </is>
      </c>
      <c r="X833" s="10">
        <f>+IFERROR(IF(VLOOKUP(Tabla2[[#This Row],[ID]],'EVALUACION DE RIESGO'!A:A,1,FALSE)=Tabla2[[#This Row],[ID]],"SI","NO"),"NO")</f>
        <v/>
      </c>
      <c r="AD833">
        <f>IF(AND(Y833="",AA833=""),"",IF(OR(LEFT(AA833,2)="L0",LEFT(AA833,2)="L1",Y833="No Iniciado"),"CRÍTICO - Incumplimiento Normativo SEPS",IF(AND(OR(LEFT(AA833,2)="L4",LEFT(AA833,2)="L5"),AND(AC833&lt;&gt;"",AC833&lt;&gt;"N/A")),"CONFORME - Control Efectivo ISO 27001","OBSERVACIÓN - Revisar Controles")))</f>
        <v/>
      </c>
    </row>
    <row r="834">
      <c r="A834" s="99" t="inlineStr">
        <is>
          <t>11-GES</t>
        </is>
      </c>
      <c r="B834" s="10" t="inlineStr">
        <is>
          <t>ESTRATÉGICO</t>
        </is>
      </c>
      <c r="C834" s="10" t="inlineStr">
        <is>
          <t xml:space="preserve">Gestión Estratégica </t>
        </is>
      </c>
      <c r="D834" s="10" t="inlineStr">
        <is>
          <t>GES</t>
        </is>
      </c>
      <c r="E834" s="10" t="inlineStr">
        <is>
          <t xml:space="preserve">Planificación Estratégica </t>
        </is>
      </c>
      <c r="F834" s="10" t="inlineStr">
        <is>
          <t>-</t>
        </is>
      </c>
      <c r="G834" s="10" t="inlineStr">
        <is>
          <t xml:space="preserve">Análisis de la situación actual </t>
        </is>
      </c>
      <c r="H834" s="10" t="inlineStr">
        <is>
          <t>Resultados alcanzados en el Plan Estratégico que fenece</t>
        </is>
      </c>
      <c r="I834" s="10" t="inlineStr">
        <is>
          <t>Evaluación del plan estratégico</t>
        </is>
      </c>
      <c r="J834" s="10" t="inlineStr">
        <is>
          <t>JEFE DE PLANIFICACIÓN Y PROCESOS</t>
        </is>
      </c>
      <c r="K834" s="10" t="inlineStr">
        <is>
          <t>JEFE DE PLANIFICACIÓN Y PROCESOS</t>
        </is>
      </c>
      <c r="L834" s="10" t="inlineStr">
        <is>
          <t>UBICACIÓN DIGITAL-EQUIPO DEL CUSTODIO</t>
        </is>
      </c>
      <c r="M834" s="10" t="inlineStr">
        <is>
          <t>DOCUMENTO DE ARCHIVO-ELECTRÓNICO</t>
        </is>
      </c>
      <c r="N834" s="10" t="inlineStr">
        <is>
          <t>PRIMARIOS</t>
        </is>
      </c>
      <c r="O834" s="10" t="inlineStr">
        <is>
          <t>DOCUMENTOS TÉCNICOS</t>
        </is>
      </c>
      <c r="P834" s="10" t="inlineStr">
        <is>
          <t>PUBLICA(1)</t>
        </is>
      </c>
      <c r="Q834" s="10" t="inlineStr">
        <is>
          <t>BAJA(1)</t>
        </is>
      </c>
      <c r="R834" s="10" t="inlineStr">
        <is>
          <t>BAJA(1)</t>
        </is>
      </c>
      <c r="S834" s="10">
        <f>+(IF(P834="PUBLICA(1)",1,IF(P834="USO INTERNO(2)",2,IF(P834="RESTRINGIDO(3)",3,3))))+(IF(Q834="BAJA(1)",1,IF(Q834="MEDIA(2)",2,IF(Q834="ALTA(3)",3,3))))+(IF(R834="BAJA(1)",1,IF(R834="MEDIA(2)",2,IF(R834="ALTA(3)",3,3))))</f>
        <v/>
      </c>
      <c r="T834" s="10">
        <f>+IF(S834&lt;6,"BAJA",IF(S834&lt;8,"MEDIA","ALTA"))</f>
        <v/>
      </c>
      <c r="U834" s="10" t="inlineStr">
        <is>
          <t>-</t>
        </is>
      </c>
      <c r="V834" s="24" t="n">
        <v>45681</v>
      </c>
      <c r="W834" s="19" t="inlineStr">
        <is>
          <t>N/A</t>
        </is>
      </c>
      <c r="X834" s="10">
        <f>+IFERROR(IF(VLOOKUP(Tabla2[[#This Row],[ID]],'EVALUACION DE RIESGO'!A:A,1,FALSE)=Tabla2[[#This Row],[ID]],"SI","NO"),"NO")</f>
        <v/>
      </c>
      <c r="AD834">
        <f>IF(AND(Y834="",AA834=""),"",IF(OR(LEFT(AA834,2)="L0",LEFT(AA834,2)="L1",Y834="No Iniciado"),"CRÍTICO - Incumplimiento Normativo SEPS",IF(AND(OR(LEFT(AA834,2)="L4",LEFT(AA834,2)="L5"),AND(AC834&lt;&gt;"",AC834&lt;&gt;"N/A")),"CONFORME - Control Efectivo ISO 27001","OBSERVACIÓN - Revisar Controles")))</f>
        <v/>
      </c>
    </row>
    <row r="835">
      <c r="A835" s="99" t="inlineStr">
        <is>
          <t>12-GES</t>
        </is>
      </c>
      <c r="B835" s="10" t="inlineStr">
        <is>
          <t>ESTRATÉGICO</t>
        </is>
      </c>
      <c r="C835" s="10" t="inlineStr">
        <is>
          <t xml:space="preserve">Gestión Estratégica </t>
        </is>
      </c>
      <c r="D835" s="10" t="inlineStr">
        <is>
          <t>GES</t>
        </is>
      </c>
      <c r="E835" s="10" t="inlineStr">
        <is>
          <t xml:space="preserve">Planificación Estratégica </t>
        </is>
      </c>
      <c r="F835" s="10" t="inlineStr">
        <is>
          <t>-</t>
        </is>
      </c>
      <c r="G835" s="10" t="inlineStr">
        <is>
          <t xml:space="preserve">Análisis de la situación actual </t>
        </is>
      </c>
      <c r="H835" s="10" t="inlineStr">
        <is>
          <t>Necesidades de los Stakeholders</t>
        </is>
      </c>
      <c r="I835" s="10" t="inlineStr">
        <is>
          <t>Matriz de necesidades de los grupos de interes</t>
        </is>
      </c>
      <c r="J835" s="10" t="inlineStr">
        <is>
          <t>GERENTE DE TALENTO HUMANO</t>
        </is>
      </c>
      <c r="K835" s="10" t="inlineStr">
        <is>
          <t>JEFE DE PLANIFICACIÓN Y PROCESOS</t>
        </is>
      </c>
      <c r="L835" s="10" t="inlineStr">
        <is>
          <t>UBICACIÓN DIGITAL-EQUIPO DEL CUSTODIO</t>
        </is>
      </c>
      <c r="M835" s="10" t="inlineStr">
        <is>
          <t>DOCUMENTO DE ARCHIVO-ELECTRÓNICO</t>
        </is>
      </c>
      <c r="N835" s="10" t="inlineStr">
        <is>
          <t>PRIMARIOS</t>
        </is>
      </c>
      <c r="O835" s="10" t="inlineStr">
        <is>
          <t>DOCUMENTOS TÉCNICOS</t>
        </is>
      </c>
      <c r="P835" s="10" t="inlineStr">
        <is>
          <t>PUBLICA(1)</t>
        </is>
      </c>
      <c r="Q835" s="10" t="inlineStr">
        <is>
          <t>BAJA(1)</t>
        </is>
      </c>
      <c r="R835" s="10" t="inlineStr">
        <is>
          <t>BAJA(1)</t>
        </is>
      </c>
      <c r="S835" s="10">
        <f>+(IF(P835="PUBLICA(1)",1,IF(P835="USO INTERNO(2)",2,IF(P835="RESTRINGIDO(3)",3,3))))+(IF(Q835="BAJA(1)",1,IF(Q835="MEDIA(2)",2,IF(Q835="ALTA(3)",3,3))))+(IF(R835="BAJA(1)",1,IF(R835="MEDIA(2)",2,IF(R835="ALTA(3)",3,3))))</f>
        <v/>
      </c>
      <c r="T835" s="10">
        <f>+IF(S835&lt;6,"BAJA",IF(S835&lt;8,"MEDIA","ALTA"))</f>
        <v/>
      </c>
      <c r="U835" s="10" t="inlineStr">
        <is>
          <t>-</t>
        </is>
      </c>
      <c r="V835" s="24" t="n">
        <v>45681</v>
      </c>
      <c r="W835" s="19" t="inlineStr">
        <is>
          <t>N/A</t>
        </is>
      </c>
      <c r="X835" s="10">
        <f>+IFERROR(IF(VLOOKUP(Tabla2[[#This Row],[ID]],'EVALUACION DE RIESGO'!A:A,1,FALSE)=Tabla2[[#This Row],[ID]],"SI","NO"),"NO")</f>
        <v/>
      </c>
      <c r="AD835">
        <f>IF(AND(Y835="",AA835=""),"",IF(OR(LEFT(AA835,2)="L0",LEFT(AA835,2)="L1",Y835="No Iniciado"),"CRÍTICO - Incumplimiento Normativo SEPS",IF(AND(OR(LEFT(AA835,2)="L4",LEFT(AA835,2)="L5"),AND(AC835&lt;&gt;"",AC835&lt;&gt;"N/A")),"CONFORME - Control Efectivo ISO 27001","OBSERVACIÓN - Revisar Controles")))</f>
        <v/>
      </c>
    </row>
    <row r="836">
      <c r="A836" s="99" t="inlineStr">
        <is>
          <t>13-GES</t>
        </is>
      </c>
      <c r="B836" s="10" t="inlineStr">
        <is>
          <t>ESTRATÉGICO</t>
        </is>
      </c>
      <c r="C836" s="10" t="inlineStr">
        <is>
          <t xml:space="preserve">Gestión Estratégica </t>
        </is>
      </c>
      <c r="D836" s="10" t="inlineStr">
        <is>
          <t>GES</t>
        </is>
      </c>
      <c r="E836" s="10" t="inlineStr">
        <is>
          <t xml:space="preserve">Planificación Estratégica </t>
        </is>
      </c>
      <c r="F836" s="10" t="inlineStr">
        <is>
          <t>-</t>
        </is>
      </c>
      <c r="G836" s="10" t="inlineStr">
        <is>
          <t xml:space="preserve">Análisis de la situación actual </t>
        </is>
      </c>
      <c r="H836" s="10" t="inlineStr">
        <is>
          <t xml:space="preserve">FODA por departamento </t>
        </is>
      </c>
      <c r="I836" s="10" t="inlineStr">
        <is>
          <t>Resultados de la aplicación de la metodologia</t>
        </is>
      </c>
      <c r="J836" s="10" t="inlineStr">
        <is>
          <t>JEFE DE PLANIFICACIÓN Y PROCESOS</t>
        </is>
      </c>
      <c r="K836" s="10" t="inlineStr">
        <is>
          <t>JEFE DE PLANIFICACIÓN Y PROCESOS</t>
        </is>
      </c>
      <c r="L836" s="10" t="inlineStr">
        <is>
          <t>UBICACIÓN DIGITAL-EQUIPO DEL CUSTODIO</t>
        </is>
      </c>
      <c r="M836" s="10" t="inlineStr">
        <is>
          <t>DOCUMENTO DE ARCHIVO-ELECTRÓNICO</t>
        </is>
      </c>
      <c r="N836" s="10" t="inlineStr">
        <is>
          <t>PRIMARIOS</t>
        </is>
      </c>
      <c r="O836" s="10" t="inlineStr">
        <is>
          <t>DOCUMENTOS TÉCNICOS</t>
        </is>
      </c>
      <c r="P836" s="10" t="inlineStr">
        <is>
          <t>PUBLICA(1)</t>
        </is>
      </c>
      <c r="Q836" s="10" t="inlineStr">
        <is>
          <t>BAJA(1)</t>
        </is>
      </c>
      <c r="R836" s="10" t="inlineStr">
        <is>
          <t>BAJA(1)</t>
        </is>
      </c>
      <c r="S836" s="10">
        <f>+(IF(P836="PUBLICA(1)",1,IF(P836="USO INTERNO(2)",2,IF(P836="RESTRINGIDO(3)",3,3))))+(IF(Q836="BAJA(1)",1,IF(Q836="MEDIA(2)",2,IF(Q836="ALTA(3)",3,3))))+(IF(R836="BAJA(1)",1,IF(R836="MEDIA(2)",2,IF(R836="ALTA(3)",3,3))))</f>
        <v/>
      </c>
      <c r="T836" s="10">
        <f>+IF(S836&lt;6,"BAJA",IF(S836&lt;8,"MEDIA","ALTA"))</f>
        <v/>
      </c>
      <c r="U836" s="10" t="inlineStr">
        <is>
          <t>-</t>
        </is>
      </c>
      <c r="V836" s="24" t="n">
        <v>45681</v>
      </c>
      <c r="W836" s="19" t="inlineStr">
        <is>
          <t>N/A</t>
        </is>
      </c>
      <c r="X836" s="10">
        <f>+IFERROR(IF(VLOOKUP(Tabla2[[#This Row],[ID]],'EVALUACION DE RIESGO'!A:A,1,FALSE)=Tabla2[[#This Row],[ID]],"SI","NO"),"NO")</f>
        <v/>
      </c>
      <c r="AD836">
        <f>IF(AND(Y836="",AA836=""),"",IF(OR(LEFT(AA836,2)="L0",LEFT(AA836,2)="L1",Y836="No Iniciado"),"CRÍTICO - Incumplimiento Normativo SEPS",IF(AND(OR(LEFT(AA836,2)="L4",LEFT(AA836,2)="L5"),AND(AC836&lt;&gt;"",AC836&lt;&gt;"N/A")),"CONFORME - Control Efectivo ISO 27001","OBSERVACIÓN - Revisar Controles")))</f>
        <v/>
      </c>
    </row>
    <row r="837">
      <c r="A837" s="99" t="inlineStr">
        <is>
          <t>14-GES</t>
        </is>
      </c>
      <c r="B837" s="10" t="inlineStr">
        <is>
          <t>ESTRATÉGICO</t>
        </is>
      </c>
      <c r="C837" s="10" t="inlineStr">
        <is>
          <t xml:space="preserve">Gestión Estratégica </t>
        </is>
      </c>
      <c r="D837" s="10" t="inlineStr">
        <is>
          <t>GES</t>
        </is>
      </c>
      <c r="E837" s="10" t="inlineStr">
        <is>
          <t xml:space="preserve">Planificación Estratégica </t>
        </is>
      </c>
      <c r="F837" s="10" t="inlineStr">
        <is>
          <t>-</t>
        </is>
      </c>
      <c r="G837" s="10" t="inlineStr">
        <is>
          <t xml:space="preserve">Análisis de la situación actual </t>
        </is>
      </c>
      <c r="H837" s="10" t="inlineStr">
        <is>
          <t>Resultados de encuestas o entrevistas a los grupos de interés</t>
        </is>
      </c>
      <c r="I837" s="10" t="inlineStr">
        <is>
          <t>Estadisticas de las encuentas</t>
        </is>
      </c>
      <c r="J837" s="10" t="inlineStr">
        <is>
          <t>JEFE DE PLANIFICACIÓN Y PROCESOS</t>
        </is>
      </c>
      <c r="K837" s="10" t="inlineStr">
        <is>
          <t>JEFE DE PLANIFICACIÓN Y PROCESOS</t>
        </is>
      </c>
      <c r="L837" s="10" t="inlineStr">
        <is>
          <t>UBICACIÓN DIGITAL-EQUIPO DEL CUSTODIO</t>
        </is>
      </c>
      <c r="M837" s="10" t="inlineStr">
        <is>
          <t>DOCUMENTO DE ARCHIVO-ELECTRÓNICO</t>
        </is>
      </c>
      <c r="N837" s="10" t="inlineStr">
        <is>
          <t>PRIMARIOS</t>
        </is>
      </c>
      <c r="O837" s="10" t="inlineStr">
        <is>
          <t>DOCUMENTOS TÉCNICOS</t>
        </is>
      </c>
      <c r="P837" s="10" t="inlineStr">
        <is>
          <t>PUBLICA(1)</t>
        </is>
      </c>
      <c r="Q837" s="10" t="inlineStr">
        <is>
          <t>BAJA(1)</t>
        </is>
      </c>
      <c r="R837" s="10" t="inlineStr">
        <is>
          <t>BAJA(1)</t>
        </is>
      </c>
      <c r="S837" s="10">
        <f>+(IF(P837="PUBLICA(1)",1,IF(P837="USO INTERNO(2)",2,IF(P837="RESTRINGIDO(3)",3,3))))+(IF(Q837="BAJA(1)",1,IF(Q837="MEDIA(2)",2,IF(Q837="ALTA(3)",3,3))))+(IF(R837="BAJA(1)",1,IF(R837="MEDIA(2)",2,IF(R837="ALTA(3)",3,3))))</f>
        <v/>
      </c>
      <c r="T837" s="10">
        <f>+IF(S837&lt;6,"BAJA",IF(S837&lt;8,"MEDIA","ALTA"))</f>
        <v/>
      </c>
      <c r="U837" s="10" t="inlineStr">
        <is>
          <t>-</t>
        </is>
      </c>
      <c r="V837" s="24" t="n">
        <v>45681</v>
      </c>
      <c r="W837" s="19" t="inlineStr">
        <is>
          <t>N/A</t>
        </is>
      </c>
      <c r="X837" s="10">
        <f>+IFERROR(IF(VLOOKUP(Tabla2[[#This Row],[ID]],'EVALUACION DE RIESGO'!A:A,1,FALSE)=Tabla2[[#This Row],[ID]],"SI","NO"),"NO")</f>
        <v/>
      </c>
      <c r="AD837">
        <f>IF(AND(Y837="",AA837=""),"",IF(OR(LEFT(AA837,2)="L0",LEFT(AA837,2)="L1",Y837="No Iniciado"),"CRÍTICO - Incumplimiento Normativo SEPS",IF(AND(OR(LEFT(AA837,2)="L4",LEFT(AA837,2)="L5"),AND(AC837&lt;&gt;"",AC837&lt;&gt;"N/A")),"CONFORME - Control Efectivo ISO 27001","OBSERVACIÓN - Revisar Controles")))</f>
        <v/>
      </c>
    </row>
    <row r="838">
      <c r="A838" s="99" t="inlineStr">
        <is>
          <t>15-GES</t>
        </is>
      </c>
      <c r="B838" s="10" t="inlineStr">
        <is>
          <t>ESTRATÉGICO</t>
        </is>
      </c>
      <c r="C838" s="10" t="inlineStr">
        <is>
          <t xml:space="preserve">Gestión Estratégica </t>
        </is>
      </c>
      <c r="D838" s="10" t="inlineStr">
        <is>
          <t>GES</t>
        </is>
      </c>
      <c r="E838" s="10" t="inlineStr">
        <is>
          <t xml:space="preserve">Planificación Estratégica </t>
        </is>
      </c>
      <c r="F838" s="10" t="inlineStr">
        <is>
          <t>-</t>
        </is>
      </c>
      <c r="G838" s="10" t="inlineStr">
        <is>
          <t>Formulación del Plan Estratégico</t>
        </is>
      </c>
      <c r="H838" s="10" t="inlineStr">
        <is>
          <t>Estudios de mercado y de competencia</t>
        </is>
      </c>
      <c r="I838" s="10" t="inlineStr">
        <is>
          <t>Estudio para analizar la factibilidad de aperturas de oficina o lanzamiento de servicios</t>
        </is>
      </c>
      <c r="J838" s="10" t="inlineStr">
        <is>
          <t>JEFE DE PLANIFICACIÓN Y PROCESOS</t>
        </is>
      </c>
      <c r="K838" s="10" t="inlineStr">
        <is>
          <t>JEFE DE PLANIFICACIÓN Y PROCESOS</t>
        </is>
      </c>
      <c r="L838" s="10" t="inlineStr">
        <is>
          <t>UBICACIÓN DIGITAL-EQUIPO DEL CUSTODIO</t>
        </is>
      </c>
      <c r="M838" s="10" t="inlineStr">
        <is>
          <t>DOCUMENTO DE ARCHIVO-ELECTRÓNICO</t>
        </is>
      </c>
      <c r="N838" s="10" t="inlineStr">
        <is>
          <t>PRIMARIOS</t>
        </is>
      </c>
      <c r="O838" s="10" t="inlineStr">
        <is>
          <t>DOCUMENTOS TÉCNICOS</t>
        </is>
      </c>
      <c r="P838" s="10" t="inlineStr">
        <is>
          <t>USO INTERNO(2)</t>
        </is>
      </c>
      <c r="Q838" s="10" t="inlineStr">
        <is>
          <t>MEDIA(2)</t>
        </is>
      </c>
      <c r="R838" s="10" t="inlineStr">
        <is>
          <t>MEDIA(2)</t>
        </is>
      </c>
      <c r="S838" s="10">
        <f>+(IF(P838="PUBLICA(1)",1,IF(P838="USO INTERNO(2)",2,IF(P838="RESTRINGIDO(3)",3,3))))+(IF(Q838="BAJA(1)",1,IF(Q838="MEDIA(2)",2,IF(Q838="ALTA(3)",3,3))))+(IF(R838="BAJA(1)",1,IF(R838="MEDIA(2)",2,IF(R838="ALTA(3)",3,3))))</f>
        <v/>
      </c>
      <c r="T838" s="10">
        <f>+IF(S838&lt;6,"BAJA",IF(S838&lt;8,"MEDIA","ALTA"))</f>
        <v/>
      </c>
      <c r="U838" s="10" t="inlineStr">
        <is>
          <t>-</t>
        </is>
      </c>
      <c r="V838" s="24" t="n">
        <v>45681</v>
      </c>
      <c r="W838" s="19" t="inlineStr">
        <is>
          <t>N/A</t>
        </is>
      </c>
      <c r="X838" s="10">
        <f>+IFERROR(IF(VLOOKUP(Tabla2[[#This Row],[ID]],'EVALUACION DE RIESGO'!A:A,1,FALSE)=Tabla2[[#This Row],[ID]],"SI","NO"),"NO")</f>
        <v/>
      </c>
      <c r="AD838">
        <f>IF(AND(Y838="",AA838=""),"",IF(OR(LEFT(AA838,2)="L0",LEFT(AA838,2)="L1",Y838="No Iniciado"),"CRÍTICO - Incumplimiento Normativo SEPS",IF(AND(OR(LEFT(AA838,2)="L4",LEFT(AA838,2)="L5"),AND(AC838&lt;&gt;"",AC838&lt;&gt;"N/A")),"CONFORME - Control Efectivo ISO 27001","OBSERVACIÓN - Revisar Controles")))</f>
        <v/>
      </c>
    </row>
    <row r="839">
      <c r="A839" s="99" t="inlineStr">
        <is>
          <t>16-GES</t>
        </is>
      </c>
      <c r="B839" s="10" t="inlineStr">
        <is>
          <t>ESTRATÉGICO</t>
        </is>
      </c>
      <c r="C839" s="10" t="inlineStr">
        <is>
          <t xml:space="preserve">Gestión Estratégica </t>
        </is>
      </c>
      <c r="D839" s="10" t="inlineStr">
        <is>
          <t>GES</t>
        </is>
      </c>
      <c r="E839" s="10" t="inlineStr">
        <is>
          <t xml:space="preserve">Planificación Estratégica </t>
        </is>
      </c>
      <c r="F839" s="10" t="inlineStr">
        <is>
          <t>-</t>
        </is>
      </c>
      <c r="G839" s="10" t="inlineStr">
        <is>
          <t>Formulación del Plan Estratégico</t>
        </is>
      </c>
      <c r="H839" s="10" t="inlineStr">
        <is>
          <t>Estudios de clima laboral</t>
        </is>
      </c>
      <c r="I839" s="10" t="inlineStr">
        <is>
          <t>Documento de satisfacción de los empleados en el lugar de trabajo</t>
        </is>
      </c>
      <c r="J839" s="10" t="inlineStr">
        <is>
          <t>JEFE DE PLANIFICACIÓN Y PROCESOS</t>
        </is>
      </c>
      <c r="K839" s="10" t="inlineStr">
        <is>
          <t>JEFE DE PLANIFICACIÓN Y PROCESOS</t>
        </is>
      </c>
      <c r="L839" s="10" t="inlineStr">
        <is>
          <t>UBICACIÓN DIGITAL-EQUIPO DEL CUSTODIO</t>
        </is>
      </c>
      <c r="M839" s="10" t="inlineStr">
        <is>
          <t>DOCUMENTO DE ARCHIVO-ELECTRÓNICO</t>
        </is>
      </c>
      <c r="N839" s="10" t="inlineStr">
        <is>
          <t>PRIMARIOS</t>
        </is>
      </c>
      <c r="O839" s="10" t="inlineStr">
        <is>
          <t>DOCUMENTOS TÉCNICOS</t>
        </is>
      </c>
      <c r="P839" s="10" t="inlineStr">
        <is>
          <t>PUBLICA(1)</t>
        </is>
      </c>
      <c r="Q839" s="10" t="inlineStr">
        <is>
          <t>BAJA(1)</t>
        </is>
      </c>
      <c r="R839" s="10" t="inlineStr">
        <is>
          <t>BAJA(1)</t>
        </is>
      </c>
      <c r="S839" s="10">
        <f>+(IF(P839="PUBLICA(1)",1,IF(P839="USO INTERNO(2)",2,IF(P839="RESTRINGIDO(3)",3,3))))+(IF(Q839="BAJA(1)",1,IF(Q839="MEDIA(2)",2,IF(Q839="ALTA(3)",3,3))))+(IF(R839="BAJA(1)",1,IF(R839="MEDIA(2)",2,IF(R839="ALTA(3)",3,3))))</f>
        <v/>
      </c>
      <c r="T839" s="10">
        <f>+IF(S839&lt;6,"BAJA",IF(S839&lt;8,"MEDIA","ALTA"))</f>
        <v/>
      </c>
      <c r="U839" s="10" t="inlineStr">
        <is>
          <t>-</t>
        </is>
      </c>
      <c r="V839" s="24" t="n">
        <v>45681</v>
      </c>
      <c r="W839" s="19" t="inlineStr">
        <is>
          <t>N/A</t>
        </is>
      </c>
      <c r="X839" s="10">
        <f>+IFERROR(IF(VLOOKUP(Tabla2[[#This Row],[ID]],'EVALUACION DE RIESGO'!A:A,1,FALSE)=Tabla2[[#This Row],[ID]],"SI","NO"),"NO")</f>
        <v/>
      </c>
      <c r="AD839">
        <f>IF(AND(Y839="",AA839=""),"",IF(OR(LEFT(AA839,2)="L0",LEFT(AA839,2)="L1",Y839="No Iniciado"),"CRÍTICO - Incumplimiento Normativo SEPS",IF(AND(OR(LEFT(AA839,2)="L4",LEFT(AA839,2)="L5"),AND(AC839&lt;&gt;"",AC839&lt;&gt;"N/A")),"CONFORME - Control Efectivo ISO 27001","OBSERVACIÓN - Revisar Controles")))</f>
        <v/>
      </c>
    </row>
    <row r="840">
      <c r="A840" s="99" t="inlineStr">
        <is>
          <t>17-GES</t>
        </is>
      </c>
      <c r="B840" s="10" t="inlineStr">
        <is>
          <t>ESTRATÉGICO</t>
        </is>
      </c>
      <c r="C840" s="10" t="inlineStr">
        <is>
          <t xml:space="preserve">Gestión Estratégica </t>
        </is>
      </c>
      <c r="D840" s="10" t="inlineStr">
        <is>
          <t>GES</t>
        </is>
      </c>
      <c r="E840" s="10" t="inlineStr">
        <is>
          <t xml:space="preserve">Planificación Estratégica </t>
        </is>
      </c>
      <c r="F840" s="10" t="inlineStr">
        <is>
          <t>-</t>
        </is>
      </c>
      <c r="G840" s="10" t="inlineStr">
        <is>
          <t>Formulación del Plan Estratégico</t>
        </is>
      </c>
      <c r="H840" s="10" t="inlineStr">
        <is>
          <t>Estudios de satisfacción al cliente</t>
        </is>
      </c>
      <c r="I840" s="10" t="inlineStr">
        <is>
          <t>Documento de satisfacción de los clientes</t>
        </is>
      </c>
      <c r="J840" s="10" t="inlineStr">
        <is>
          <t>JEFE DE PLANIFICACIÓN Y PROCESOS</t>
        </is>
      </c>
      <c r="K840" s="10" t="inlineStr">
        <is>
          <t>JEFE DE PLANIFICACIÓN Y PROCESOS</t>
        </is>
      </c>
      <c r="L840" s="10" t="inlineStr">
        <is>
          <t>UBICACIÓN DIGITAL-EQUIPO DEL CUSTODIO</t>
        </is>
      </c>
      <c r="M840" s="10" t="inlineStr">
        <is>
          <t>DOCUMENTO DE ARCHIVO-ELECTRÓNICO</t>
        </is>
      </c>
      <c r="N840" s="10" t="inlineStr">
        <is>
          <t>PRIMARIOS</t>
        </is>
      </c>
      <c r="O840" s="10" t="inlineStr">
        <is>
          <t>DOCUMENTOS TÉCNICOS</t>
        </is>
      </c>
      <c r="P840" s="10" t="inlineStr">
        <is>
          <t>USO INTERNO(2)</t>
        </is>
      </c>
      <c r="Q840" s="10" t="inlineStr">
        <is>
          <t>BAJA(1)</t>
        </is>
      </c>
      <c r="R840" s="10" t="inlineStr">
        <is>
          <t>BAJA(1)</t>
        </is>
      </c>
      <c r="S840" s="10">
        <f>+(IF(P840="PUBLICA(1)",1,IF(P840="USO INTERNO(2)",2,IF(P840="RESTRINGIDO(3)",3,3))))+(IF(Q840="BAJA(1)",1,IF(Q840="MEDIA(2)",2,IF(Q840="ALTA(3)",3,3))))+(IF(R840="BAJA(1)",1,IF(R840="MEDIA(2)",2,IF(R840="ALTA(3)",3,3))))</f>
        <v/>
      </c>
      <c r="T840" s="10">
        <f>+IF(S840&lt;6,"BAJA",IF(S840&lt;8,"MEDIA","ALTA"))</f>
        <v/>
      </c>
      <c r="U840" s="10" t="inlineStr">
        <is>
          <t>-</t>
        </is>
      </c>
      <c r="V840" s="24" t="n">
        <v>45681</v>
      </c>
      <c r="W840" s="19" t="inlineStr">
        <is>
          <t>N/A</t>
        </is>
      </c>
      <c r="X840" s="10">
        <f>+IFERROR(IF(VLOOKUP(Tabla2[[#This Row],[ID]],'EVALUACION DE RIESGO'!A:A,1,FALSE)=Tabla2[[#This Row],[ID]],"SI","NO"),"NO")</f>
        <v/>
      </c>
      <c r="AD840">
        <f>IF(AND(Y840="",AA840=""),"",IF(OR(LEFT(AA840,2)="L0",LEFT(AA840,2)="L1",Y840="No Iniciado"),"CRÍTICO - Incumplimiento Normativo SEPS",IF(AND(OR(LEFT(AA840,2)="L4",LEFT(AA840,2)="L5"),AND(AC840&lt;&gt;"",AC840&lt;&gt;"N/A")),"CONFORME - Control Efectivo ISO 27001","OBSERVACIÓN - Revisar Controles")))</f>
        <v/>
      </c>
    </row>
    <row r="841">
      <c r="A841" s="99" t="inlineStr">
        <is>
          <t>18-GES</t>
        </is>
      </c>
      <c r="B841" s="10" t="inlineStr">
        <is>
          <t>ESTRATÉGICO</t>
        </is>
      </c>
      <c r="C841" s="10" t="inlineStr">
        <is>
          <t xml:space="preserve">Gestión Estratégica </t>
        </is>
      </c>
      <c r="D841" s="10" t="inlineStr">
        <is>
          <t>GES</t>
        </is>
      </c>
      <c r="E841" s="10" t="inlineStr">
        <is>
          <t xml:space="preserve">Planificación Estratégica </t>
        </is>
      </c>
      <c r="F841" s="10" t="inlineStr">
        <is>
          <t>-</t>
        </is>
      </c>
      <c r="G841" s="10" t="inlineStr">
        <is>
          <t>Formulación del Plan Estratégico</t>
        </is>
      </c>
      <c r="H841" s="10" t="inlineStr">
        <is>
          <t>Análisis de Macrotendencias</t>
        </is>
      </c>
      <c r="I841" s="10" t="inlineStr">
        <is>
          <t>Pautas para saber las tendencias mundiales, referente a la tecnologia que pueden impactar a la coac</t>
        </is>
      </c>
      <c r="J841" s="10" t="inlineStr">
        <is>
          <t>JEFE DE PLANIFICACIÓN Y PROCESOS</t>
        </is>
      </c>
      <c r="K841" s="10" t="inlineStr">
        <is>
          <t>JEFE DE PLANIFICACIÓN Y PROCESOS</t>
        </is>
      </c>
      <c r="L841" s="10" t="inlineStr">
        <is>
          <t>UBICACIÓN DIGITAL-EQUIPO DEL CUSTODIO</t>
        </is>
      </c>
      <c r="M841" s="10" t="inlineStr">
        <is>
          <t>DOCUMENTO DE ARCHIVO-ELECTRÓNICO</t>
        </is>
      </c>
      <c r="N841" s="10" t="inlineStr">
        <is>
          <t>PRIMARIOS</t>
        </is>
      </c>
      <c r="O841" s="10" t="inlineStr">
        <is>
          <t>DOCUMENTOS TÉCNICOS</t>
        </is>
      </c>
      <c r="P841" s="10" t="inlineStr">
        <is>
          <t>PUBLICA(1)</t>
        </is>
      </c>
      <c r="Q841" s="10" t="inlineStr">
        <is>
          <t>BAJA(1)</t>
        </is>
      </c>
      <c r="R841" s="10" t="inlineStr">
        <is>
          <t>BAJA(1)</t>
        </is>
      </c>
      <c r="S841" s="10">
        <f>+(IF(P841="PUBLICA(1)",1,IF(P841="USO INTERNO(2)",2,IF(P841="RESTRINGIDO(3)",3,3))))+(IF(Q841="BAJA(1)",1,IF(Q841="MEDIA(2)",2,IF(Q841="ALTA(3)",3,3))))+(IF(R841="BAJA(1)",1,IF(R841="MEDIA(2)",2,IF(R841="ALTA(3)",3,3))))</f>
        <v/>
      </c>
      <c r="T841" s="10">
        <f>+IF(S841&lt;6,"BAJA",IF(S841&lt;8,"MEDIA","ALTA"))</f>
        <v/>
      </c>
      <c r="U841" s="10" t="inlineStr">
        <is>
          <t>-</t>
        </is>
      </c>
      <c r="V841" s="24" t="n">
        <v>45681</v>
      </c>
      <c r="W841" s="19" t="inlineStr">
        <is>
          <t>N/A</t>
        </is>
      </c>
      <c r="X841" s="10">
        <f>+IFERROR(IF(VLOOKUP(Tabla2[[#This Row],[ID]],'EVALUACION DE RIESGO'!A:A,1,FALSE)=Tabla2[[#This Row],[ID]],"SI","NO"),"NO")</f>
        <v/>
      </c>
      <c r="AD841">
        <f>IF(AND(Y841="",AA841=""),"",IF(OR(LEFT(AA841,2)="L0",LEFT(AA841,2)="L1",Y841="No Iniciado"),"CRÍTICO - Incumplimiento Normativo SEPS",IF(AND(OR(LEFT(AA841,2)="L4",LEFT(AA841,2)="L5"),AND(AC841&lt;&gt;"",AC841&lt;&gt;"N/A")),"CONFORME - Control Efectivo ISO 27001","OBSERVACIÓN - Revisar Controles")))</f>
        <v/>
      </c>
    </row>
    <row r="842">
      <c r="A842" s="99" t="inlineStr">
        <is>
          <t>19-GES</t>
        </is>
      </c>
      <c r="B842" s="10" t="inlineStr">
        <is>
          <t>ESTRATÉGICO</t>
        </is>
      </c>
      <c r="C842" s="10" t="inlineStr">
        <is>
          <t xml:space="preserve">Gestión Estratégica </t>
        </is>
      </c>
      <c r="D842" s="10" t="inlineStr">
        <is>
          <t>GES</t>
        </is>
      </c>
      <c r="E842" s="10" t="inlineStr">
        <is>
          <t xml:space="preserve">Planificación Estratégica </t>
        </is>
      </c>
      <c r="F842" s="10" t="inlineStr">
        <is>
          <t>-</t>
        </is>
      </c>
      <c r="G842" s="10" t="inlineStr">
        <is>
          <t>Formulación del Plan Estratégico</t>
        </is>
      </c>
      <c r="H842" s="10" t="inlineStr">
        <is>
          <t>Análisis financiero nacional, del segmento y de la Cooperativa</t>
        </is>
      </c>
      <c r="I842" s="10" t="inlineStr">
        <is>
          <t>Documento interno con datos externos con indicadores de la competencia</t>
        </is>
      </c>
      <c r="J842" s="10" t="inlineStr">
        <is>
          <t>JEFE DE PLANIFICACIÓN Y PROCESOS</t>
        </is>
      </c>
      <c r="K842" s="10" t="inlineStr">
        <is>
          <t>JEFE DE PLANIFICACIÓN Y PROCESOS</t>
        </is>
      </c>
      <c r="L842" s="10" t="inlineStr">
        <is>
          <t>UBICACIÓN DIGITAL-EQUIPO DEL CUSTODIO</t>
        </is>
      </c>
      <c r="M842" s="10" t="inlineStr">
        <is>
          <t>DOCUMENTO DE ARCHIVO-ELECTRÓNICO</t>
        </is>
      </c>
      <c r="N842" s="10" t="inlineStr">
        <is>
          <t>PRIMARIOS</t>
        </is>
      </c>
      <c r="O842" s="10" t="inlineStr">
        <is>
          <t>DOCUMENTOS TÉCNICOS</t>
        </is>
      </c>
      <c r="P842" s="10" t="inlineStr">
        <is>
          <t>PUBLICA(1)</t>
        </is>
      </c>
      <c r="Q842" s="10" t="inlineStr">
        <is>
          <t>BAJA(1)</t>
        </is>
      </c>
      <c r="R842" s="10" t="inlineStr">
        <is>
          <t>BAJA(1)</t>
        </is>
      </c>
      <c r="S842" s="10">
        <f>+(IF(P842="PUBLICA(1)",1,IF(P842="USO INTERNO(2)",2,IF(P842="RESTRINGIDO(3)",3,3))))+(IF(Q842="BAJA(1)",1,IF(Q842="MEDIA(2)",2,IF(Q842="ALTA(3)",3,3))))+(IF(R842="BAJA(1)",1,IF(R842="MEDIA(2)",2,IF(R842="ALTA(3)",3,3))))</f>
        <v/>
      </c>
      <c r="T842" s="10">
        <f>+IF(S842&lt;6,"BAJA",IF(S842&lt;8,"MEDIA","ALTA"))</f>
        <v/>
      </c>
      <c r="U842" s="10" t="inlineStr">
        <is>
          <t>-</t>
        </is>
      </c>
      <c r="V842" s="24" t="n">
        <v>45681</v>
      </c>
      <c r="W842" s="19" t="inlineStr">
        <is>
          <t>N/A</t>
        </is>
      </c>
      <c r="X842" s="10">
        <f>+IFERROR(IF(VLOOKUP(Tabla2[[#This Row],[ID]],'EVALUACION DE RIESGO'!A:A,1,FALSE)=Tabla2[[#This Row],[ID]],"SI","NO"),"NO")</f>
        <v/>
      </c>
      <c r="AD842">
        <f>IF(AND(Y842="",AA842=""),"",IF(OR(LEFT(AA842,2)="L0",LEFT(AA842,2)="L1",Y842="No Iniciado"),"CRÍTICO - Incumplimiento Normativo SEPS",IF(AND(OR(LEFT(AA842,2)="L4",LEFT(AA842,2)="L5"),AND(AC842&lt;&gt;"",AC842&lt;&gt;"N/A")),"CONFORME - Control Efectivo ISO 27001","OBSERVACIÓN - Revisar Controles")))</f>
        <v/>
      </c>
    </row>
    <row r="843">
      <c r="A843" s="99" t="inlineStr">
        <is>
          <t>20-GES</t>
        </is>
      </c>
      <c r="B843" s="10" t="inlineStr">
        <is>
          <t>ESTRATÉGICO</t>
        </is>
      </c>
      <c r="C843" s="10" t="inlineStr">
        <is>
          <t xml:space="preserve">Gestión Estratégica </t>
        </is>
      </c>
      <c r="D843" s="10" t="inlineStr">
        <is>
          <t>GES</t>
        </is>
      </c>
      <c r="E843" s="10" t="inlineStr">
        <is>
          <t xml:space="preserve">Planificación Estratégica </t>
        </is>
      </c>
      <c r="F843" s="10" t="inlineStr">
        <is>
          <t>-</t>
        </is>
      </c>
      <c r="G843" s="10" t="inlineStr">
        <is>
          <t>Formulación del Plan Estratégico</t>
        </is>
      </c>
      <c r="H843" s="10" t="inlineStr">
        <is>
          <t>Resultados alcanzados en el Plan Estratégica que fenece</t>
        </is>
      </c>
      <c r="I843" s="10" t="inlineStr">
        <is>
          <t>Evaluación del plan estratégico</t>
        </is>
      </c>
      <c r="J843" s="10" t="inlineStr">
        <is>
          <t>JEFE DE PLANIFICACIÓN Y PROCESOS</t>
        </is>
      </c>
      <c r="K843" s="10" t="inlineStr">
        <is>
          <t>JEFE DE PLANIFICACIÓN Y PROCESOS</t>
        </is>
      </c>
      <c r="L843" s="10" t="inlineStr">
        <is>
          <t>UBICACIÓN DIGITAL-EQUIPO DEL CUSTODIO</t>
        </is>
      </c>
      <c r="M843" s="10" t="inlineStr">
        <is>
          <t>DOCUMENTO DE ARCHIVO-ELECTRÓNICO</t>
        </is>
      </c>
      <c r="N843" s="10" t="inlineStr">
        <is>
          <t>PRIMARIOS</t>
        </is>
      </c>
      <c r="O843" s="10" t="inlineStr">
        <is>
          <t>DOCUMENTOS TÉCNICOS</t>
        </is>
      </c>
      <c r="P843" s="10" t="inlineStr">
        <is>
          <t>PUBLICA(1)</t>
        </is>
      </c>
      <c r="Q843" s="10" t="inlineStr">
        <is>
          <t>BAJA(1)</t>
        </is>
      </c>
      <c r="R843" s="10" t="inlineStr">
        <is>
          <t>BAJA(1)</t>
        </is>
      </c>
      <c r="S843" s="10">
        <f>+(IF(P843="PUBLICA(1)",1,IF(P843="USO INTERNO(2)",2,IF(P843="RESTRINGIDO(3)",3,3))))+(IF(Q843="BAJA(1)",1,IF(Q843="MEDIA(2)",2,IF(Q843="ALTA(3)",3,3))))+(IF(R843="BAJA(1)",1,IF(R843="MEDIA(2)",2,IF(R843="ALTA(3)",3,3))))</f>
        <v/>
      </c>
      <c r="T843" s="10">
        <f>+IF(S843&lt;6,"BAJA",IF(S843&lt;8,"MEDIA","ALTA"))</f>
        <v/>
      </c>
      <c r="U843" s="10" t="inlineStr">
        <is>
          <t>-</t>
        </is>
      </c>
      <c r="V843" s="24" t="n">
        <v>45681</v>
      </c>
      <c r="W843" s="19" t="inlineStr">
        <is>
          <t>N/A</t>
        </is>
      </c>
      <c r="X843" s="10">
        <f>+IFERROR(IF(VLOOKUP(Tabla2[[#This Row],[ID]],'EVALUACION DE RIESGO'!A:A,1,FALSE)=Tabla2[[#This Row],[ID]],"SI","NO"),"NO")</f>
        <v/>
      </c>
      <c r="AD843">
        <f>IF(AND(Y843="",AA843=""),"",IF(OR(LEFT(AA843,2)="L0",LEFT(AA843,2)="L1",Y843="No Iniciado"),"CRÍTICO - Incumplimiento Normativo SEPS",IF(AND(OR(LEFT(AA843,2)="L4",LEFT(AA843,2)="L5"),AND(AC843&lt;&gt;"",AC843&lt;&gt;"N/A")),"CONFORME - Control Efectivo ISO 27001","OBSERVACIÓN - Revisar Controles")))</f>
        <v/>
      </c>
    </row>
    <row r="844">
      <c r="A844" s="99" t="inlineStr">
        <is>
          <t>21-GES</t>
        </is>
      </c>
      <c r="B844" s="10" t="inlineStr">
        <is>
          <t>ESTRATÉGICO</t>
        </is>
      </c>
      <c r="C844" s="10" t="inlineStr">
        <is>
          <t xml:space="preserve">Gestión Estratégica </t>
        </is>
      </c>
      <c r="D844" s="10" t="inlineStr">
        <is>
          <t>GES</t>
        </is>
      </c>
      <c r="E844" s="10" t="inlineStr">
        <is>
          <t xml:space="preserve">Planificación Estratégica </t>
        </is>
      </c>
      <c r="F844" s="10" t="inlineStr">
        <is>
          <t>-</t>
        </is>
      </c>
      <c r="G844" s="10" t="inlineStr">
        <is>
          <t>Formulación del Plan Estratégico</t>
        </is>
      </c>
      <c r="H844" s="10" t="inlineStr">
        <is>
          <t>Necesidades de los Stakeholders</t>
        </is>
      </c>
      <c r="I844" s="10" t="inlineStr">
        <is>
          <t>Matriz de necesidades de los grupos de interes</t>
        </is>
      </c>
      <c r="J844" s="10" t="inlineStr">
        <is>
          <t>JEFE DE PLANIFICACIÓN Y PROCESOS</t>
        </is>
      </c>
      <c r="K844" s="10" t="inlineStr">
        <is>
          <t>JEFE DE PLANIFICACIÓN Y PROCESOS</t>
        </is>
      </c>
      <c r="L844" s="10" t="inlineStr">
        <is>
          <t>UBICACIÓN DIGITAL-EQUIPO DEL CUSTODIO</t>
        </is>
      </c>
      <c r="M844" s="10" t="inlineStr">
        <is>
          <t>DOCUMENTO DE ARCHIVO-ELECTRÓNICO</t>
        </is>
      </c>
      <c r="N844" s="10" t="inlineStr">
        <is>
          <t>PRIMARIOS</t>
        </is>
      </c>
      <c r="O844" s="10" t="inlineStr">
        <is>
          <t>DOCUMENTOS TÉCNICOS</t>
        </is>
      </c>
      <c r="P844" s="10" t="inlineStr">
        <is>
          <t>PUBLICA(1)</t>
        </is>
      </c>
      <c r="Q844" s="10" t="inlineStr">
        <is>
          <t>BAJA(1)</t>
        </is>
      </c>
      <c r="R844" s="10" t="inlineStr">
        <is>
          <t>BAJA(1)</t>
        </is>
      </c>
      <c r="S844" s="10">
        <f>+(IF(P844="PUBLICA(1)",1,IF(P844="USO INTERNO(2)",2,IF(P844="RESTRINGIDO(3)",3,3))))+(IF(Q844="BAJA(1)",1,IF(Q844="MEDIA(2)",2,IF(Q844="ALTA(3)",3,3))))+(IF(R844="BAJA(1)",1,IF(R844="MEDIA(2)",2,IF(R844="ALTA(3)",3,3))))</f>
        <v/>
      </c>
      <c r="T844" s="10">
        <f>+IF(S844&lt;6,"BAJA",IF(S844&lt;8,"MEDIA","ALTA"))</f>
        <v/>
      </c>
      <c r="U844" s="10" t="inlineStr">
        <is>
          <t>-</t>
        </is>
      </c>
      <c r="V844" s="24" t="n">
        <v>45681</v>
      </c>
      <c r="W844" s="19" t="inlineStr">
        <is>
          <t>N/A</t>
        </is>
      </c>
      <c r="X844" s="10">
        <f>+IFERROR(IF(VLOOKUP(Tabla2[[#This Row],[ID]],'EVALUACION DE RIESGO'!A:A,1,FALSE)=Tabla2[[#This Row],[ID]],"SI","NO"),"NO")</f>
        <v/>
      </c>
      <c r="AD844">
        <f>IF(AND(Y844="",AA844=""),"",IF(OR(LEFT(AA844,2)="L0",LEFT(AA844,2)="L1",Y844="No Iniciado"),"CRÍTICO - Incumplimiento Normativo SEPS",IF(AND(OR(LEFT(AA844,2)="L4",LEFT(AA844,2)="L5"),AND(AC844&lt;&gt;"",AC844&lt;&gt;"N/A")),"CONFORME - Control Efectivo ISO 27001","OBSERVACIÓN - Revisar Controles")))</f>
        <v/>
      </c>
    </row>
    <row r="845">
      <c r="A845" s="99" t="inlineStr">
        <is>
          <t>22-GES</t>
        </is>
      </c>
      <c r="B845" s="10" t="inlineStr">
        <is>
          <t>ESTRATÉGICO</t>
        </is>
      </c>
      <c r="C845" s="10" t="inlineStr">
        <is>
          <t xml:space="preserve">Gestión Estratégica </t>
        </is>
      </c>
      <c r="D845" s="10" t="inlineStr">
        <is>
          <t>GES</t>
        </is>
      </c>
      <c r="E845" s="10" t="inlineStr">
        <is>
          <t xml:space="preserve">Planificación Estratégica </t>
        </is>
      </c>
      <c r="F845" s="10" t="inlineStr">
        <is>
          <t>-</t>
        </is>
      </c>
      <c r="G845" s="10" t="inlineStr">
        <is>
          <t>Formulación del Plan Estratégico</t>
        </is>
      </c>
      <c r="H845" s="10" t="inlineStr">
        <is>
          <t xml:space="preserve">FODA por departamento </t>
        </is>
      </c>
      <c r="I845" s="10" t="inlineStr">
        <is>
          <t>Resultados de la aplicación de la metodologia</t>
        </is>
      </c>
      <c r="J845" s="10" t="inlineStr">
        <is>
          <t>JEFE DE PLANIFICACIÓN Y PROCESOS</t>
        </is>
      </c>
      <c r="K845" s="10" t="inlineStr">
        <is>
          <t>JEFE DE PLANIFICACIÓN Y PROCESOS</t>
        </is>
      </c>
      <c r="L845" s="10" t="inlineStr">
        <is>
          <t>UBICACIÓN DIGITAL-EQUIPO DEL CUSTODIO</t>
        </is>
      </c>
      <c r="M845" s="10" t="inlineStr">
        <is>
          <t>DOCUMENTO DE ARCHIVO-ELECTRÓNICO</t>
        </is>
      </c>
      <c r="N845" s="10" t="inlineStr">
        <is>
          <t>PRIMARIOS</t>
        </is>
      </c>
      <c r="O845" s="10" t="inlineStr">
        <is>
          <t>DOCUMENTOS TÉCNICOS</t>
        </is>
      </c>
      <c r="P845" s="10" t="inlineStr">
        <is>
          <t>PUBLICA(1)</t>
        </is>
      </c>
      <c r="Q845" s="10" t="inlineStr">
        <is>
          <t>BAJA(1)</t>
        </is>
      </c>
      <c r="R845" s="10" t="inlineStr">
        <is>
          <t>BAJA(1)</t>
        </is>
      </c>
      <c r="S845" s="10">
        <f>+(IF(P845="PUBLICA(1)",1,IF(P845="USO INTERNO(2)",2,IF(P845="RESTRINGIDO(3)",3,3))))+(IF(Q845="BAJA(1)",1,IF(Q845="MEDIA(2)",2,IF(Q845="ALTA(3)",3,3))))+(IF(R845="BAJA(1)",1,IF(R845="MEDIA(2)",2,IF(R845="ALTA(3)",3,3))))</f>
        <v/>
      </c>
      <c r="T845" s="10">
        <f>+IF(S845&lt;6,"BAJA",IF(S845&lt;8,"MEDIA","ALTA"))</f>
        <v/>
      </c>
      <c r="U845" s="10" t="inlineStr">
        <is>
          <t>-</t>
        </is>
      </c>
      <c r="V845" s="24" t="n">
        <v>45681</v>
      </c>
      <c r="W845" s="19" t="inlineStr">
        <is>
          <t>N/A</t>
        </is>
      </c>
      <c r="X845" s="10">
        <f>+IFERROR(IF(VLOOKUP(Tabla2[[#This Row],[ID]],'EVALUACION DE RIESGO'!A:A,1,FALSE)=Tabla2[[#This Row],[ID]],"SI","NO"),"NO")</f>
        <v/>
      </c>
      <c r="AD845">
        <f>IF(AND(Y845="",AA845=""),"",IF(OR(LEFT(AA845,2)="L0",LEFT(AA845,2)="L1",Y845="No Iniciado"),"CRÍTICO - Incumplimiento Normativo SEPS",IF(AND(OR(LEFT(AA845,2)="L4",LEFT(AA845,2)="L5"),AND(AC845&lt;&gt;"",AC845&lt;&gt;"N/A")),"CONFORME - Control Efectivo ISO 27001","OBSERVACIÓN - Revisar Controles")))</f>
        <v/>
      </c>
    </row>
    <row r="846">
      <c r="A846" s="99" t="inlineStr">
        <is>
          <t>23-GES</t>
        </is>
      </c>
      <c r="B846" s="10" t="inlineStr">
        <is>
          <t>ESTRATÉGICO</t>
        </is>
      </c>
      <c r="C846" s="10" t="inlineStr">
        <is>
          <t xml:space="preserve">Gestión Estratégica </t>
        </is>
      </c>
      <c r="D846" s="10" t="inlineStr">
        <is>
          <t>GES</t>
        </is>
      </c>
      <c r="E846" s="10" t="inlineStr">
        <is>
          <t xml:space="preserve">Planificación Estratégica </t>
        </is>
      </c>
      <c r="F846" s="10" t="inlineStr">
        <is>
          <t>-</t>
        </is>
      </c>
      <c r="G846" s="10" t="inlineStr">
        <is>
          <t>Formulación del Plan Estratégico</t>
        </is>
      </c>
      <c r="H846" s="10" t="inlineStr">
        <is>
          <t>Resultados de encuestas o entrevistas a los grupos de interés</t>
        </is>
      </c>
      <c r="I846" s="10" t="inlineStr">
        <is>
          <t>Estadisticas de las encuentas</t>
        </is>
      </c>
      <c r="J846" s="10" t="inlineStr">
        <is>
          <t>JEFE DE PLANIFICACIÓN Y PROCESOS</t>
        </is>
      </c>
      <c r="K846" s="10" t="inlineStr">
        <is>
          <t>JEFE DE PLANIFICACIÓN Y PROCESOS</t>
        </is>
      </c>
      <c r="L846" s="10" t="inlineStr">
        <is>
          <t>UBICACIÓN DIGITAL-EQUIPO DEL CUSTODIO</t>
        </is>
      </c>
      <c r="M846" s="10" t="inlineStr">
        <is>
          <t>DOCUMENTO DE ARCHIVO-ELECTRÓNICO</t>
        </is>
      </c>
      <c r="N846" s="10" t="inlineStr">
        <is>
          <t>PRIMARIOS</t>
        </is>
      </c>
      <c r="O846" s="10" t="inlineStr">
        <is>
          <t>DOCUMENTOS TÉCNICOS</t>
        </is>
      </c>
      <c r="P846" s="10" t="inlineStr">
        <is>
          <t>PUBLICA(1)</t>
        </is>
      </c>
      <c r="Q846" s="10" t="inlineStr">
        <is>
          <t>BAJA(1)</t>
        </is>
      </c>
      <c r="R846" s="10" t="inlineStr">
        <is>
          <t>BAJA(1)</t>
        </is>
      </c>
      <c r="S846" s="10">
        <f>+(IF(P846="PUBLICA(1)",1,IF(P846="USO INTERNO(2)",2,IF(P846="RESTRINGIDO(3)",3,3))))+(IF(Q846="BAJA(1)",1,IF(Q846="MEDIA(2)",2,IF(Q846="ALTA(3)",3,3))))+(IF(R846="BAJA(1)",1,IF(R846="MEDIA(2)",2,IF(R846="ALTA(3)",3,3))))</f>
        <v/>
      </c>
      <c r="T846" s="10">
        <f>+IF(S846&lt;6,"BAJA",IF(S846&lt;8,"MEDIA","ALTA"))</f>
        <v/>
      </c>
      <c r="U846" s="10" t="inlineStr">
        <is>
          <t>-</t>
        </is>
      </c>
      <c r="V846" s="24" t="n">
        <v>45681</v>
      </c>
      <c r="W846" s="19" t="inlineStr">
        <is>
          <t>N/A</t>
        </is>
      </c>
      <c r="X846" s="10">
        <f>+IFERROR(IF(VLOOKUP(Tabla2[[#This Row],[ID]],'EVALUACION DE RIESGO'!A:A,1,FALSE)=Tabla2[[#This Row],[ID]],"SI","NO"),"NO")</f>
        <v/>
      </c>
      <c r="AD846">
        <f>IF(AND(Y846="",AA846=""),"",IF(OR(LEFT(AA846,2)="L0",LEFT(AA846,2)="L1",Y846="No Iniciado"),"CRÍTICO - Incumplimiento Normativo SEPS",IF(AND(OR(LEFT(AA846,2)="L4",LEFT(AA846,2)="L5"),AND(AC846&lt;&gt;"",AC846&lt;&gt;"N/A")),"CONFORME - Control Efectivo ISO 27001","OBSERVACIÓN - Revisar Controles")))</f>
        <v/>
      </c>
    </row>
    <row r="847">
      <c r="A847" s="99" t="inlineStr">
        <is>
          <t>24-GES</t>
        </is>
      </c>
      <c r="B847" s="10" t="inlineStr">
        <is>
          <t>ESTRATÉGICO</t>
        </is>
      </c>
      <c r="C847" s="10" t="inlineStr">
        <is>
          <t xml:space="preserve">Gestión Estratégica </t>
        </is>
      </c>
      <c r="D847" s="10" t="inlineStr">
        <is>
          <t>GES</t>
        </is>
      </c>
      <c r="E847" s="10" t="inlineStr">
        <is>
          <t xml:space="preserve">Planificación Estratégica </t>
        </is>
      </c>
      <c r="F847" s="10" t="inlineStr">
        <is>
          <t>-</t>
        </is>
      </c>
      <c r="G847" s="10" t="inlineStr">
        <is>
          <t>Formulación del Plan Estratégico</t>
        </is>
      </c>
      <c r="H847" s="10" t="inlineStr">
        <is>
          <t>Documento resultante de Plan Estratégico Institucional</t>
        </is>
      </c>
      <c r="I847" s="10" t="inlineStr">
        <is>
          <t>Evaluación del Plan Estratégico / Elaboración del Plan Operativo</t>
        </is>
      </c>
      <c r="J847" s="10" t="inlineStr">
        <is>
          <t>JEFE DE PLANIFICACIÓN Y PROCESOS</t>
        </is>
      </c>
      <c r="K847" s="10" t="inlineStr">
        <is>
          <t>JEFE DE PLANIFICACIÓN Y PROCESOS</t>
        </is>
      </c>
      <c r="L847" s="10" t="inlineStr">
        <is>
          <t>UBICACIÓN DIGITAL-EQUIPO DEL CUSTODIO</t>
        </is>
      </c>
      <c r="M847" s="10" t="inlineStr">
        <is>
          <t>DOCUMENTO DE ARCHIVO-ELECTRÓNICO</t>
        </is>
      </c>
      <c r="N847" s="10" t="inlineStr">
        <is>
          <t>PRIMARIOS</t>
        </is>
      </c>
      <c r="O847" s="10" t="inlineStr">
        <is>
          <t>DOCUMENTOS TÉCNICOS</t>
        </is>
      </c>
      <c r="P847" s="10" t="inlineStr">
        <is>
          <t>PUBLICA(1)</t>
        </is>
      </c>
      <c r="Q847" s="10" t="inlineStr">
        <is>
          <t>BAJA(1)</t>
        </is>
      </c>
      <c r="R847" s="10" t="inlineStr">
        <is>
          <t>ALTA(3)</t>
        </is>
      </c>
      <c r="S847" s="10">
        <f>+(IF(P847="PUBLICA(1)",1,IF(P847="USO INTERNO(2)",2,IF(P847="RESTRINGIDO(3)",3,3))))+(IF(Q847="BAJA(1)",1,IF(Q847="MEDIA(2)",2,IF(Q847="ALTA(3)",3,3))))+(IF(R847="BAJA(1)",1,IF(R847="MEDIA(2)",2,IF(R847="ALTA(3)",3,3))))</f>
        <v/>
      </c>
      <c r="T847" s="10">
        <f>+IF(S847&lt;6,"BAJA",IF(S847&lt;8,"MEDIA","ALTA"))</f>
        <v/>
      </c>
      <c r="U847" s="10" t="inlineStr">
        <is>
          <t>-</t>
        </is>
      </c>
      <c r="V847" s="24" t="n">
        <v>45681</v>
      </c>
      <c r="W847" s="19" t="inlineStr">
        <is>
          <t>N/A</t>
        </is>
      </c>
      <c r="X847" s="10">
        <f>+IFERROR(IF(VLOOKUP(Tabla2[[#This Row],[ID]],'EVALUACION DE RIESGO'!A:A,1,FALSE)=Tabla2[[#This Row],[ID]],"SI","NO"),"NO")</f>
        <v/>
      </c>
      <c r="AD847">
        <f>IF(AND(Y847="",AA847=""),"",IF(OR(LEFT(AA847,2)="L0",LEFT(AA847,2)="L1",Y847="No Iniciado"),"CRÍTICO - Incumplimiento Normativo SEPS",IF(AND(OR(LEFT(AA847,2)="L4",LEFT(AA847,2)="L5"),AND(AC847&lt;&gt;"",AC847&lt;&gt;"N/A")),"CONFORME - Control Efectivo ISO 27001","OBSERVACIÓN - Revisar Controles")))</f>
        <v/>
      </c>
    </row>
    <row r="848">
      <c r="A848" s="99" t="inlineStr">
        <is>
          <t>25-GES</t>
        </is>
      </c>
      <c r="B848" s="10" t="inlineStr">
        <is>
          <t>ESTRATÉGICO</t>
        </is>
      </c>
      <c r="C848" s="10" t="inlineStr">
        <is>
          <t xml:space="preserve">Gestión Estratégica </t>
        </is>
      </c>
      <c r="D848" s="10" t="inlineStr">
        <is>
          <t>GES</t>
        </is>
      </c>
      <c r="E848" s="10" t="inlineStr">
        <is>
          <t xml:space="preserve">Planificación Estratégica </t>
        </is>
      </c>
      <c r="F848" s="10" t="inlineStr">
        <is>
          <t>-</t>
        </is>
      </c>
      <c r="G848" s="10" t="inlineStr">
        <is>
          <t>Formulación del Plan Estratégico</t>
        </is>
      </c>
      <c r="H848" s="10" t="inlineStr">
        <is>
          <t>Certificación de aprobación del Consejo de Administración</t>
        </is>
      </c>
      <c r="I848" s="10" t="inlineStr">
        <is>
          <t>Publicación y difusión de documentos / Archivo del departamento</t>
        </is>
      </c>
      <c r="J848" s="10" t="inlineStr">
        <is>
          <t>JEFE DE PLANIFICACIÓN Y PROCESOS</t>
        </is>
      </c>
      <c r="K848" s="10" t="inlineStr">
        <is>
          <t>JEFE DE PLANIFICACIÓN Y PROCESOS</t>
        </is>
      </c>
      <c r="L848" s="10" t="inlineStr">
        <is>
          <t>UBICACIÓN DIGITAL-EQUIPO DEL CUSTODIO</t>
        </is>
      </c>
      <c r="M848" s="10" t="inlineStr">
        <is>
          <t>DOCUMENTO DE ARCHIVO-ELECTRÓNICO</t>
        </is>
      </c>
      <c r="N848" s="10" t="inlineStr">
        <is>
          <t>PRIMARIOS</t>
        </is>
      </c>
      <c r="O848" s="10" t="inlineStr">
        <is>
          <t>DOCUMENTOS TÉCNICOS</t>
        </is>
      </c>
      <c r="P848" s="10" t="inlineStr">
        <is>
          <t>PUBLICA(1)</t>
        </is>
      </c>
      <c r="Q848" s="10" t="inlineStr">
        <is>
          <t>BAJA(1)</t>
        </is>
      </c>
      <c r="R848" s="10" t="inlineStr">
        <is>
          <t>BAJA(1)</t>
        </is>
      </c>
      <c r="S848" s="10">
        <f>+(IF(P848="PUBLICA(1)",1,IF(P848="USO INTERNO(2)",2,IF(P848="RESTRINGIDO(3)",3,3))))+(IF(Q848="BAJA(1)",1,IF(Q848="MEDIA(2)",2,IF(Q848="ALTA(3)",3,3))))+(IF(R848="BAJA(1)",1,IF(R848="MEDIA(2)",2,IF(R848="ALTA(3)",3,3))))</f>
        <v/>
      </c>
      <c r="T848" s="10">
        <f>+IF(S848&lt;6,"BAJA",IF(S848&lt;8,"MEDIA","ALTA"))</f>
        <v/>
      </c>
      <c r="U848" s="10" t="inlineStr">
        <is>
          <t>-</t>
        </is>
      </c>
      <c r="V848" s="24" t="n">
        <v>45681</v>
      </c>
      <c r="W848" s="19" t="inlineStr">
        <is>
          <t>N/A</t>
        </is>
      </c>
      <c r="X848" s="10">
        <f>+IFERROR(IF(VLOOKUP(Tabla2[[#This Row],[ID]],'EVALUACION DE RIESGO'!A:A,1,FALSE)=Tabla2[[#This Row],[ID]],"SI","NO"),"NO")</f>
        <v/>
      </c>
      <c r="AD848">
        <f>IF(AND(Y848="",AA848=""),"",IF(OR(LEFT(AA848,2)="L0",LEFT(AA848,2)="L1",Y848="No Iniciado"),"CRÍTICO - Incumplimiento Normativo SEPS",IF(AND(OR(LEFT(AA848,2)="L4",LEFT(AA848,2)="L5"),AND(AC848&lt;&gt;"",AC848&lt;&gt;"N/A")),"CONFORME - Control Efectivo ISO 27001","OBSERVACIÓN - Revisar Controles")))</f>
        <v/>
      </c>
    </row>
    <row r="849">
      <c r="A849" s="99" t="inlineStr">
        <is>
          <t>26-GES</t>
        </is>
      </c>
      <c r="B849" s="10" t="inlineStr">
        <is>
          <t>ESTRATÉGICO</t>
        </is>
      </c>
      <c r="C849" s="10" t="inlineStr">
        <is>
          <t xml:space="preserve">Gestión Estratégica </t>
        </is>
      </c>
      <c r="D849" s="10" t="inlineStr">
        <is>
          <t>GES</t>
        </is>
      </c>
      <c r="E849" s="10" t="inlineStr">
        <is>
          <t xml:space="preserve">Planificación Estratégica </t>
        </is>
      </c>
      <c r="F849" s="10" t="inlineStr">
        <is>
          <t>-</t>
        </is>
      </c>
      <c r="G849" s="10" t="inlineStr">
        <is>
          <t>Formulación del Plan Estratégico</t>
        </is>
      </c>
      <c r="H849" s="10" t="inlineStr">
        <is>
          <t>Resolución de la Asamblea de Representantes</t>
        </is>
      </c>
      <c r="I849" s="10" t="inlineStr">
        <is>
          <t>Archivo de la Asamblea de Representantes</t>
        </is>
      </c>
      <c r="J849" s="10" t="inlineStr">
        <is>
          <t>JEFE DE PLANIFICACIÓN Y PROCESOS</t>
        </is>
      </c>
      <c r="K849" s="10" t="inlineStr">
        <is>
          <t>JEFE DE PLANIFICACIÓN Y PROCESOS</t>
        </is>
      </c>
      <c r="L849" s="10" t="inlineStr">
        <is>
          <t>UBICACIÓN DIGITAL-EQUIPO DEL CUSTODIO</t>
        </is>
      </c>
      <c r="M849" s="10" t="inlineStr">
        <is>
          <t>DOCUMENTO DE ARCHIVO-ELECTRÓNICO</t>
        </is>
      </c>
      <c r="N849" s="10" t="inlineStr">
        <is>
          <t>PRIMARIOS</t>
        </is>
      </c>
      <c r="O849" s="10" t="inlineStr">
        <is>
          <t>DOCUMENTOS TÉCNICOS</t>
        </is>
      </c>
      <c r="P849" s="10" t="inlineStr">
        <is>
          <t>PUBLICA(1)</t>
        </is>
      </c>
      <c r="Q849" s="10" t="inlineStr">
        <is>
          <t>BAJA(1)</t>
        </is>
      </c>
      <c r="R849" s="10" t="inlineStr">
        <is>
          <t>BAJA(1)</t>
        </is>
      </c>
      <c r="S849" s="10">
        <f>+(IF(P849="PUBLICA(1)",1,IF(P849="USO INTERNO(2)",2,IF(P849="RESTRINGIDO(3)",3,3))))+(IF(Q849="BAJA(1)",1,IF(Q849="MEDIA(2)",2,IF(Q849="ALTA(3)",3,3))))+(IF(R849="BAJA(1)",1,IF(R849="MEDIA(2)",2,IF(R849="ALTA(3)",3,3))))</f>
        <v/>
      </c>
      <c r="T849" s="10">
        <f>+IF(S849&lt;6,"BAJA",IF(S849&lt;8,"MEDIA","ALTA"))</f>
        <v/>
      </c>
      <c r="U849" s="10" t="inlineStr">
        <is>
          <t>-</t>
        </is>
      </c>
      <c r="V849" s="24" t="n">
        <v>45681</v>
      </c>
      <c r="W849" s="19" t="inlineStr">
        <is>
          <t>N/A</t>
        </is>
      </c>
      <c r="X849" s="10">
        <f>+IFERROR(IF(VLOOKUP(Tabla2[[#This Row],[ID]],'EVALUACION DE RIESGO'!A:A,1,FALSE)=Tabla2[[#This Row],[ID]],"SI","NO"),"NO")</f>
        <v/>
      </c>
      <c r="AD849">
        <f>IF(AND(Y849="",AA849=""),"",IF(OR(LEFT(AA849,2)="L0",LEFT(AA849,2)="L1",Y849="No Iniciado"),"CRÍTICO - Incumplimiento Normativo SEPS",IF(AND(OR(LEFT(AA849,2)="L4",LEFT(AA849,2)="L5"),AND(AC849&lt;&gt;"",AC849&lt;&gt;"N/A")),"CONFORME - Control Efectivo ISO 27001","OBSERVACIÓN - Revisar Controles")))</f>
        <v/>
      </c>
    </row>
    <row r="850">
      <c r="A850" s="99" t="inlineStr">
        <is>
          <t>27-GES</t>
        </is>
      </c>
      <c r="B850" s="10" t="inlineStr">
        <is>
          <t>ESTRATÉGICO</t>
        </is>
      </c>
      <c r="C850" s="10" t="inlineStr">
        <is>
          <t xml:space="preserve">Gestión Estratégica </t>
        </is>
      </c>
      <c r="D850" s="10" t="inlineStr">
        <is>
          <t>GES</t>
        </is>
      </c>
      <c r="E850" s="10" t="inlineStr">
        <is>
          <t xml:space="preserve">Planificación Estratégica </t>
        </is>
      </c>
      <c r="F850" s="10" t="inlineStr">
        <is>
          <t>-</t>
        </is>
      </c>
      <c r="G850" s="10" t="inlineStr">
        <is>
          <t xml:space="preserve">Evaluación del Plan Estratégico </t>
        </is>
      </c>
      <c r="H850" s="10" t="inlineStr">
        <is>
          <t>Plan Estratégico Institucional</t>
        </is>
      </c>
      <c r="I850" s="10" t="inlineStr">
        <is>
          <t>Formulación del plan estratégico</t>
        </is>
      </c>
      <c r="J850" s="10" t="inlineStr">
        <is>
          <t>JEFE DE PLANIFICACIÓN Y PROCESOS</t>
        </is>
      </c>
      <c r="K850" s="10" t="inlineStr">
        <is>
          <t>JEFE DE PLANIFICACIÓN Y PROCESOS</t>
        </is>
      </c>
      <c r="L850" s="10" t="inlineStr">
        <is>
          <t>UBICACIÓN DIGITAL-EQUIPO DEL CUSTODIO</t>
        </is>
      </c>
      <c r="M850" s="10" t="inlineStr">
        <is>
          <t>DOCUMENTO DE ARCHIVO-ELECTRÓNICO</t>
        </is>
      </c>
      <c r="N850" s="10" t="inlineStr">
        <is>
          <t>PRIMARIOS</t>
        </is>
      </c>
      <c r="O850" s="10" t="inlineStr">
        <is>
          <t>DOCUMENTOS TÉCNICOS</t>
        </is>
      </c>
      <c r="P850" s="10" t="inlineStr">
        <is>
          <t>PUBLICA(1)</t>
        </is>
      </c>
      <c r="Q850" s="10" t="inlineStr">
        <is>
          <t>BAJA(1)</t>
        </is>
      </c>
      <c r="R850" s="10" t="inlineStr">
        <is>
          <t>ALTA(3)</t>
        </is>
      </c>
      <c r="S850" s="10">
        <f>+(IF(P850="PUBLICA(1)",1,IF(P850="USO INTERNO(2)",2,IF(P850="RESTRINGIDO(3)",3,3))))+(IF(Q850="BAJA(1)",1,IF(Q850="MEDIA(2)",2,IF(Q850="ALTA(3)",3,3))))+(IF(R850="BAJA(1)",1,IF(R850="MEDIA(2)",2,IF(R850="ALTA(3)",3,3))))</f>
        <v/>
      </c>
      <c r="T850" s="10">
        <f>+IF(S850&lt;6,"BAJA",IF(S850&lt;8,"MEDIA","ALTA"))</f>
        <v/>
      </c>
      <c r="U850" s="10" t="inlineStr">
        <is>
          <t>-</t>
        </is>
      </c>
      <c r="V850" s="24" t="n">
        <v>45681</v>
      </c>
      <c r="W850" s="19" t="inlineStr">
        <is>
          <t>N/A</t>
        </is>
      </c>
      <c r="X850" s="10">
        <f>+IFERROR(IF(VLOOKUP(Tabla2[[#This Row],[ID]],'EVALUACION DE RIESGO'!A:A,1,FALSE)=Tabla2[[#This Row],[ID]],"SI","NO"),"NO")</f>
        <v/>
      </c>
      <c r="AD850">
        <f>IF(AND(Y850="",AA850=""),"",IF(OR(LEFT(AA850,2)="L0",LEFT(AA850,2)="L1",Y850="No Iniciado"),"CRÍTICO - Incumplimiento Normativo SEPS",IF(AND(OR(LEFT(AA850,2)="L4",LEFT(AA850,2)="L5"),AND(AC850&lt;&gt;"",AC850&lt;&gt;"N/A")),"CONFORME - Control Efectivo ISO 27001","OBSERVACIÓN - Revisar Controles")))</f>
        <v/>
      </c>
    </row>
    <row r="851">
      <c r="A851" s="99" t="inlineStr">
        <is>
          <t>28-GES</t>
        </is>
      </c>
      <c r="B851" s="10" t="inlineStr">
        <is>
          <t>ESTRATÉGICO</t>
        </is>
      </c>
      <c r="C851" s="10" t="inlineStr">
        <is>
          <t xml:space="preserve">Gestión Estratégica </t>
        </is>
      </c>
      <c r="D851" s="10" t="inlineStr">
        <is>
          <t>GES</t>
        </is>
      </c>
      <c r="E851" s="10" t="inlineStr">
        <is>
          <t xml:space="preserve">Planificación Estratégica </t>
        </is>
      </c>
      <c r="F851" s="10" t="inlineStr">
        <is>
          <t>-</t>
        </is>
      </c>
      <c r="G851" s="10" t="inlineStr">
        <is>
          <t xml:space="preserve">Evaluación del Plan Estratégico </t>
        </is>
      </c>
      <c r="H851" s="10" t="inlineStr">
        <is>
          <t>Matriz de valoración de indicadores estratégicos</t>
        </is>
      </c>
      <c r="I851" s="10" t="inlineStr">
        <is>
          <t xml:space="preserve">Archivo del departamento </t>
        </is>
      </c>
      <c r="J851" s="10" t="inlineStr">
        <is>
          <t>JEFE DE PLANIFICACIÓN Y PROCESOS</t>
        </is>
      </c>
      <c r="K851" s="10" t="inlineStr">
        <is>
          <t>JEFE DE PLANIFICACIÓN Y PROCESOS</t>
        </is>
      </c>
      <c r="L851" s="10" t="inlineStr">
        <is>
          <t>UBICACIÓN DIGITAL-EQUIPO DEL CUSTODIO</t>
        </is>
      </c>
      <c r="M851" s="10" t="inlineStr">
        <is>
          <t>DOCUMENTO DE ARCHIVO-ELECTRÓNICO</t>
        </is>
      </c>
      <c r="N851" s="10" t="inlineStr">
        <is>
          <t>PRIMARIOS</t>
        </is>
      </c>
      <c r="O851" s="10" t="inlineStr">
        <is>
          <t>DOCUMENTOS TÉCNICOS</t>
        </is>
      </c>
      <c r="P851" s="10" t="inlineStr">
        <is>
          <t>PUBLICA(1)</t>
        </is>
      </c>
      <c r="Q851" s="10" t="inlineStr">
        <is>
          <t>BAJA(1)</t>
        </is>
      </c>
      <c r="R851" s="10" t="inlineStr">
        <is>
          <t>ALTA(3)</t>
        </is>
      </c>
      <c r="S851" s="10">
        <f>+(IF(P851="PUBLICA(1)",1,IF(P851="USO INTERNO(2)",2,IF(P851="RESTRINGIDO(3)",3,3))))+(IF(Q851="BAJA(1)",1,IF(Q851="MEDIA(2)",2,IF(Q851="ALTA(3)",3,3))))+(IF(R851="BAJA(1)",1,IF(R851="MEDIA(2)",2,IF(R851="ALTA(3)",3,3))))</f>
        <v/>
      </c>
      <c r="T851" s="10">
        <f>+IF(S851&lt;6,"BAJA",IF(S851&lt;8,"MEDIA","ALTA"))</f>
        <v/>
      </c>
      <c r="U851" s="10" t="inlineStr">
        <is>
          <t>-</t>
        </is>
      </c>
      <c r="V851" s="24" t="n">
        <v>45681</v>
      </c>
      <c r="W851" s="19" t="inlineStr">
        <is>
          <t>N/A</t>
        </is>
      </c>
      <c r="X851" s="10">
        <f>+IFERROR(IF(VLOOKUP(Tabla2[[#This Row],[ID]],'EVALUACION DE RIESGO'!A:A,1,FALSE)=Tabla2[[#This Row],[ID]],"SI","NO"),"NO")</f>
        <v/>
      </c>
      <c r="AD851">
        <f>IF(AND(Y851="",AA851=""),"",IF(OR(LEFT(AA851,2)="L0",LEFT(AA851,2)="L1",Y851="No Iniciado"),"CRÍTICO - Incumplimiento Normativo SEPS",IF(AND(OR(LEFT(AA851,2)="L4",LEFT(AA851,2)="L5"),AND(AC851&lt;&gt;"",AC851&lt;&gt;"N/A")),"CONFORME - Control Efectivo ISO 27001","OBSERVACIÓN - Revisar Controles")))</f>
        <v/>
      </c>
    </row>
    <row r="852">
      <c r="A852" s="99" t="inlineStr">
        <is>
          <t>29-GES</t>
        </is>
      </c>
      <c r="B852" s="10" t="inlineStr">
        <is>
          <t>ESTRATÉGICO</t>
        </is>
      </c>
      <c r="C852" s="10" t="inlineStr">
        <is>
          <t xml:space="preserve">Gestión Estratégica </t>
        </is>
      </c>
      <c r="D852" s="10" t="inlineStr">
        <is>
          <t>GES</t>
        </is>
      </c>
      <c r="E852" s="10" t="inlineStr">
        <is>
          <t xml:space="preserve">Planificación Estratégica </t>
        </is>
      </c>
      <c r="F852" s="10" t="inlineStr">
        <is>
          <t>-</t>
        </is>
      </c>
      <c r="G852" s="10" t="inlineStr">
        <is>
          <t xml:space="preserve">Evaluación del Plan Estratégico </t>
        </is>
      </c>
      <c r="H852" s="10" t="inlineStr">
        <is>
          <t>Informe de Evaluación del Plan Estratégico</t>
        </is>
      </c>
      <c r="I852" s="10" t="inlineStr">
        <is>
          <t>Restructuración del Plan Estratégico
Preparación del proceso de Planificación
Elaboración del Plan Operativo</t>
        </is>
      </c>
      <c r="J852" s="10" t="inlineStr">
        <is>
          <t>JEFE DE PLANIFICACIÓN Y PROCESOS</t>
        </is>
      </c>
      <c r="K852" s="10" t="inlineStr">
        <is>
          <t>JEFE DE PLANIFICACIÓN Y PROCESOS</t>
        </is>
      </c>
      <c r="L852" s="10" t="inlineStr">
        <is>
          <t>UBICACIÓN DIGITAL-EQUIPO DEL CUSTODIO</t>
        </is>
      </c>
      <c r="M852" s="10" t="inlineStr">
        <is>
          <t>DOCUMENTO DE ARCHIVO-ELECTRÓNICO</t>
        </is>
      </c>
      <c r="N852" s="10" t="inlineStr">
        <is>
          <t>PRIMARIOS</t>
        </is>
      </c>
      <c r="O852" s="10" t="inlineStr">
        <is>
          <t>DOCUMENTOS TÉCNICOS</t>
        </is>
      </c>
      <c r="P852" s="10" t="inlineStr">
        <is>
          <t>PUBLICA(1)</t>
        </is>
      </c>
      <c r="Q852" s="10" t="inlineStr">
        <is>
          <t>BAJA(1)</t>
        </is>
      </c>
      <c r="R852" s="10" t="inlineStr">
        <is>
          <t>ALTA(3)</t>
        </is>
      </c>
      <c r="S852" s="10">
        <f>+(IF(P852="PUBLICA(1)",1,IF(P852="USO INTERNO(2)",2,IF(P852="RESTRINGIDO(3)",3,3))))+(IF(Q852="BAJA(1)",1,IF(Q852="MEDIA(2)",2,IF(Q852="ALTA(3)",3,3))))+(IF(R852="BAJA(1)",1,IF(R852="MEDIA(2)",2,IF(R852="ALTA(3)",3,3))))</f>
        <v/>
      </c>
      <c r="T852" s="10">
        <f>+IF(S852&lt;6,"BAJA",IF(S852&lt;8,"MEDIA","ALTA"))</f>
        <v/>
      </c>
      <c r="U852" s="10" t="inlineStr">
        <is>
          <t>-</t>
        </is>
      </c>
      <c r="V852" s="24" t="n">
        <v>45681</v>
      </c>
      <c r="W852" s="19" t="inlineStr">
        <is>
          <t>N/A</t>
        </is>
      </c>
      <c r="X852" s="10">
        <f>+IFERROR(IF(VLOOKUP(Tabla2[[#This Row],[ID]],'EVALUACION DE RIESGO'!A:A,1,FALSE)=Tabla2[[#This Row],[ID]],"SI","NO"),"NO")</f>
        <v/>
      </c>
      <c r="AD852">
        <f>IF(AND(Y852="",AA852=""),"",IF(OR(LEFT(AA852,2)="L0",LEFT(AA852,2)="L1",Y852="No Iniciado"),"CRÍTICO - Incumplimiento Normativo SEPS",IF(AND(OR(LEFT(AA852,2)="L4",LEFT(AA852,2)="L5"),AND(AC852&lt;&gt;"",AC852&lt;&gt;"N/A")),"CONFORME - Control Efectivo ISO 27001","OBSERVACIÓN - Revisar Controles")))</f>
        <v/>
      </c>
    </row>
    <row r="853">
      <c r="A853" s="99" t="inlineStr">
        <is>
          <t>30-GES</t>
        </is>
      </c>
      <c r="B853" s="10" t="inlineStr">
        <is>
          <t>ESTRATÉGICO</t>
        </is>
      </c>
      <c r="C853" s="10" t="inlineStr">
        <is>
          <t xml:space="preserve">Gestión Estratégica </t>
        </is>
      </c>
      <c r="D853" s="10" t="inlineStr">
        <is>
          <t>GES</t>
        </is>
      </c>
      <c r="E853" s="10" t="inlineStr">
        <is>
          <t xml:space="preserve">Planificación Estratégica </t>
        </is>
      </c>
      <c r="F853" s="10" t="inlineStr">
        <is>
          <t>-</t>
        </is>
      </c>
      <c r="G853" s="10" t="inlineStr">
        <is>
          <t>Restructuración del Plan Estratégico</t>
        </is>
      </c>
      <c r="H853" s="10" t="inlineStr">
        <is>
          <t>Informe de Evaluación del Plan Estratégico</t>
        </is>
      </c>
      <c r="I853" s="10" t="inlineStr">
        <is>
          <t>Evaluación del Plan Estratégico</t>
        </is>
      </c>
      <c r="J853" s="10" t="inlineStr">
        <is>
          <t>JEFE DE PLANIFICACIÓN Y PROCESOS</t>
        </is>
      </c>
      <c r="K853" s="10" t="inlineStr">
        <is>
          <t>JEFE DE PLANIFICACIÓN Y PROCESOS</t>
        </is>
      </c>
      <c r="L853" s="10" t="inlineStr">
        <is>
          <t>UBICACIÓN DIGITAL-EQUIPO DEL CUSTODIO</t>
        </is>
      </c>
      <c r="M853" s="10" t="inlineStr">
        <is>
          <t>DOCUMENTO DE ARCHIVO-ELECTRÓNICO</t>
        </is>
      </c>
      <c r="N853" s="10" t="inlineStr">
        <is>
          <t>PRIMARIOS</t>
        </is>
      </c>
      <c r="O853" s="10" t="inlineStr">
        <is>
          <t>DOCUMENTOS TÉCNICOS</t>
        </is>
      </c>
      <c r="P853" s="10" t="inlineStr">
        <is>
          <t>PUBLICA(1)</t>
        </is>
      </c>
      <c r="Q853" s="10" t="inlineStr">
        <is>
          <t>BAJA(1)</t>
        </is>
      </c>
      <c r="R853" s="10" t="inlineStr">
        <is>
          <t>ALTA(3)</t>
        </is>
      </c>
      <c r="S853" s="10">
        <f>+(IF(P853="PUBLICA(1)",1,IF(P853="USO INTERNO(2)",2,IF(P853="RESTRINGIDO(3)",3,3))))+(IF(Q853="BAJA(1)",1,IF(Q853="MEDIA(2)",2,IF(Q853="ALTA(3)",3,3))))+(IF(R853="BAJA(1)",1,IF(R853="MEDIA(2)",2,IF(R853="ALTA(3)",3,3))))</f>
        <v/>
      </c>
      <c r="T853" s="10">
        <f>+IF(S853&lt;6,"BAJA",IF(S853&lt;8,"MEDIA","ALTA"))</f>
        <v/>
      </c>
      <c r="U853" s="10" t="inlineStr">
        <is>
          <t>-</t>
        </is>
      </c>
      <c r="V853" s="24" t="n">
        <v>45681</v>
      </c>
      <c r="W853" s="19" t="inlineStr">
        <is>
          <t>N/A</t>
        </is>
      </c>
      <c r="X853" s="10">
        <f>+IFERROR(IF(VLOOKUP(Tabla2[[#This Row],[ID]],'EVALUACION DE RIESGO'!A:A,1,FALSE)=Tabla2[[#This Row],[ID]],"SI","NO"),"NO")</f>
        <v/>
      </c>
      <c r="AD853">
        <f>IF(AND(Y853="",AA853=""),"",IF(OR(LEFT(AA853,2)="L0",LEFT(AA853,2)="L1",Y853="No Iniciado"),"CRÍTICO - Incumplimiento Normativo SEPS",IF(AND(OR(LEFT(AA853,2)="L4",LEFT(AA853,2)="L5"),AND(AC853&lt;&gt;"",AC853&lt;&gt;"N/A")),"CONFORME - Control Efectivo ISO 27001","OBSERVACIÓN - Revisar Controles")))</f>
        <v/>
      </c>
    </row>
    <row r="854">
      <c r="A854" s="99" t="inlineStr">
        <is>
          <t>31-GES</t>
        </is>
      </c>
      <c r="B854" s="10" t="inlineStr">
        <is>
          <t>ESTRATÉGICO</t>
        </is>
      </c>
      <c r="C854" s="10" t="inlineStr">
        <is>
          <t xml:space="preserve">Gestión Estratégica </t>
        </is>
      </c>
      <c r="D854" s="10" t="inlineStr">
        <is>
          <t>GES</t>
        </is>
      </c>
      <c r="E854" s="10" t="inlineStr">
        <is>
          <t xml:space="preserve">Planificación Estratégica </t>
        </is>
      </c>
      <c r="F854" s="10" t="inlineStr">
        <is>
          <t>-</t>
        </is>
      </c>
      <c r="G854" s="10" t="inlineStr">
        <is>
          <t>Restructuración del Plan Estratégico</t>
        </is>
      </c>
      <c r="H854" s="10" t="inlineStr">
        <is>
          <t>Plan Estratégico reformado</t>
        </is>
      </c>
      <c r="I854" s="10" t="inlineStr">
        <is>
          <t>Evaluación del Plan Estratégico</t>
        </is>
      </c>
      <c r="J854" s="10" t="inlineStr">
        <is>
          <t>JEFE DE PLANIFICACIÓN Y PROCESOS</t>
        </is>
      </c>
      <c r="K854" s="10" t="inlineStr">
        <is>
          <t>JEFE DE PLANIFICACIÓN Y PROCESOS</t>
        </is>
      </c>
      <c r="L854" s="10" t="inlineStr">
        <is>
          <t>UBICACIÓN DIGITAL-EQUIPO DEL CUSTODIO</t>
        </is>
      </c>
      <c r="M854" s="10" t="inlineStr">
        <is>
          <t>DOCUMENTO DE ARCHIVO-ELECTRÓNICO</t>
        </is>
      </c>
      <c r="N854" s="10" t="inlineStr">
        <is>
          <t>PRIMARIOS</t>
        </is>
      </c>
      <c r="O854" s="10" t="inlineStr">
        <is>
          <t>DOCUMENTOS TÉCNICOS</t>
        </is>
      </c>
      <c r="P854" s="10" t="inlineStr">
        <is>
          <t>PUBLICA(1)</t>
        </is>
      </c>
      <c r="Q854" s="10" t="inlineStr">
        <is>
          <t>BAJA(1)</t>
        </is>
      </c>
      <c r="R854" s="10" t="inlineStr">
        <is>
          <t>ALTA(3)</t>
        </is>
      </c>
      <c r="S854" s="10">
        <f>+(IF(P854="PUBLICA(1)",1,IF(P854="USO INTERNO(2)",2,IF(P854="RESTRINGIDO(3)",3,3))))+(IF(Q854="BAJA(1)",1,IF(Q854="MEDIA(2)",2,IF(Q854="ALTA(3)",3,3))))+(IF(R854="BAJA(1)",1,IF(R854="MEDIA(2)",2,IF(R854="ALTA(3)",3,3))))</f>
        <v/>
      </c>
      <c r="T854" s="10">
        <f>+IF(S854&lt;6,"BAJA",IF(S854&lt;8,"MEDIA","ALTA"))</f>
        <v/>
      </c>
      <c r="U854" s="10" t="inlineStr">
        <is>
          <t>-</t>
        </is>
      </c>
      <c r="V854" s="24" t="n">
        <v>45681</v>
      </c>
      <c r="W854" s="19" t="inlineStr">
        <is>
          <t>N/A</t>
        </is>
      </c>
      <c r="X854" s="10">
        <f>+IFERROR(IF(VLOOKUP(Tabla2[[#This Row],[ID]],'EVALUACION DE RIESGO'!A:A,1,FALSE)=Tabla2[[#This Row],[ID]],"SI","NO"),"NO")</f>
        <v/>
      </c>
      <c r="AD854">
        <f>IF(AND(Y854="",AA854=""),"",IF(OR(LEFT(AA854,2)="L0",LEFT(AA854,2)="L1",Y854="No Iniciado"),"CRÍTICO - Incumplimiento Normativo SEPS",IF(AND(OR(LEFT(AA854,2)="L4",LEFT(AA854,2)="L5"),AND(AC854&lt;&gt;"",AC854&lt;&gt;"N/A")),"CONFORME - Control Efectivo ISO 27001","OBSERVACIÓN - Revisar Controles")))</f>
        <v/>
      </c>
    </row>
    <row r="855">
      <c r="A855" s="99" t="inlineStr">
        <is>
          <t>32-GES</t>
        </is>
      </c>
      <c r="B855" s="10" t="inlineStr">
        <is>
          <t>ESTRATÉGICO</t>
        </is>
      </c>
      <c r="C855" s="10" t="inlineStr">
        <is>
          <t xml:space="preserve">Gestión Estratégica </t>
        </is>
      </c>
      <c r="D855" s="10" t="inlineStr">
        <is>
          <t>GES</t>
        </is>
      </c>
      <c r="E855" s="10" t="inlineStr">
        <is>
          <t xml:space="preserve">Planificación Estratégica </t>
        </is>
      </c>
      <c r="F855" s="10" t="inlineStr">
        <is>
          <t>-</t>
        </is>
      </c>
      <c r="G855" s="10" t="inlineStr">
        <is>
          <t>Restructuración del Plan Estratégico</t>
        </is>
      </c>
      <c r="H855" s="10" t="inlineStr">
        <is>
          <t>Certificación de aprobación de Plan Estratégico reformado</t>
        </is>
      </c>
      <c r="I855" s="10" t="inlineStr">
        <is>
          <t>Publicación y difusión de documentos  / Archivo del departamento</t>
        </is>
      </c>
      <c r="J855" s="10" t="inlineStr">
        <is>
          <t>JEFE DE PLANIFICACIÓN Y PROCESOS</t>
        </is>
      </c>
      <c r="K855" s="10" t="inlineStr">
        <is>
          <t>JEFE DE PLANIFICACIÓN Y PROCESOS</t>
        </is>
      </c>
      <c r="L855" s="10" t="inlineStr">
        <is>
          <t>UBICACIÓN DIGITAL-EQUIPO DEL CUSTODIO</t>
        </is>
      </c>
      <c r="M855" s="10" t="inlineStr">
        <is>
          <t>DOCUMENTO DE ARCHIVO-ELECTRÓNICO</t>
        </is>
      </c>
      <c r="N855" s="10" t="inlineStr">
        <is>
          <t>PRIMARIOS</t>
        </is>
      </c>
      <c r="O855" s="10" t="inlineStr">
        <is>
          <t>DOCUMENTOS TÉCNICOS</t>
        </is>
      </c>
      <c r="P855" s="10" t="inlineStr">
        <is>
          <t>PUBLICA(1)</t>
        </is>
      </c>
      <c r="Q855" s="10" t="inlineStr">
        <is>
          <t>BAJA(1)</t>
        </is>
      </c>
      <c r="R855" s="10" t="inlineStr">
        <is>
          <t>BAJA(1)</t>
        </is>
      </c>
      <c r="S855" s="10">
        <f>+(IF(P855="PUBLICA(1)",1,IF(P855="USO INTERNO(2)",2,IF(P855="RESTRINGIDO(3)",3,3))))+(IF(Q855="BAJA(1)",1,IF(Q855="MEDIA(2)",2,IF(Q855="ALTA(3)",3,3))))+(IF(R855="BAJA(1)",1,IF(R855="MEDIA(2)",2,IF(R855="ALTA(3)",3,3))))</f>
        <v/>
      </c>
      <c r="T855" s="10">
        <f>+IF(S855&lt;6,"BAJA",IF(S855&lt;8,"MEDIA","ALTA"))</f>
        <v/>
      </c>
      <c r="U855" s="10" t="inlineStr">
        <is>
          <t>-</t>
        </is>
      </c>
      <c r="V855" s="24" t="n">
        <v>45681</v>
      </c>
      <c r="W855" s="19" t="inlineStr">
        <is>
          <t>N/A</t>
        </is>
      </c>
      <c r="X855" s="10">
        <f>+IFERROR(IF(VLOOKUP(Tabla2[[#This Row],[ID]],'EVALUACION DE RIESGO'!A:A,1,FALSE)=Tabla2[[#This Row],[ID]],"SI","NO"),"NO")</f>
        <v/>
      </c>
      <c r="AD855">
        <f>IF(AND(Y855="",AA855=""),"",IF(OR(LEFT(AA855,2)="L0",LEFT(AA855,2)="L1",Y855="No Iniciado"),"CRÍTICO - Incumplimiento Normativo SEPS",IF(AND(OR(LEFT(AA855,2)="L4",LEFT(AA855,2)="L5"),AND(AC855&lt;&gt;"",AC855&lt;&gt;"N/A")),"CONFORME - Control Efectivo ISO 27001","OBSERVACIÓN - Revisar Controles")))</f>
        <v/>
      </c>
    </row>
    <row r="856">
      <c r="A856" s="99" t="inlineStr">
        <is>
          <t>33-GES</t>
        </is>
      </c>
      <c r="B856" s="10" t="inlineStr">
        <is>
          <t>ESTRATÉGICO</t>
        </is>
      </c>
      <c r="C856" s="10" t="inlineStr">
        <is>
          <t xml:space="preserve">Gestión Estratégica </t>
        </is>
      </c>
      <c r="D856" s="10" t="inlineStr">
        <is>
          <t>GES</t>
        </is>
      </c>
      <c r="E856" s="10" t="inlineStr">
        <is>
          <t xml:space="preserve">Planificación Operativa </t>
        </is>
      </c>
      <c r="F856" s="10" t="inlineStr">
        <is>
          <t>-</t>
        </is>
      </c>
      <c r="G856" s="10" t="inlineStr">
        <is>
          <t>Preparación para la construcción de la Planificación Operativa</t>
        </is>
      </c>
      <c r="H856" s="10" t="inlineStr">
        <is>
          <t>Solicitud de adquisiciones</t>
        </is>
      </c>
      <c r="I856" s="10" t="inlineStr">
        <is>
          <t xml:space="preserve">TDR Contratación de bienes y servicios menores. </t>
        </is>
      </c>
      <c r="J856" s="10" t="inlineStr">
        <is>
          <t>JEFE DE PLANIFICACIÓN Y PROCESOS</t>
        </is>
      </c>
      <c r="K856" s="10" t="inlineStr">
        <is>
          <t>JEFE DE PLANIFICACIÓN Y PROCESOS</t>
        </is>
      </c>
      <c r="L856" s="10" t="inlineStr">
        <is>
          <t>UBICACIÓN DIGITAL-EQUIPO DEL CUSTODIO</t>
        </is>
      </c>
      <c r="M856" s="10" t="inlineStr">
        <is>
          <t>DOCUMENTO DE ARCHIVO-ELECTRÓNICO</t>
        </is>
      </c>
      <c r="N856" s="10" t="inlineStr">
        <is>
          <t>PRIMARIOS</t>
        </is>
      </c>
      <c r="O856" s="10" t="inlineStr">
        <is>
          <t>DOCUMENTOS TÉCNICOS</t>
        </is>
      </c>
      <c r="P856" s="10" t="inlineStr">
        <is>
          <t>PUBLICA(1)</t>
        </is>
      </c>
      <c r="Q856" s="10" t="inlineStr">
        <is>
          <t>BAJA(1)</t>
        </is>
      </c>
      <c r="R856" s="10" t="inlineStr">
        <is>
          <t>BAJA(1)</t>
        </is>
      </c>
      <c r="S856" s="10">
        <f>+(IF(P856="PUBLICA(1)",1,IF(P856="USO INTERNO(2)",2,IF(P856="RESTRINGIDO(3)",3,3))))+(IF(Q856="BAJA(1)",1,IF(Q856="MEDIA(2)",2,IF(Q856="ALTA(3)",3,3))))+(IF(R856="BAJA(1)",1,IF(R856="MEDIA(2)",2,IF(R856="ALTA(3)",3,3))))</f>
        <v/>
      </c>
      <c r="T856" s="10">
        <f>+IF(S856&lt;6,"BAJA",IF(S856&lt;8,"MEDIA","ALTA"))</f>
        <v/>
      </c>
      <c r="U856" s="10" t="inlineStr">
        <is>
          <t>-</t>
        </is>
      </c>
      <c r="V856" s="24" t="n">
        <v>45681</v>
      </c>
      <c r="W856" s="19" t="inlineStr">
        <is>
          <t>N/A</t>
        </is>
      </c>
      <c r="X856" s="10">
        <f>+IFERROR(IF(VLOOKUP(Tabla2[[#This Row],[ID]],'EVALUACION DE RIESGO'!A:A,1,FALSE)=Tabla2[[#This Row],[ID]],"SI","NO"),"NO")</f>
        <v/>
      </c>
      <c r="AD856">
        <f>IF(AND(Y856="",AA856=""),"",IF(OR(LEFT(AA856,2)="L0",LEFT(AA856,2)="L1",Y856="No Iniciado"),"CRÍTICO - Incumplimiento Normativo SEPS",IF(AND(OR(LEFT(AA856,2)="L4",LEFT(AA856,2)="L5"),AND(AC856&lt;&gt;"",AC856&lt;&gt;"N/A")),"CONFORME - Control Efectivo ISO 27001","OBSERVACIÓN - Revisar Controles")))</f>
        <v/>
      </c>
    </row>
    <row r="857">
      <c r="A857" s="99" t="inlineStr">
        <is>
          <t>34-GES</t>
        </is>
      </c>
      <c r="B857" s="10" t="inlineStr">
        <is>
          <t>ESTRATÉGICO</t>
        </is>
      </c>
      <c r="C857" s="10" t="inlineStr">
        <is>
          <t xml:space="preserve">Gestión Estratégica </t>
        </is>
      </c>
      <c r="D857" s="10" t="inlineStr">
        <is>
          <t>GES</t>
        </is>
      </c>
      <c r="E857" s="10" t="inlineStr">
        <is>
          <t xml:space="preserve">Planificación Operativa </t>
        </is>
      </c>
      <c r="F857" s="10" t="inlineStr">
        <is>
          <t>-</t>
        </is>
      </c>
      <c r="G857" s="10" t="inlineStr">
        <is>
          <t>Preparación para la construcción de la Planificación Operativa</t>
        </is>
      </c>
      <c r="H857" s="10" t="inlineStr">
        <is>
          <t>Cronograma de trabajo</t>
        </is>
      </c>
      <c r="I857" s="10" t="inlineStr">
        <is>
          <t xml:space="preserve">Análisis de la situación actual / Elaboración del Plan Operativo </t>
        </is>
      </c>
      <c r="J857" s="10" t="inlineStr">
        <is>
          <t>JEFE DE PLANIFICACIÓN Y PROCESOS</t>
        </is>
      </c>
      <c r="K857" s="10" t="inlineStr">
        <is>
          <t>JEFE DE PLANIFICACIÓN Y PROCESOS</t>
        </is>
      </c>
      <c r="L857" s="10" t="inlineStr">
        <is>
          <t>UBICACIÓN DIGITAL-EQUIPO DEL CUSTODIO</t>
        </is>
      </c>
      <c r="M857" s="10" t="inlineStr">
        <is>
          <t>DOCUMENTO DE ARCHIVO-ELECTRÓNICO</t>
        </is>
      </c>
      <c r="N857" s="10" t="inlineStr">
        <is>
          <t>PRIMARIOS</t>
        </is>
      </c>
      <c r="O857" s="10" t="inlineStr">
        <is>
          <t>DOCUMENTOS TÉCNICOS</t>
        </is>
      </c>
      <c r="P857" s="10" t="inlineStr">
        <is>
          <t>PUBLICA(1)</t>
        </is>
      </c>
      <c r="Q857" s="10" t="inlineStr">
        <is>
          <t>BAJA(1)</t>
        </is>
      </c>
      <c r="R857" s="10" t="inlineStr">
        <is>
          <t>BAJA(1)</t>
        </is>
      </c>
      <c r="S857" s="10">
        <f>+(IF(P857="PUBLICA(1)",1,IF(P857="USO INTERNO(2)",2,IF(P857="RESTRINGIDO(3)",3,3))))+(IF(Q857="BAJA(1)",1,IF(Q857="MEDIA(2)",2,IF(Q857="ALTA(3)",3,3))))+(IF(R857="BAJA(1)",1,IF(R857="MEDIA(2)",2,IF(R857="ALTA(3)",3,3))))</f>
        <v/>
      </c>
      <c r="T857" s="10">
        <f>+IF(S857&lt;6,"BAJA",IF(S857&lt;8,"MEDIA","ALTA"))</f>
        <v/>
      </c>
      <c r="U857" s="10" t="inlineStr">
        <is>
          <t>-</t>
        </is>
      </c>
      <c r="V857" s="24" t="n">
        <v>45681</v>
      </c>
      <c r="W857" s="19" t="inlineStr">
        <is>
          <t>N/A</t>
        </is>
      </c>
      <c r="X857" s="10">
        <f>+IFERROR(IF(VLOOKUP(Tabla2[[#This Row],[ID]],'EVALUACION DE RIESGO'!A:A,1,FALSE)=Tabla2[[#This Row],[ID]],"SI","NO"),"NO")</f>
        <v/>
      </c>
      <c r="AD857">
        <f>IF(AND(Y857="",AA857=""),"",IF(OR(LEFT(AA857,2)="L0",LEFT(AA857,2)="L1",Y857="No Iniciado"),"CRÍTICO - Incumplimiento Normativo SEPS",IF(AND(OR(LEFT(AA857,2)="L4",LEFT(AA857,2)="L5"),AND(AC857&lt;&gt;"",AC857&lt;&gt;"N/A")),"CONFORME - Control Efectivo ISO 27001","OBSERVACIÓN - Revisar Controles")))</f>
        <v/>
      </c>
    </row>
    <row r="858">
      <c r="A858" s="99" t="inlineStr">
        <is>
          <t>35-GES</t>
        </is>
      </c>
      <c r="B858" s="10" t="inlineStr">
        <is>
          <t>ESTRATÉGICO</t>
        </is>
      </c>
      <c r="C858" s="10" t="inlineStr">
        <is>
          <t xml:space="preserve">Gestión Estratégica </t>
        </is>
      </c>
      <c r="D858" s="10" t="inlineStr">
        <is>
          <t>GES</t>
        </is>
      </c>
      <c r="E858" s="10" t="inlineStr">
        <is>
          <t xml:space="preserve">Planificación Operativa </t>
        </is>
      </c>
      <c r="F858" s="10" t="inlineStr">
        <is>
          <t>-</t>
        </is>
      </c>
      <c r="G858" s="10" t="inlineStr">
        <is>
          <t xml:space="preserve">Análisis de la situación actual </t>
        </is>
      </c>
      <c r="H858" s="10" t="inlineStr">
        <is>
          <t>Cronograma de trabajo</t>
        </is>
      </c>
      <c r="I858" s="10" t="inlineStr">
        <is>
          <t>Preparación para la construcción de la Planificación Operativa</t>
        </is>
      </c>
      <c r="J858" s="10" t="inlineStr">
        <is>
          <t>JEFE DE PLANIFICACIÓN Y PROCESOS</t>
        </is>
      </c>
      <c r="K858" s="10" t="inlineStr">
        <is>
          <t>JEFE DE PLANIFICACIÓN Y PROCESOS</t>
        </is>
      </c>
      <c r="L858" s="10" t="inlineStr">
        <is>
          <t>UBICACIÓN DIGITAL-EQUIPO DEL CUSTODIO</t>
        </is>
      </c>
      <c r="M858" s="10" t="inlineStr">
        <is>
          <t>DOCUMENTO DE ARCHIVO-ELECTRÓNICO</t>
        </is>
      </c>
      <c r="N858" s="10" t="inlineStr">
        <is>
          <t>PRIMARIOS</t>
        </is>
      </c>
      <c r="O858" s="10" t="inlineStr">
        <is>
          <t>DOCUMENTOS TÉCNICOS</t>
        </is>
      </c>
      <c r="P858" s="10" t="inlineStr">
        <is>
          <t>PUBLICA(1)</t>
        </is>
      </c>
      <c r="Q858" s="10" t="inlineStr">
        <is>
          <t>BAJA(1)</t>
        </is>
      </c>
      <c r="R858" s="10" t="inlineStr">
        <is>
          <t>BAJA(1)</t>
        </is>
      </c>
      <c r="S858" s="10">
        <f>+(IF(P858="PUBLICA(1)",1,IF(P858="USO INTERNO(2)",2,IF(P858="RESTRINGIDO(3)",3,3))))+(IF(Q858="BAJA(1)",1,IF(Q858="MEDIA(2)",2,IF(Q858="ALTA(3)",3,3))))+(IF(R858="BAJA(1)",1,IF(R858="MEDIA(2)",2,IF(R858="ALTA(3)",3,3))))</f>
        <v/>
      </c>
      <c r="T858" s="10">
        <f>+IF(S858&lt;6,"BAJA",IF(S858&lt;8,"MEDIA","ALTA"))</f>
        <v/>
      </c>
      <c r="U858" s="10" t="inlineStr">
        <is>
          <t>-</t>
        </is>
      </c>
      <c r="V858" s="24" t="n">
        <v>45681</v>
      </c>
      <c r="W858" s="19" t="inlineStr">
        <is>
          <t>N/A</t>
        </is>
      </c>
      <c r="X858" s="10">
        <f>+IFERROR(IF(VLOOKUP(Tabla2[[#This Row],[ID]],'EVALUACION DE RIESGO'!A:A,1,FALSE)=Tabla2[[#This Row],[ID]],"SI","NO"),"NO")</f>
        <v/>
      </c>
      <c r="AD858">
        <f>IF(AND(Y858="",AA858=""),"",IF(OR(LEFT(AA858,2)="L0",LEFT(AA858,2)="L1",Y858="No Iniciado"),"CRÍTICO - Incumplimiento Normativo SEPS",IF(AND(OR(LEFT(AA858,2)="L4",LEFT(AA858,2)="L5"),AND(AC858&lt;&gt;"",AC858&lt;&gt;"N/A")),"CONFORME - Control Efectivo ISO 27001","OBSERVACIÓN - Revisar Controles")))</f>
        <v/>
      </c>
    </row>
    <row r="859">
      <c r="A859" s="99" t="inlineStr">
        <is>
          <t>36-GES</t>
        </is>
      </c>
      <c r="B859" s="10" t="inlineStr">
        <is>
          <t>ESTRATÉGICO</t>
        </is>
      </c>
      <c r="C859" s="10" t="inlineStr">
        <is>
          <t xml:space="preserve">Gestión Estratégica </t>
        </is>
      </c>
      <c r="D859" s="10" t="inlineStr">
        <is>
          <t>GES</t>
        </is>
      </c>
      <c r="E859" s="10" t="inlineStr">
        <is>
          <t xml:space="preserve">Planificación Operativa </t>
        </is>
      </c>
      <c r="F859" s="10" t="inlineStr">
        <is>
          <t>-</t>
        </is>
      </c>
      <c r="G859" s="10" t="inlineStr">
        <is>
          <t xml:space="preserve">Análisis de la situación actual </t>
        </is>
      </c>
      <c r="H859" s="10" t="inlineStr">
        <is>
          <t>Estudios de mercado y de competencia</t>
        </is>
      </c>
      <c r="I859" s="10" t="inlineStr">
        <is>
          <t>Estudio para analizar la factibilidad de aperturas de oficina o lanzamiento de servicios</t>
        </is>
      </c>
      <c r="J859" s="10" t="inlineStr">
        <is>
          <t>JEFE DE PLANIFICACIÓN Y PROCESOS</t>
        </is>
      </c>
      <c r="K859" s="10" t="inlineStr">
        <is>
          <t>JEFE DE PLANIFICACIÓN Y PROCESOS</t>
        </is>
      </c>
      <c r="L859" s="10" t="inlineStr">
        <is>
          <t>UBICACIÓN DIGITAL-EQUIPO DEL CUSTODIO</t>
        </is>
      </c>
      <c r="M859" s="10" t="inlineStr">
        <is>
          <t>DOCUMENTO DE ARCHIVO-ELECTRÓNICO</t>
        </is>
      </c>
      <c r="N859" s="10" t="inlineStr">
        <is>
          <t>PRIMARIOS</t>
        </is>
      </c>
      <c r="O859" s="10" t="inlineStr">
        <is>
          <t>DOCUMENTOS TÉCNICOS</t>
        </is>
      </c>
      <c r="P859" s="10" t="inlineStr">
        <is>
          <t>USO INTERNO(2)</t>
        </is>
      </c>
      <c r="Q859" s="10" t="inlineStr">
        <is>
          <t>MEDIA(2)</t>
        </is>
      </c>
      <c r="R859" s="10" t="inlineStr">
        <is>
          <t>MEDIA(2)</t>
        </is>
      </c>
      <c r="S859" s="10">
        <f>+(IF(P859="PUBLICA(1)",1,IF(P859="USO INTERNO(2)",2,IF(P859="RESTRINGIDO(3)",3,3))))+(IF(Q859="BAJA(1)",1,IF(Q859="MEDIA(2)",2,IF(Q859="ALTA(3)",3,3))))+(IF(R859="BAJA(1)",1,IF(R859="MEDIA(2)",2,IF(R859="ALTA(3)",3,3))))</f>
        <v/>
      </c>
      <c r="T859" s="10">
        <f>+IF(S859&lt;6,"BAJA",IF(S859&lt;8,"MEDIA","ALTA"))</f>
        <v/>
      </c>
      <c r="U859" s="10" t="inlineStr">
        <is>
          <t>-</t>
        </is>
      </c>
      <c r="V859" s="24" t="n">
        <v>45681</v>
      </c>
      <c r="W859" s="19" t="inlineStr">
        <is>
          <t>N/A</t>
        </is>
      </c>
      <c r="X859" s="10">
        <f>+IFERROR(IF(VLOOKUP(Tabla2[[#This Row],[ID]],'EVALUACION DE RIESGO'!A:A,1,FALSE)=Tabla2[[#This Row],[ID]],"SI","NO"),"NO")</f>
        <v/>
      </c>
      <c r="AD859">
        <f>IF(AND(Y859="",AA859=""),"",IF(OR(LEFT(AA859,2)="L0",LEFT(AA859,2)="L1",Y859="No Iniciado"),"CRÍTICO - Incumplimiento Normativo SEPS",IF(AND(OR(LEFT(AA859,2)="L4",LEFT(AA859,2)="L5"),AND(AC859&lt;&gt;"",AC859&lt;&gt;"N/A")),"CONFORME - Control Efectivo ISO 27001","OBSERVACIÓN - Revisar Controles")))</f>
        <v/>
      </c>
    </row>
    <row r="860">
      <c r="A860" s="99" t="inlineStr">
        <is>
          <t>37-GES</t>
        </is>
      </c>
      <c r="B860" s="10" t="inlineStr">
        <is>
          <t>ESTRATÉGICO</t>
        </is>
      </c>
      <c r="C860" s="10" t="inlineStr">
        <is>
          <t xml:space="preserve">Gestión Estratégica </t>
        </is>
      </c>
      <c r="D860" s="10" t="inlineStr">
        <is>
          <t>GES</t>
        </is>
      </c>
      <c r="E860" s="10" t="inlineStr">
        <is>
          <t xml:space="preserve">Planificación Operativa </t>
        </is>
      </c>
      <c r="F860" s="10" t="inlineStr">
        <is>
          <t>-</t>
        </is>
      </c>
      <c r="G860" s="10" t="inlineStr">
        <is>
          <t xml:space="preserve">Análisis de la situación actual </t>
        </is>
      </c>
      <c r="H860" s="10" t="inlineStr">
        <is>
          <t>Estudios de clima laboral</t>
        </is>
      </c>
      <c r="I860" s="10" t="inlineStr">
        <is>
          <t>Documento de satisfacción de los empleados en el lugar de trabajo</t>
        </is>
      </c>
      <c r="J860" s="10" t="inlineStr">
        <is>
          <t>JEFE DE PLANIFICACIÓN Y PROCESOS</t>
        </is>
      </c>
      <c r="K860" s="10" t="inlineStr">
        <is>
          <t>JEFE DE PLANIFICACIÓN Y PROCESOS</t>
        </is>
      </c>
      <c r="L860" s="10" t="inlineStr">
        <is>
          <t>UBICACIÓN DIGITAL-EQUIPO DEL CUSTODIO</t>
        </is>
      </c>
      <c r="M860" s="10" t="inlineStr">
        <is>
          <t>DOCUMENTO DE ARCHIVO-ELECTRÓNICO</t>
        </is>
      </c>
      <c r="N860" s="10" t="inlineStr">
        <is>
          <t>PRIMARIOS</t>
        </is>
      </c>
      <c r="O860" s="10" t="inlineStr">
        <is>
          <t>DOCUMENTOS TÉCNICOS</t>
        </is>
      </c>
      <c r="P860" s="10" t="inlineStr">
        <is>
          <t>PUBLICA(1)</t>
        </is>
      </c>
      <c r="Q860" s="10" t="inlineStr">
        <is>
          <t>BAJA(1)</t>
        </is>
      </c>
      <c r="R860" s="10" t="inlineStr">
        <is>
          <t>BAJA(1)</t>
        </is>
      </c>
      <c r="S860" s="10">
        <f>+(IF(P860="PUBLICA(1)",1,IF(P860="USO INTERNO(2)",2,IF(P860="RESTRINGIDO(3)",3,3))))+(IF(Q860="BAJA(1)",1,IF(Q860="MEDIA(2)",2,IF(Q860="ALTA(3)",3,3))))+(IF(R860="BAJA(1)",1,IF(R860="MEDIA(2)",2,IF(R860="ALTA(3)",3,3))))</f>
        <v/>
      </c>
      <c r="T860" s="10">
        <f>+IF(S860&lt;6,"BAJA",IF(S860&lt;8,"MEDIA","ALTA"))</f>
        <v/>
      </c>
      <c r="U860" s="10" t="inlineStr">
        <is>
          <t>-</t>
        </is>
      </c>
      <c r="V860" s="24" t="n">
        <v>45681</v>
      </c>
      <c r="W860" s="19" t="inlineStr">
        <is>
          <t>N/A</t>
        </is>
      </c>
      <c r="X860" s="10">
        <f>+IFERROR(IF(VLOOKUP(Tabla2[[#This Row],[ID]],'EVALUACION DE RIESGO'!A:A,1,FALSE)=Tabla2[[#This Row],[ID]],"SI","NO"),"NO")</f>
        <v/>
      </c>
      <c r="AD860">
        <f>IF(AND(Y860="",AA860=""),"",IF(OR(LEFT(AA860,2)="L0",LEFT(AA860,2)="L1",Y860="No Iniciado"),"CRÍTICO - Incumplimiento Normativo SEPS",IF(AND(OR(LEFT(AA860,2)="L4",LEFT(AA860,2)="L5"),AND(AC860&lt;&gt;"",AC860&lt;&gt;"N/A")),"CONFORME - Control Efectivo ISO 27001","OBSERVACIÓN - Revisar Controles")))</f>
        <v/>
      </c>
    </row>
    <row r="861">
      <c r="A861" s="99" t="inlineStr">
        <is>
          <t>38-GES</t>
        </is>
      </c>
      <c r="B861" s="10" t="inlineStr">
        <is>
          <t>ESTRATÉGICO</t>
        </is>
      </c>
      <c r="C861" s="10" t="inlineStr">
        <is>
          <t xml:space="preserve">Gestión Estratégica </t>
        </is>
      </c>
      <c r="D861" s="10" t="inlineStr">
        <is>
          <t>GES</t>
        </is>
      </c>
      <c r="E861" s="10" t="inlineStr">
        <is>
          <t xml:space="preserve">Planificación Operativa </t>
        </is>
      </c>
      <c r="F861" s="10" t="inlineStr">
        <is>
          <t>-</t>
        </is>
      </c>
      <c r="G861" s="10" t="inlineStr">
        <is>
          <t xml:space="preserve">Análisis de la situación actual </t>
        </is>
      </c>
      <c r="H861" s="10" t="inlineStr">
        <is>
          <t>Estudios de satisfacción al cliente</t>
        </is>
      </c>
      <c r="I861" s="10" t="inlineStr">
        <is>
          <t>Documento de satisfacción de los clientes</t>
        </is>
      </c>
      <c r="J861" s="10" t="inlineStr">
        <is>
          <t>JEFE DE PLANIFICACIÓN Y PROCESOS</t>
        </is>
      </c>
      <c r="K861" s="10" t="inlineStr">
        <is>
          <t>JEFE DE PLANIFICACIÓN Y PROCESOS</t>
        </is>
      </c>
      <c r="L861" s="10" t="inlineStr">
        <is>
          <t>UBICACIÓN DIGITAL-EQUIPO DEL CUSTODIO</t>
        </is>
      </c>
      <c r="M861" s="10" t="inlineStr">
        <is>
          <t>DOCUMENTO DE ARCHIVO-ELECTRÓNICO</t>
        </is>
      </c>
      <c r="N861" s="10" t="inlineStr">
        <is>
          <t>PRIMARIOS</t>
        </is>
      </c>
      <c r="O861" s="10" t="inlineStr">
        <is>
          <t>DOCUMENTOS TÉCNICOS</t>
        </is>
      </c>
      <c r="P861" s="10" t="inlineStr">
        <is>
          <t>USO INTERNO(2)</t>
        </is>
      </c>
      <c r="Q861" s="10" t="inlineStr">
        <is>
          <t>BAJA(1)</t>
        </is>
      </c>
      <c r="R861" s="10" t="inlineStr">
        <is>
          <t>BAJA(1)</t>
        </is>
      </c>
      <c r="S861" s="10">
        <f>+(IF(P861="PUBLICA(1)",1,IF(P861="USO INTERNO(2)",2,IF(P861="RESTRINGIDO(3)",3,3))))+(IF(Q861="BAJA(1)",1,IF(Q861="MEDIA(2)",2,IF(Q861="ALTA(3)",3,3))))+(IF(R861="BAJA(1)",1,IF(R861="MEDIA(2)",2,IF(R861="ALTA(3)",3,3))))</f>
        <v/>
      </c>
      <c r="T861" s="10">
        <f>+IF(S861&lt;6,"BAJA",IF(S861&lt;8,"MEDIA","ALTA"))</f>
        <v/>
      </c>
      <c r="U861" s="10" t="inlineStr">
        <is>
          <t>-</t>
        </is>
      </c>
      <c r="V861" s="24" t="n">
        <v>45681</v>
      </c>
      <c r="W861" s="19" t="inlineStr">
        <is>
          <t>N/A</t>
        </is>
      </c>
      <c r="X861" s="10">
        <f>+IFERROR(IF(VLOOKUP(Tabla2[[#This Row],[ID]],'EVALUACION DE RIESGO'!A:A,1,FALSE)=Tabla2[[#This Row],[ID]],"SI","NO"),"NO")</f>
        <v/>
      </c>
      <c r="AD861">
        <f>IF(AND(Y861="",AA861=""),"",IF(OR(LEFT(AA861,2)="L0",LEFT(AA861,2)="L1",Y861="No Iniciado"),"CRÍTICO - Incumplimiento Normativo SEPS",IF(AND(OR(LEFT(AA861,2)="L4",LEFT(AA861,2)="L5"),AND(AC861&lt;&gt;"",AC861&lt;&gt;"N/A")),"CONFORME - Control Efectivo ISO 27001","OBSERVACIÓN - Revisar Controles")))</f>
        <v/>
      </c>
    </row>
    <row r="862">
      <c r="A862" s="99" t="inlineStr">
        <is>
          <t>39-GES</t>
        </is>
      </c>
      <c r="B862" s="10" t="inlineStr">
        <is>
          <t>ESTRATÉGICO</t>
        </is>
      </c>
      <c r="C862" s="10" t="inlineStr">
        <is>
          <t xml:space="preserve">Gestión Estratégica </t>
        </is>
      </c>
      <c r="D862" s="10" t="inlineStr">
        <is>
          <t>GES</t>
        </is>
      </c>
      <c r="E862" s="10" t="inlineStr">
        <is>
          <t xml:space="preserve">Planificación Operativa </t>
        </is>
      </c>
      <c r="F862" s="10" t="inlineStr">
        <is>
          <t>-</t>
        </is>
      </c>
      <c r="G862" s="10" t="inlineStr">
        <is>
          <t xml:space="preserve">Análisis de la situación actual </t>
        </is>
      </c>
      <c r="H862" s="10" t="inlineStr">
        <is>
          <t>Análisis de Macrotendencias</t>
        </is>
      </c>
      <c r="I862" s="10" t="inlineStr">
        <is>
          <t>Pautas para saber las tendencias mundiales, referente a la tecnologia que pueden impactar a la coac</t>
        </is>
      </c>
      <c r="J862" s="10" t="inlineStr">
        <is>
          <t>JEFE DE PLANIFICACIÓN Y PROCESOS</t>
        </is>
      </c>
      <c r="K862" s="10" t="inlineStr">
        <is>
          <t>JEFE DE PLANIFICACIÓN Y PROCESOS</t>
        </is>
      </c>
      <c r="L862" s="10" t="inlineStr">
        <is>
          <t>UBICACIÓN DIGITAL-EQUIPO DEL CUSTODIO</t>
        </is>
      </c>
      <c r="M862" s="10" t="inlineStr">
        <is>
          <t>DOCUMENTO DE ARCHIVO-ELECTRÓNICO</t>
        </is>
      </c>
      <c r="N862" s="10" t="inlineStr">
        <is>
          <t>PRIMARIOS</t>
        </is>
      </c>
      <c r="O862" s="10" t="inlineStr">
        <is>
          <t>DOCUMENTOS TÉCNICOS</t>
        </is>
      </c>
      <c r="P862" s="10" t="inlineStr">
        <is>
          <t>PUBLICA(1)</t>
        </is>
      </c>
      <c r="Q862" s="10" t="inlineStr">
        <is>
          <t>BAJA(1)</t>
        </is>
      </c>
      <c r="R862" s="10" t="inlineStr">
        <is>
          <t>BAJA(1)</t>
        </is>
      </c>
      <c r="S862" s="10">
        <f>+(IF(P862="PUBLICA(1)",1,IF(P862="USO INTERNO(2)",2,IF(P862="RESTRINGIDO(3)",3,3))))+(IF(Q862="BAJA(1)",1,IF(Q862="MEDIA(2)",2,IF(Q862="ALTA(3)",3,3))))+(IF(R862="BAJA(1)",1,IF(R862="MEDIA(2)",2,IF(R862="ALTA(3)",3,3))))</f>
        <v/>
      </c>
      <c r="T862" s="10">
        <f>+IF(S862&lt;6,"BAJA",IF(S862&lt;8,"MEDIA","ALTA"))</f>
        <v/>
      </c>
      <c r="U862" s="10" t="inlineStr">
        <is>
          <t>-</t>
        </is>
      </c>
      <c r="V862" s="24" t="n">
        <v>45681</v>
      </c>
      <c r="W862" s="19" t="inlineStr">
        <is>
          <t>N/A</t>
        </is>
      </c>
      <c r="X862" s="10">
        <f>+IFERROR(IF(VLOOKUP(Tabla2[[#This Row],[ID]],'EVALUACION DE RIESGO'!A:A,1,FALSE)=Tabla2[[#This Row],[ID]],"SI","NO"),"NO")</f>
        <v/>
      </c>
      <c r="AD862">
        <f>IF(AND(Y862="",AA862=""),"",IF(OR(LEFT(AA862,2)="L0",LEFT(AA862,2)="L1",Y862="No Iniciado"),"CRÍTICO - Incumplimiento Normativo SEPS",IF(AND(OR(LEFT(AA862,2)="L4",LEFT(AA862,2)="L5"),AND(AC862&lt;&gt;"",AC862&lt;&gt;"N/A")),"CONFORME - Control Efectivo ISO 27001","OBSERVACIÓN - Revisar Controles")))</f>
        <v/>
      </c>
    </row>
    <row r="863">
      <c r="A863" s="99" t="inlineStr">
        <is>
          <t>40-GES</t>
        </is>
      </c>
      <c r="B863" s="10" t="inlineStr">
        <is>
          <t>ESTRATÉGICO</t>
        </is>
      </c>
      <c r="C863" s="10" t="inlineStr">
        <is>
          <t xml:space="preserve">Gestión Estratégica </t>
        </is>
      </c>
      <c r="D863" s="10" t="inlineStr">
        <is>
          <t>GES</t>
        </is>
      </c>
      <c r="E863" s="10" t="inlineStr">
        <is>
          <t xml:space="preserve">Planificación Operativa </t>
        </is>
      </c>
      <c r="F863" s="10" t="inlineStr">
        <is>
          <t>-</t>
        </is>
      </c>
      <c r="G863" s="10" t="inlineStr">
        <is>
          <t xml:space="preserve">Análisis de la situación actual </t>
        </is>
      </c>
      <c r="H863" s="10" t="inlineStr">
        <is>
          <t>Análisis financiero nacional, del segmento y de la Cooperativa</t>
        </is>
      </c>
      <c r="I863" s="10" t="inlineStr">
        <is>
          <t>Documento interno con datos externos con indicadores de la competencia</t>
        </is>
      </c>
      <c r="J863" s="10" t="inlineStr">
        <is>
          <t>JEFE DE PLANIFICACIÓN Y PROCESOS</t>
        </is>
      </c>
      <c r="K863" s="10" t="inlineStr">
        <is>
          <t>JEFE DE PLANIFICACIÓN Y PROCESOS</t>
        </is>
      </c>
      <c r="L863" s="10" t="inlineStr">
        <is>
          <t>UBICACIÓN DIGITAL-EQUIPO DEL CUSTODIO</t>
        </is>
      </c>
      <c r="M863" s="10" t="inlineStr">
        <is>
          <t>DOCUMENTO DE ARCHIVO-ELECTRÓNICO</t>
        </is>
      </c>
      <c r="N863" s="10" t="inlineStr">
        <is>
          <t>PRIMARIOS</t>
        </is>
      </c>
      <c r="O863" s="10" t="inlineStr">
        <is>
          <t>DOCUMENTOS TÉCNICOS</t>
        </is>
      </c>
      <c r="P863" s="10" t="inlineStr">
        <is>
          <t>PUBLICA(1)</t>
        </is>
      </c>
      <c r="Q863" s="10" t="inlineStr">
        <is>
          <t>BAJA(1)</t>
        </is>
      </c>
      <c r="R863" s="10" t="inlineStr">
        <is>
          <t>BAJA(1)</t>
        </is>
      </c>
      <c r="S863" s="10">
        <f>+(IF(P863="PUBLICA(1)",1,IF(P863="USO INTERNO(2)",2,IF(P863="RESTRINGIDO(3)",3,3))))+(IF(Q863="BAJA(1)",1,IF(Q863="MEDIA(2)",2,IF(Q863="ALTA(3)",3,3))))+(IF(R863="BAJA(1)",1,IF(R863="MEDIA(2)",2,IF(R863="ALTA(3)",3,3))))</f>
        <v/>
      </c>
      <c r="T863" s="10">
        <f>+IF(S863&lt;6,"BAJA",IF(S863&lt;8,"MEDIA","ALTA"))</f>
        <v/>
      </c>
      <c r="U863" s="10" t="inlineStr">
        <is>
          <t>-</t>
        </is>
      </c>
      <c r="V863" s="24" t="n">
        <v>45681</v>
      </c>
      <c r="W863" s="19" t="inlineStr">
        <is>
          <t>N/A</t>
        </is>
      </c>
      <c r="X863" s="10">
        <f>+IFERROR(IF(VLOOKUP(Tabla2[[#This Row],[ID]],'EVALUACION DE RIESGO'!A:A,1,FALSE)=Tabla2[[#This Row],[ID]],"SI","NO"),"NO")</f>
        <v/>
      </c>
      <c r="AD863">
        <f>IF(AND(Y863="",AA863=""),"",IF(OR(LEFT(AA863,2)="L0",LEFT(AA863,2)="L1",Y863="No Iniciado"),"CRÍTICO - Incumplimiento Normativo SEPS",IF(AND(OR(LEFT(AA863,2)="L4",LEFT(AA863,2)="L5"),AND(AC863&lt;&gt;"",AC863&lt;&gt;"N/A")),"CONFORME - Control Efectivo ISO 27001","OBSERVACIÓN - Revisar Controles")))</f>
        <v/>
      </c>
    </row>
    <row r="864">
      <c r="A864" s="99" t="inlineStr">
        <is>
          <t>41-GES</t>
        </is>
      </c>
      <c r="B864" s="10" t="inlineStr">
        <is>
          <t>ESTRATÉGICO</t>
        </is>
      </c>
      <c r="C864" s="10" t="inlineStr">
        <is>
          <t xml:space="preserve">Gestión Estratégica </t>
        </is>
      </c>
      <c r="D864" s="10" t="inlineStr">
        <is>
          <t>GES</t>
        </is>
      </c>
      <c r="E864" s="10" t="inlineStr">
        <is>
          <t xml:space="preserve">Planificación Operativa </t>
        </is>
      </c>
      <c r="F864" s="10" t="inlineStr">
        <is>
          <t>-</t>
        </is>
      </c>
      <c r="G864" s="10" t="inlineStr">
        <is>
          <t xml:space="preserve">Análisis de la situación actual </t>
        </is>
      </c>
      <c r="H864" s="10" t="inlineStr">
        <is>
          <t>Resultados alcanzados en el Plan Estratégica que fenece</t>
        </is>
      </c>
      <c r="I864" s="10" t="inlineStr">
        <is>
          <t>Evaluación del plan estratégico</t>
        </is>
      </c>
      <c r="J864" s="10" t="inlineStr">
        <is>
          <t>JEFE DE PLANIFICACIÓN Y PROCESOS</t>
        </is>
      </c>
      <c r="K864" s="10" t="inlineStr">
        <is>
          <t>JEFE DE PLANIFICACIÓN Y PROCESOS</t>
        </is>
      </c>
      <c r="L864" s="10" t="inlineStr">
        <is>
          <t>UBICACIÓN DIGITAL-EQUIPO DEL CUSTODIO</t>
        </is>
      </c>
      <c r="M864" s="10" t="inlineStr">
        <is>
          <t>DOCUMENTO DE ARCHIVO-ELECTRÓNICO</t>
        </is>
      </c>
      <c r="N864" s="10" t="inlineStr">
        <is>
          <t>PRIMARIOS</t>
        </is>
      </c>
      <c r="O864" s="10" t="inlineStr">
        <is>
          <t>DOCUMENTOS TÉCNICOS</t>
        </is>
      </c>
      <c r="P864" s="10" t="inlineStr">
        <is>
          <t>PUBLICA(1)</t>
        </is>
      </c>
      <c r="Q864" s="10" t="inlineStr">
        <is>
          <t>BAJA(1)</t>
        </is>
      </c>
      <c r="R864" s="10" t="inlineStr">
        <is>
          <t>BAJA(1)</t>
        </is>
      </c>
      <c r="S864" s="10">
        <f>+(IF(P864="PUBLICA(1)",1,IF(P864="USO INTERNO(2)",2,IF(P864="RESTRINGIDO(3)",3,3))))+(IF(Q864="BAJA(1)",1,IF(Q864="MEDIA(2)",2,IF(Q864="ALTA(3)",3,3))))+(IF(R864="BAJA(1)",1,IF(R864="MEDIA(2)",2,IF(R864="ALTA(3)",3,3))))</f>
        <v/>
      </c>
      <c r="T864" s="10">
        <f>+IF(S864&lt;6,"BAJA",IF(S864&lt;8,"MEDIA","ALTA"))</f>
        <v/>
      </c>
      <c r="U864" s="10" t="inlineStr">
        <is>
          <t>-</t>
        </is>
      </c>
      <c r="V864" s="24" t="n">
        <v>45681</v>
      </c>
      <c r="W864" s="19" t="inlineStr">
        <is>
          <t>N/A</t>
        </is>
      </c>
      <c r="X864" s="10">
        <f>+IFERROR(IF(VLOOKUP(Tabla2[[#This Row],[ID]],'EVALUACION DE RIESGO'!A:A,1,FALSE)=Tabla2[[#This Row],[ID]],"SI","NO"),"NO")</f>
        <v/>
      </c>
      <c r="AD864">
        <f>IF(AND(Y864="",AA864=""),"",IF(OR(LEFT(AA864,2)="L0",LEFT(AA864,2)="L1",Y864="No Iniciado"),"CRÍTICO - Incumplimiento Normativo SEPS",IF(AND(OR(LEFT(AA864,2)="L4",LEFT(AA864,2)="L5"),AND(AC864&lt;&gt;"",AC864&lt;&gt;"N/A")),"CONFORME - Control Efectivo ISO 27001","OBSERVACIÓN - Revisar Controles")))</f>
        <v/>
      </c>
    </row>
    <row r="865">
      <c r="A865" s="99" t="inlineStr">
        <is>
          <t>42-GES</t>
        </is>
      </c>
      <c r="B865" s="10" t="inlineStr">
        <is>
          <t>ESTRATÉGICO</t>
        </is>
      </c>
      <c r="C865" s="10" t="inlineStr">
        <is>
          <t xml:space="preserve">Gestión Estratégica </t>
        </is>
      </c>
      <c r="D865" s="10" t="inlineStr">
        <is>
          <t>GES</t>
        </is>
      </c>
      <c r="E865" s="10" t="inlineStr">
        <is>
          <t xml:space="preserve">Planificación Operativa </t>
        </is>
      </c>
      <c r="F865" s="10" t="inlineStr">
        <is>
          <t>-</t>
        </is>
      </c>
      <c r="G865" s="10" t="inlineStr">
        <is>
          <t xml:space="preserve">Análisis de la situación actual </t>
        </is>
      </c>
      <c r="H865" s="10" t="inlineStr">
        <is>
          <t>Necesidades de los Stakeholders</t>
        </is>
      </c>
      <c r="I865" s="10" t="inlineStr">
        <is>
          <t>Matriz de necesidades de los grupos de interes</t>
        </is>
      </c>
      <c r="J865" s="10" t="inlineStr">
        <is>
          <t>JEFE DE PLANIFICACIÓN Y PROCESOS</t>
        </is>
      </c>
      <c r="K865" s="10" t="inlineStr">
        <is>
          <t>JEFE DE PLANIFICACIÓN Y PROCESOS</t>
        </is>
      </c>
      <c r="L865" s="10" t="inlineStr">
        <is>
          <t>UBICACIÓN DIGITAL-EQUIPO DEL CUSTODIO</t>
        </is>
      </c>
      <c r="M865" s="10" t="inlineStr">
        <is>
          <t>DOCUMENTO DE ARCHIVO-ELECTRÓNICO</t>
        </is>
      </c>
      <c r="N865" s="10" t="inlineStr">
        <is>
          <t>PRIMARIOS</t>
        </is>
      </c>
      <c r="O865" s="10" t="inlineStr">
        <is>
          <t>DOCUMENTOS TÉCNICOS</t>
        </is>
      </c>
      <c r="P865" s="10" t="inlineStr">
        <is>
          <t>PUBLICA(1)</t>
        </is>
      </c>
      <c r="Q865" s="10" t="inlineStr">
        <is>
          <t>BAJA(1)</t>
        </is>
      </c>
      <c r="R865" s="10" t="inlineStr">
        <is>
          <t>BAJA(1)</t>
        </is>
      </c>
      <c r="S865" s="10">
        <f>+(IF(P865="PUBLICA(1)",1,IF(P865="USO INTERNO(2)",2,IF(P865="RESTRINGIDO(3)",3,3))))+(IF(Q865="BAJA(1)",1,IF(Q865="MEDIA(2)",2,IF(Q865="ALTA(3)",3,3))))+(IF(R865="BAJA(1)",1,IF(R865="MEDIA(2)",2,IF(R865="ALTA(3)",3,3))))</f>
        <v/>
      </c>
      <c r="T865" s="10">
        <f>+IF(S865&lt;6,"BAJA",IF(S865&lt;8,"MEDIA","ALTA"))</f>
        <v/>
      </c>
      <c r="U865" s="10" t="inlineStr">
        <is>
          <t>-</t>
        </is>
      </c>
      <c r="V865" s="24" t="n">
        <v>45681</v>
      </c>
      <c r="W865" s="19" t="inlineStr">
        <is>
          <t>N/A</t>
        </is>
      </c>
      <c r="X865" s="10">
        <f>+IFERROR(IF(VLOOKUP(Tabla2[[#This Row],[ID]],'EVALUACION DE RIESGO'!A:A,1,FALSE)=Tabla2[[#This Row],[ID]],"SI","NO"),"NO")</f>
        <v/>
      </c>
      <c r="AD865">
        <f>IF(AND(Y865="",AA865=""),"",IF(OR(LEFT(AA865,2)="L0",LEFT(AA865,2)="L1",Y865="No Iniciado"),"CRÍTICO - Incumplimiento Normativo SEPS",IF(AND(OR(LEFT(AA865,2)="L4",LEFT(AA865,2)="L5"),AND(AC865&lt;&gt;"",AC865&lt;&gt;"N/A")),"CONFORME - Control Efectivo ISO 27001","OBSERVACIÓN - Revisar Controles")))</f>
        <v/>
      </c>
    </row>
    <row r="866">
      <c r="A866" s="99" t="inlineStr">
        <is>
          <t>43-GES</t>
        </is>
      </c>
      <c r="B866" s="10" t="inlineStr">
        <is>
          <t>ESTRATÉGICO</t>
        </is>
      </c>
      <c r="C866" s="10" t="inlineStr">
        <is>
          <t xml:space="preserve">Gestión Estratégica </t>
        </is>
      </c>
      <c r="D866" s="10" t="inlineStr">
        <is>
          <t>GES</t>
        </is>
      </c>
      <c r="E866" s="10" t="inlineStr">
        <is>
          <t xml:space="preserve">Planificación Operativa </t>
        </is>
      </c>
      <c r="F866" s="10" t="inlineStr">
        <is>
          <t>-</t>
        </is>
      </c>
      <c r="G866" s="10" t="inlineStr">
        <is>
          <t xml:space="preserve">Análisis de la situación actual </t>
        </is>
      </c>
      <c r="H866" s="10" t="inlineStr">
        <is>
          <t xml:space="preserve">FODA por departamento </t>
        </is>
      </c>
      <c r="I866" s="10" t="inlineStr">
        <is>
          <t>Resultados de la aplicación de la metodologia</t>
        </is>
      </c>
      <c r="J866" s="10" t="inlineStr">
        <is>
          <t>JEFE DE PLANIFICACIÓN Y PROCESOS</t>
        </is>
      </c>
      <c r="K866" s="10" t="inlineStr">
        <is>
          <t>JEFE DE PLANIFICACIÓN Y PROCESOS</t>
        </is>
      </c>
      <c r="L866" s="10" t="inlineStr">
        <is>
          <t>UBICACIÓN DIGITAL-EQUIPO DEL CUSTODIO</t>
        </is>
      </c>
      <c r="M866" s="10" t="inlineStr">
        <is>
          <t>DOCUMENTO DE ARCHIVO-ELECTRÓNICO</t>
        </is>
      </c>
      <c r="N866" s="10" t="inlineStr">
        <is>
          <t>PRIMARIOS</t>
        </is>
      </c>
      <c r="O866" s="10" t="inlineStr">
        <is>
          <t>DOCUMENTOS TÉCNICOS</t>
        </is>
      </c>
      <c r="P866" s="10" t="inlineStr">
        <is>
          <t>PUBLICA(1)</t>
        </is>
      </c>
      <c r="Q866" s="10" t="inlineStr">
        <is>
          <t>BAJA(1)</t>
        </is>
      </c>
      <c r="R866" s="10" t="inlineStr">
        <is>
          <t>BAJA(1)</t>
        </is>
      </c>
      <c r="S866" s="10">
        <f>+(IF(P866="PUBLICA(1)",1,IF(P866="USO INTERNO(2)",2,IF(P866="RESTRINGIDO(3)",3,3))))+(IF(Q866="BAJA(1)",1,IF(Q866="MEDIA(2)",2,IF(Q866="ALTA(3)",3,3))))+(IF(R866="BAJA(1)",1,IF(R866="MEDIA(2)",2,IF(R866="ALTA(3)",3,3))))</f>
        <v/>
      </c>
      <c r="T866" s="10">
        <f>+IF(S866&lt;6,"BAJA",IF(S866&lt;8,"MEDIA","ALTA"))</f>
        <v/>
      </c>
      <c r="U866" s="10" t="inlineStr">
        <is>
          <t>-</t>
        </is>
      </c>
      <c r="V866" s="24" t="n">
        <v>45681</v>
      </c>
      <c r="W866" s="19" t="inlineStr">
        <is>
          <t>N/A</t>
        </is>
      </c>
      <c r="X866" s="10">
        <f>+IFERROR(IF(VLOOKUP(Tabla2[[#This Row],[ID]],'EVALUACION DE RIESGO'!A:A,1,FALSE)=Tabla2[[#This Row],[ID]],"SI","NO"),"NO")</f>
        <v/>
      </c>
      <c r="AD866">
        <f>IF(AND(Y866="",AA866=""),"",IF(OR(LEFT(AA866,2)="L0",LEFT(AA866,2)="L1",Y866="No Iniciado"),"CRÍTICO - Incumplimiento Normativo SEPS",IF(AND(OR(LEFT(AA866,2)="L4",LEFT(AA866,2)="L5"),AND(AC866&lt;&gt;"",AC866&lt;&gt;"N/A")),"CONFORME - Control Efectivo ISO 27001","OBSERVACIÓN - Revisar Controles")))</f>
        <v/>
      </c>
    </row>
    <row r="867">
      <c r="A867" s="99" t="inlineStr">
        <is>
          <t>44-GES</t>
        </is>
      </c>
      <c r="B867" s="10" t="inlineStr">
        <is>
          <t>ESTRATÉGICO</t>
        </is>
      </c>
      <c r="C867" s="10" t="inlineStr">
        <is>
          <t xml:space="preserve">Gestión Estratégica </t>
        </is>
      </c>
      <c r="D867" s="10" t="inlineStr">
        <is>
          <t>GES</t>
        </is>
      </c>
      <c r="E867" s="10" t="inlineStr">
        <is>
          <t xml:space="preserve">Planificación Operativa </t>
        </is>
      </c>
      <c r="F867" s="10" t="inlineStr">
        <is>
          <t>-</t>
        </is>
      </c>
      <c r="G867" s="10" t="inlineStr">
        <is>
          <t xml:space="preserve">Análisis de la situación actual </t>
        </is>
      </c>
      <c r="H867" s="10" t="inlineStr">
        <is>
          <t>Resultados de encuestas o entrevistas a los grupos de interés</t>
        </is>
      </c>
      <c r="I867" s="10" t="inlineStr">
        <is>
          <t>Estadisticas de las encuentas</t>
        </is>
      </c>
      <c r="J867" s="10" t="inlineStr">
        <is>
          <t>JEFE DE PLANIFICACIÓN Y PROCESOS</t>
        </is>
      </c>
      <c r="K867" s="10" t="inlineStr">
        <is>
          <t>JEFE DE PLANIFICACIÓN Y PROCESOS</t>
        </is>
      </c>
      <c r="L867" s="10" t="inlineStr">
        <is>
          <t>UBICACIÓN DIGITAL-EQUIPO DEL CUSTODIO</t>
        </is>
      </c>
      <c r="M867" s="10" t="inlineStr">
        <is>
          <t>DOCUMENTO DE ARCHIVO-ELECTRÓNICO</t>
        </is>
      </c>
      <c r="N867" s="10" t="inlineStr">
        <is>
          <t>PRIMARIOS</t>
        </is>
      </c>
      <c r="O867" s="10" t="inlineStr">
        <is>
          <t>DOCUMENTOS TÉCNICOS</t>
        </is>
      </c>
      <c r="P867" s="10" t="inlineStr">
        <is>
          <t>PUBLICA(1)</t>
        </is>
      </c>
      <c r="Q867" s="10" t="inlineStr">
        <is>
          <t>BAJA(1)</t>
        </is>
      </c>
      <c r="R867" s="10" t="inlineStr">
        <is>
          <t>BAJA(1)</t>
        </is>
      </c>
      <c r="S867" s="10">
        <f>+(IF(P867="PUBLICA(1)",1,IF(P867="USO INTERNO(2)",2,IF(P867="RESTRINGIDO(3)",3,3))))+(IF(Q867="BAJA(1)",1,IF(Q867="MEDIA(2)",2,IF(Q867="ALTA(3)",3,3))))+(IF(R867="BAJA(1)",1,IF(R867="MEDIA(2)",2,IF(R867="ALTA(3)",3,3))))</f>
        <v/>
      </c>
      <c r="T867" s="10">
        <f>+IF(S867&lt;6,"BAJA",IF(S867&lt;8,"MEDIA","ALTA"))</f>
        <v/>
      </c>
      <c r="U867" s="10" t="inlineStr">
        <is>
          <t>-</t>
        </is>
      </c>
      <c r="V867" s="24" t="n">
        <v>45681</v>
      </c>
      <c r="W867" s="19" t="inlineStr">
        <is>
          <t>N/A</t>
        </is>
      </c>
      <c r="X867" s="10">
        <f>+IFERROR(IF(VLOOKUP(Tabla2[[#This Row],[ID]],'EVALUACION DE RIESGO'!A:A,1,FALSE)=Tabla2[[#This Row],[ID]],"SI","NO"),"NO")</f>
        <v/>
      </c>
      <c r="AD867">
        <f>IF(AND(Y867="",AA867=""),"",IF(OR(LEFT(AA867,2)="L0",LEFT(AA867,2)="L1",Y867="No Iniciado"),"CRÍTICO - Incumplimiento Normativo SEPS",IF(AND(OR(LEFT(AA867,2)="L4",LEFT(AA867,2)="L5"),AND(AC867&lt;&gt;"",AC867&lt;&gt;"N/A")),"CONFORME - Control Efectivo ISO 27001","OBSERVACIÓN - Revisar Controles")))</f>
        <v/>
      </c>
    </row>
    <row r="868">
      <c r="A868" s="99" t="inlineStr">
        <is>
          <t>45-GES</t>
        </is>
      </c>
      <c r="B868" s="10" t="inlineStr">
        <is>
          <t>ESTRATÉGICO</t>
        </is>
      </c>
      <c r="C868" s="10" t="inlineStr">
        <is>
          <t xml:space="preserve">Gestión Estratégica </t>
        </is>
      </c>
      <c r="D868" s="10" t="inlineStr">
        <is>
          <t>GES</t>
        </is>
      </c>
      <c r="E868" s="10" t="inlineStr">
        <is>
          <t xml:space="preserve">Planificación Operativa </t>
        </is>
      </c>
      <c r="F868" s="10" t="inlineStr">
        <is>
          <t>-</t>
        </is>
      </c>
      <c r="G868" s="10" t="inlineStr">
        <is>
          <t>Elaboración del Plan Operativo</t>
        </is>
      </c>
      <c r="H868" s="10" t="inlineStr">
        <is>
          <t>Plan Estratégico Institucional</t>
        </is>
      </c>
      <c r="I868" s="10" t="inlineStr">
        <is>
          <t>Documento de planificación estratégico</t>
        </is>
      </c>
      <c r="J868" s="10" t="inlineStr">
        <is>
          <t>JEFE DE PLANIFICACIÓN Y PROCESOS</t>
        </is>
      </c>
      <c r="K868" s="10" t="inlineStr">
        <is>
          <t>JEFE DE PLANIFICACIÓN Y PROCESOS</t>
        </is>
      </c>
      <c r="L868" s="10" t="inlineStr">
        <is>
          <t>UBICACIÓN DIGITAL-EQUIPO DEL CUSTODIO</t>
        </is>
      </c>
      <c r="M868" s="10" t="inlineStr">
        <is>
          <t>DOCUMENTO DE ARCHIVO-ELECTRÓNICO</t>
        </is>
      </c>
      <c r="N868" s="10" t="inlineStr">
        <is>
          <t>PRIMARIOS</t>
        </is>
      </c>
      <c r="O868" s="10" t="inlineStr">
        <is>
          <t>DOCUMENTOS TÉCNICOS</t>
        </is>
      </c>
      <c r="P868" s="10" t="inlineStr">
        <is>
          <t>USO INTERNO(2)</t>
        </is>
      </c>
      <c r="Q868" s="10" t="inlineStr">
        <is>
          <t>BAJA(1)</t>
        </is>
      </c>
      <c r="R868" s="10" t="inlineStr">
        <is>
          <t>ALTA(3)</t>
        </is>
      </c>
      <c r="S868" s="10">
        <f>+(IF(P868="PUBLICA(1)",1,IF(P868="USO INTERNO(2)",2,IF(P868="RESTRINGIDO(3)",3,3))))+(IF(Q868="BAJA(1)",1,IF(Q868="MEDIA(2)",2,IF(Q868="ALTA(3)",3,3))))+(IF(R868="BAJA(1)",1,IF(R868="MEDIA(2)",2,IF(R868="ALTA(3)",3,3))))</f>
        <v/>
      </c>
      <c r="T868" s="10">
        <f>+IF(S868&lt;6,"BAJA",IF(S868&lt;8,"MEDIA","ALTA"))</f>
        <v/>
      </c>
      <c r="U868" s="10" t="inlineStr">
        <is>
          <t>-</t>
        </is>
      </c>
      <c r="V868" s="24" t="n">
        <v>45681</v>
      </c>
      <c r="W868" s="19" t="inlineStr">
        <is>
          <t>N/A</t>
        </is>
      </c>
      <c r="X868" s="10">
        <f>+IFERROR(IF(VLOOKUP(Tabla2[[#This Row],[ID]],'EVALUACION DE RIESGO'!A:A,1,FALSE)=Tabla2[[#This Row],[ID]],"SI","NO"),"NO")</f>
        <v/>
      </c>
      <c r="AD868">
        <f>IF(AND(Y868="",AA868=""),"",IF(OR(LEFT(AA868,2)="L0",LEFT(AA868,2)="L1",Y868="No Iniciado"),"CRÍTICO - Incumplimiento Normativo SEPS",IF(AND(OR(LEFT(AA868,2)="L4",LEFT(AA868,2)="L5"),AND(AC868&lt;&gt;"",AC868&lt;&gt;"N/A")),"CONFORME - Control Efectivo ISO 27001","OBSERVACIÓN - Revisar Controles")))</f>
        <v/>
      </c>
    </row>
    <row r="869">
      <c r="A869" s="99" t="inlineStr">
        <is>
          <t>46-GES</t>
        </is>
      </c>
      <c r="B869" s="10" t="inlineStr">
        <is>
          <t>ESTRATÉGICO</t>
        </is>
      </c>
      <c r="C869" s="10" t="inlineStr">
        <is>
          <t xml:space="preserve">Gestión Estratégica </t>
        </is>
      </c>
      <c r="D869" s="10" t="inlineStr">
        <is>
          <t>GES</t>
        </is>
      </c>
      <c r="E869" s="10" t="inlineStr">
        <is>
          <t xml:space="preserve">Planificación Operativa </t>
        </is>
      </c>
      <c r="F869" s="10" t="inlineStr">
        <is>
          <t>-</t>
        </is>
      </c>
      <c r="G869" s="10" t="inlineStr">
        <is>
          <t>Elaboración del Plan Operativo</t>
        </is>
      </c>
      <c r="H869" s="10" t="inlineStr">
        <is>
          <t>Estudios de mercado y de competencia</t>
        </is>
      </c>
      <c r="I869" s="10" t="inlineStr">
        <is>
          <t>Estudio para analizar la factibilidad de aperturas de oficina o lanzamiento de servicios</t>
        </is>
      </c>
      <c r="J869" s="10" t="inlineStr">
        <is>
          <t>JEFE DE PLANIFICACIÓN Y PROCESOS</t>
        </is>
      </c>
      <c r="K869" s="10" t="inlineStr">
        <is>
          <t>JEFE DE PLANIFICACIÓN Y PROCESOS</t>
        </is>
      </c>
      <c r="L869" s="10" t="inlineStr">
        <is>
          <t>UBICACIÓN DIGITAL-EQUIPO DEL CUSTODIO</t>
        </is>
      </c>
      <c r="M869" s="10" t="inlineStr">
        <is>
          <t>DOCUMENTO DE ARCHIVO-ELECTRÓNICO</t>
        </is>
      </c>
      <c r="N869" s="10" t="inlineStr">
        <is>
          <t>PRIMARIOS</t>
        </is>
      </c>
      <c r="O869" s="10" t="inlineStr">
        <is>
          <t>DOCUMENTOS TÉCNICOS</t>
        </is>
      </c>
      <c r="P869" s="10" t="inlineStr">
        <is>
          <t>USO INTERNO(2)</t>
        </is>
      </c>
      <c r="Q869" s="10" t="inlineStr">
        <is>
          <t>MEDIA(2)</t>
        </is>
      </c>
      <c r="R869" s="10" t="inlineStr">
        <is>
          <t>MEDIA(2)</t>
        </is>
      </c>
      <c r="S869" s="10">
        <f>+(IF(P869="PUBLICA(1)",1,IF(P869="USO INTERNO(2)",2,IF(P869="RESTRINGIDO(3)",3,3))))+(IF(Q869="BAJA(1)",1,IF(Q869="MEDIA(2)",2,IF(Q869="ALTA(3)",3,3))))+(IF(R869="BAJA(1)",1,IF(R869="MEDIA(2)",2,IF(R869="ALTA(3)",3,3))))</f>
        <v/>
      </c>
      <c r="T869" s="10">
        <f>+IF(S869&lt;6,"BAJA",IF(S869&lt;8,"MEDIA","ALTA"))</f>
        <v/>
      </c>
      <c r="U869" s="10" t="inlineStr">
        <is>
          <t>-</t>
        </is>
      </c>
      <c r="V869" s="24" t="n">
        <v>45681</v>
      </c>
      <c r="W869" s="19" t="inlineStr">
        <is>
          <t>N/A</t>
        </is>
      </c>
      <c r="X869" s="10">
        <f>+IFERROR(IF(VLOOKUP(Tabla2[[#This Row],[ID]],'EVALUACION DE RIESGO'!A:A,1,FALSE)=Tabla2[[#This Row],[ID]],"SI","NO"),"NO")</f>
        <v/>
      </c>
      <c r="AD869">
        <f>IF(AND(Y869="",AA869=""),"",IF(OR(LEFT(AA869,2)="L0",LEFT(AA869,2)="L1",Y869="No Iniciado"),"CRÍTICO - Incumplimiento Normativo SEPS",IF(AND(OR(LEFT(AA869,2)="L4",LEFT(AA869,2)="L5"),AND(AC869&lt;&gt;"",AC869&lt;&gt;"N/A")),"CONFORME - Control Efectivo ISO 27001","OBSERVACIÓN - Revisar Controles")))</f>
        <v/>
      </c>
    </row>
    <row r="870">
      <c r="A870" s="99" t="inlineStr">
        <is>
          <t>47-GES</t>
        </is>
      </c>
      <c r="B870" s="10" t="inlineStr">
        <is>
          <t>ESTRATÉGICO</t>
        </is>
      </c>
      <c r="C870" s="10" t="inlineStr">
        <is>
          <t xml:space="preserve">Gestión Estratégica </t>
        </is>
      </c>
      <c r="D870" s="10" t="inlineStr">
        <is>
          <t>GES</t>
        </is>
      </c>
      <c r="E870" s="10" t="inlineStr">
        <is>
          <t xml:space="preserve">Planificación Operativa </t>
        </is>
      </c>
      <c r="F870" s="10" t="inlineStr">
        <is>
          <t>-</t>
        </is>
      </c>
      <c r="G870" s="10" t="inlineStr">
        <is>
          <t>Elaboración del Plan Operativo</t>
        </is>
      </c>
      <c r="H870" s="10" t="inlineStr">
        <is>
          <t>Estudios de clima laboral</t>
        </is>
      </c>
      <c r="I870" s="10" t="inlineStr">
        <is>
          <t>Documento de satisfacción de los empleados en el lugar de trabajo</t>
        </is>
      </c>
      <c r="J870" s="10" t="inlineStr">
        <is>
          <t>JEFE DE PLANIFICACIÓN Y PROCESOS</t>
        </is>
      </c>
      <c r="K870" s="10" t="inlineStr">
        <is>
          <t>JEFE DE PLANIFICACIÓN Y PROCESOS</t>
        </is>
      </c>
      <c r="L870" s="10" t="inlineStr">
        <is>
          <t>UBICACIÓN DIGITAL-EQUIPO DEL CUSTODIO</t>
        </is>
      </c>
      <c r="M870" s="10" t="inlineStr">
        <is>
          <t>DOCUMENTO DE ARCHIVO-ELECTRÓNICO</t>
        </is>
      </c>
      <c r="N870" s="10" t="inlineStr">
        <is>
          <t>PRIMARIOS</t>
        </is>
      </c>
      <c r="O870" s="10" t="inlineStr">
        <is>
          <t>DOCUMENTOS TÉCNICOS</t>
        </is>
      </c>
      <c r="P870" s="10" t="inlineStr">
        <is>
          <t>PUBLICA(1)</t>
        </is>
      </c>
      <c r="Q870" s="10" t="inlineStr">
        <is>
          <t>BAJA(1)</t>
        </is>
      </c>
      <c r="R870" s="10" t="inlineStr">
        <is>
          <t>BAJA(1)</t>
        </is>
      </c>
      <c r="S870" s="10">
        <f>+(IF(P870="PUBLICA(1)",1,IF(P870="USO INTERNO(2)",2,IF(P870="RESTRINGIDO(3)",3,3))))+(IF(Q870="BAJA(1)",1,IF(Q870="MEDIA(2)",2,IF(Q870="ALTA(3)",3,3))))+(IF(R870="BAJA(1)",1,IF(R870="MEDIA(2)",2,IF(R870="ALTA(3)",3,3))))</f>
        <v/>
      </c>
      <c r="T870" s="10">
        <f>+IF(S870&lt;6,"BAJA",IF(S870&lt;8,"MEDIA","ALTA"))</f>
        <v/>
      </c>
      <c r="U870" s="10" t="inlineStr">
        <is>
          <t>-</t>
        </is>
      </c>
      <c r="V870" s="24" t="n">
        <v>45681</v>
      </c>
      <c r="W870" s="19" t="inlineStr">
        <is>
          <t>N/A</t>
        </is>
      </c>
      <c r="X870" s="10">
        <f>+IFERROR(IF(VLOOKUP(Tabla2[[#This Row],[ID]],'EVALUACION DE RIESGO'!A:A,1,FALSE)=Tabla2[[#This Row],[ID]],"SI","NO"),"NO")</f>
        <v/>
      </c>
      <c r="AD870">
        <f>IF(AND(Y870="",AA870=""),"",IF(OR(LEFT(AA870,2)="L0",LEFT(AA870,2)="L1",Y870="No Iniciado"),"CRÍTICO - Incumplimiento Normativo SEPS",IF(AND(OR(LEFT(AA870,2)="L4",LEFT(AA870,2)="L5"),AND(AC870&lt;&gt;"",AC870&lt;&gt;"N/A")),"CONFORME - Control Efectivo ISO 27001","OBSERVACIÓN - Revisar Controles")))</f>
        <v/>
      </c>
    </row>
    <row r="871">
      <c r="A871" s="99" t="inlineStr">
        <is>
          <t>48-GES</t>
        </is>
      </c>
      <c r="B871" s="10" t="inlineStr">
        <is>
          <t>ESTRATÉGICO</t>
        </is>
      </c>
      <c r="C871" s="10" t="inlineStr">
        <is>
          <t xml:space="preserve">Gestión Estratégica </t>
        </is>
      </c>
      <c r="D871" s="10" t="inlineStr">
        <is>
          <t>GES</t>
        </is>
      </c>
      <c r="E871" s="10" t="inlineStr">
        <is>
          <t xml:space="preserve">Planificación Operativa </t>
        </is>
      </c>
      <c r="F871" s="10" t="inlineStr">
        <is>
          <t>-</t>
        </is>
      </c>
      <c r="G871" s="10" t="inlineStr">
        <is>
          <t>Elaboración del Plan Operativo</t>
        </is>
      </c>
      <c r="H871" s="10" t="inlineStr">
        <is>
          <t>Estudios de satisfacción al cliente</t>
        </is>
      </c>
      <c r="I871" s="10" t="inlineStr">
        <is>
          <t>Documento de satisfacción de los clientes</t>
        </is>
      </c>
      <c r="J871" s="10" t="inlineStr">
        <is>
          <t>JEFE DE PLANIFICACIÓN Y PROCESOS</t>
        </is>
      </c>
      <c r="K871" s="10" t="inlineStr">
        <is>
          <t>JEFE DE PLANIFICACIÓN Y PROCESOS</t>
        </is>
      </c>
      <c r="L871" s="10" t="inlineStr">
        <is>
          <t>UBICACIÓN DIGITAL-EQUIPO DEL CUSTODIO</t>
        </is>
      </c>
      <c r="M871" s="10" t="inlineStr">
        <is>
          <t>DOCUMENTO DE ARCHIVO-ELECTRÓNICO</t>
        </is>
      </c>
      <c r="N871" s="10" t="inlineStr">
        <is>
          <t>PRIMARIOS</t>
        </is>
      </c>
      <c r="O871" s="10" t="inlineStr">
        <is>
          <t>DOCUMENTOS TÉCNICOS</t>
        </is>
      </c>
      <c r="P871" s="10" t="inlineStr">
        <is>
          <t>USO INTERNO(2)</t>
        </is>
      </c>
      <c r="Q871" s="10" t="inlineStr">
        <is>
          <t>BAJA(1)</t>
        </is>
      </c>
      <c r="R871" s="10" t="inlineStr">
        <is>
          <t>BAJA(1)</t>
        </is>
      </c>
      <c r="S871" s="10">
        <f>+(IF(P871="PUBLICA(1)",1,IF(P871="USO INTERNO(2)",2,IF(P871="RESTRINGIDO(3)",3,3))))+(IF(Q871="BAJA(1)",1,IF(Q871="MEDIA(2)",2,IF(Q871="ALTA(3)",3,3))))+(IF(R871="BAJA(1)",1,IF(R871="MEDIA(2)",2,IF(R871="ALTA(3)",3,3))))</f>
        <v/>
      </c>
      <c r="T871" s="10">
        <f>+IF(S871&lt;6,"BAJA",IF(S871&lt;8,"MEDIA","ALTA"))</f>
        <v/>
      </c>
      <c r="U871" s="10" t="inlineStr">
        <is>
          <t>-</t>
        </is>
      </c>
      <c r="V871" s="24" t="n">
        <v>45681</v>
      </c>
      <c r="W871" s="19" t="inlineStr">
        <is>
          <t>N/A</t>
        </is>
      </c>
      <c r="X871" s="10">
        <f>+IFERROR(IF(VLOOKUP(Tabla2[[#This Row],[ID]],'EVALUACION DE RIESGO'!A:A,1,FALSE)=Tabla2[[#This Row],[ID]],"SI","NO"),"NO")</f>
        <v/>
      </c>
      <c r="AD871">
        <f>IF(AND(Y871="",AA871=""),"",IF(OR(LEFT(AA871,2)="L0",LEFT(AA871,2)="L1",Y871="No Iniciado"),"CRÍTICO - Incumplimiento Normativo SEPS",IF(AND(OR(LEFT(AA871,2)="L4",LEFT(AA871,2)="L5"),AND(AC871&lt;&gt;"",AC871&lt;&gt;"N/A")),"CONFORME - Control Efectivo ISO 27001","OBSERVACIÓN - Revisar Controles")))</f>
        <v/>
      </c>
    </row>
    <row r="872">
      <c r="A872" s="99" t="inlineStr">
        <is>
          <t>49-GES</t>
        </is>
      </c>
      <c r="B872" s="10" t="inlineStr">
        <is>
          <t>ESTRATÉGICO</t>
        </is>
      </c>
      <c r="C872" s="10" t="inlineStr">
        <is>
          <t xml:space="preserve">Gestión Estratégica </t>
        </is>
      </c>
      <c r="D872" s="10" t="inlineStr">
        <is>
          <t>GES</t>
        </is>
      </c>
      <c r="E872" s="10" t="inlineStr">
        <is>
          <t xml:space="preserve">Planificación Operativa </t>
        </is>
      </c>
      <c r="F872" s="10" t="inlineStr">
        <is>
          <t>-</t>
        </is>
      </c>
      <c r="G872" s="10" t="inlineStr">
        <is>
          <t>Elaboración del Plan Operativo</t>
        </is>
      </c>
      <c r="H872" s="10" t="inlineStr">
        <is>
          <t>Análisis de Macrotendencias</t>
        </is>
      </c>
      <c r="I872" s="10" t="inlineStr">
        <is>
          <t>Pautas para saber las tendencias mundiales, referente a la tecnologia que pueden impactar a la coac</t>
        </is>
      </c>
      <c r="J872" s="10" t="inlineStr">
        <is>
          <t>JEFE DE PLANIFICACIÓN Y PROCESOS</t>
        </is>
      </c>
      <c r="K872" s="10" t="inlineStr">
        <is>
          <t>JEFE DE PLANIFICACIÓN Y PROCESOS</t>
        </is>
      </c>
      <c r="L872" s="10" t="inlineStr">
        <is>
          <t>UBICACIÓN DIGITAL-EQUIPO DEL CUSTODIO</t>
        </is>
      </c>
      <c r="M872" s="10" t="inlineStr">
        <is>
          <t>DOCUMENTO DE ARCHIVO-ELECTRÓNICO</t>
        </is>
      </c>
      <c r="N872" s="10" t="inlineStr">
        <is>
          <t>PRIMARIOS</t>
        </is>
      </c>
      <c r="O872" s="10" t="inlineStr">
        <is>
          <t>DOCUMENTOS TÉCNICOS</t>
        </is>
      </c>
      <c r="P872" s="10" t="inlineStr">
        <is>
          <t>PUBLICA(1)</t>
        </is>
      </c>
      <c r="Q872" s="10" t="inlineStr">
        <is>
          <t>BAJA(1)</t>
        </is>
      </c>
      <c r="R872" s="10" t="inlineStr">
        <is>
          <t>BAJA(1)</t>
        </is>
      </c>
      <c r="S872" s="10">
        <f>+(IF(P872="PUBLICA(1)",1,IF(P872="USO INTERNO(2)",2,IF(P872="RESTRINGIDO(3)",3,3))))+(IF(Q872="BAJA(1)",1,IF(Q872="MEDIA(2)",2,IF(Q872="ALTA(3)",3,3))))+(IF(R872="BAJA(1)",1,IF(R872="MEDIA(2)",2,IF(R872="ALTA(3)",3,3))))</f>
        <v/>
      </c>
      <c r="T872" s="10">
        <f>+IF(S872&lt;6,"BAJA",IF(S872&lt;8,"MEDIA","ALTA"))</f>
        <v/>
      </c>
      <c r="U872" s="10" t="inlineStr">
        <is>
          <t>-</t>
        </is>
      </c>
      <c r="V872" s="24" t="n">
        <v>45681</v>
      </c>
      <c r="W872" s="19" t="inlineStr">
        <is>
          <t>N/A</t>
        </is>
      </c>
      <c r="X872" s="10">
        <f>+IFERROR(IF(VLOOKUP(Tabla2[[#This Row],[ID]],'EVALUACION DE RIESGO'!A:A,1,FALSE)=Tabla2[[#This Row],[ID]],"SI","NO"),"NO")</f>
        <v/>
      </c>
      <c r="AD872">
        <f>IF(AND(Y872="",AA872=""),"",IF(OR(LEFT(AA872,2)="L0",LEFT(AA872,2)="L1",Y872="No Iniciado"),"CRÍTICO - Incumplimiento Normativo SEPS",IF(AND(OR(LEFT(AA872,2)="L4",LEFT(AA872,2)="L5"),AND(AC872&lt;&gt;"",AC872&lt;&gt;"N/A")),"CONFORME - Control Efectivo ISO 27001","OBSERVACIÓN - Revisar Controles")))</f>
        <v/>
      </c>
    </row>
    <row r="873">
      <c r="A873" s="99" t="inlineStr">
        <is>
          <t>50-GES</t>
        </is>
      </c>
      <c r="B873" s="10" t="inlineStr">
        <is>
          <t>ESTRATÉGICO</t>
        </is>
      </c>
      <c r="C873" s="10" t="inlineStr">
        <is>
          <t xml:space="preserve">Gestión Estratégica </t>
        </is>
      </c>
      <c r="D873" s="10" t="inlineStr">
        <is>
          <t>GES</t>
        </is>
      </c>
      <c r="E873" s="10" t="inlineStr">
        <is>
          <t xml:space="preserve">Planificación Operativa </t>
        </is>
      </c>
      <c r="F873" s="10" t="inlineStr">
        <is>
          <t>-</t>
        </is>
      </c>
      <c r="G873" s="10" t="inlineStr">
        <is>
          <t>Elaboración del Plan Operativo</t>
        </is>
      </c>
      <c r="H873" s="10" t="inlineStr">
        <is>
          <t>Análisis financiero nacional, del segmento y de la Cooperativa</t>
        </is>
      </c>
      <c r="I873" s="10" t="inlineStr">
        <is>
          <t>Documento interno con datos externos con indicadores de la competencia</t>
        </is>
      </c>
      <c r="J873" s="10" t="inlineStr">
        <is>
          <t>JEFE DE PLANIFICACIÓN Y PROCESOS</t>
        </is>
      </c>
      <c r="K873" s="10" t="inlineStr">
        <is>
          <t>JEFE DE PLANIFICACIÓN Y PROCESOS</t>
        </is>
      </c>
      <c r="L873" s="10" t="inlineStr">
        <is>
          <t>UBICACIÓN DIGITAL-EQUIPO DEL CUSTODIO</t>
        </is>
      </c>
      <c r="M873" s="10" t="inlineStr">
        <is>
          <t>DOCUMENTO DE ARCHIVO-ELECTRÓNICO</t>
        </is>
      </c>
      <c r="N873" s="10" t="inlineStr">
        <is>
          <t>PRIMARIOS</t>
        </is>
      </c>
      <c r="O873" s="10" t="inlineStr">
        <is>
          <t>DOCUMENTOS TÉCNICOS</t>
        </is>
      </c>
      <c r="P873" s="10" t="inlineStr">
        <is>
          <t>PUBLICA(1)</t>
        </is>
      </c>
      <c r="Q873" s="10" t="inlineStr">
        <is>
          <t>BAJA(1)</t>
        </is>
      </c>
      <c r="R873" s="10" t="inlineStr">
        <is>
          <t>BAJA(1)</t>
        </is>
      </c>
      <c r="S873" s="10">
        <f>+(IF(P873="PUBLICA(1)",1,IF(P873="USO INTERNO(2)",2,IF(P873="RESTRINGIDO(3)",3,3))))+(IF(Q873="BAJA(1)",1,IF(Q873="MEDIA(2)",2,IF(Q873="ALTA(3)",3,3))))+(IF(R873="BAJA(1)",1,IF(R873="MEDIA(2)",2,IF(R873="ALTA(3)",3,3))))</f>
        <v/>
      </c>
      <c r="T873" s="10">
        <f>+IF(S873&lt;6,"BAJA",IF(S873&lt;8,"MEDIA","ALTA"))</f>
        <v/>
      </c>
      <c r="U873" s="10" t="inlineStr">
        <is>
          <t>-</t>
        </is>
      </c>
      <c r="V873" s="24" t="n">
        <v>45681</v>
      </c>
      <c r="W873" s="19" t="inlineStr">
        <is>
          <t>N/A</t>
        </is>
      </c>
      <c r="X873" s="10">
        <f>+IFERROR(IF(VLOOKUP(Tabla2[[#This Row],[ID]],'EVALUACION DE RIESGO'!A:A,1,FALSE)=Tabla2[[#This Row],[ID]],"SI","NO"),"NO")</f>
        <v/>
      </c>
      <c r="AD873">
        <f>IF(AND(Y873="",AA873=""),"",IF(OR(LEFT(AA873,2)="L0",LEFT(AA873,2)="L1",Y873="No Iniciado"),"CRÍTICO - Incumplimiento Normativo SEPS",IF(AND(OR(LEFT(AA873,2)="L4",LEFT(AA873,2)="L5"),AND(AC873&lt;&gt;"",AC873&lt;&gt;"N/A")),"CONFORME - Control Efectivo ISO 27001","OBSERVACIÓN - Revisar Controles")))</f>
        <v/>
      </c>
    </row>
    <row r="874">
      <c r="A874" s="99" t="inlineStr">
        <is>
          <t>51-GES</t>
        </is>
      </c>
      <c r="B874" s="10" t="inlineStr">
        <is>
          <t>ESTRATÉGICO</t>
        </is>
      </c>
      <c r="C874" s="10" t="inlineStr">
        <is>
          <t xml:space="preserve">Gestión Estratégica </t>
        </is>
      </c>
      <c r="D874" s="10" t="inlineStr">
        <is>
          <t>GES</t>
        </is>
      </c>
      <c r="E874" s="10" t="inlineStr">
        <is>
          <t xml:space="preserve">Planificación Operativa </t>
        </is>
      </c>
      <c r="F874" s="10" t="inlineStr">
        <is>
          <t>-</t>
        </is>
      </c>
      <c r="G874" s="10" t="inlineStr">
        <is>
          <t>Elaboración del Plan Operativo</t>
        </is>
      </c>
      <c r="H874" s="10" t="inlineStr">
        <is>
          <t>Resultados alcanzados en el Plan Estratégica que fenece</t>
        </is>
      </c>
      <c r="I874" s="10" t="inlineStr">
        <is>
          <t>Evaluación del plan estratégico</t>
        </is>
      </c>
      <c r="J874" s="10" t="inlineStr">
        <is>
          <t>JEFE DE PLANIFICACIÓN Y PROCESOS</t>
        </is>
      </c>
      <c r="K874" s="10" t="inlineStr">
        <is>
          <t>JEFE DE PLANIFICACIÓN Y PROCESOS</t>
        </is>
      </c>
      <c r="L874" s="10" t="inlineStr">
        <is>
          <t>UBICACIÓN DIGITAL-EQUIPO DEL CUSTODIO</t>
        </is>
      </c>
      <c r="M874" s="10" t="inlineStr">
        <is>
          <t>DOCUMENTO DE ARCHIVO-ELECTRÓNICO</t>
        </is>
      </c>
      <c r="N874" s="10" t="inlineStr">
        <is>
          <t>PRIMARIOS</t>
        </is>
      </c>
      <c r="O874" s="10" t="inlineStr">
        <is>
          <t>DOCUMENTOS TÉCNICOS</t>
        </is>
      </c>
      <c r="P874" s="10" t="inlineStr">
        <is>
          <t>PUBLICA(1)</t>
        </is>
      </c>
      <c r="Q874" s="10" t="inlineStr">
        <is>
          <t>BAJA(1)</t>
        </is>
      </c>
      <c r="R874" s="10" t="inlineStr">
        <is>
          <t>BAJA(1)</t>
        </is>
      </c>
      <c r="S874" s="10">
        <f>+(IF(P874="PUBLICA(1)",1,IF(P874="USO INTERNO(2)",2,IF(P874="RESTRINGIDO(3)",3,3))))+(IF(Q874="BAJA(1)",1,IF(Q874="MEDIA(2)",2,IF(Q874="ALTA(3)",3,3))))+(IF(R874="BAJA(1)",1,IF(R874="MEDIA(2)",2,IF(R874="ALTA(3)",3,3))))</f>
        <v/>
      </c>
      <c r="T874" s="10">
        <f>+IF(S874&lt;6,"BAJA",IF(S874&lt;8,"MEDIA","ALTA"))</f>
        <v/>
      </c>
      <c r="U874" s="10" t="inlineStr">
        <is>
          <t>-</t>
        </is>
      </c>
      <c r="V874" s="24" t="n">
        <v>45681</v>
      </c>
      <c r="W874" s="19" t="inlineStr">
        <is>
          <t>N/A</t>
        </is>
      </c>
      <c r="X874" s="10">
        <f>+IFERROR(IF(VLOOKUP(Tabla2[[#This Row],[ID]],'EVALUACION DE RIESGO'!A:A,1,FALSE)=Tabla2[[#This Row],[ID]],"SI","NO"),"NO")</f>
        <v/>
      </c>
      <c r="AD874">
        <f>IF(AND(Y874="",AA874=""),"",IF(OR(LEFT(AA874,2)="L0",LEFT(AA874,2)="L1",Y874="No Iniciado"),"CRÍTICO - Incumplimiento Normativo SEPS",IF(AND(OR(LEFT(AA874,2)="L4",LEFT(AA874,2)="L5"),AND(AC874&lt;&gt;"",AC874&lt;&gt;"N/A")),"CONFORME - Control Efectivo ISO 27001","OBSERVACIÓN - Revisar Controles")))</f>
        <v/>
      </c>
    </row>
    <row r="875">
      <c r="A875" s="99" t="inlineStr">
        <is>
          <t>52-GES</t>
        </is>
      </c>
      <c r="B875" s="10" t="inlineStr">
        <is>
          <t>ESTRATÉGICO</t>
        </is>
      </c>
      <c r="C875" s="10" t="inlineStr">
        <is>
          <t xml:space="preserve">Gestión Estratégica </t>
        </is>
      </c>
      <c r="D875" s="10" t="inlineStr">
        <is>
          <t>GES</t>
        </is>
      </c>
      <c r="E875" s="10" t="inlineStr">
        <is>
          <t xml:space="preserve">Planificación Operativa </t>
        </is>
      </c>
      <c r="F875" s="10" t="inlineStr">
        <is>
          <t>-</t>
        </is>
      </c>
      <c r="G875" s="10" t="inlineStr">
        <is>
          <t>Elaboración del Plan Operativo</t>
        </is>
      </c>
      <c r="H875" s="10" t="inlineStr">
        <is>
          <t>Necesidades de los Stakeholders</t>
        </is>
      </c>
      <c r="I875" s="10" t="inlineStr">
        <is>
          <t>Matriz de necesidades de los grupos de interes</t>
        </is>
      </c>
      <c r="J875" s="10" t="inlineStr">
        <is>
          <t>JEFE DE PLANIFICACIÓN Y PROCESOS</t>
        </is>
      </c>
      <c r="K875" s="10" t="inlineStr">
        <is>
          <t>JEFE DE PLANIFICACIÓN Y PROCESOS</t>
        </is>
      </c>
      <c r="L875" s="10" t="inlineStr">
        <is>
          <t>UBICACIÓN DIGITAL-EQUIPO DEL CUSTODIO</t>
        </is>
      </c>
      <c r="M875" s="10" t="inlineStr">
        <is>
          <t>DOCUMENTO DE ARCHIVO-ELECTRÓNICO</t>
        </is>
      </c>
      <c r="N875" s="10" t="inlineStr">
        <is>
          <t>PRIMARIOS</t>
        </is>
      </c>
      <c r="O875" s="10" t="inlineStr">
        <is>
          <t>DOCUMENTOS TÉCNICOS</t>
        </is>
      </c>
      <c r="P875" s="10" t="inlineStr">
        <is>
          <t>PUBLICA(1)</t>
        </is>
      </c>
      <c r="Q875" s="10" t="inlineStr">
        <is>
          <t>BAJA(1)</t>
        </is>
      </c>
      <c r="R875" s="10" t="inlineStr">
        <is>
          <t>BAJA(1)</t>
        </is>
      </c>
      <c r="S875" s="10">
        <f>+(IF(P875="PUBLICA(1)",1,IF(P875="USO INTERNO(2)",2,IF(P875="RESTRINGIDO(3)",3,3))))+(IF(Q875="BAJA(1)",1,IF(Q875="MEDIA(2)",2,IF(Q875="ALTA(3)",3,3))))+(IF(R875="BAJA(1)",1,IF(R875="MEDIA(2)",2,IF(R875="ALTA(3)",3,3))))</f>
        <v/>
      </c>
      <c r="T875" s="10">
        <f>+IF(S875&lt;6,"BAJA",IF(S875&lt;8,"MEDIA","ALTA"))</f>
        <v/>
      </c>
      <c r="U875" s="10" t="inlineStr">
        <is>
          <t>-</t>
        </is>
      </c>
      <c r="V875" s="24" t="n">
        <v>45681</v>
      </c>
      <c r="W875" s="19" t="inlineStr">
        <is>
          <t>N/A</t>
        </is>
      </c>
      <c r="X875" s="10">
        <f>+IFERROR(IF(VLOOKUP(Tabla2[[#This Row],[ID]],'EVALUACION DE RIESGO'!A:A,1,FALSE)=Tabla2[[#This Row],[ID]],"SI","NO"),"NO")</f>
        <v/>
      </c>
      <c r="AD875">
        <f>IF(AND(Y875="",AA875=""),"",IF(OR(LEFT(AA875,2)="L0",LEFT(AA875,2)="L1",Y875="No Iniciado"),"CRÍTICO - Incumplimiento Normativo SEPS",IF(AND(OR(LEFT(AA875,2)="L4",LEFT(AA875,2)="L5"),AND(AC875&lt;&gt;"",AC875&lt;&gt;"N/A")),"CONFORME - Control Efectivo ISO 27001","OBSERVACIÓN - Revisar Controles")))</f>
        <v/>
      </c>
    </row>
    <row r="876">
      <c r="A876" s="99" t="inlineStr">
        <is>
          <t>53-GES</t>
        </is>
      </c>
      <c r="B876" s="10" t="inlineStr">
        <is>
          <t>ESTRATÉGICO</t>
        </is>
      </c>
      <c r="C876" s="10" t="inlineStr">
        <is>
          <t xml:space="preserve">Gestión Estratégica </t>
        </is>
      </c>
      <c r="D876" s="10" t="inlineStr">
        <is>
          <t>GES</t>
        </is>
      </c>
      <c r="E876" s="10" t="inlineStr">
        <is>
          <t xml:space="preserve">Planificación Operativa </t>
        </is>
      </c>
      <c r="F876" s="10" t="inlineStr">
        <is>
          <t>-</t>
        </is>
      </c>
      <c r="G876" s="10" t="inlineStr">
        <is>
          <t>Elaboración del Plan Operativo</t>
        </is>
      </c>
      <c r="H876" s="10" t="inlineStr">
        <is>
          <t xml:space="preserve">FODA por departamento </t>
        </is>
      </c>
      <c r="I876" s="10" t="inlineStr">
        <is>
          <t>Resultados de la aplicación de la metodologia</t>
        </is>
      </c>
      <c r="J876" s="10" t="inlineStr">
        <is>
          <t>JEFE DE PLANIFICACIÓN Y PROCESOS</t>
        </is>
      </c>
      <c r="K876" s="10" t="inlineStr">
        <is>
          <t>JEFE DE PLANIFICACIÓN Y PROCESOS</t>
        </is>
      </c>
      <c r="L876" s="10" t="inlineStr">
        <is>
          <t>UBICACIÓN DIGITAL-EQUIPO DEL CUSTODIO</t>
        </is>
      </c>
      <c r="M876" s="10" t="inlineStr">
        <is>
          <t>DOCUMENTO DE ARCHIVO-ELECTRÓNICO</t>
        </is>
      </c>
      <c r="N876" s="10" t="inlineStr">
        <is>
          <t>PRIMARIOS</t>
        </is>
      </c>
      <c r="O876" s="10" t="inlineStr">
        <is>
          <t>DOCUMENTOS TÉCNICOS</t>
        </is>
      </c>
      <c r="P876" s="10" t="inlineStr">
        <is>
          <t>PUBLICA(1)</t>
        </is>
      </c>
      <c r="Q876" s="10" t="inlineStr">
        <is>
          <t>BAJA(1)</t>
        </is>
      </c>
      <c r="R876" s="10" t="inlineStr">
        <is>
          <t>BAJA(1)</t>
        </is>
      </c>
      <c r="S876" s="10">
        <f>+(IF(P876="PUBLICA(1)",1,IF(P876="USO INTERNO(2)",2,IF(P876="RESTRINGIDO(3)",3,3))))+(IF(Q876="BAJA(1)",1,IF(Q876="MEDIA(2)",2,IF(Q876="ALTA(3)",3,3))))+(IF(R876="BAJA(1)",1,IF(R876="MEDIA(2)",2,IF(R876="ALTA(3)",3,3))))</f>
        <v/>
      </c>
      <c r="T876" s="10">
        <f>+IF(S876&lt;6,"BAJA",IF(S876&lt;8,"MEDIA","ALTA"))</f>
        <v/>
      </c>
      <c r="U876" s="10" t="inlineStr">
        <is>
          <t>-</t>
        </is>
      </c>
      <c r="V876" s="24" t="n">
        <v>45681</v>
      </c>
      <c r="W876" s="19" t="inlineStr">
        <is>
          <t>N/A</t>
        </is>
      </c>
      <c r="X876" s="10">
        <f>+IFERROR(IF(VLOOKUP(Tabla2[[#This Row],[ID]],'EVALUACION DE RIESGO'!A:A,1,FALSE)=Tabla2[[#This Row],[ID]],"SI","NO"),"NO")</f>
        <v/>
      </c>
      <c r="AD876">
        <f>IF(AND(Y876="",AA876=""),"",IF(OR(LEFT(AA876,2)="L0",LEFT(AA876,2)="L1",Y876="No Iniciado"),"CRÍTICO - Incumplimiento Normativo SEPS",IF(AND(OR(LEFT(AA876,2)="L4",LEFT(AA876,2)="L5"),AND(AC876&lt;&gt;"",AC876&lt;&gt;"N/A")),"CONFORME - Control Efectivo ISO 27001","OBSERVACIÓN - Revisar Controles")))</f>
        <v/>
      </c>
    </row>
    <row r="877">
      <c r="A877" s="99" t="inlineStr">
        <is>
          <t>54-GES</t>
        </is>
      </c>
      <c r="B877" s="10" t="inlineStr">
        <is>
          <t>ESTRATÉGICO</t>
        </is>
      </c>
      <c r="C877" s="10" t="inlineStr">
        <is>
          <t xml:space="preserve">Gestión Estratégica </t>
        </is>
      </c>
      <c r="D877" s="10" t="inlineStr">
        <is>
          <t>GES</t>
        </is>
      </c>
      <c r="E877" s="10" t="inlineStr">
        <is>
          <t xml:space="preserve">Planificación Operativa </t>
        </is>
      </c>
      <c r="F877" s="10" t="inlineStr">
        <is>
          <t>-</t>
        </is>
      </c>
      <c r="G877" s="10" t="inlineStr">
        <is>
          <t>Elaboración del Plan Operativo</t>
        </is>
      </c>
      <c r="H877" s="10" t="inlineStr">
        <is>
          <t>Resultados de encuestas o entrevistas a los grupos de interés</t>
        </is>
      </c>
      <c r="I877" s="10" t="inlineStr">
        <is>
          <t>Estadisticas de las encuentas</t>
        </is>
      </c>
      <c r="J877" s="10" t="inlineStr">
        <is>
          <t>JEFE DE PLANIFICACIÓN Y PROCESOS</t>
        </is>
      </c>
      <c r="K877" s="10" t="inlineStr">
        <is>
          <t>JEFE DE PLANIFICACIÓN Y PROCESOS</t>
        </is>
      </c>
      <c r="L877" s="10" t="inlineStr">
        <is>
          <t>UBICACIÓN DIGITAL-EQUIPO DEL CUSTODIO</t>
        </is>
      </c>
      <c r="M877" s="10" t="inlineStr">
        <is>
          <t>DOCUMENTO DE ARCHIVO-ELECTRÓNICO</t>
        </is>
      </c>
      <c r="N877" s="10" t="inlineStr">
        <is>
          <t>PRIMARIOS</t>
        </is>
      </c>
      <c r="O877" s="10" t="inlineStr">
        <is>
          <t>DOCUMENTOS TÉCNICOS</t>
        </is>
      </c>
      <c r="P877" s="10" t="inlineStr">
        <is>
          <t>PUBLICA(1)</t>
        </is>
      </c>
      <c r="Q877" s="10" t="inlineStr">
        <is>
          <t>BAJA(1)</t>
        </is>
      </c>
      <c r="R877" s="10" t="inlineStr">
        <is>
          <t>BAJA(1)</t>
        </is>
      </c>
      <c r="S877" s="10">
        <f>+(IF(P877="PUBLICA(1)",1,IF(P877="USO INTERNO(2)",2,IF(P877="RESTRINGIDO(3)",3,3))))+(IF(Q877="BAJA(1)",1,IF(Q877="MEDIA(2)",2,IF(Q877="ALTA(3)",3,3))))+(IF(R877="BAJA(1)",1,IF(R877="MEDIA(2)",2,IF(R877="ALTA(3)",3,3))))</f>
        <v/>
      </c>
      <c r="T877" s="10">
        <f>+IF(S877&lt;6,"BAJA",IF(S877&lt;8,"MEDIA","ALTA"))</f>
        <v/>
      </c>
      <c r="U877" s="10" t="inlineStr">
        <is>
          <t>-</t>
        </is>
      </c>
      <c r="V877" s="24" t="n">
        <v>45681</v>
      </c>
      <c r="W877" s="19" t="inlineStr">
        <is>
          <t>N/A</t>
        </is>
      </c>
      <c r="X877" s="10">
        <f>+IFERROR(IF(VLOOKUP(Tabla2[[#This Row],[ID]],'EVALUACION DE RIESGO'!A:A,1,FALSE)=Tabla2[[#This Row],[ID]],"SI","NO"),"NO")</f>
        <v/>
      </c>
      <c r="AD877">
        <f>IF(AND(Y877="",AA877=""),"",IF(OR(LEFT(AA877,2)="L0",LEFT(AA877,2)="L1",Y877="No Iniciado"),"CRÍTICO - Incumplimiento Normativo SEPS",IF(AND(OR(LEFT(AA877,2)="L4",LEFT(AA877,2)="L5"),AND(AC877&lt;&gt;"",AC877&lt;&gt;"N/A")),"CONFORME - Control Efectivo ISO 27001","OBSERVACIÓN - Revisar Controles")))</f>
        <v/>
      </c>
    </row>
    <row r="878">
      <c r="A878" s="99" t="inlineStr">
        <is>
          <t>55-GES</t>
        </is>
      </c>
      <c r="B878" s="10" t="inlineStr">
        <is>
          <t>ESTRATÉGICO</t>
        </is>
      </c>
      <c r="C878" s="10" t="inlineStr">
        <is>
          <t xml:space="preserve">Gestión Estratégica </t>
        </is>
      </c>
      <c r="D878" s="10" t="inlineStr">
        <is>
          <t>GES</t>
        </is>
      </c>
      <c r="E878" s="10" t="inlineStr">
        <is>
          <t xml:space="preserve">Planificación Operativa </t>
        </is>
      </c>
      <c r="F878" s="10" t="inlineStr">
        <is>
          <t>-</t>
        </is>
      </c>
      <c r="G878" s="10" t="inlineStr">
        <is>
          <t>Elaboración del Plan Operativo</t>
        </is>
      </c>
      <c r="H878" s="10" t="inlineStr">
        <is>
          <t>Matriz POA por proyecto</t>
        </is>
      </c>
      <c r="I878" s="10" t="inlineStr">
        <is>
          <t xml:space="preserve">Formato para descripción de proyectos  </t>
        </is>
      </c>
      <c r="J878" s="10" t="inlineStr">
        <is>
          <t>JEFE DE PLANIFICACIÓN Y PROCESOS</t>
        </is>
      </c>
      <c r="K878" s="10" t="inlineStr">
        <is>
          <t>JEFE DE PLANIFICACIÓN Y PROCESOS</t>
        </is>
      </c>
      <c r="L878" s="10" t="inlineStr">
        <is>
          <t>UBICACIÓN DIGITAL-EQUIPO DEL CUSTODIO</t>
        </is>
      </c>
      <c r="M878" s="10" t="inlineStr">
        <is>
          <t>DOCUMENTO DE ARCHIVO-ELECTRÓNICO</t>
        </is>
      </c>
      <c r="N878" s="10" t="inlineStr">
        <is>
          <t>PRIMARIOS</t>
        </is>
      </c>
      <c r="O878" s="10" t="inlineStr">
        <is>
          <t>DOCUMENTOS TÉCNICOS</t>
        </is>
      </c>
      <c r="P878" s="10" t="inlineStr">
        <is>
          <t>PUBLICA(1)</t>
        </is>
      </c>
      <c r="Q878" s="10" t="inlineStr">
        <is>
          <t>BAJA(1)</t>
        </is>
      </c>
      <c r="R878" s="10" t="inlineStr">
        <is>
          <t>ALTA(3)</t>
        </is>
      </c>
      <c r="S878" s="10">
        <f>+(IF(P878="PUBLICA(1)",1,IF(P878="USO INTERNO(2)",2,IF(P878="RESTRINGIDO(3)",3,3))))+(IF(Q878="BAJA(1)",1,IF(Q878="MEDIA(2)",2,IF(Q878="ALTA(3)",3,3))))+(IF(R878="BAJA(1)",1,IF(R878="MEDIA(2)",2,IF(R878="ALTA(3)",3,3))))</f>
        <v/>
      </c>
      <c r="T878" s="10">
        <f>+IF(S878&lt;6,"BAJA",IF(S878&lt;8,"MEDIA","ALTA"))</f>
        <v/>
      </c>
      <c r="U878" s="10" t="inlineStr">
        <is>
          <t>-</t>
        </is>
      </c>
      <c r="V878" s="24" t="n">
        <v>45681</v>
      </c>
      <c r="W878" s="19" t="inlineStr">
        <is>
          <t>N/A</t>
        </is>
      </c>
      <c r="X878" s="10">
        <f>+IFERROR(IF(VLOOKUP(Tabla2[[#This Row],[ID]],'EVALUACION DE RIESGO'!A:A,1,FALSE)=Tabla2[[#This Row],[ID]],"SI","NO"),"NO")</f>
        <v/>
      </c>
      <c r="AD878">
        <f>IF(AND(Y878="",AA878=""),"",IF(OR(LEFT(AA878,2)="L0",LEFT(AA878,2)="L1",Y878="No Iniciado"),"CRÍTICO - Incumplimiento Normativo SEPS",IF(AND(OR(LEFT(AA878,2)="L4",LEFT(AA878,2)="L5"),AND(AC878&lt;&gt;"",AC878&lt;&gt;"N/A")),"CONFORME - Control Efectivo ISO 27001","OBSERVACIÓN - Revisar Controles")))</f>
        <v/>
      </c>
    </row>
    <row r="879">
      <c r="A879" s="99" t="inlineStr">
        <is>
          <t>56-GES</t>
        </is>
      </c>
      <c r="B879" s="10" t="inlineStr">
        <is>
          <t>ESTRATÉGICO</t>
        </is>
      </c>
      <c r="C879" s="10" t="inlineStr">
        <is>
          <t xml:space="preserve">Gestión Estratégica </t>
        </is>
      </c>
      <c r="D879" s="10" t="inlineStr">
        <is>
          <t>GES</t>
        </is>
      </c>
      <c r="E879" s="10" t="inlineStr">
        <is>
          <t xml:space="preserve">Planificación Operativa </t>
        </is>
      </c>
      <c r="F879" s="10" t="inlineStr">
        <is>
          <t>-</t>
        </is>
      </c>
      <c r="G879" s="10" t="inlineStr">
        <is>
          <t>Elaboración del Plan Operativo</t>
        </is>
      </c>
      <c r="H879" s="10" t="inlineStr">
        <is>
          <t>Plan Operativo Anual</t>
        </is>
      </c>
      <c r="I879" s="10" t="inlineStr">
        <is>
          <t>Descripción del proyecto para el periodo estabecido</t>
        </is>
      </c>
      <c r="J879" s="10" t="inlineStr">
        <is>
          <t>JEFE DE PLANIFICACIÓN Y PROCESOS</t>
        </is>
      </c>
      <c r="K879" s="10" t="inlineStr">
        <is>
          <t>JEFE DE PLANIFICACIÓN Y PROCESOS</t>
        </is>
      </c>
      <c r="L879" s="10" t="inlineStr">
        <is>
          <t>UBICACIÓN DIGITAL-EQUIPO DEL CUSTODIO</t>
        </is>
      </c>
      <c r="M879" s="10" t="inlineStr">
        <is>
          <t>DOCUMENTO DE ARCHIVO-ELECTRÓNICO</t>
        </is>
      </c>
      <c r="N879" s="10" t="inlineStr">
        <is>
          <t>PRIMARIOS</t>
        </is>
      </c>
      <c r="O879" s="10" t="inlineStr">
        <is>
          <t>DOCUMENTOS TÉCNICOS</t>
        </is>
      </c>
      <c r="P879" s="10" t="inlineStr">
        <is>
          <t>PUBLICA(1)</t>
        </is>
      </c>
      <c r="Q879" s="10" t="inlineStr">
        <is>
          <t>BAJA(1)</t>
        </is>
      </c>
      <c r="R879" s="10" t="inlineStr">
        <is>
          <t>ALTA(3)</t>
        </is>
      </c>
      <c r="S879" s="10">
        <f>+(IF(P879="PUBLICA(1)",1,IF(P879="USO INTERNO(2)",2,IF(P879="RESTRINGIDO(3)",3,3))))+(IF(Q879="BAJA(1)",1,IF(Q879="MEDIA(2)",2,IF(Q879="ALTA(3)",3,3))))+(IF(R879="BAJA(1)",1,IF(R879="MEDIA(2)",2,IF(R879="ALTA(3)",3,3))))</f>
        <v/>
      </c>
      <c r="T879" s="10">
        <f>+IF(S879&lt;6,"BAJA",IF(S879&lt;8,"MEDIA","ALTA"))</f>
        <v/>
      </c>
      <c r="U879" s="10" t="inlineStr">
        <is>
          <t>-</t>
        </is>
      </c>
      <c r="V879" s="24" t="n">
        <v>45681</v>
      </c>
      <c r="W879" s="19" t="inlineStr">
        <is>
          <t>N/A</t>
        </is>
      </c>
      <c r="X879" s="10">
        <f>+IFERROR(IF(VLOOKUP(Tabla2[[#This Row],[ID]],'EVALUACION DE RIESGO'!A:A,1,FALSE)=Tabla2[[#This Row],[ID]],"SI","NO"),"NO")</f>
        <v/>
      </c>
      <c r="AD879">
        <f>IF(AND(Y879="",AA879=""),"",IF(OR(LEFT(AA879,2)="L0",LEFT(AA879,2)="L1",Y879="No Iniciado"),"CRÍTICO - Incumplimiento Normativo SEPS",IF(AND(OR(LEFT(AA879,2)="L4",LEFT(AA879,2)="L5"),AND(AC879&lt;&gt;"",AC879&lt;&gt;"N/A")),"CONFORME - Control Efectivo ISO 27001","OBSERVACIÓN - Revisar Controles")))</f>
        <v/>
      </c>
    </row>
    <row r="880">
      <c r="A880" s="99" t="inlineStr">
        <is>
          <t>57-GES</t>
        </is>
      </c>
      <c r="B880" s="10" t="inlineStr">
        <is>
          <t>ESTRATÉGICO</t>
        </is>
      </c>
      <c r="C880" s="10" t="inlineStr">
        <is>
          <t xml:space="preserve">Gestión Estratégica </t>
        </is>
      </c>
      <c r="D880" s="10" t="inlineStr">
        <is>
          <t>GES</t>
        </is>
      </c>
      <c r="E880" s="10" t="inlineStr">
        <is>
          <t xml:space="preserve">Planificación Operativa </t>
        </is>
      </c>
      <c r="F880" s="10" t="inlineStr">
        <is>
          <t>-</t>
        </is>
      </c>
      <c r="G880" s="10" t="inlineStr">
        <is>
          <t>Elaboración del Plan Operativo</t>
        </is>
      </c>
      <c r="H880" s="10" t="inlineStr">
        <is>
          <t xml:space="preserve">Certificación de aprobación del POA anual </t>
        </is>
      </c>
      <c r="I880" s="10" t="inlineStr">
        <is>
          <t>Archivo Certificado</t>
        </is>
      </c>
      <c r="J880" s="10" t="inlineStr">
        <is>
          <t>JEFE DE PLANIFICACIÓN Y PROCESOS</t>
        </is>
      </c>
      <c r="K880" s="10" t="inlineStr">
        <is>
          <t>JEFE DE PLANIFICACIÓN Y PROCESOS</t>
        </is>
      </c>
      <c r="L880" s="10" t="inlineStr">
        <is>
          <t>UBICACIÓN DIGITAL-EQUIPO DEL CUSTODIO</t>
        </is>
      </c>
      <c r="M880" s="10" t="inlineStr">
        <is>
          <t>DOCUMENTO DE ARCHIVO-ELECTRÓNICO</t>
        </is>
      </c>
      <c r="N880" s="10" t="inlineStr">
        <is>
          <t>PRIMARIOS</t>
        </is>
      </c>
      <c r="O880" s="10" t="inlineStr">
        <is>
          <t>DOCUMENTOS TÉCNICOS</t>
        </is>
      </c>
      <c r="P880" s="10" t="inlineStr">
        <is>
          <t>PUBLICA(1)</t>
        </is>
      </c>
      <c r="Q880" s="10" t="inlineStr">
        <is>
          <t>BAJA(1)</t>
        </is>
      </c>
      <c r="R880" s="10" t="inlineStr">
        <is>
          <t>ALTA(3)</t>
        </is>
      </c>
      <c r="S880" s="10">
        <f>+(IF(P880="PUBLICA(1)",1,IF(P880="USO INTERNO(2)",2,IF(P880="RESTRINGIDO(3)",3,3))))+(IF(Q880="BAJA(1)",1,IF(Q880="MEDIA(2)",2,IF(Q880="ALTA(3)",3,3))))+(IF(R880="BAJA(1)",1,IF(R880="MEDIA(2)",2,IF(R880="ALTA(3)",3,3))))</f>
        <v/>
      </c>
      <c r="T880" s="10">
        <f>+IF(S880&lt;6,"BAJA",IF(S880&lt;8,"MEDIA","ALTA"))</f>
        <v/>
      </c>
      <c r="U880" s="10" t="inlineStr">
        <is>
          <t>-</t>
        </is>
      </c>
      <c r="V880" s="24" t="n">
        <v>45681</v>
      </c>
      <c r="W880" s="19" t="inlineStr">
        <is>
          <t>N/A</t>
        </is>
      </c>
      <c r="X880" s="10">
        <f>+IFERROR(IF(VLOOKUP(Tabla2[[#This Row],[ID]],'EVALUACION DE RIESGO'!A:A,1,FALSE)=Tabla2[[#This Row],[ID]],"SI","NO"),"NO")</f>
        <v/>
      </c>
      <c r="AD880">
        <f>IF(AND(Y880="",AA880=""),"",IF(OR(LEFT(AA880,2)="L0",LEFT(AA880,2)="L1",Y880="No Iniciado"),"CRÍTICO - Incumplimiento Normativo SEPS",IF(AND(OR(LEFT(AA880,2)="L4",LEFT(AA880,2)="L5"),AND(AC880&lt;&gt;"",AC880&lt;&gt;"N/A")),"CONFORME - Control Efectivo ISO 27001","OBSERVACIÓN - Revisar Controles")))</f>
        <v/>
      </c>
    </row>
    <row r="881">
      <c r="A881" s="99" t="inlineStr">
        <is>
          <t>58-GES</t>
        </is>
      </c>
      <c r="B881" s="10" t="inlineStr">
        <is>
          <t>ESTRATÉGICO</t>
        </is>
      </c>
      <c r="C881" s="10" t="inlineStr">
        <is>
          <t xml:space="preserve">Gestión Estratégica </t>
        </is>
      </c>
      <c r="D881" s="10" t="inlineStr">
        <is>
          <t>GES</t>
        </is>
      </c>
      <c r="E881" s="10" t="inlineStr">
        <is>
          <t xml:space="preserve">Planificación Operativa </t>
        </is>
      </c>
      <c r="F881" s="10" t="inlineStr">
        <is>
          <t>-</t>
        </is>
      </c>
      <c r="G881" s="10" t="inlineStr">
        <is>
          <t>Elaboración del Plan Operativo</t>
        </is>
      </c>
      <c r="H881" s="10" t="inlineStr">
        <is>
          <t>Resolución de Asamblea de Representantes</t>
        </is>
      </c>
      <c r="I881" s="10" t="inlineStr">
        <is>
          <t>Resoluciones por la asamblea</t>
        </is>
      </c>
      <c r="J881" s="10" t="inlineStr">
        <is>
          <t>JEFE DE PLANIFICACIÓN Y PROCESOS</t>
        </is>
      </c>
      <c r="K881" s="10" t="inlineStr">
        <is>
          <t>JEFE DE PLANIFICACIÓN Y PROCESOS</t>
        </is>
      </c>
      <c r="L881" s="10" t="inlineStr">
        <is>
          <t>UBICACIÓN DIGITAL-EQUIPO DEL CUSTODIO</t>
        </is>
      </c>
      <c r="M881" s="10" t="inlineStr">
        <is>
          <t>DOCUMENTO DE ARCHIVO-ELECTRÓNICO</t>
        </is>
      </c>
      <c r="N881" s="10" t="inlineStr">
        <is>
          <t>PRIMARIOS</t>
        </is>
      </c>
      <c r="O881" s="10" t="inlineStr">
        <is>
          <t>DOCUMENTOS TÉCNICOS</t>
        </is>
      </c>
      <c r="P881" s="10" t="inlineStr">
        <is>
          <t>PUBLICA(1)</t>
        </is>
      </c>
      <c r="Q881" s="10" t="inlineStr">
        <is>
          <t>BAJA(1)</t>
        </is>
      </c>
      <c r="R881" s="10" t="inlineStr">
        <is>
          <t>ALTA(3)</t>
        </is>
      </c>
      <c r="S881" s="10">
        <f>+(IF(P881="PUBLICA(1)",1,IF(P881="USO INTERNO(2)",2,IF(P881="RESTRINGIDO(3)",3,3))))+(IF(Q881="BAJA(1)",1,IF(Q881="MEDIA(2)",2,IF(Q881="ALTA(3)",3,3))))+(IF(R881="BAJA(1)",1,IF(R881="MEDIA(2)",2,IF(R881="ALTA(3)",3,3))))</f>
        <v/>
      </c>
      <c r="T881" s="10">
        <f>+IF(S881&lt;6,"BAJA",IF(S881&lt;8,"MEDIA","ALTA"))</f>
        <v/>
      </c>
      <c r="U881" s="10" t="inlineStr">
        <is>
          <t>-</t>
        </is>
      </c>
      <c r="V881" s="24" t="n">
        <v>45681</v>
      </c>
      <c r="W881" s="19" t="inlineStr">
        <is>
          <t>N/A</t>
        </is>
      </c>
      <c r="X881" s="10">
        <f>+IFERROR(IF(VLOOKUP(Tabla2[[#This Row],[ID]],'EVALUACION DE RIESGO'!A:A,1,FALSE)=Tabla2[[#This Row],[ID]],"SI","NO"),"NO")</f>
        <v/>
      </c>
      <c r="AD881">
        <f>IF(AND(Y881="",AA881=""),"",IF(OR(LEFT(AA881,2)="L0",LEFT(AA881,2)="L1",Y881="No Iniciado"),"CRÍTICO - Incumplimiento Normativo SEPS",IF(AND(OR(LEFT(AA881,2)="L4",LEFT(AA881,2)="L5"),AND(AC881&lt;&gt;"",AC881&lt;&gt;"N/A")),"CONFORME - Control Efectivo ISO 27001","OBSERVACIÓN - Revisar Controles")))</f>
        <v/>
      </c>
    </row>
    <row r="882">
      <c r="A882" s="99" t="inlineStr">
        <is>
          <t>59-GES</t>
        </is>
      </c>
      <c r="B882" s="10" t="inlineStr">
        <is>
          <t>ESTRATÉGICO</t>
        </is>
      </c>
      <c r="C882" s="10" t="inlineStr">
        <is>
          <t xml:space="preserve">Gestión Estratégica </t>
        </is>
      </c>
      <c r="D882" s="10" t="inlineStr">
        <is>
          <t>GES</t>
        </is>
      </c>
      <c r="E882" s="10" t="inlineStr">
        <is>
          <t xml:space="preserve">Planificación Operativa </t>
        </is>
      </c>
      <c r="F882" s="10" t="inlineStr">
        <is>
          <t>-</t>
        </is>
      </c>
      <c r="G882" s="10" t="inlineStr">
        <is>
          <t>Elaboración del Plan Operativo</t>
        </is>
      </c>
      <c r="H882" s="10" t="inlineStr">
        <is>
          <t>Matriz de evaluación del plan operativo anual</t>
        </is>
      </c>
      <c r="I882" s="10" t="inlineStr">
        <is>
          <t>Documento de evaluación</t>
        </is>
      </c>
      <c r="J882" s="10" t="inlineStr">
        <is>
          <t>JEFE DE PLANIFICACIÓN Y PROCESOS</t>
        </is>
      </c>
      <c r="K882" s="10" t="inlineStr">
        <is>
          <t>JEFE DE PLANIFICACIÓN Y PROCESOS</t>
        </is>
      </c>
      <c r="L882" s="10" t="inlineStr">
        <is>
          <t>UBICACIÓN DIGITAL-EQUIPO DEL CUSTODIO</t>
        </is>
      </c>
      <c r="M882" s="10" t="inlineStr">
        <is>
          <t>DOCUMENTO DE ARCHIVO-ELECTRÓNICO</t>
        </is>
      </c>
      <c r="N882" s="10" t="inlineStr">
        <is>
          <t>PRIMARIOS</t>
        </is>
      </c>
      <c r="O882" s="10" t="inlineStr">
        <is>
          <t>DOCUMENTOS TÉCNICOS</t>
        </is>
      </c>
      <c r="P882" s="10" t="inlineStr">
        <is>
          <t>PUBLICA(1)</t>
        </is>
      </c>
      <c r="Q882" s="10" t="inlineStr">
        <is>
          <t>BAJA(1)</t>
        </is>
      </c>
      <c r="R882" s="10" t="inlineStr">
        <is>
          <t>ALTA(3)</t>
        </is>
      </c>
      <c r="S882" s="10">
        <f>+(IF(P882="PUBLICA(1)",1,IF(P882="USO INTERNO(2)",2,IF(P882="RESTRINGIDO(3)",3,3))))+(IF(Q882="BAJA(1)",1,IF(Q882="MEDIA(2)",2,IF(Q882="ALTA(3)",3,3))))+(IF(R882="BAJA(1)",1,IF(R882="MEDIA(2)",2,IF(R882="ALTA(3)",3,3))))</f>
        <v/>
      </c>
      <c r="T882" s="10">
        <f>+IF(S882&lt;6,"BAJA",IF(S882&lt;8,"MEDIA","ALTA"))</f>
        <v/>
      </c>
      <c r="U882" s="10" t="inlineStr">
        <is>
          <t>-</t>
        </is>
      </c>
      <c r="V882" s="24" t="n">
        <v>45681</v>
      </c>
      <c r="W882" s="19" t="inlineStr">
        <is>
          <t>N/A</t>
        </is>
      </c>
      <c r="X882" s="10">
        <f>+IFERROR(IF(VLOOKUP(Tabla2[[#This Row],[ID]],'EVALUACION DE RIESGO'!A:A,1,FALSE)=Tabla2[[#This Row],[ID]],"SI","NO"),"NO")</f>
        <v/>
      </c>
      <c r="AD882">
        <f>IF(AND(Y882="",AA882=""),"",IF(OR(LEFT(AA882,2)="L0",LEFT(AA882,2)="L1",Y882="No Iniciado"),"CRÍTICO - Incumplimiento Normativo SEPS",IF(AND(OR(LEFT(AA882,2)="L4",LEFT(AA882,2)="L5"),AND(AC882&lt;&gt;"",AC882&lt;&gt;"N/A")),"CONFORME - Control Efectivo ISO 27001","OBSERVACIÓN - Revisar Controles")))</f>
        <v/>
      </c>
    </row>
    <row r="883">
      <c r="A883" s="99" t="inlineStr">
        <is>
          <t>60-GES</t>
        </is>
      </c>
      <c r="B883" s="10" t="inlineStr">
        <is>
          <t>ESTRATÉGICO</t>
        </is>
      </c>
      <c r="C883" s="10" t="inlineStr">
        <is>
          <t xml:space="preserve">Gestión Estratégica </t>
        </is>
      </c>
      <c r="D883" s="10" t="inlineStr">
        <is>
          <t>GES</t>
        </is>
      </c>
      <c r="E883" s="10" t="inlineStr">
        <is>
          <t xml:space="preserve">Planificación Operativa </t>
        </is>
      </c>
      <c r="F883" s="10" t="inlineStr">
        <is>
          <t>-</t>
        </is>
      </c>
      <c r="G883" s="10" t="inlineStr">
        <is>
          <t>Seguimiento y evaluación del Plan Operativo</t>
        </is>
      </c>
      <c r="H883" s="10" t="inlineStr">
        <is>
          <t>Plan Operativo Anual</t>
        </is>
      </c>
      <c r="I883" s="10" t="inlineStr">
        <is>
          <t>Descripción del proyecto para el periodo estabecido</t>
        </is>
      </c>
      <c r="J883" s="10" t="inlineStr">
        <is>
          <t>JEFE DE PLANIFICACIÓN Y PROCESOS</t>
        </is>
      </c>
      <c r="K883" s="10" t="inlineStr">
        <is>
          <t>JEFE DE PLANIFICACIÓN Y PROCESOS</t>
        </is>
      </c>
      <c r="L883" s="10" t="inlineStr">
        <is>
          <t>UBICACIÓN DIGITAL-EQUIPO DEL CUSTODIO</t>
        </is>
      </c>
      <c r="M883" s="10" t="inlineStr">
        <is>
          <t>DOCUMENTO DE ARCHIVO-ELECTRÓNICO</t>
        </is>
      </c>
      <c r="N883" s="10" t="inlineStr">
        <is>
          <t>PRIMARIOS</t>
        </is>
      </c>
      <c r="O883" s="10" t="inlineStr">
        <is>
          <t>DOCUMENTOS TÉCNICOS</t>
        </is>
      </c>
      <c r="P883" s="10" t="inlineStr">
        <is>
          <t>PUBLICA(1)</t>
        </is>
      </c>
      <c r="Q883" s="10" t="inlineStr">
        <is>
          <t>BAJA(1)</t>
        </is>
      </c>
      <c r="R883" s="10" t="inlineStr">
        <is>
          <t>ALTA(3)</t>
        </is>
      </c>
      <c r="S883" s="10">
        <f>+(IF(P883="PUBLICA(1)",1,IF(P883="USO INTERNO(2)",2,IF(P883="RESTRINGIDO(3)",3,3))))+(IF(Q883="BAJA(1)",1,IF(Q883="MEDIA(2)",2,IF(Q883="ALTA(3)",3,3))))+(IF(R883="BAJA(1)",1,IF(R883="MEDIA(2)",2,IF(R883="ALTA(3)",3,3))))</f>
        <v/>
      </c>
      <c r="T883" s="10">
        <f>+IF(S883&lt;6,"BAJA",IF(S883&lt;8,"MEDIA","ALTA"))</f>
        <v/>
      </c>
      <c r="U883" s="10" t="inlineStr">
        <is>
          <t>-</t>
        </is>
      </c>
      <c r="V883" s="24" t="n">
        <v>45681</v>
      </c>
      <c r="W883" s="19" t="inlineStr">
        <is>
          <t>N/A</t>
        </is>
      </c>
      <c r="X883" s="10">
        <f>+IFERROR(IF(VLOOKUP(Tabla2[[#This Row],[ID]],'EVALUACION DE RIESGO'!A:A,1,FALSE)=Tabla2[[#This Row],[ID]],"SI","NO"),"NO")</f>
        <v/>
      </c>
      <c r="AD883">
        <f>IF(AND(Y883="",AA883=""),"",IF(OR(LEFT(AA883,2)="L0",LEFT(AA883,2)="L1",Y883="No Iniciado"),"CRÍTICO - Incumplimiento Normativo SEPS",IF(AND(OR(LEFT(AA883,2)="L4",LEFT(AA883,2)="L5"),AND(AC883&lt;&gt;"",AC883&lt;&gt;"N/A")),"CONFORME - Control Efectivo ISO 27001","OBSERVACIÓN - Revisar Controles")))</f>
        <v/>
      </c>
    </row>
    <row r="884">
      <c r="A884" s="99" t="inlineStr">
        <is>
          <t>61-GES</t>
        </is>
      </c>
      <c r="B884" s="10" t="inlineStr">
        <is>
          <t>ESTRATÉGICO</t>
        </is>
      </c>
      <c r="C884" s="10" t="inlineStr">
        <is>
          <t xml:space="preserve">Gestión Estratégica </t>
        </is>
      </c>
      <c r="D884" s="10" t="inlineStr">
        <is>
          <t>GES</t>
        </is>
      </c>
      <c r="E884" s="10" t="inlineStr">
        <is>
          <t xml:space="preserve">Planificación Operativa </t>
        </is>
      </c>
      <c r="F884" s="10" t="inlineStr">
        <is>
          <t>-</t>
        </is>
      </c>
      <c r="G884" s="10" t="inlineStr">
        <is>
          <t>Seguimiento y evaluación del Plan Operativo</t>
        </is>
      </c>
      <c r="H884" s="10" t="inlineStr">
        <is>
          <t>Matriz de evaluación del Plan Operativo Anual</t>
        </is>
      </c>
      <c r="I884" s="10" t="inlineStr">
        <is>
          <t>Documento de evaluación</t>
        </is>
      </c>
      <c r="J884" s="10" t="inlineStr">
        <is>
          <t>JEFE DE PLANIFICACIÓN Y PROCESOS</t>
        </is>
      </c>
      <c r="K884" s="10" t="inlineStr">
        <is>
          <t>JEFE DE PLANIFICACIÓN Y PROCESOS</t>
        </is>
      </c>
      <c r="L884" s="10" t="inlineStr">
        <is>
          <t>UBICACIÓN DIGITAL-EQUIPO DEL CUSTODIO</t>
        </is>
      </c>
      <c r="M884" s="10" t="inlineStr">
        <is>
          <t>DOCUMENTO DE ARCHIVO-ELECTRÓNICO</t>
        </is>
      </c>
      <c r="N884" s="10" t="inlineStr">
        <is>
          <t>PRIMARIOS</t>
        </is>
      </c>
      <c r="O884" s="10" t="inlineStr">
        <is>
          <t>DOCUMENTOS TÉCNICOS</t>
        </is>
      </c>
      <c r="P884" s="10" t="inlineStr">
        <is>
          <t>PUBLICA(1)</t>
        </is>
      </c>
      <c r="Q884" s="10" t="inlineStr">
        <is>
          <t>BAJA(1)</t>
        </is>
      </c>
      <c r="R884" s="10" t="inlineStr">
        <is>
          <t>ALTA(3)</t>
        </is>
      </c>
      <c r="S884" s="10">
        <f>+(IF(P884="PUBLICA(1)",1,IF(P884="USO INTERNO(2)",2,IF(P884="RESTRINGIDO(3)",3,3))))+(IF(Q884="BAJA(1)",1,IF(Q884="MEDIA(2)",2,IF(Q884="ALTA(3)",3,3))))+(IF(R884="BAJA(1)",1,IF(R884="MEDIA(2)",2,IF(R884="ALTA(3)",3,3))))</f>
        <v/>
      </c>
      <c r="T884" s="10">
        <f>+IF(S884&lt;6,"BAJA",IF(S884&lt;8,"MEDIA","ALTA"))</f>
        <v/>
      </c>
      <c r="U884" s="10" t="inlineStr">
        <is>
          <t>-</t>
        </is>
      </c>
      <c r="V884" s="24" t="n">
        <v>45681</v>
      </c>
      <c r="W884" s="19" t="inlineStr">
        <is>
          <t>N/A</t>
        </is>
      </c>
      <c r="X884" s="10">
        <f>+IFERROR(IF(VLOOKUP(Tabla2[[#This Row],[ID]],'EVALUACION DE RIESGO'!A:A,1,FALSE)=Tabla2[[#This Row],[ID]],"SI","NO"),"NO")</f>
        <v/>
      </c>
      <c r="AD884">
        <f>IF(AND(Y884="",AA884=""),"",IF(OR(LEFT(AA884,2)="L0",LEFT(AA884,2)="L1",Y884="No Iniciado"),"CRÍTICO - Incumplimiento Normativo SEPS",IF(AND(OR(LEFT(AA884,2)="L4",LEFT(AA884,2)="L5"),AND(AC884&lt;&gt;"",AC884&lt;&gt;"N/A")),"CONFORME - Control Efectivo ISO 27001","OBSERVACIÓN - Revisar Controles")))</f>
        <v/>
      </c>
    </row>
    <row r="885">
      <c r="A885" s="99" t="inlineStr">
        <is>
          <t>62-GES</t>
        </is>
      </c>
      <c r="B885" s="10" t="inlineStr">
        <is>
          <t>ESTRATÉGICO</t>
        </is>
      </c>
      <c r="C885" s="10" t="inlineStr">
        <is>
          <t xml:space="preserve">Gestión Estratégica </t>
        </is>
      </c>
      <c r="D885" s="10" t="inlineStr">
        <is>
          <t>GES</t>
        </is>
      </c>
      <c r="E885" s="10" t="inlineStr">
        <is>
          <t xml:space="preserve">Planificación Operativa </t>
        </is>
      </c>
      <c r="F885" s="10" t="inlineStr">
        <is>
          <t>-</t>
        </is>
      </c>
      <c r="G885" s="10" t="inlineStr">
        <is>
          <t>Seguimiento y evaluación del Plan Operativo</t>
        </is>
      </c>
      <c r="H885" s="10" t="inlineStr">
        <is>
          <t>Documentos de Sustento POA</t>
        </is>
      </c>
      <c r="I885" s="10" t="inlineStr">
        <is>
          <t>Informes de cumplimiento de actividades</t>
        </is>
      </c>
      <c r="J885" s="10" t="inlineStr">
        <is>
          <t>JEFE DE PLANIFICACIÓN Y PROCESOS</t>
        </is>
      </c>
      <c r="K885" s="10" t="inlineStr">
        <is>
          <t>JEFE DE PLANIFICACIÓN Y PROCESOS</t>
        </is>
      </c>
      <c r="L885" s="10" t="inlineStr">
        <is>
          <t>UBICACIÓN DIGITAL-EQUIPO DEL CUSTODIO</t>
        </is>
      </c>
      <c r="M885" s="10" t="inlineStr">
        <is>
          <t>DOCUMENTO DE ARCHIVO-ELECTRÓNICO</t>
        </is>
      </c>
      <c r="N885" s="10" t="inlineStr">
        <is>
          <t>PRIMARIOS</t>
        </is>
      </c>
      <c r="O885" s="10" t="inlineStr">
        <is>
          <t>DOCUMENTOS TÉCNICOS</t>
        </is>
      </c>
      <c r="P885" s="10" t="inlineStr">
        <is>
          <t>PUBLICA(1)</t>
        </is>
      </c>
      <c r="Q885" s="10" t="inlineStr">
        <is>
          <t>BAJA(1)</t>
        </is>
      </c>
      <c r="R885" s="10" t="inlineStr">
        <is>
          <t>BAJA(1)</t>
        </is>
      </c>
      <c r="S885" s="10">
        <f>+(IF(P885="PUBLICA(1)",1,IF(P885="USO INTERNO(2)",2,IF(P885="RESTRINGIDO(3)",3,3))))+(IF(Q885="BAJA(1)",1,IF(Q885="MEDIA(2)",2,IF(Q885="ALTA(3)",3,3))))+(IF(R885="BAJA(1)",1,IF(R885="MEDIA(2)",2,IF(R885="ALTA(3)",3,3))))</f>
        <v/>
      </c>
      <c r="T885" s="10">
        <f>+IF(S885&lt;6,"BAJA",IF(S885&lt;8,"MEDIA","ALTA"))</f>
        <v/>
      </c>
      <c r="U885" s="10" t="inlineStr">
        <is>
          <t>-</t>
        </is>
      </c>
      <c r="V885" s="24" t="n">
        <v>45681</v>
      </c>
      <c r="W885" s="19" t="inlineStr">
        <is>
          <t>N/A</t>
        </is>
      </c>
      <c r="X885" s="10">
        <f>+IFERROR(IF(VLOOKUP(Tabla2[[#This Row],[ID]],'EVALUACION DE RIESGO'!A:A,1,FALSE)=Tabla2[[#This Row],[ID]],"SI","NO"),"NO")</f>
        <v/>
      </c>
      <c r="AD885">
        <f>IF(AND(Y885="",AA885=""),"",IF(OR(LEFT(AA885,2)="L0",LEFT(AA885,2)="L1",Y885="No Iniciado"),"CRÍTICO - Incumplimiento Normativo SEPS",IF(AND(OR(LEFT(AA885,2)="L4",LEFT(AA885,2)="L5"),AND(AC885&lt;&gt;"",AC885&lt;&gt;"N/A")),"CONFORME - Control Efectivo ISO 27001","OBSERVACIÓN - Revisar Controles")))</f>
        <v/>
      </c>
    </row>
    <row r="886">
      <c r="A886" s="99" t="inlineStr">
        <is>
          <t>63-GES</t>
        </is>
      </c>
      <c r="B886" s="10" t="inlineStr">
        <is>
          <t>ESTRATÉGICO</t>
        </is>
      </c>
      <c r="C886" s="10" t="inlineStr">
        <is>
          <t xml:space="preserve">Gestión Estratégica </t>
        </is>
      </c>
      <c r="D886" s="10" t="inlineStr">
        <is>
          <t>GES</t>
        </is>
      </c>
      <c r="E886" s="10" t="inlineStr">
        <is>
          <t xml:space="preserve">Planificación Operativa </t>
        </is>
      </c>
      <c r="F886" s="10" t="inlineStr">
        <is>
          <t>-</t>
        </is>
      </c>
      <c r="G886" s="10" t="inlineStr">
        <is>
          <t>Seguimiento y evaluación del Plan Operativo</t>
        </is>
      </c>
      <c r="H886" s="10" t="inlineStr">
        <is>
          <t>Matriz de evaluación del Plan Operativo Anual</t>
        </is>
      </c>
      <c r="I886" s="10" t="inlineStr">
        <is>
          <t>Matriz de evaluacion</t>
        </is>
      </c>
      <c r="J886" s="10" t="inlineStr">
        <is>
          <t>JEFE DE PLANIFICACIÓN Y PROCESOS</t>
        </is>
      </c>
      <c r="K886" s="10" t="inlineStr">
        <is>
          <t>JEFE DE PLANIFICACIÓN Y PROCESOS</t>
        </is>
      </c>
      <c r="L886" s="10" t="inlineStr">
        <is>
          <t>UBICACIÓN DIGITAL-EQUIPO DEL CUSTODIO</t>
        </is>
      </c>
      <c r="M886" s="10" t="inlineStr">
        <is>
          <t>DOCUMENTO DE ARCHIVO-ELECTRÓNICO</t>
        </is>
      </c>
      <c r="N886" s="10" t="inlineStr">
        <is>
          <t>PRIMARIOS</t>
        </is>
      </c>
      <c r="O886" s="10" t="inlineStr">
        <is>
          <t>DOCUMENTOS TÉCNICOS</t>
        </is>
      </c>
      <c r="P886" s="10" t="inlineStr">
        <is>
          <t>PUBLICA(1)</t>
        </is>
      </c>
      <c r="Q886" s="10" t="inlineStr">
        <is>
          <t>BAJA(1)</t>
        </is>
      </c>
      <c r="R886" s="10" t="inlineStr">
        <is>
          <t>ALTA(3)</t>
        </is>
      </c>
      <c r="S886" s="10">
        <f>+(IF(P886="PUBLICA(1)",1,IF(P886="USO INTERNO(2)",2,IF(P886="RESTRINGIDO(3)",3,3))))+(IF(Q886="BAJA(1)",1,IF(Q886="MEDIA(2)",2,IF(Q886="ALTA(3)",3,3))))+(IF(R886="BAJA(1)",1,IF(R886="MEDIA(2)",2,IF(R886="ALTA(3)",3,3))))</f>
        <v/>
      </c>
      <c r="T886" s="10">
        <f>+IF(S886&lt;6,"BAJA",IF(S886&lt;8,"MEDIA","ALTA"))</f>
        <v/>
      </c>
      <c r="U886" s="10" t="inlineStr">
        <is>
          <t>-</t>
        </is>
      </c>
      <c r="V886" s="24" t="n">
        <v>45681</v>
      </c>
      <c r="W886" s="19" t="inlineStr">
        <is>
          <t>N/A</t>
        </is>
      </c>
      <c r="X886" s="10">
        <f>+IFERROR(IF(VLOOKUP(Tabla2[[#This Row],[ID]],'EVALUACION DE RIESGO'!A:A,1,FALSE)=Tabla2[[#This Row],[ID]],"SI","NO"),"NO")</f>
        <v/>
      </c>
      <c r="AD886">
        <f>IF(AND(Y886="",AA886=""),"",IF(OR(LEFT(AA886,2)="L0",LEFT(AA886,2)="L1",Y886="No Iniciado"),"CRÍTICO - Incumplimiento Normativo SEPS",IF(AND(OR(LEFT(AA886,2)="L4",LEFT(AA886,2)="L5"),AND(AC886&lt;&gt;"",AC886&lt;&gt;"N/A")),"CONFORME - Control Efectivo ISO 27001","OBSERVACIÓN - Revisar Controles")))</f>
        <v/>
      </c>
    </row>
    <row r="887">
      <c r="A887" s="99" t="inlineStr">
        <is>
          <t>64-GES</t>
        </is>
      </c>
      <c r="B887" s="10" t="inlineStr">
        <is>
          <t>ESTRATÉGICO</t>
        </is>
      </c>
      <c r="C887" s="10" t="inlineStr">
        <is>
          <t xml:space="preserve">Gestión Estratégica </t>
        </is>
      </c>
      <c r="D887" s="10" t="inlineStr">
        <is>
          <t>GES</t>
        </is>
      </c>
      <c r="E887" s="10" t="inlineStr">
        <is>
          <t xml:space="preserve">Planificación Operativa </t>
        </is>
      </c>
      <c r="F887" s="10" t="inlineStr">
        <is>
          <t>-</t>
        </is>
      </c>
      <c r="G887" s="10" t="inlineStr">
        <is>
          <t>Seguimiento y evaluación del Plan Operativo</t>
        </is>
      </c>
      <c r="H887" s="10" t="inlineStr">
        <is>
          <t xml:space="preserve">Informe de evaluación Plan Operativo </t>
        </is>
      </c>
      <c r="I887" s="10" t="inlineStr">
        <is>
          <t>Gobierno Corporativo / Archivo</t>
        </is>
      </c>
      <c r="J887" s="10" t="inlineStr">
        <is>
          <t>JEFE DE PLANIFICACIÓN Y PROCESOS</t>
        </is>
      </c>
      <c r="K887" s="10" t="inlineStr">
        <is>
          <t>JEFE DE PLANIFICACIÓN Y PROCESOS</t>
        </is>
      </c>
      <c r="L887" s="10" t="inlineStr">
        <is>
          <t>UBICACIÓN DIGITAL-EQUIPO DEL CUSTODIO</t>
        </is>
      </c>
      <c r="M887" s="10" t="inlineStr">
        <is>
          <t>DOCUMENTO DE ARCHIVO-ELECTRÓNICO</t>
        </is>
      </c>
      <c r="N887" s="10" t="inlineStr">
        <is>
          <t>PRIMARIOS</t>
        </is>
      </c>
      <c r="O887" s="10" t="inlineStr">
        <is>
          <t>DOCUMENTOS TÉCNICOS</t>
        </is>
      </c>
      <c r="P887" s="10" t="inlineStr">
        <is>
          <t>PUBLICA(1)</t>
        </is>
      </c>
      <c r="Q887" s="10" t="inlineStr">
        <is>
          <t>BAJA(1)</t>
        </is>
      </c>
      <c r="R887" s="10" t="inlineStr">
        <is>
          <t>ALTA(3)</t>
        </is>
      </c>
      <c r="S887" s="10">
        <f>+(IF(P887="PUBLICA(1)",1,IF(P887="USO INTERNO(2)",2,IF(P887="RESTRINGIDO(3)",3,3))))+(IF(Q887="BAJA(1)",1,IF(Q887="MEDIA(2)",2,IF(Q887="ALTA(3)",3,3))))+(IF(R887="BAJA(1)",1,IF(R887="MEDIA(2)",2,IF(R887="ALTA(3)",3,3))))</f>
        <v/>
      </c>
      <c r="T887" s="10">
        <f>+IF(S887&lt;6,"BAJA",IF(S887&lt;8,"MEDIA","ALTA"))</f>
        <v/>
      </c>
      <c r="U887" s="10" t="inlineStr">
        <is>
          <t>-</t>
        </is>
      </c>
      <c r="V887" s="24" t="n">
        <v>45681</v>
      </c>
      <c r="W887" s="19" t="inlineStr">
        <is>
          <t>N/A</t>
        </is>
      </c>
      <c r="X887" s="10">
        <f>+IFERROR(IF(VLOOKUP(Tabla2[[#This Row],[ID]],'EVALUACION DE RIESGO'!A:A,1,FALSE)=Tabla2[[#This Row],[ID]],"SI","NO"),"NO")</f>
        <v/>
      </c>
      <c r="AD887">
        <f>IF(AND(Y887="",AA887=""),"",IF(OR(LEFT(AA887,2)="L0",LEFT(AA887,2)="L1",Y887="No Iniciado"),"CRÍTICO - Incumplimiento Normativo SEPS",IF(AND(OR(LEFT(AA887,2)="L4",LEFT(AA887,2)="L5"),AND(AC887&lt;&gt;"",AC887&lt;&gt;"N/A")),"CONFORME - Control Efectivo ISO 27001","OBSERVACIÓN - Revisar Controles")))</f>
        <v/>
      </c>
    </row>
    <row r="888">
      <c r="A888" s="99" t="inlineStr">
        <is>
          <t>65-GES</t>
        </is>
      </c>
      <c r="B888" s="10" t="inlineStr">
        <is>
          <t>ESTRATÉGICO</t>
        </is>
      </c>
      <c r="C888" s="10" t="inlineStr">
        <is>
          <t xml:space="preserve">Gestión Estratégica </t>
        </is>
      </c>
      <c r="D888" s="10" t="inlineStr">
        <is>
          <t>GES</t>
        </is>
      </c>
      <c r="E888" s="10" t="inlineStr">
        <is>
          <t xml:space="preserve">Planificación Operativa </t>
        </is>
      </c>
      <c r="F888" s="10" t="inlineStr">
        <is>
          <t>-</t>
        </is>
      </c>
      <c r="G888" s="10" t="inlineStr">
        <is>
          <t>Seguimiento y evaluación del Plan Operativo</t>
        </is>
      </c>
      <c r="H888" s="10" t="inlineStr">
        <is>
          <t xml:space="preserve">Evaluación del gasto en el Plan Operativo Anual </t>
        </is>
      </c>
      <c r="I888" s="10" t="inlineStr">
        <is>
          <t>Resumen de acuerdo al presupuesto</t>
        </is>
      </c>
      <c r="J888" s="10" t="inlineStr">
        <is>
          <t>JEFE DE PLANIFICACIÓN Y PROCESOS</t>
        </is>
      </c>
      <c r="K888" s="10" t="inlineStr">
        <is>
          <t>JEFE DE PLANIFICACIÓN Y PROCESOS</t>
        </is>
      </c>
      <c r="L888" s="10" t="inlineStr">
        <is>
          <t>UBICACIÓN DIGITAL-EQUIPO DEL CUSTODIO</t>
        </is>
      </c>
      <c r="M888" s="10" t="inlineStr">
        <is>
          <t>DOCUMENTO DE ARCHIVO-ELECTRÓNICO</t>
        </is>
      </c>
      <c r="N888" s="10" t="inlineStr">
        <is>
          <t>PRIMARIOS</t>
        </is>
      </c>
      <c r="O888" s="10" t="inlineStr">
        <is>
          <t>DOCUMENTOS TÉCNICOS</t>
        </is>
      </c>
      <c r="P888" s="10" t="inlineStr">
        <is>
          <t>USO INTERNO(2)</t>
        </is>
      </c>
      <c r="Q888" s="10" t="inlineStr">
        <is>
          <t>ALTA(3)</t>
        </is>
      </c>
      <c r="R888" s="10" t="inlineStr">
        <is>
          <t>MEDIA(2)</t>
        </is>
      </c>
      <c r="S888" s="10">
        <f>+(IF(P888="PUBLICA(1)",1,IF(P888="USO INTERNO(2)",2,IF(P888="RESTRINGIDO(3)",3,3))))+(IF(Q888="BAJA(1)",1,IF(Q888="MEDIA(2)",2,IF(Q888="ALTA(3)",3,3))))+(IF(R888="BAJA(1)",1,IF(R888="MEDIA(2)",2,IF(R888="ALTA(3)",3,3))))</f>
        <v/>
      </c>
      <c r="T888" s="10">
        <f>+IF(S888&lt;6,"BAJA",IF(S888&lt;8,"MEDIA","ALTA"))</f>
        <v/>
      </c>
      <c r="U888" s="10" t="inlineStr">
        <is>
          <t>-</t>
        </is>
      </c>
      <c r="V888" s="24" t="n">
        <v>45681</v>
      </c>
      <c r="W888" s="19" t="inlineStr">
        <is>
          <t>N/A</t>
        </is>
      </c>
      <c r="X888" s="10">
        <f>+IFERROR(IF(VLOOKUP(Tabla2[[#This Row],[ID]],'EVALUACION DE RIESGO'!A:A,1,FALSE)=Tabla2[[#This Row],[ID]],"SI","NO"),"NO")</f>
        <v/>
      </c>
      <c r="AD888">
        <f>IF(AND(Y888="",AA888=""),"",IF(OR(LEFT(AA888,2)="L0",LEFT(AA888,2)="L1",Y888="No Iniciado"),"CRÍTICO - Incumplimiento Normativo SEPS",IF(AND(OR(LEFT(AA888,2)="L4",LEFT(AA888,2)="L5"),AND(AC888&lt;&gt;"",AC888&lt;&gt;"N/A")),"CONFORME - Control Efectivo ISO 27001","OBSERVACIÓN - Revisar Controles")))</f>
        <v/>
      </c>
    </row>
    <row r="889">
      <c r="A889" s="99" t="inlineStr">
        <is>
          <t>66-GES</t>
        </is>
      </c>
      <c r="B889" s="10" t="inlineStr">
        <is>
          <t>ESTRATÉGICO</t>
        </is>
      </c>
      <c r="C889" s="10" t="inlineStr">
        <is>
          <t xml:space="preserve">Gestión Estratégica </t>
        </is>
      </c>
      <c r="D889" s="10" t="inlineStr">
        <is>
          <t>GES</t>
        </is>
      </c>
      <c r="E889" s="10" t="inlineStr">
        <is>
          <t xml:space="preserve">Planificación Operativa </t>
        </is>
      </c>
      <c r="F889" s="10" t="inlineStr">
        <is>
          <t>-</t>
        </is>
      </c>
      <c r="G889" s="10" t="inlineStr">
        <is>
          <t>Seguimiento y evaluación del Plan Operativo</t>
        </is>
      </c>
      <c r="H889" s="10" t="inlineStr">
        <is>
          <t xml:space="preserve">Acta de evaluación del Plan Operativo Anual </t>
        </is>
      </c>
      <c r="I889" s="10" t="inlineStr">
        <is>
          <t>Resumen del cumplimiento de actividades</t>
        </is>
      </c>
      <c r="J889" s="10" t="inlineStr">
        <is>
          <t>JEFE DE PLANIFICACIÓN Y PROCESOS</t>
        </is>
      </c>
      <c r="K889" s="10" t="inlineStr">
        <is>
          <t>JEFE DE PLANIFICACIÓN Y PROCESOS</t>
        </is>
      </c>
      <c r="L889" s="10" t="inlineStr">
        <is>
          <t>UBICACIÓN DIGITAL-EQUIPO DEL CUSTODIO</t>
        </is>
      </c>
      <c r="M889" s="10" t="inlineStr">
        <is>
          <t>DOCUMENTO DE ARCHIVO-ELECTRÓNICO</t>
        </is>
      </c>
      <c r="N889" s="10" t="inlineStr">
        <is>
          <t>PRIMARIOS</t>
        </is>
      </c>
      <c r="O889" s="10" t="inlineStr">
        <is>
          <t>DOCUMENTOS TÉCNICOS</t>
        </is>
      </c>
      <c r="P889" s="10" t="inlineStr">
        <is>
          <t>PUBLICA(1)</t>
        </is>
      </c>
      <c r="Q889" s="10" t="inlineStr">
        <is>
          <t>BAJA(1)</t>
        </is>
      </c>
      <c r="R889" s="10" t="inlineStr">
        <is>
          <t>ALTA(3)</t>
        </is>
      </c>
      <c r="S889" s="10">
        <f>+(IF(P889="PUBLICA(1)",1,IF(P889="USO INTERNO(2)",2,IF(P889="RESTRINGIDO(3)",3,3))))+(IF(Q889="BAJA(1)",1,IF(Q889="MEDIA(2)",2,IF(Q889="ALTA(3)",3,3))))+(IF(R889="BAJA(1)",1,IF(R889="MEDIA(2)",2,IF(R889="ALTA(3)",3,3))))</f>
        <v/>
      </c>
      <c r="T889" s="10">
        <f>+IF(S889&lt;6,"BAJA",IF(S889&lt;8,"MEDIA","ALTA"))</f>
        <v/>
      </c>
      <c r="U889" s="10" t="inlineStr">
        <is>
          <t>-</t>
        </is>
      </c>
      <c r="V889" s="24" t="n">
        <v>45681</v>
      </c>
      <c r="W889" s="19" t="inlineStr">
        <is>
          <t>N/A</t>
        </is>
      </c>
      <c r="X889" s="10">
        <f>+IFERROR(IF(VLOOKUP(Tabla2[[#This Row],[ID]],'EVALUACION DE RIESGO'!A:A,1,FALSE)=Tabla2[[#This Row],[ID]],"SI","NO"),"NO")</f>
        <v/>
      </c>
      <c r="AD889">
        <f>IF(AND(Y889="",AA889=""),"",IF(OR(LEFT(AA889,2)="L0",LEFT(AA889,2)="L1",Y889="No Iniciado"),"CRÍTICO - Incumplimiento Normativo SEPS",IF(AND(OR(LEFT(AA889,2)="L4",LEFT(AA889,2)="L5"),AND(AC889&lt;&gt;"",AC889&lt;&gt;"N/A")),"CONFORME - Control Efectivo ISO 27001","OBSERVACIÓN - Revisar Controles")))</f>
        <v/>
      </c>
    </row>
    <row r="890">
      <c r="A890" s="99" t="inlineStr">
        <is>
          <t>67-GES</t>
        </is>
      </c>
      <c r="B890" s="10" t="inlineStr">
        <is>
          <t>ESTRATÉGICO</t>
        </is>
      </c>
      <c r="C890" s="10" t="inlineStr">
        <is>
          <t xml:space="preserve">Gestión Estratégica </t>
        </is>
      </c>
      <c r="D890" s="10" t="inlineStr">
        <is>
          <t>GES</t>
        </is>
      </c>
      <c r="E890" s="10" t="inlineStr">
        <is>
          <t xml:space="preserve">Planificación Operativa </t>
        </is>
      </c>
      <c r="F890" s="10" t="inlineStr">
        <is>
          <t>-</t>
        </is>
      </c>
      <c r="G890" s="10" t="inlineStr">
        <is>
          <t>Seguimiento y evaluación del Plan Operativo</t>
        </is>
      </c>
      <c r="H890" s="10" t="inlineStr">
        <is>
          <t xml:space="preserve">Acta del Comité de Planificación, Procesos e Innovación </t>
        </is>
      </c>
      <c r="I890" s="10" t="inlineStr">
        <is>
          <t>Actas del comité</t>
        </is>
      </c>
      <c r="J890" s="10" t="inlineStr">
        <is>
          <t>JEFE DE PLANIFICACIÓN Y PROCESOS</t>
        </is>
      </c>
      <c r="K890" s="10" t="inlineStr">
        <is>
          <t>JEFE DE PLANIFICACIÓN Y PROCESOS</t>
        </is>
      </c>
      <c r="L890" s="10" t="inlineStr">
        <is>
          <t>UBICACIÓN DIGITAL-EQUIPO DEL CUSTODIO</t>
        </is>
      </c>
      <c r="M890" s="10" t="inlineStr">
        <is>
          <t>DOCUMENTO DE ARCHIVO-ELECTRÓNICO</t>
        </is>
      </c>
      <c r="N890" s="10" t="inlineStr">
        <is>
          <t>PRIMARIOS</t>
        </is>
      </c>
      <c r="O890" s="10" t="inlineStr">
        <is>
          <t>DOCUMENTOS TÉCNICOS</t>
        </is>
      </c>
      <c r="P890" s="10" t="inlineStr">
        <is>
          <t>PUBLICA(1)</t>
        </is>
      </c>
      <c r="Q890" s="10" t="inlineStr">
        <is>
          <t>BAJA(1)</t>
        </is>
      </c>
      <c r="R890" s="10" t="inlineStr">
        <is>
          <t>ALTA(3)</t>
        </is>
      </c>
      <c r="S890" s="10">
        <f>+(IF(P890="PUBLICA(1)",1,IF(P890="USO INTERNO(2)",2,IF(P890="RESTRINGIDO(3)",3,3))))+(IF(Q890="BAJA(1)",1,IF(Q890="MEDIA(2)",2,IF(Q890="ALTA(3)",3,3))))+(IF(R890="BAJA(1)",1,IF(R890="MEDIA(2)",2,IF(R890="ALTA(3)",3,3))))</f>
        <v/>
      </c>
      <c r="T890" s="10">
        <f>+IF(S890&lt;6,"BAJA",IF(S890&lt;8,"MEDIA","ALTA"))</f>
        <v/>
      </c>
      <c r="U890" s="10" t="inlineStr">
        <is>
          <t>-</t>
        </is>
      </c>
      <c r="V890" s="24" t="n">
        <v>45681</v>
      </c>
      <c r="W890" s="19" t="inlineStr">
        <is>
          <t>N/A</t>
        </is>
      </c>
      <c r="X890" s="10">
        <f>+IFERROR(IF(VLOOKUP(Tabla2[[#This Row],[ID]],'EVALUACION DE RIESGO'!A:A,1,FALSE)=Tabla2[[#This Row],[ID]],"SI","NO"),"NO")</f>
        <v/>
      </c>
      <c r="AD890">
        <f>IF(AND(Y890="",AA890=""),"",IF(OR(LEFT(AA890,2)="L0",LEFT(AA890,2)="L1",Y890="No Iniciado"),"CRÍTICO - Incumplimiento Normativo SEPS",IF(AND(OR(LEFT(AA890,2)="L4",LEFT(AA890,2)="L5"),AND(AC890&lt;&gt;"",AC890&lt;&gt;"N/A")),"CONFORME - Control Efectivo ISO 27001","OBSERVACIÓN - Revisar Controles")))</f>
        <v/>
      </c>
    </row>
    <row r="891">
      <c r="A891" s="99" t="inlineStr">
        <is>
          <t>68-GES</t>
        </is>
      </c>
      <c r="B891" s="10" t="inlineStr">
        <is>
          <t>ESTRATÉGICO</t>
        </is>
      </c>
      <c r="C891" s="10" t="inlineStr">
        <is>
          <t xml:space="preserve">Gestión Estratégica </t>
        </is>
      </c>
      <c r="D891" s="10" t="inlineStr">
        <is>
          <t>GES</t>
        </is>
      </c>
      <c r="E891" s="10" t="inlineStr">
        <is>
          <t xml:space="preserve">Planificación Operativa </t>
        </is>
      </c>
      <c r="F891" s="10" t="inlineStr">
        <is>
          <t>-</t>
        </is>
      </c>
      <c r="G891" s="10" t="inlineStr">
        <is>
          <t>Modificación al Plan Operativo</t>
        </is>
      </c>
      <c r="H891" s="10" t="inlineStr">
        <is>
          <t>Informe trimestral de Evaluación del Plan Operativo</t>
        </is>
      </c>
      <c r="I891" s="10" t="inlineStr">
        <is>
          <t xml:space="preserve">Seguimiento y evaluación del Plan Operativo </t>
        </is>
      </c>
      <c r="J891" s="10" t="inlineStr">
        <is>
          <t>JEFE DE PLANIFICACIÓN Y PROCESOS</t>
        </is>
      </c>
      <c r="K891" s="10" t="inlineStr">
        <is>
          <t>JEFE DE PLANIFICACIÓN Y PROCESOS</t>
        </is>
      </c>
      <c r="L891" s="10" t="inlineStr">
        <is>
          <t>UBICACIÓN DIGITAL-EQUIPO DEL CUSTODIO</t>
        </is>
      </c>
      <c r="M891" s="10" t="inlineStr">
        <is>
          <t>DOCUMENTO DE ARCHIVO-ELECTRÓNICO</t>
        </is>
      </c>
      <c r="N891" s="10" t="inlineStr">
        <is>
          <t>PRIMARIOS</t>
        </is>
      </c>
      <c r="O891" s="10" t="inlineStr">
        <is>
          <t>DOCUMENTOS TÉCNICOS</t>
        </is>
      </c>
      <c r="P891" s="10" t="inlineStr">
        <is>
          <t>PUBLICA(1)</t>
        </is>
      </c>
      <c r="Q891" s="10" t="inlineStr">
        <is>
          <t>BAJA(1)</t>
        </is>
      </c>
      <c r="R891" s="10" t="inlineStr">
        <is>
          <t>ALTA(3)</t>
        </is>
      </c>
      <c r="S891" s="10">
        <f>+(IF(P891="PUBLICA(1)",1,IF(P891="USO INTERNO(2)",2,IF(P891="RESTRINGIDO(3)",3,3))))+(IF(Q891="BAJA(1)",1,IF(Q891="MEDIA(2)",2,IF(Q891="ALTA(3)",3,3))))+(IF(R891="BAJA(1)",1,IF(R891="MEDIA(2)",2,IF(R891="ALTA(3)",3,3))))</f>
        <v/>
      </c>
      <c r="T891" s="10">
        <f>+IF(S891&lt;6,"BAJA",IF(S891&lt;8,"MEDIA","ALTA"))</f>
        <v/>
      </c>
      <c r="U891" s="10" t="inlineStr">
        <is>
          <t>-</t>
        </is>
      </c>
      <c r="V891" s="24" t="n">
        <v>45681</v>
      </c>
      <c r="W891" s="19" t="inlineStr">
        <is>
          <t>N/A</t>
        </is>
      </c>
      <c r="X891" s="10">
        <f>+IFERROR(IF(VLOOKUP(Tabla2[[#This Row],[ID]],'EVALUACION DE RIESGO'!A:A,1,FALSE)=Tabla2[[#This Row],[ID]],"SI","NO"),"NO")</f>
        <v/>
      </c>
      <c r="AD891">
        <f>IF(AND(Y891="",AA891=""),"",IF(OR(LEFT(AA891,2)="L0",LEFT(AA891,2)="L1",Y891="No Iniciado"),"CRÍTICO - Incumplimiento Normativo SEPS",IF(AND(OR(LEFT(AA891,2)="L4",LEFT(AA891,2)="L5"),AND(AC891&lt;&gt;"",AC891&lt;&gt;"N/A")),"CONFORME - Control Efectivo ISO 27001","OBSERVACIÓN - Revisar Controles")))</f>
        <v/>
      </c>
    </row>
    <row r="892">
      <c r="A892" s="99" t="inlineStr">
        <is>
          <t>69-GES</t>
        </is>
      </c>
      <c r="B892" s="10" t="inlineStr">
        <is>
          <t>ESTRATÉGICO</t>
        </is>
      </c>
      <c r="C892" s="10" t="inlineStr">
        <is>
          <t xml:space="preserve">Gestión Estratégica </t>
        </is>
      </c>
      <c r="D892" s="10" t="inlineStr">
        <is>
          <t>GES</t>
        </is>
      </c>
      <c r="E892" s="10" t="inlineStr">
        <is>
          <t xml:space="preserve">Planificación Operativa </t>
        </is>
      </c>
      <c r="F892" s="10" t="inlineStr">
        <is>
          <t>-</t>
        </is>
      </c>
      <c r="G892" s="10" t="inlineStr">
        <is>
          <t>Modificación al Plan Operativo</t>
        </is>
      </c>
      <c r="H892" s="10" t="inlineStr">
        <is>
          <t>Acta del Comité de Planificación, Procesos e Innovación</t>
        </is>
      </c>
      <c r="I892" s="10" t="inlineStr">
        <is>
          <t xml:space="preserve">Seguimiento y evaluación del Plan Operativo </t>
        </is>
      </c>
      <c r="J892" s="10" t="inlineStr">
        <is>
          <t>JEFE DE PLANIFICACIÓN Y PROCESOS</t>
        </is>
      </c>
      <c r="K892" s="10" t="inlineStr">
        <is>
          <t>JEFE DE PLANIFICACIÓN Y PROCESOS</t>
        </is>
      </c>
      <c r="L892" s="10" t="inlineStr">
        <is>
          <t>UBICACIÓN DIGITAL-EQUIPO DEL CUSTODIO</t>
        </is>
      </c>
      <c r="M892" s="10" t="inlineStr">
        <is>
          <t>DOCUMENTO DE ARCHIVO-ELECTRÓNICO</t>
        </is>
      </c>
      <c r="N892" s="10" t="inlineStr">
        <is>
          <t>PRIMARIOS</t>
        </is>
      </c>
      <c r="O892" s="10" t="inlineStr">
        <is>
          <t>DOCUMENTOS TÉCNICOS</t>
        </is>
      </c>
      <c r="P892" s="10" t="inlineStr">
        <is>
          <t>PUBLICA(1)</t>
        </is>
      </c>
      <c r="Q892" s="10" t="inlineStr">
        <is>
          <t>BAJA(1)</t>
        </is>
      </c>
      <c r="R892" s="10" t="inlineStr">
        <is>
          <t>ALTA(3)</t>
        </is>
      </c>
      <c r="S892" s="10">
        <f>+(IF(P892="PUBLICA(1)",1,IF(P892="USO INTERNO(2)",2,IF(P892="RESTRINGIDO(3)",3,3))))+(IF(Q892="BAJA(1)",1,IF(Q892="MEDIA(2)",2,IF(Q892="ALTA(3)",3,3))))+(IF(R892="BAJA(1)",1,IF(R892="MEDIA(2)",2,IF(R892="ALTA(3)",3,3))))</f>
        <v/>
      </c>
      <c r="T892" s="10">
        <f>+IF(S892&lt;6,"BAJA",IF(S892&lt;8,"MEDIA","ALTA"))</f>
        <v/>
      </c>
      <c r="U892" s="10" t="inlineStr">
        <is>
          <t>-</t>
        </is>
      </c>
      <c r="V892" s="24" t="n">
        <v>45681</v>
      </c>
      <c r="W892" s="19" t="inlineStr">
        <is>
          <t>N/A</t>
        </is>
      </c>
      <c r="X892" s="10">
        <f>+IFERROR(IF(VLOOKUP(Tabla2[[#This Row],[ID]],'EVALUACION DE RIESGO'!A:A,1,FALSE)=Tabla2[[#This Row],[ID]],"SI","NO"),"NO")</f>
        <v/>
      </c>
      <c r="AD892">
        <f>IF(AND(Y892="",AA892=""),"",IF(OR(LEFT(AA892,2)="L0",LEFT(AA892,2)="L1",Y892="No Iniciado"),"CRÍTICO - Incumplimiento Normativo SEPS",IF(AND(OR(LEFT(AA892,2)="L4",LEFT(AA892,2)="L5"),AND(AC892&lt;&gt;"",AC892&lt;&gt;"N/A")),"CONFORME - Control Efectivo ISO 27001","OBSERVACIÓN - Revisar Controles")))</f>
        <v/>
      </c>
    </row>
    <row r="893">
      <c r="A893" s="99" t="inlineStr">
        <is>
          <t>70-GES</t>
        </is>
      </c>
      <c r="B893" s="10" t="inlineStr">
        <is>
          <t>ESTRATÉGICO</t>
        </is>
      </c>
      <c r="C893" s="10" t="inlineStr">
        <is>
          <t xml:space="preserve">Gestión Estratégica </t>
        </is>
      </c>
      <c r="D893" s="10" t="inlineStr">
        <is>
          <t>GES</t>
        </is>
      </c>
      <c r="E893" s="10" t="inlineStr">
        <is>
          <t xml:space="preserve">Planificación Operativa </t>
        </is>
      </c>
      <c r="F893" s="10" t="inlineStr">
        <is>
          <t>-</t>
        </is>
      </c>
      <c r="G893" s="10" t="inlineStr">
        <is>
          <t>Modificación al Plan Operativo</t>
        </is>
      </c>
      <c r="H893" s="10" t="inlineStr">
        <is>
          <t xml:space="preserve">Matriz POA por proyecto </t>
        </is>
      </c>
      <c r="I893" s="10" t="inlineStr">
        <is>
          <t xml:space="preserve">Elaboración del Plan Operativo </t>
        </is>
      </c>
      <c r="J893" s="10" t="inlineStr">
        <is>
          <t>JEFE DE PLANIFICACIÓN Y PROCESOS</t>
        </is>
      </c>
      <c r="K893" s="10" t="inlineStr">
        <is>
          <t>JEFE DE PLANIFICACIÓN Y PROCESOS</t>
        </is>
      </c>
      <c r="L893" s="10" t="inlineStr">
        <is>
          <t>UBICACIÓN DIGITAL-EQUIPO DEL CUSTODIO</t>
        </is>
      </c>
      <c r="M893" s="10" t="inlineStr">
        <is>
          <t>DOCUMENTO DE ARCHIVO-ELECTRÓNICO</t>
        </is>
      </c>
      <c r="N893" s="10" t="inlineStr">
        <is>
          <t>PRIMARIOS</t>
        </is>
      </c>
      <c r="O893" s="10" t="inlineStr">
        <is>
          <t>DOCUMENTOS TÉCNICOS</t>
        </is>
      </c>
      <c r="P893" s="10" t="inlineStr">
        <is>
          <t>PUBLICA(1)</t>
        </is>
      </c>
      <c r="Q893" s="10" t="inlineStr">
        <is>
          <t>BAJA(1)</t>
        </is>
      </c>
      <c r="R893" s="10" t="inlineStr">
        <is>
          <t>ALTA(3)</t>
        </is>
      </c>
      <c r="S893" s="10">
        <f>+(IF(P893="PUBLICA(1)",1,IF(P893="USO INTERNO(2)",2,IF(P893="RESTRINGIDO(3)",3,3))))+(IF(Q893="BAJA(1)",1,IF(Q893="MEDIA(2)",2,IF(Q893="ALTA(3)",3,3))))+(IF(R893="BAJA(1)",1,IF(R893="MEDIA(2)",2,IF(R893="ALTA(3)",3,3))))</f>
        <v/>
      </c>
      <c r="T893" s="10">
        <f>+IF(S893&lt;6,"BAJA",IF(S893&lt;8,"MEDIA","ALTA"))</f>
        <v/>
      </c>
      <c r="U893" s="10" t="inlineStr">
        <is>
          <t>-</t>
        </is>
      </c>
      <c r="V893" s="24" t="n">
        <v>45681</v>
      </c>
      <c r="W893" s="19" t="inlineStr">
        <is>
          <t>N/A</t>
        </is>
      </c>
      <c r="X893" s="10">
        <f>+IFERROR(IF(VLOOKUP(Tabla2[[#This Row],[ID]],'EVALUACION DE RIESGO'!A:A,1,FALSE)=Tabla2[[#This Row],[ID]],"SI","NO"),"NO")</f>
        <v/>
      </c>
      <c r="AD893">
        <f>IF(AND(Y893="",AA893=""),"",IF(OR(LEFT(AA893,2)="L0",LEFT(AA893,2)="L1",Y893="No Iniciado"),"CRÍTICO - Incumplimiento Normativo SEPS",IF(AND(OR(LEFT(AA893,2)="L4",LEFT(AA893,2)="L5"),AND(AC893&lt;&gt;"",AC893&lt;&gt;"N/A")),"CONFORME - Control Efectivo ISO 27001","OBSERVACIÓN - Revisar Controles")))</f>
        <v/>
      </c>
    </row>
    <row r="894">
      <c r="A894" s="99" t="inlineStr">
        <is>
          <t>71-GES</t>
        </is>
      </c>
      <c r="B894" s="10" t="inlineStr">
        <is>
          <t>ESTRATÉGICO</t>
        </is>
      </c>
      <c r="C894" s="10" t="inlineStr">
        <is>
          <t xml:space="preserve">Gestión Estratégica </t>
        </is>
      </c>
      <c r="D894" s="10" t="inlineStr">
        <is>
          <t>GES</t>
        </is>
      </c>
      <c r="E894" s="10" t="inlineStr">
        <is>
          <t xml:space="preserve">Planificación Operativa </t>
        </is>
      </c>
      <c r="F894" s="10" t="inlineStr">
        <is>
          <t>-</t>
        </is>
      </c>
      <c r="G894" s="10" t="inlineStr">
        <is>
          <t>Modificación al Plan Operativo</t>
        </is>
      </c>
      <c r="H894" s="10" t="inlineStr">
        <is>
          <t>Oficio y sustentos de restructuración de proyectos POA</t>
        </is>
      </c>
      <c r="I894" s="10" t="inlineStr">
        <is>
          <t>Archivo del departamento</t>
        </is>
      </c>
      <c r="J894" s="10" t="inlineStr">
        <is>
          <t>JEFE DE PLANIFICACIÓN Y PROCESOS</t>
        </is>
      </c>
      <c r="K894" s="10" t="inlineStr">
        <is>
          <t>JEFE DE PLANIFICACIÓN Y PROCESOS</t>
        </is>
      </c>
      <c r="L894" s="10" t="inlineStr">
        <is>
          <t>UBICACIÓN DIGITAL-EQUIPO DEL CUSTODIO</t>
        </is>
      </c>
      <c r="M894" s="10" t="inlineStr">
        <is>
          <t>DOCUMENTO DE ARCHIVO-ELECTRÓNICO</t>
        </is>
      </c>
      <c r="N894" s="10" t="inlineStr">
        <is>
          <t>PRIMARIOS</t>
        </is>
      </c>
      <c r="O894" s="10" t="inlineStr">
        <is>
          <t>DOCUMENTOS TÉCNICOS</t>
        </is>
      </c>
      <c r="P894" s="10" t="inlineStr">
        <is>
          <t>PUBLICA(1)</t>
        </is>
      </c>
      <c r="Q894" s="10" t="inlineStr">
        <is>
          <t>BAJA(1)</t>
        </is>
      </c>
      <c r="R894" s="10" t="inlineStr">
        <is>
          <t>ALTA(3)</t>
        </is>
      </c>
      <c r="S894" s="10">
        <f>+(IF(P894="PUBLICA(1)",1,IF(P894="USO INTERNO(2)",2,IF(P894="RESTRINGIDO(3)",3,3))))+(IF(Q894="BAJA(1)",1,IF(Q894="MEDIA(2)",2,IF(Q894="ALTA(3)",3,3))))+(IF(R894="BAJA(1)",1,IF(R894="MEDIA(2)",2,IF(R894="ALTA(3)",3,3))))</f>
        <v/>
      </c>
      <c r="T894" s="10">
        <f>+IF(S894&lt;6,"BAJA",IF(S894&lt;8,"MEDIA","ALTA"))</f>
        <v/>
      </c>
      <c r="U894" s="10" t="inlineStr">
        <is>
          <t>-</t>
        </is>
      </c>
      <c r="V894" s="24" t="n">
        <v>45681</v>
      </c>
      <c r="W894" s="19" t="inlineStr">
        <is>
          <t>N/A</t>
        </is>
      </c>
      <c r="X894" s="10">
        <f>+IFERROR(IF(VLOOKUP(Tabla2[[#This Row],[ID]],'EVALUACION DE RIESGO'!A:A,1,FALSE)=Tabla2[[#This Row],[ID]],"SI","NO"),"NO")</f>
        <v/>
      </c>
      <c r="AD894">
        <f>IF(AND(Y894="",AA894=""),"",IF(OR(LEFT(AA894,2)="L0",LEFT(AA894,2)="L1",Y894="No Iniciado"),"CRÍTICO - Incumplimiento Normativo SEPS",IF(AND(OR(LEFT(AA894,2)="L4",LEFT(AA894,2)="L5"),AND(AC894&lt;&gt;"",AC894&lt;&gt;"N/A")),"CONFORME - Control Efectivo ISO 27001","OBSERVACIÓN - Revisar Controles")))</f>
        <v/>
      </c>
    </row>
    <row r="895">
      <c r="A895" s="99" t="inlineStr">
        <is>
          <t>72-GES</t>
        </is>
      </c>
      <c r="B895" s="10" t="inlineStr">
        <is>
          <t>ESTRATÉGICO</t>
        </is>
      </c>
      <c r="C895" s="10" t="inlineStr">
        <is>
          <t xml:space="preserve">Gestión Estratégica </t>
        </is>
      </c>
      <c r="D895" s="10" t="inlineStr">
        <is>
          <t>GES</t>
        </is>
      </c>
      <c r="E895" s="10" t="inlineStr">
        <is>
          <t xml:space="preserve">Planificación Operativa </t>
        </is>
      </c>
      <c r="F895" s="10" t="inlineStr">
        <is>
          <t>-</t>
        </is>
      </c>
      <c r="G895" s="10" t="inlineStr">
        <is>
          <t>Modificación al Plan Operativo</t>
        </is>
      </c>
      <c r="H895" s="10" t="inlineStr">
        <is>
          <t xml:space="preserve">Matriz de evaluación del Plan Operativo actualizada  </t>
        </is>
      </c>
      <c r="I895" s="10" t="inlineStr">
        <is>
          <t xml:space="preserve">Seguimiento y Evaluación del Plan Operativo </t>
        </is>
      </c>
      <c r="J895" s="10" t="inlineStr">
        <is>
          <t>JEFE DE PLANIFICACIÓN Y PROCESOS</t>
        </is>
      </c>
      <c r="K895" s="10" t="inlineStr">
        <is>
          <t>JEFE DE PLANIFICACIÓN Y PROCESOS</t>
        </is>
      </c>
      <c r="L895" s="10" t="inlineStr">
        <is>
          <t>UBICACIÓN DIGITAL-EQUIPO DEL CUSTODIO</t>
        </is>
      </c>
      <c r="M895" s="10" t="inlineStr">
        <is>
          <t>DOCUMENTO DE ARCHIVO-ELECTRÓNICO</t>
        </is>
      </c>
      <c r="N895" s="10" t="inlineStr">
        <is>
          <t>PRIMARIOS</t>
        </is>
      </c>
      <c r="O895" s="10" t="inlineStr">
        <is>
          <t>DOCUMENTOS TÉCNICOS</t>
        </is>
      </c>
      <c r="P895" s="10" t="inlineStr">
        <is>
          <t>PUBLICA(1)</t>
        </is>
      </c>
      <c r="Q895" s="10" t="inlineStr">
        <is>
          <t>BAJA(1)</t>
        </is>
      </c>
      <c r="R895" s="10" t="inlineStr">
        <is>
          <t>ALTA(3)</t>
        </is>
      </c>
      <c r="S895" s="10">
        <f>+(IF(P895="PUBLICA(1)",1,IF(P895="USO INTERNO(2)",2,IF(P895="RESTRINGIDO(3)",3,3))))+(IF(Q895="BAJA(1)",1,IF(Q895="MEDIA(2)",2,IF(Q895="ALTA(3)",3,3))))+(IF(R895="BAJA(1)",1,IF(R895="MEDIA(2)",2,IF(R895="ALTA(3)",3,3))))</f>
        <v/>
      </c>
      <c r="T895" s="10">
        <f>+IF(S895&lt;6,"BAJA",IF(S895&lt;8,"MEDIA","ALTA"))</f>
        <v/>
      </c>
      <c r="U895" s="10" t="inlineStr">
        <is>
          <t>-</t>
        </is>
      </c>
      <c r="V895" s="24" t="n">
        <v>45681</v>
      </c>
      <c r="W895" s="19" t="inlineStr">
        <is>
          <t>N/A</t>
        </is>
      </c>
      <c r="X895" s="10">
        <f>+IFERROR(IF(VLOOKUP(Tabla2[[#This Row],[ID]],'EVALUACION DE RIESGO'!A:A,1,FALSE)=Tabla2[[#This Row],[ID]],"SI","NO"),"NO")</f>
        <v/>
      </c>
      <c r="AD895">
        <f>IF(AND(Y895="",AA895=""),"",IF(OR(LEFT(AA895,2)="L0",LEFT(AA895,2)="L1",Y895="No Iniciado"),"CRÍTICO - Incumplimiento Normativo SEPS",IF(AND(OR(LEFT(AA895,2)="L4",LEFT(AA895,2)="L5"),AND(AC895&lt;&gt;"",AC895&lt;&gt;"N/A")),"CONFORME - Control Efectivo ISO 27001","OBSERVACIÓN - Revisar Controles")))</f>
        <v/>
      </c>
    </row>
    <row r="896">
      <c r="A896" s="99" t="inlineStr">
        <is>
          <t>73-GES</t>
        </is>
      </c>
      <c r="B896" s="10" t="inlineStr">
        <is>
          <t>ESTRATÉGICO</t>
        </is>
      </c>
      <c r="C896" s="10" t="inlineStr">
        <is>
          <t xml:space="preserve">Gestión Estratégica </t>
        </is>
      </c>
      <c r="D896" s="10" t="inlineStr">
        <is>
          <t>GES</t>
        </is>
      </c>
      <c r="E896" s="10" t="inlineStr">
        <is>
          <t xml:space="preserve">Gestión de Proyectos </t>
        </is>
      </c>
      <c r="F896" s="10" t="inlineStr">
        <is>
          <t>-</t>
        </is>
      </c>
      <c r="G896" s="10" t="inlineStr">
        <is>
          <t>Inicio del Proyecto</t>
        </is>
      </c>
      <c r="H896" s="10" t="inlineStr">
        <is>
          <t>Plan Operativo</t>
        </is>
      </c>
      <c r="I896" s="10" t="inlineStr">
        <is>
          <t>Elaboración del Plan Operativo</t>
        </is>
      </c>
      <c r="J896" s="10" t="inlineStr">
        <is>
          <t>JEFE DE PLANIFICACIÓN Y PROCESOS</t>
        </is>
      </c>
      <c r="K896" s="10" t="inlineStr">
        <is>
          <t>JEFE DE PLANIFICACIÓN Y PROCESOS</t>
        </is>
      </c>
      <c r="L896" s="10" t="inlineStr">
        <is>
          <t>UBICACIÓN DIGITAL-EQUIPO DEL CUSTODIO</t>
        </is>
      </c>
      <c r="M896" s="10" t="inlineStr">
        <is>
          <t>DOCUMENTO DE ARCHIVO-ELECTRÓNICO</t>
        </is>
      </c>
      <c r="N896" s="10" t="inlineStr">
        <is>
          <t>PRIMARIOS</t>
        </is>
      </c>
      <c r="O896" s="10" t="inlineStr">
        <is>
          <t>DOCUMENTOS TÉCNICOS</t>
        </is>
      </c>
      <c r="P896" s="10" t="inlineStr">
        <is>
          <t>PUBLICA(1)</t>
        </is>
      </c>
      <c r="Q896" s="10" t="inlineStr">
        <is>
          <t>BAJA(1)</t>
        </is>
      </c>
      <c r="R896" s="10" t="inlineStr">
        <is>
          <t>ALTA(3)</t>
        </is>
      </c>
      <c r="S896" s="10">
        <f>+(IF(P896="PUBLICA(1)",1,IF(P896="USO INTERNO(2)",2,IF(P896="RESTRINGIDO(3)",3,3))))+(IF(Q896="BAJA(1)",1,IF(Q896="MEDIA(2)",2,IF(Q896="ALTA(3)",3,3))))+(IF(R896="BAJA(1)",1,IF(R896="MEDIA(2)",2,IF(R896="ALTA(3)",3,3))))</f>
        <v/>
      </c>
      <c r="T896" s="10">
        <f>+IF(S896&lt;6,"BAJA",IF(S896&lt;8,"MEDIA","ALTA"))</f>
        <v/>
      </c>
      <c r="U896" s="10" t="inlineStr">
        <is>
          <t>-</t>
        </is>
      </c>
      <c r="V896" s="24" t="n">
        <v>45681</v>
      </c>
      <c r="W896" s="19" t="inlineStr">
        <is>
          <t>N/A</t>
        </is>
      </c>
      <c r="X896" s="10">
        <f>+IFERROR(IF(VLOOKUP(Tabla2[[#This Row],[ID]],'EVALUACION DE RIESGO'!A:A,1,FALSE)=Tabla2[[#This Row],[ID]],"SI","NO"),"NO")</f>
        <v/>
      </c>
      <c r="AD896">
        <f>IF(AND(Y896="",AA896=""),"",IF(OR(LEFT(AA896,2)="L0",LEFT(AA896,2)="L1",Y896="No Iniciado"),"CRÍTICO - Incumplimiento Normativo SEPS",IF(AND(OR(LEFT(AA896,2)="L4",LEFT(AA896,2)="L5"),AND(AC896&lt;&gt;"",AC896&lt;&gt;"N/A")),"CONFORME - Control Efectivo ISO 27001","OBSERVACIÓN - Revisar Controles")))</f>
        <v/>
      </c>
    </row>
    <row r="897">
      <c r="A897" s="99" t="inlineStr">
        <is>
          <t>74-GES</t>
        </is>
      </c>
      <c r="B897" s="10" t="inlineStr">
        <is>
          <t>ESTRATÉGICO</t>
        </is>
      </c>
      <c r="C897" s="10" t="inlineStr">
        <is>
          <t xml:space="preserve">Gestión Estratégica </t>
        </is>
      </c>
      <c r="D897" s="10" t="inlineStr">
        <is>
          <t>GES</t>
        </is>
      </c>
      <c r="E897" s="10" t="inlineStr">
        <is>
          <t xml:space="preserve">Gestión de Proyectos </t>
        </is>
      </c>
      <c r="F897" s="10" t="inlineStr">
        <is>
          <t>-</t>
        </is>
      </c>
      <c r="G897" s="10" t="inlineStr">
        <is>
          <t>Inicio del Proyecto</t>
        </is>
      </c>
      <c r="H897" s="10" t="inlineStr">
        <is>
          <t>Plan de Negocios</t>
        </is>
      </c>
      <c r="I897" s="10" t="inlineStr">
        <is>
          <t>Elaboración del Plan Operativo</t>
        </is>
      </c>
      <c r="J897" s="10" t="inlineStr">
        <is>
          <t>GERENTE DE NEGOCIOS</t>
        </is>
      </c>
      <c r="K897" s="10" t="inlineStr">
        <is>
          <t>GERENTE DE NEGOCIOS</t>
        </is>
      </c>
      <c r="L897" s="10" t="inlineStr">
        <is>
          <t>UBICACIÓN DIGITAL-EQUIPO DEL CUSTODIO</t>
        </is>
      </c>
      <c r="M897" s="10" t="inlineStr">
        <is>
          <t>DOCUMENTO DE ARCHIVO-ELECTRÓNICO</t>
        </is>
      </c>
      <c r="N897" s="10" t="inlineStr">
        <is>
          <t>PRIMARIOS</t>
        </is>
      </c>
      <c r="O897" s="10" t="inlineStr">
        <is>
          <t>DOCUMENTOS TÉCNICOS</t>
        </is>
      </c>
      <c r="P897" s="10" t="inlineStr">
        <is>
          <t>PUBLICA(1)</t>
        </is>
      </c>
      <c r="Q897" s="10" t="inlineStr">
        <is>
          <t>BAJA(1)</t>
        </is>
      </c>
      <c r="R897" s="10" t="inlineStr">
        <is>
          <t>ALTA(3)</t>
        </is>
      </c>
      <c r="S897" s="10">
        <f>+(IF(P897="PUBLICA(1)",1,IF(P897="USO INTERNO(2)",2,IF(P897="RESTRINGIDO(3)",3,3))))+(IF(Q897="BAJA(1)",1,IF(Q897="MEDIA(2)",2,IF(Q897="ALTA(3)",3,3))))+(IF(R897="BAJA(1)",1,IF(R897="MEDIA(2)",2,IF(R897="ALTA(3)",3,3))))</f>
        <v/>
      </c>
      <c r="T897" s="10">
        <f>+IF(S897&lt;6,"BAJA",IF(S897&lt;8,"MEDIA","ALTA"))</f>
        <v/>
      </c>
      <c r="U897" s="10" t="inlineStr">
        <is>
          <t>-</t>
        </is>
      </c>
      <c r="V897" s="24" t="n">
        <v>45681</v>
      </c>
      <c r="W897" s="19" t="inlineStr">
        <is>
          <t>N/A</t>
        </is>
      </c>
      <c r="X897" s="10">
        <f>+IFERROR(IF(VLOOKUP(Tabla2[[#This Row],[ID]],'EVALUACION DE RIESGO'!A:A,1,FALSE)=Tabla2[[#This Row],[ID]],"SI","NO"),"NO")</f>
        <v/>
      </c>
      <c r="AD897">
        <f>IF(AND(Y897="",AA897=""),"",IF(OR(LEFT(AA897,2)="L0",LEFT(AA897,2)="L1",Y897="No Iniciado"),"CRÍTICO - Incumplimiento Normativo SEPS",IF(AND(OR(LEFT(AA897,2)="L4",LEFT(AA897,2)="L5"),AND(AC897&lt;&gt;"",AC897&lt;&gt;"N/A")),"CONFORME - Control Efectivo ISO 27001","OBSERVACIÓN - Revisar Controles")))</f>
        <v/>
      </c>
    </row>
    <row r="898">
      <c r="A898" s="99" t="inlineStr">
        <is>
          <t>75-GES</t>
        </is>
      </c>
      <c r="B898" s="10" t="inlineStr">
        <is>
          <t>ESTRATÉGICO</t>
        </is>
      </c>
      <c r="C898" s="10" t="inlineStr">
        <is>
          <t xml:space="preserve">Gestión Estratégica </t>
        </is>
      </c>
      <c r="D898" s="10" t="inlineStr">
        <is>
          <t>GES</t>
        </is>
      </c>
      <c r="E898" s="10" t="inlineStr">
        <is>
          <t xml:space="preserve">Gestión de Proyectos </t>
        </is>
      </c>
      <c r="F898" s="10" t="inlineStr">
        <is>
          <t>-</t>
        </is>
      </c>
      <c r="G898" s="10" t="inlineStr">
        <is>
          <t>Inicio del Proyecto</t>
        </is>
      </c>
      <c r="H898" s="10" t="inlineStr">
        <is>
          <t>Plan de Infraestructura</t>
        </is>
      </c>
      <c r="I898" s="10" t="inlineStr">
        <is>
          <t>Planificación Operativa de TI</t>
        </is>
      </c>
      <c r="J898" s="10" t="inlineStr">
        <is>
          <t>GERENTE DE TI</t>
        </is>
      </c>
      <c r="K898" s="10" t="inlineStr">
        <is>
          <t>GERENTE DE TI</t>
        </is>
      </c>
      <c r="L898" s="10" t="inlineStr">
        <is>
          <t>UBICACIÓN DIGITAL-EQUIPO DEL CUSTODIO</t>
        </is>
      </c>
      <c r="M898" s="10" t="inlineStr">
        <is>
          <t>DOCUMENTO DE ARCHIVO-ELECTRÓNICO</t>
        </is>
      </c>
      <c r="N898" s="10" t="inlineStr">
        <is>
          <t>PRIMARIOS</t>
        </is>
      </c>
      <c r="O898" s="10" t="inlineStr">
        <is>
          <t>DOCUMENTOS TÉCNICOS</t>
        </is>
      </c>
      <c r="P898" s="10" t="inlineStr">
        <is>
          <t>PUBLICA(1)</t>
        </is>
      </c>
      <c r="Q898" s="10" t="inlineStr">
        <is>
          <t>BAJA(1)</t>
        </is>
      </c>
      <c r="R898" s="10" t="inlineStr">
        <is>
          <t>ALTA(3)</t>
        </is>
      </c>
      <c r="S898" s="10">
        <f>+(IF(P898="PUBLICA(1)",1,IF(P898="USO INTERNO(2)",2,IF(P898="RESTRINGIDO(3)",3,3))))+(IF(Q898="BAJA(1)",1,IF(Q898="MEDIA(2)",2,IF(Q898="ALTA(3)",3,3))))+(IF(R898="BAJA(1)",1,IF(R898="MEDIA(2)",2,IF(R898="ALTA(3)",3,3))))</f>
        <v/>
      </c>
      <c r="T898" s="10">
        <f>+IF(S898&lt;6,"BAJA",IF(S898&lt;8,"MEDIA","ALTA"))</f>
        <v/>
      </c>
      <c r="U898" s="10" t="inlineStr">
        <is>
          <t>-</t>
        </is>
      </c>
      <c r="V898" s="24" t="n">
        <v>45681</v>
      </c>
      <c r="W898" s="19" t="inlineStr">
        <is>
          <t>N/A</t>
        </is>
      </c>
      <c r="X898" s="10">
        <f>+IFERROR(IF(VLOOKUP(Tabla2[[#This Row],[ID]],'EVALUACION DE RIESGO'!A:A,1,FALSE)=Tabla2[[#This Row],[ID]],"SI","NO"),"NO")</f>
        <v/>
      </c>
      <c r="AD898">
        <f>IF(AND(Y898="",AA898=""),"",IF(OR(LEFT(AA898,2)="L0",LEFT(AA898,2)="L1",Y898="No Iniciado"),"CRÍTICO - Incumplimiento Normativo SEPS",IF(AND(OR(LEFT(AA898,2)="L4",LEFT(AA898,2)="L5"),AND(AC898&lt;&gt;"",AC898&lt;&gt;"N/A")),"CONFORME - Control Efectivo ISO 27001","OBSERVACIÓN - Revisar Controles")))</f>
        <v/>
      </c>
    </row>
    <row r="899">
      <c r="A899" s="99" t="inlineStr">
        <is>
          <t>76-GES</t>
        </is>
      </c>
      <c r="B899" s="10" t="inlineStr">
        <is>
          <t>ESTRATÉGICO</t>
        </is>
      </c>
      <c r="C899" s="10" t="inlineStr">
        <is>
          <t xml:space="preserve">Gestión Estratégica </t>
        </is>
      </c>
      <c r="D899" s="10" t="inlineStr">
        <is>
          <t>GES</t>
        </is>
      </c>
      <c r="E899" s="10" t="inlineStr">
        <is>
          <t xml:space="preserve">Gestión de Proyectos </t>
        </is>
      </c>
      <c r="F899" s="10" t="inlineStr">
        <is>
          <t>-</t>
        </is>
      </c>
      <c r="G899" s="10" t="inlineStr">
        <is>
          <t>Inicio del Proyecto</t>
        </is>
      </c>
      <c r="H899" s="10" t="inlineStr">
        <is>
          <t>Estudio de mercado</t>
        </is>
      </c>
      <c r="I899" s="10" t="inlineStr">
        <is>
          <t>Estudio de mercado</t>
        </is>
      </c>
      <c r="J899" s="10" t="inlineStr">
        <is>
          <t>GERENTE DE NEGOCIOS</t>
        </is>
      </c>
      <c r="K899" s="10" t="inlineStr">
        <is>
          <t>GERENTE DE NEGOCIOS</t>
        </is>
      </c>
      <c r="L899" s="10" t="inlineStr">
        <is>
          <t>UBICACIÓN DIGITAL-EQUIPO DEL CUSTODIO</t>
        </is>
      </c>
      <c r="M899" s="10" t="inlineStr">
        <is>
          <t>DOCUMENTO DE ARCHIVO-ELECTRÓNICO</t>
        </is>
      </c>
      <c r="N899" s="10" t="inlineStr">
        <is>
          <t>PRIMARIOS</t>
        </is>
      </c>
      <c r="O899" s="10" t="inlineStr">
        <is>
          <t>DOCUMENTOS TÉCNICOS</t>
        </is>
      </c>
      <c r="P899" s="10" t="inlineStr">
        <is>
          <t>PUBLICA(1)</t>
        </is>
      </c>
      <c r="Q899" s="10" t="inlineStr">
        <is>
          <t>BAJA(1)</t>
        </is>
      </c>
      <c r="R899" s="10" t="inlineStr">
        <is>
          <t>MEDIA(2)</t>
        </is>
      </c>
      <c r="S899" s="10">
        <f>+(IF(P899="PUBLICA(1)",1,IF(P899="USO INTERNO(2)",2,IF(P899="RESTRINGIDO(3)",3,3))))+(IF(Q899="BAJA(1)",1,IF(Q899="MEDIA(2)",2,IF(Q899="ALTA(3)",3,3))))+(IF(R899="BAJA(1)",1,IF(R899="MEDIA(2)",2,IF(R899="ALTA(3)",3,3))))</f>
        <v/>
      </c>
      <c r="T899" s="10">
        <f>+IF(S899&lt;6,"BAJA",IF(S899&lt;8,"MEDIA","ALTA"))</f>
        <v/>
      </c>
      <c r="U899" s="10" t="inlineStr">
        <is>
          <t>-</t>
        </is>
      </c>
      <c r="V899" s="24" t="n">
        <v>45681</v>
      </c>
      <c r="W899" s="19" t="inlineStr">
        <is>
          <t>N/A</t>
        </is>
      </c>
      <c r="X899" s="10">
        <f>+IFERROR(IF(VLOOKUP(Tabla2[[#This Row],[ID]],'EVALUACION DE RIESGO'!A:A,1,FALSE)=Tabla2[[#This Row],[ID]],"SI","NO"),"NO")</f>
        <v/>
      </c>
      <c r="AD899">
        <f>IF(AND(Y899="",AA899=""),"",IF(OR(LEFT(AA899,2)="L0",LEFT(AA899,2)="L1",Y899="No Iniciado"),"CRÍTICO - Incumplimiento Normativo SEPS",IF(AND(OR(LEFT(AA899,2)="L4",LEFT(AA899,2)="L5"),AND(AC899&lt;&gt;"",AC899&lt;&gt;"N/A")),"CONFORME - Control Efectivo ISO 27001","OBSERVACIÓN - Revisar Controles")))</f>
        <v/>
      </c>
    </row>
    <row r="900">
      <c r="A900" s="99" t="inlineStr">
        <is>
          <t>77-GES</t>
        </is>
      </c>
      <c r="B900" s="10" t="inlineStr">
        <is>
          <t>ESTRATÉGICO</t>
        </is>
      </c>
      <c r="C900" s="10" t="inlineStr">
        <is>
          <t xml:space="preserve">Gestión Estratégica </t>
        </is>
      </c>
      <c r="D900" s="10" t="inlineStr">
        <is>
          <t>GES</t>
        </is>
      </c>
      <c r="E900" s="10" t="inlineStr">
        <is>
          <t xml:space="preserve">Gestión de Proyectos </t>
        </is>
      </c>
      <c r="F900" s="10" t="inlineStr">
        <is>
          <t>-</t>
        </is>
      </c>
      <c r="G900" s="10" t="inlineStr">
        <is>
          <t>Inicio del Proyecto</t>
        </is>
      </c>
      <c r="H900" s="10" t="inlineStr">
        <is>
          <t>Acta de validación inicial del proyecto y conformación de equipo</t>
        </is>
      </c>
      <c r="I900" s="10" t="inlineStr">
        <is>
          <t>Planificación y Estimación del Proyecto</t>
        </is>
      </c>
      <c r="J900" s="10" t="inlineStr">
        <is>
          <t>GERENTE DE NEGOCIOS</t>
        </is>
      </c>
      <c r="K900" s="10" t="inlineStr">
        <is>
          <t>GERENTE DE NEGOCIOS</t>
        </is>
      </c>
      <c r="L900" s="10" t="inlineStr">
        <is>
          <t>UBICACIÓN DIGITAL-EQUIPO DEL CUSTODIO</t>
        </is>
      </c>
      <c r="M900" s="10" t="inlineStr">
        <is>
          <t>DOCUMENTO DE ARCHIVO-ELECTRÓNICO</t>
        </is>
      </c>
      <c r="N900" s="10" t="inlineStr">
        <is>
          <t>PRIMARIOS</t>
        </is>
      </c>
      <c r="O900" s="10" t="inlineStr">
        <is>
          <t>DOCUMENTOS TÉCNICOS</t>
        </is>
      </c>
      <c r="P900" s="10" t="inlineStr">
        <is>
          <t>PUBLICA(1)</t>
        </is>
      </c>
      <c r="Q900" s="10" t="inlineStr">
        <is>
          <t>MEDIA(2)</t>
        </is>
      </c>
      <c r="R900" s="10" t="inlineStr">
        <is>
          <t>BAJA(1)</t>
        </is>
      </c>
      <c r="S900" s="10">
        <f>+(IF(P900="PUBLICA(1)",1,IF(P900="USO INTERNO(2)",2,IF(P900="RESTRINGIDO(3)",3,3))))+(IF(Q900="BAJA(1)",1,IF(Q900="MEDIA(2)",2,IF(Q900="ALTA(3)",3,3))))+(IF(R900="BAJA(1)",1,IF(R900="MEDIA(2)",2,IF(R900="ALTA(3)",3,3))))</f>
        <v/>
      </c>
      <c r="T900" s="10">
        <f>+IF(S900&lt;6,"BAJA",IF(S900&lt;8,"MEDIA","ALTA"))</f>
        <v/>
      </c>
      <c r="U900" s="10" t="inlineStr">
        <is>
          <t>-</t>
        </is>
      </c>
      <c r="V900" s="24" t="n">
        <v>45681</v>
      </c>
      <c r="W900" s="19" t="inlineStr">
        <is>
          <t>N/A</t>
        </is>
      </c>
      <c r="X900" s="10">
        <f>+IFERROR(IF(VLOOKUP(Tabla2[[#This Row],[ID]],'EVALUACION DE RIESGO'!A:A,1,FALSE)=Tabla2[[#This Row],[ID]],"SI","NO"),"NO")</f>
        <v/>
      </c>
      <c r="AD900">
        <f>IF(AND(Y900="",AA900=""),"",IF(OR(LEFT(AA900,2)="L0",LEFT(AA900,2)="L1",Y900="No Iniciado"),"CRÍTICO - Incumplimiento Normativo SEPS",IF(AND(OR(LEFT(AA900,2)="L4",LEFT(AA900,2)="L5"),AND(AC900&lt;&gt;"",AC900&lt;&gt;"N/A")),"CONFORME - Control Efectivo ISO 27001","OBSERVACIÓN - Revisar Controles")))</f>
        <v/>
      </c>
    </row>
    <row r="901">
      <c r="A901" s="99" t="inlineStr">
        <is>
          <t>78-GES</t>
        </is>
      </c>
      <c r="B901" s="10" t="inlineStr">
        <is>
          <t>ESTRATÉGICO</t>
        </is>
      </c>
      <c r="C901" s="10" t="inlineStr">
        <is>
          <t xml:space="preserve">Gestión Estratégica </t>
        </is>
      </c>
      <c r="D901" s="10" t="inlineStr">
        <is>
          <t>GES</t>
        </is>
      </c>
      <c r="E901" s="10" t="inlineStr">
        <is>
          <t xml:space="preserve">Gestión de Proyectos </t>
        </is>
      </c>
      <c r="F901" s="10" t="inlineStr">
        <is>
          <t>-</t>
        </is>
      </c>
      <c r="G901" s="10" t="inlineStr">
        <is>
          <t>Inicio del Proyecto</t>
        </is>
      </c>
      <c r="H901" s="10" t="inlineStr">
        <is>
          <t>Proyecto (Plantilla de Elaboración de Proyectos)</t>
        </is>
      </c>
      <c r="I901" s="10" t="inlineStr">
        <is>
          <t>Inicio y planificación del proyecto</t>
        </is>
      </c>
      <c r="J901" s="10" t="inlineStr">
        <is>
          <t>GERENTE DE NEGOCIOS</t>
        </is>
      </c>
      <c r="K901" s="10" t="inlineStr">
        <is>
          <t>GERENTE DE NEGOCIOS</t>
        </is>
      </c>
      <c r="L901" s="10" t="inlineStr">
        <is>
          <t>UBICACIÓN DIGITAL-EQUIPO DEL CUSTODIO</t>
        </is>
      </c>
      <c r="M901" s="10" t="inlineStr">
        <is>
          <t>DOCUMENTO DE ARCHIVO-ELECTRÓNICO</t>
        </is>
      </c>
      <c r="N901" s="10" t="inlineStr">
        <is>
          <t>PRIMARIOS</t>
        </is>
      </c>
      <c r="O901" s="10" t="inlineStr">
        <is>
          <t>DOCUMENTOS TÉCNICOS</t>
        </is>
      </c>
      <c r="P901" s="10" t="inlineStr">
        <is>
          <t>PUBLICA(1)</t>
        </is>
      </c>
      <c r="Q901" s="10" t="inlineStr">
        <is>
          <t>BAJA(1)</t>
        </is>
      </c>
      <c r="R901" s="10" t="inlineStr">
        <is>
          <t>BAJA(1)</t>
        </is>
      </c>
      <c r="S901" s="10">
        <f>+(IF(P901="PUBLICA(1)",1,IF(P901="USO INTERNO(2)",2,IF(P901="RESTRINGIDO(3)",3,3))))+(IF(Q901="BAJA(1)",1,IF(Q901="MEDIA(2)",2,IF(Q901="ALTA(3)",3,3))))+(IF(R901="BAJA(1)",1,IF(R901="MEDIA(2)",2,IF(R901="ALTA(3)",3,3))))</f>
        <v/>
      </c>
      <c r="T901" s="10">
        <f>+IF(S901&lt;6,"BAJA",IF(S901&lt;8,"MEDIA","ALTA"))</f>
        <v/>
      </c>
      <c r="U901" s="10" t="inlineStr">
        <is>
          <t>-</t>
        </is>
      </c>
      <c r="V901" s="24" t="n">
        <v>45681</v>
      </c>
      <c r="W901" s="19" t="inlineStr">
        <is>
          <t>N/A</t>
        </is>
      </c>
      <c r="X901" s="10">
        <f>+IFERROR(IF(VLOOKUP(Tabla2[[#This Row],[ID]],'EVALUACION DE RIESGO'!A:A,1,FALSE)=Tabla2[[#This Row],[ID]],"SI","NO"),"NO")</f>
        <v/>
      </c>
      <c r="AD901">
        <f>IF(AND(Y901="",AA901=""),"",IF(OR(LEFT(AA901,2)="L0",LEFT(AA901,2)="L1",Y901="No Iniciado"),"CRÍTICO - Incumplimiento Normativo SEPS",IF(AND(OR(LEFT(AA901,2)="L4",LEFT(AA901,2)="L5"),AND(AC901&lt;&gt;"",AC901&lt;&gt;"N/A")),"CONFORME - Control Efectivo ISO 27001","OBSERVACIÓN - Revisar Controles")))</f>
        <v/>
      </c>
    </row>
    <row r="902">
      <c r="A902" s="99" t="inlineStr">
        <is>
          <t>79-GES</t>
        </is>
      </c>
      <c r="B902" s="10" t="inlineStr">
        <is>
          <t>ESTRATÉGICO</t>
        </is>
      </c>
      <c r="C902" s="10" t="inlineStr">
        <is>
          <t xml:space="preserve">Gestión Estratégica </t>
        </is>
      </c>
      <c r="D902" s="10" t="inlineStr">
        <is>
          <t>GES</t>
        </is>
      </c>
      <c r="E902" s="10" t="inlineStr">
        <is>
          <t xml:space="preserve">Gestión de Proyectos </t>
        </is>
      </c>
      <c r="F902" s="10" t="inlineStr">
        <is>
          <t>-</t>
        </is>
      </c>
      <c r="G902" s="10" t="inlineStr">
        <is>
          <t>Inicio del Proyecto</t>
        </is>
      </c>
      <c r="H902" s="10" t="inlineStr">
        <is>
          <t>Resolución de aprobación del proyecto</t>
        </is>
      </c>
      <c r="I902" s="10" t="inlineStr">
        <is>
          <t>Inicio y planificación del proyecto</t>
        </is>
      </c>
      <c r="J902" s="10" t="inlineStr">
        <is>
          <t>GERENTE DE NEGOCIOS</t>
        </is>
      </c>
      <c r="K902" s="10" t="inlineStr">
        <is>
          <t>GERENTE DE NEGOCIOS</t>
        </is>
      </c>
      <c r="L902" s="10" t="inlineStr">
        <is>
          <t>UBICACIÓN DIGITAL-EQUIPO DEL CUSTODIO</t>
        </is>
      </c>
      <c r="M902" s="10" t="inlineStr">
        <is>
          <t>DOCUMENTO DE ARCHIVO-ELECTRÓNICO</t>
        </is>
      </c>
      <c r="N902" s="10" t="inlineStr">
        <is>
          <t>PRIMARIOS</t>
        </is>
      </c>
      <c r="O902" s="10" t="inlineStr">
        <is>
          <t>DOCUMENTOS TÉCNICOS</t>
        </is>
      </c>
      <c r="P902" s="10" t="inlineStr">
        <is>
          <t>PUBLICA(1)</t>
        </is>
      </c>
      <c r="Q902" s="10" t="inlineStr">
        <is>
          <t>BAJA(1)</t>
        </is>
      </c>
      <c r="R902" s="10" t="inlineStr">
        <is>
          <t>BAJA(1)</t>
        </is>
      </c>
      <c r="S902" s="10">
        <f>+(IF(P902="PUBLICA(1)",1,IF(P902="USO INTERNO(2)",2,IF(P902="RESTRINGIDO(3)",3,3))))+(IF(Q902="BAJA(1)",1,IF(Q902="MEDIA(2)",2,IF(Q902="ALTA(3)",3,3))))+(IF(R902="BAJA(1)",1,IF(R902="MEDIA(2)",2,IF(R902="ALTA(3)",3,3))))</f>
        <v/>
      </c>
      <c r="T902" s="10">
        <f>+IF(S902&lt;6,"BAJA",IF(S902&lt;8,"MEDIA","ALTA"))</f>
        <v/>
      </c>
      <c r="U902" s="10" t="inlineStr">
        <is>
          <t>-</t>
        </is>
      </c>
      <c r="V902" s="24" t="n">
        <v>45681</v>
      </c>
      <c r="W902" s="19" t="inlineStr">
        <is>
          <t>N/A</t>
        </is>
      </c>
      <c r="X902" s="10">
        <f>+IFERROR(IF(VLOOKUP(Tabla2[[#This Row],[ID]],'EVALUACION DE RIESGO'!A:A,1,FALSE)=Tabla2[[#This Row],[ID]],"SI","NO"),"NO")</f>
        <v/>
      </c>
      <c r="AD902">
        <f>IF(AND(Y902="",AA902=""),"",IF(OR(LEFT(AA902,2)="L0",LEFT(AA902,2)="L1",Y902="No Iniciado"),"CRÍTICO - Incumplimiento Normativo SEPS",IF(AND(OR(LEFT(AA902,2)="L4",LEFT(AA902,2)="L5"),AND(AC902&lt;&gt;"",AC902&lt;&gt;"N/A")),"CONFORME - Control Efectivo ISO 27001","OBSERVACIÓN - Revisar Controles")))</f>
        <v/>
      </c>
    </row>
    <row r="903">
      <c r="A903" s="99" t="inlineStr">
        <is>
          <t>80-GES</t>
        </is>
      </c>
      <c r="B903" s="10" t="inlineStr">
        <is>
          <t>ESTRATÉGICO</t>
        </is>
      </c>
      <c r="C903" s="10" t="inlineStr">
        <is>
          <t xml:space="preserve">Gestión Estratégica </t>
        </is>
      </c>
      <c r="D903" s="10" t="inlineStr">
        <is>
          <t>GES</t>
        </is>
      </c>
      <c r="E903" s="10" t="inlineStr">
        <is>
          <t xml:space="preserve">Gestión de Proyectos </t>
        </is>
      </c>
      <c r="F903" s="10" t="inlineStr">
        <is>
          <t>-</t>
        </is>
      </c>
      <c r="G903" s="10" t="inlineStr">
        <is>
          <t>Planificación y Estimación del Proyecto</t>
        </is>
      </c>
      <c r="H903" s="10" t="inlineStr">
        <is>
          <t>Proyecto</t>
        </is>
      </c>
      <c r="I903" s="10" t="inlineStr">
        <is>
          <t>Proyecto consolidado</t>
        </is>
      </c>
      <c r="J903" s="10" t="inlineStr">
        <is>
          <t>GERENTE DE NEGOCIOS</t>
        </is>
      </c>
      <c r="K903" s="10" t="inlineStr">
        <is>
          <t>GERENTE DE NEGOCIOS</t>
        </is>
      </c>
      <c r="L903" s="10" t="inlineStr">
        <is>
          <t>UBICACIÓN DIGITAL-EQUIPO DEL CUSTODIO</t>
        </is>
      </c>
      <c r="M903" s="10" t="inlineStr">
        <is>
          <t>DOCUMENTO DE ARCHIVO-ELECTRÓNICO</t>
        </is>
      </c>
      <c r="N903" s="10" t="inlineStr">
        <is>
          <t>PRIMARIOS</t>
        </is>
      </c>
      <c r="O903" s="10" t="inlineStr">
        <is>
          <t>DOCUMENTOS TÉCNICOS</t>
        </is>
      </c>
      <c r="P903" s="10" t="inlineStr">
        <is>
          <t>USO INTERNO(2)</t>
        </is>
      </c>
      <c r="Q903" s="10" t="inlineStr">
        <is>
          <t>MEDIA(2)</t>
        </is>
      </c>
      <c r="R903" s="10" t="inlineStr">
        <is>
          <t>ALTA(3)</t>
        </is>
      </c>
      <c r="S903" s="10">
        <f>+(IF(P903="PUBLICA(1)",1,IF(P903="USO INTERNO(2)",2,IF(P903="RESTRINGIDO(3)",3,3))))+(IF(Q903="BAJA(1)",1,IF(Q903="MEDIA(2)",2,IF(Q903="ALTA(3)",3,3))))+(IF(R903="BAJA(1)",1,IF(R903="MEDIA(2)",2,IF(R903="ALTA(3)",3,3))))</f>
        <v/>
      </c>
      <c r="T903" s="10">
        <f>+IF(S903&lt;6,"BAJA",IF(S903&lt;8,"MEDIA","ALTA"))</f>
        <v/>
      </c>
      <c r="U903" s="10" t="inlineStr">
        <is>
          <t>-</t>
        </is>
      </c>
      <c r="V903" s="24" t="n">
        <v>45681</v>
      </c>
      <c r="W903" s="19" t="inlineStr">
        <is>
          <t>N/A</t>
        </is>
      </c>
      <c r="X903" s="10">
        <f>+IFERROR(IF(VLOOKUP(Tabla2[[#This Row],[ID]],'EVALUACION DE RIESGO'!A:A,1,FALSE)=Tabla2[[#This Row],[ID]],"SI","NO"),"NO")</f>
        <v/>
      </c>
      <c r="AD903">
        <f>IF(AND(Y903="",AA903=""),"",IF(OR(LEFT(AA903,2)="L0",LEFT(AA903,2)="L1",Y903="No Iniciado"),"CRÍTICO - Incumplimiento Normativo SEPS",IF(AND(OR(LEFT(AA903,2)="L4",LEFT(AA903,2)="L5"),AND(AC903&lt;&gt;"",AC903&lt;&gt;"N/A")),"CONFORME - Control Efectivo ISO 27001","OBSERVACIÓN - Revisar Controles")))</f>
        <v/>
      </c>
    </row>
    <row r="904">
      <c r="A904" s="99" t="inlineStr">
        <is>
          <t>81-GES</t>
        </is>
      </c>
      <c r="B904" s="10" t="inlineStr">
        <is>
          <t>ESTRATÉGICO</t>
        </is>
      </c>
      <c r="C904" s="10" t="inlineStr">
        <is>
          <t xml:space="preserve">Gestión Estratégica </t>
        </is>
      </c>
      <c r="D904" s="10" t="inlineStr">
        <is>
          <t>GES</t>
        </is>
      </c>
      <c r="E904" s="10" t="inlineStr">
        <is>
          <t xml:space="preserve">Gestión de Proyectos </t>
        </is>
      </c>
      <c r="F904" s="10" t="inlineStr">
        <is>
          <t>-</t>
        </is>
      </c>
      <c r="G904" s="10" t="inlineStr">
        <is>
          <t>Planificación y Estimación del Proyecto</t>
        </is>
      </c>
      <c r="H904" s="10" t="inlineStr">
        <is>
          <t>Certificación de aprobación</t>
        </is>
      </c>
      <c r="I904" s="10" t="inlineStr">
        <is>
          <t>La aprobación de nivel de autorización correspondiente</t>
        </is>
      </c>
      <c r="J904" s="10" t="inlineStr">
        <is>
          <t>JEFE DE PLANIFICACIÓN Y PROCESOS</t>
        </is>
      </c>
      <c r="K904" s="10" t="inlineStr">
        <is>
          <t>JEFE DE PLANIFICACIÓN Y PROCESOS</t>
        </is>
      </c>
      <c r="L904" s="10" t="inlineStr">
        <is>
          <t>UBICACIÓN DIGITAL-EQUIPO DEL CUSTODIO</t>
        </is>
      </c>
      <c r="M904" s="10" t="inlineStr">
        <is>
          <t>DOCUMENTO DE ARCHIVO-ELECTRÓNICO</t>
        </is>
      </c>
      <c r="N904" s="10" t="inlineStr">
        <is>
          <t>PRIMARIOS</t>
        </is>
      </c>
      <c r="O904" s="10" t="inlineStr">
        <is>
          <t>DOCUMENTOS TÉCNICOS</t>
        </is>
      </c>
      <c r="P904" s="10" t="inlineStr">
        <is>
          <t>PUBLICA(1)</t>
        </is>
      </c>
      <c r="Q904" s="10" t="inlineStr">
        <is>
          <t>BAJA(1)</t>
        </is>
      </c>
      <c r="R904" s="10" t="inlineStr">
        <is>
          <t>ALTA(3)</t>
        </is>
      </c>
      <c r="S904" s="10">
        <f>+(IF(P904="PUBLICA(1)",1,IF(P904="USO INTERNO(2)",2,IF(P904="RESTRINGIDO(3)",3,3))))+(IF(Q904="BAJA(1)",1,IF(Q904="MEDIA(2)",2,IF(Q904="ALTA(3)",3,3))))+(IF(R904="BAJA(1)",1,IF(R904="MEDIA(2)",2,IF(R904="ALTA(3)",3,3))))</f>
        <v/>
      </c>
      <c r="T904" s="10">
        <f>+IF(S904&lt;6,"BAJA",IF(S904&lt;8,"MEDIA","ALTA"))</f>
        <v/>
      </c>
      <c r="U904" s="10" t="inlineStr">
        <is>
          <t>-</t>
        </is>
      </c>
      <c r="V904" s="24" t="n">
        <v>45681</v>
      </c>
      <c r="W904" s="19" t="inlineStr">
        <is>
          <t>N/A</t>
        </is>
      </c>
      <c r="X904" s="10">
        <f>+IFERROR(IF(VLOOKUP(Tabla2[[#This Row],[ID]],'EVALUACION DE RIESGO'!A:A,1,FALSE)=Tabla2[[#This Row],[ID]],"SI","NO"),"NO")</f>
        <v/>
      </c>
      <c r="AD904">
        <f>IF(AND(Y904="",AA904=""),"",IF(OR(LEFT(AA904,2)="L0",LEFT(AA904,2)="L1",Y904="No Iniciado"),"CRÍTICO - Incumplimiento Normativo SEPS",IF(AND(OR(LEFT(AA904,2)="L4",LEFT(AA904,2)="L5"),AND(AC904&lt;&gt;"",AC904&lt;&gt;"N/A")),"CONFORME - Control Efectivo ISO 27001","OBSERVACIÓN - Revisar Controles")))</f>
        <v/>
      </c>
    </row>
    <row r="905">
      <c r="A905" s="99" t="inlineStr">
        <is>
          <t>82-GES</t>
        </is>
      </c>
      <c r="B905" s="10" t="inlineStr">
        <is>
          <t>ESTRATÉGICO</t>
        </is>
      </c>
      <c r="C905" s="10" t="inlineStr">
        <is>
          <t xml:space="preserve">Gestión Estratégica </t>
        </is>
      </c>
      <c r="D905" s="10" t="inlineStr">
        <is>
          <t>GES</t>
        </is>
      </c>
      <c r="E905" s="10" t="inlineStr">
        <is>
          <t xml:space="preserve">Gestión de Proyectos </t>
        </is>
      </c>
      <c r="F905" s="10" t="inlineStr">
        <is>
          <t>-</t>
        </is>
      </c>
      <c r="G905" s="10" t="inlineStr">
        <is>
          <t>Planificación y Estimación del Proyecto</t>
        </is>
      </c>
      <c r="H905" s="10" t="inlineStr">
        <is>
          <t>Acta de validación inicial del proyecto y conformación de equipo</t>
        </is>
      </c>
      <c r="I905" s="10" t="inlineStr">
        <is>
          <t>Planificación y Estimación del Proyecto</t>
        </is>
      </c>
      <c r="J905" s="10" t="inlineStr">
        <is>
          <t>JEFE DE PLANIFICACIÓN Y PROCESOS</t>
        </is>
      </c>
      <c r="K905" s="10" t="inlineStr">
        <is>
          <t>JEFE DE PLANIFICACIÓN Y PROCESOS</t>
        </is>
      </c>
      <c r="L905" s="10" t="inlineStr">
        <is>
          <t>UBICACIÓN DIGITAL-EQUIPO DEL CUSTODIO</t>
        </is>
      </c>
      <c r="M905" s="10" t="inlineStr">
        <is>
          <t>DOCUMENTO DE ARCHIVO-ELECTRÓNICO</t>
        </is>
      </c>
      <c r="N905" s="10" t="inlineStr">
        <is>
          <t>PRIMARIOS</t>
        </is>
      </c>
      <c r="O905" s="10" t="inlineStr">
        <is>
          <t>DOCUMENTOS TÉCNICOS</t>
        </is>
      </c>
      <c r="P905" s="10" t="inlineStr">
        <is>
          <t>PUBLICA(1)</t>
        </is>
      </c>
      <c r="Q905" s="10" t="inlineStr">
        <is>
          <t>BAJA(1)</t>
        </is>
      </c>
      <c r="R905" s="10" t="inlineStr">
        <is>
          <t>BAJA(1)</t>
        </is>
      </c>
      <c r="S905" s="10">
        <f>+(IF(P905="PUBLICA(1)",1,IF(P905="USO INTERNO(2)",2,IF(P905="RESTRINGIDO(3)",3,3))))+(IF(Q905="BAJA(1)",1,IF(Q905="MEDIA(2)",2,IF(Q905="ALTA(3)",3,3))))+(IF(R905="BAJA(1)",1,IF(R905="MEDIA(2)",2,IF(R905="ALTA(3)",3,3))))</f>
        <v/>
      </c>
      <c r="T905" s="10">
        <f>+IF(S905&lt;6,"BAJA",IF(S905&lt;8,"MEDIA","ALTA"))</f>
        <v/>
      </c>
      <c r="U905" s="10" t="inlineStr">
        <is>
          <t>-</t>
        </is>
      </c>
      <c r="V905" s="24" t="n">
        <v>45681</v>
      </c>
      <c r="W905" s="19" t="inlineStr">
        <is>
          <t>N/A</t>
        </is>
      </c>
      <c r="X905" s="10">
        <f>+IFERROR(IF(VLOOKUP(Tabla2[[#This Row],[ID]],'EVALUACION DE RIESGO'!A:A,1,FALSE)=Tabla2[[#This Row],[ID]],"SI","NO"),"NO")</f>
        <v/>
      </c>
      <c r="AD905">
        <f>IF(AND(Y905="",AA905=""),"",IF(OR(LEFT(AA905,2)="L0",LEFT(AA905,2)="L1",Y905="No Iniciado"),"CRÍTICO - Incumplimiento Normativo SEPS",IF(AND(OR(LEFT(AA905,2)="L4",LEFT(AA905,2)="L5"),AND(AC905&lt;&gt;"",AC905&lt;&gt;"N/A")),"CONFORME - Control Efectivo ISO 27001","OBSERVACIÓN - Revisar Controles")))</f>
        <v/>
      </c>
    </row>
    <row r="906">
      <c r="A906" s="99" t="inlineStr">
        <is>
          <t>83-GES</t>
        </is>
      </c>
      <c r="B906" s="10" t="inlineStr">
        <is>
          <t>ESTRATÉGICO</t>
        </is>
      </c>
      <c r="C906" s="10" t="inlineStr">
        <is>
          <t xml:space="preserve">Gestión Estratégica </t>
        </is>
      </c>
      <c r="D906" s="10" t="inlineStr">
        <is>
          <t>GES</t>
        </is>
      </c>
      <c r="E906" s="10" t="inlineStr">
        <is>
          <t xml:space="preserve">Gestión de Proyectos </t>
        </is>
      </c>
      <c r="F906" s="10" t="inlineStr">
        <is>
          <t>-</t>
        </is>
      </c>
      <c r="G906" s="10" t="inlineStr">
        <is>
          <t>Planificación y Estimación del Proyecto</t>
        </is>
      </c>
      <c r="H906" s="10" t="inlineStr">
        <is>
          <t>Matriz de historias de usuario</t>
        </is>
      </c>
      <c r="I906" s="10" t="inlineStr">
        <is>
          <t>Requerimientos de proyecto</t>
        </is>
      </c>
      <c r="J906" s="10" t="inlineStr">
        <is>
          <t>GERENTE DE NEGOCIOS</t>
        </is>
      </c>
      <c r="K906" s="10" t="inlineStr">
        <is>
          <t>GERENTE DE NEGOCIOS</t>
        </is>
      </c>
      <c r="L906" s="10" t="inlineStr">
        <is>
          <t>UBICACIÓN DIGITAL-EQUIPO DEL CUSTODIO</t>
        </is>
      </c>
      <c r="M906" s="10" t="inlineStr">
        <is>
          <t>DOCUMENTO DE ARCHIVO-ELECTRÓNICO</t>
        </is>
      </c>
      <c r="N906" s="10" t="inlineStr">
        <is>
          <t>PRIMARIOS</t>
        </is>
      </c>
      <c r="O906" s="10" t="inlineStr">
        <is>
          <t>DOCUMENTOS TÉCNICOS</t>
        </is>
      </c>
      <c r="P906" s="10" t="inlineStr">
        <is>
          <t>PUBLICA(1)</t>
        </is>
      </c>
      <c r="Q906" s="10" t="inlineStr">
        <is>
          <t>BAJA(1)</t>
        </is>
      </c>
      <c r="R906" s="10" t="inlineStr">
        <is>
          <t>BAJA(1)</t>
        </is>
      </c>
      <c r="S906" s="10">
        <f>+(IF(P906="PUBLICA(1)",1,IF(P906="USO INTERNO(2)",2,IF(P906="RESTRINGIDO(3)",3,3))))+(IF(Q906="BAJA(1)",1,IF(Q906="MEDIA(2)",2,IF(Q906="ALTA(3)",3,3))))+(IF(R906="BAJA(1)",1,IF(R906="MEDIA(2)",2,IF(R906="ALTA(3)",3,3))))</f>
        <v/>
      </c>
      <c r="T906" s="10">
        <f>+IF(S906&lt;6,"BAJA",IF(S906&lt;8,"MEDIA","ALTA"))</f>
        <v/>
      </c>
      <c r="U906" s="10" t="inlineStr">
        <is>
          <t>-</t>
        </is>
      </c>
      <c r="V906" s="24" t="n">
        <v>45681</v>
      </c>
      <c r="W906" s="19" t="inlineStr">
        <is>
          <t>N/A</t>
        </is>
      </c>
      <c r="X906" s="10">
        <f>+IFERROR(IF(VLOOKUP(Tabla2[[#This Row],[ID]],'EVALUACION DE RIESGO'!A:A,1,FALSE)=Tabla2[[#This Row],[ID]],"SI","NO"),"NO")</f>
        <v/>
      </c>
      <c r="AD906">
        <f>IF(AND(Y906="",AA906=""),"",IF(OR(LEFT(AA906,2)="L0",LEFT(AA906,2)="L1",Y906="No Iniciado"),"CRÍTICO - Incumplimiento Normativo SEPS",IF(AND(OR(LEFT(AA906,2)="L4",LEFT(AA906,2)="L5"),AND(AC906&lt;&gt;"",AC906&lt;&gt;"N/A")),"CONFORME - Control Efectivo ISO 27001","OBSERVACIÓN - Revisar Controles")))</f>
        <v/>
      </c>
    </row>
    <row r="907">
      <c r="A907" s="99" t="inlineStr">
        <is>
          <t>84-GES</t>
        </is>
      </c>
      <c r="B907" s="10" t="inlineStr">
        <is>
          <t>ESTRATÉGICO</t>
        </is>
      </c>
      <c r="C907" s="10" t="inlineStr">
        <is>
          <t xml:space="preserve">Gestión Estratégica </t>
        </is>
      </c>
      <c r="D907" s="10" t="inlineStr">
        <is>
          <t>GES</t>
        </is>
      </c>
      <c r="E907" s="10" t="inlineStr">
        <is>
          <t xml:space="preserve">Gestión de Proyectos </t>
        </is>
      </c>
      <c r="F907" s="10" t="inlineStr">
        <is>
          <t>-</t>
        </is>
      </c>
      <c r="G907" s="10" t="inlineStr">
        <is>
          <t>Planificación y Estimación del Proyecto</t>
        </is>
      </c>
      <c r="H907" s="10" t="inlineStr">
        <is>
          <t>Matriz de planificación y seguimiento del Proyecto por sprints</t>
        </is>
      </c>
      <c r="I907" s="10" t="inlineStr">
        <is>
          <t>Cronograma</t>
        </is>
      </c>
      <c r="J907" s="10" t="inlineStr">
        <is>
          <t>GERENTE DE NEGOCIOS</t>
        </is>
      </c>
      <c r="K907" s="10" t="inlineStr">
        <is>
          <t>GERENTE DE NEGOCIOS</t>
        </is>
      </c>
      <c r="L907" s="10" t="inlineStr">
        <is>
          <t>UBICACIÓN DIGITAL-EQUIPO DEL CUSTODIO</t>
        </is>
      </c>
      <c r="M907" s="10" t="inlineStr">
        <is>
          <t>DOCUMENTO DE ARCHIVO-ELECTRÓNICO</t>
        </is>
      </c>
      <c r="N907" s="10" t="inlineStr">
        <is>
          <t>PRIMARIOS</t>
        </is>
      </c>
      <c r="O907" s="10" t="inlineStr">
        <is>
          <t>DOCUMENTOS TÉCNICOS</t>
        </is>
      </c>
      <c r="P907" s="10" t="inlineStr">
        <is>
          <t>PUBLICA(1)</t>
        </is>
      </c>
      <c r="Q907" s="10" t="inlineStr">
        <is>
          <t>BAJA(1)</t>
        </is>
      </c>
      <c r="R907" s="10" t="inlineStr">
        <is>
          <t>BAJA(1)</t>
        </is>
      </c>
      <c r="S907" s="10">
        <f>+(IF(P907="PUBLICA(1)",1,IF(P907="USO INTERNO(2)",2,IF(P907="RESTRINGIDO(3)",3,3))))+(IF(Q907="BAJA(1)",1,IF(Q907="MEDIA(2)",2,IF(Q907="ALTA(3)",3,3))))+(IF(R907="BAJA(1)",1,IF(R907="MEDIA(2)",2,IF(R907="ALTA(3)",3,3))))</f>
        <v/>
      </c>
      <c r="T907" s="10">
        <f>+IF(S907&lt;6,"BAJA",IF(S907&lt;8,"MEDIA","ALTA"))</f>
        <v/>
      </c>
      <c r="U907" s="10" t="inlineStr">
        <is>
          <t>-</t>
        </is>
      </c>
      <c r="V907" s="24" t="n">
        <v>45681</v>
      </c>
      <c r="W907" s="19" t="inlineStr">
        <is>
          <t>N/A</t>
        </is>
      </c>
      <c r="X907" s="10">
        <f>+IFERROR(IF(VLOOKUP(Tabla2[[#This Row],[ID]],'EVALUACION DE RIESGO'!A:A,1,FALSE)=Tabla2[[#This Row],[ID]],"SI","NO"),"NO")</f>
        <v/>
      </c>
      <c r="AD907">
        <f>IF(AND(Y907="",AA907=""),"",IF(OR(LEFT(AA907,2)="L0",LEFT(AA907,2)="L1",Y907="No Iniciado"),"CRÍTICO - Incumplimiento Normativo SEPS",IF(AND(OR(LEFT(AA907,2)="L4",LEFT(AA907,2)="L5"),AND(AC907&lt;&gt;"",AC907&lt;&gt;"N/A")),"CONFORME - Control Efectivo ISO 27001","OBSERVACIÓN - Revisar Controles")))</f>
        <v/>
      </c>
    </row>
    <row r="908">
      <c r="A908" s="99" t="inlineStr">
        <is>
          <t>85-GES</t>
        </is>
      </c>
      <c r="B908" s="10" t="inlineStr">
        <is>
          <t>ESTRATÉGICO</t>
        </is>
      </c>
      <c r="C908" s="10" t="inlineStr">
        <is>
          <t xml:space="preserve">Gestión Estratégica </t>
        </is>
      </c>
      <c r="D908" s="10" t="inlineStr">
        <is>
          <t>GES</t>
        </is>
      </c>
      <c r="E908" s="10" t="inlineStr">
        <is>
          <t xml:space="preserve">Gestión de Proyectos </t>
        </is>
      </c>
      <c r="F908" s="10" t="inlineStr">
        <is>
          <t>-</t>
        </is>
      </c>
      <c r="G908" s="10" t="inlineStr">
        <is>
          <t xml:space="preserve">Ejecución del Proyecto  </t>
        </is>
      </c>
      <c r="H908" s="10" t="inlineStr">
        <is>
          <t>Plan de dirección del proyecto</t>
        </is>
      </c>
      <c r="I908" s="10" t="inlineStr">
        <is>
          <t>Inicio y planificación del proyecto</t>
        </is>
      </c>
      <c r="J908" s="10" t="inlineStr">
        <is>
          <t>GERENTE DE NEGOCIOS</t>
        </is>
      </c>
      <c r="K908" s="10" t="inlineStr">
        <is>
          <t>GERENTE DE NEGOCIOS</t>
        </is>
      </c>
      <c r="L908" s="10" t="inlineStr">
        <is>
          <t>UBICACIÓN DIGITAL-EQUIPO DEL CUSTODIO</t>
        </is>
      </c>
      <c r="M908" s="10" t="inlineStr">
        <is>
          <t>DOCUMENTO DE ARCHIVO-ELECTRÓNICO</t>
        </is>
      </c>
      <c r="N908" s="10" t="inlineStr">
        <is>
          <t>PRIMARIOS</t>
        </is>
      </c>
      <c r="O908" s="10" t="inlineStr">
        <is>
          <t>DOCUMENTOS TÉCNICOS</t>
        </is>
      </c>
      <c r="P908" s="10" t="inlineStr">
        <is>
          <t>PUBLICA(1)</t>
        </is>
      </c>
      <c r="Q908" s="10" t="inlineStr">
        <is>
          <t>BAJA(1)</t>
        </is>
      </c>
      <c r="R908" s="10" t="inlineStr">
        <is>
          <t>BAJA(1)</t>
        </is>
      </c>
      <c r="S908" s="10">
        <f>+(IF(P908="PUBLICA(1)",1,IF(P908="USO INTERNO(2)",2,IF(P908="RESTRINGIDO(3)",3,3))))+(IF(Q908="BAJA(1)",1,IF(Q908="MEDIA(2)",2,IF(Q908="ALTA(3)",3,3))))+(IF(R908="BAJA(1)",1,IF(R908="MEDIA(2)",2,IF(R908="ALTA(3)",3,3))))</f>
        <v/>
      </c>
      <c r="T908" s="10">
        <f>+IF(S908&lt;6,"BAJA",IF(S908&lt;8,"MEDIA","ALTA"))</f>
        <v/>
      </c>
      <c r="U908" s="10" t="inlineStr">
        <is>
          <t>-</t>
        </is>
      </c>
      <c r="V908" s="24" t="n">
        <v>45681</v>
      </c>
      <c r="W908" s="19" t="inlineStr">
        <is>
          <t>N/A</t>
        </is>
      </c>
      <c r="X908" s="10">
        <f>+IFERROR(IF(VLOOKUP(Tabla2[[#This Row],[ID]],'EVALUACION DE RIESGO'!A:A,1,FALSE)=Tabla2[[#This Row],[ID]],"SI","NO"),"NO")</f>
        <v/>
      </c>
      <c r="AD908">
        <f>IF(AND(Y908="",AA908=""),"",IF(OR(LEFT(AA908,2)="L0",LEFT(AA908,2)="L1",Y908="No Iniciado"),"CRÍTICO - Incumplimiento Normativo SEPS",IF(AND(OR(LEFT(AA908,2)="L4",LEFT(AA908,2)="L5"),AND(AC908&lt;&gt;"",AC908&lt;&gt;"N/A")),"CONFORME - Control Efectivo ISO 27001","OBSERVACIÓN - Revisar Controles")))</f>
        <v/>
      </c>
    </row>
    <row r="909">
      <c r="A909" s="99" t="inlineStr">
        <is>
          <t>86-GES</t>
        </is>
      </c>
      <c r="B909" s="10" t="inlineStr">
        <is>
          <t>ESTRATÉGICO</t>
        </is>
      </c>
      <c r="C909" s="10" t="inlineStr">
        <is>
          <t xml:space="preserve">Gestión Estratégica </t>
        </is>
      </c>
      <c r="D909" s="10" t="inlineStr">
        <is>
          <t>GES</t>
        </is>
      </c>
      <c r="E909" s="10" t="inlineStr">
        <is>
          <t xml:space="preserve">Gestión de Proyectos </t>
        </is>
      </c>
      <c r="F909" s="10" t="inlineStr">
        <is>
          <t>-</t>
        </is>
      </c>
      <c r="G909" s="10" t="inlineStr">
        <is>
          <t xml:space="preserve">Ejecución del Proyecto  </t>
        </is>
      </c>
      <c r="H909" s="10" t="inlineStr">
        <is>
          <t>Matriz de historias de usuario</t>
        </is>
      </c>
      <c r="I909" s="10" t="inlineStr">
        <is>
          <t>Planificación y Estimación del Proyecto</t>
        </is>
      </c>
      <c r="J909" s="10" t="inlineStr">
        <is>
          <t>GERENTE DE NEGOCIOS</t>
        </is>
      </c>
      <c r="K909" s="10" t="inlineStr">
        <is>
          <t>GERENTE DE NEGOCIOS</t>
        </is>
      </c>
      <c r="L909" s="10" t="inlineStr">
        <is>
          <t>UBICACIÓN DIGITAL-EQUIPO DEL CUSTODIO</t>
        </is>
      </c>
      <c r="M909" s="10" t="inlineStr">
        <is>
          <t>DOCUMENTO DE ARCHIVO-ELECTRÓNICO</t>
        </is>
      </c>
      <c r="N909" s="10" t="inlineStr">
        <is>
          <t>PRIMARIOS</t>
        </is>
      </c>
      <c r="O909" s="10" t="inlineStr">
        <is>
          <t>DOCUMENTOS TÉCNICOS</t>
        </is>
      </c>
      <c r="P909" s="10" t="inlineStr">
        <is>
          <t>PUBLICA(1)</t>
        </is>
      </c>
      <c r="Q909" s="10" t="inlineStr">
        <is>
          <t>BAJA(1)</t>
        </is>
      </c>
      <c r="R909" s="10" t="inlineStr">
        <is>
          <t>BAJA(1)</t>
        </is>
      </c>
      <c r="S909" s="10">
        <f>+(IF(P909="PUBLICA(1)",1,IF(P909="USO INTERNO(2)",2,IF(P909="RESTRINGIDO(3)",3,3))))+(IF(Q909="BAJA(1)",1,IF(Q909="MEDIA(2)",2,IF(Q909="ALTA(3)",3,3))))+(IF(R909="BAJA(1)",1,IF(R909="MEDIA(2)",2,IF(R909="ALTA(3)",3,3))))</f>
        <v/>
      </c>
      <c r="T909" s="10">
        <f>+IF(S909&lt;6,"BAJA",IF(S909&lt;8,"MEDIA","ALTA"))</f>
        <v/>
      </c>
      <c r="U909" s="10" t="inlineStr">
        <is>
          <t>-</t>
        </is>
      </c>
      <c r="V909" s="24" t="n">
        <v>45681</v>
      </c>
      <c r="W909" s="19" t="inlineStr">
        <is>
          <t>N/A</t>
        </is>
      </c>
      <c r="X909" s="10">
        <f>+IFERROR(IF(VLOOKUP(Tabla2[[#This Row],[ID]],'EVALUACION DE RIESGO'!A:A,1,FALSE)=Tabla2[[#This Row],[ID]],"SI","NO"),"NO")</f>
        <v/>
      </c>
      <c r="AD909">
        <f>IF(AND(Y909="",AA909=""),"",IF(OR(LEFT(AA909,2)="L0",LEFT(AA909,2)="L1",Y909="No Iniciado"),"CRÍTICO - Incumplimiento Normativo SEPS",IF(AND(OR(LEFT(AA909,2)="L4",LEFT(AA909,2)="L5"),AND(AC909&lt;&gt;"",AC909&lt;&gt;"N/A")),"CONFORME - Control Efectivo ISO 27001","OBSERVACIÓN - Revisar Controles")))</f>
        <v/>
      </c>
    </row>
    <row r="910">
      <c r="A910" s="99" t="inlineStr">
        <is>
          <t>87-GES</t>
        </is>
      </c>
      <c r="B910" s="10" t="inlineStr">
        <is>
          <t>ESTRATÉGICO</t>
        </is>
      </c>
      <c r="C910" s="10" t="inlineStr">
        <is>
          <t xml:space="preserve">Gestión Estratégica </t>
        </is>
      </c>
      <c r="D910" s="10" t="inlineStr">
        <is>
          <t>GES</t>
        </is>
      </c>
      <c r="E910" s="10" t="inlineStr">
        <is>
          <t xml:space="preserve">Gestión de Proyectos </t>
        </is>
      </c>
      <c r="F910" s="10" t="inlineStr">
        <is>
          <t>-</t>
        </is>
      </c>
      <c r="G910" s="10" t="inlineStr">
        <is>
          <t xml:space="preserve">Ejecución del Proyecto  </t>
        </is>
      </c>
      <c r="H910" s="10" t="inlineStr">
        <is>
          <t>Matriz de planificación y seguimiento del Proyecto por sprints</t>
        </is>
      </c>
      <c r="I910" s="10" t="inlineStr">
        <is>
          <t>Planificación y Estimación del Proyecto</t>
        </is>
      </c>
      <c r="J910" s="10" t="inlineStr">
        <is>
          <t>GERENTE DE NEGOCIOS</t>
        </is>
      </c>
      <c r="K910" s="10" t="inlineStr">
        <is>
          <t>GERENTE DE NEGOCIOS</t>
        </is>
      </c>
      <c r="L910" s="10" t="inlineStr">
        <is>
          <t>UBICACIÓN DIGITAL-EQUIPO DEL CUSTODIO</t>
        </is>
      </c>
      <c r="M910" s="10" t="inlineStr">
        <is>
          <t>DOCUMENTO DE ARCHIVO-ELECTRÓNICO</t>
        </is>
      </c>
      <c r="N910" s="10" t="inlineStr">
        <is>
          <t>PRIMARIOS</t>
        </is>
      </c>
      <c r="O910" s="10" t="inlineStr">
        <is>
          <t>DOCUMENTOS TÉCNICOS</t>
        </is>
      </c>
      <c r="P910" s="10" t="inlineStr">
        <is>
          <t>PUBLICA(1)</t>
        </is>
      </c>
      <c r="Q910" s="10" t="inlineStr">
        <is>
          <t>BAJA(1)</t>
        </is>
      </c>
      <c r="R910" s="10" t="inlineStr">
        <is>
          <t>ALTA(3)</t>
        </is>
      </c>
      <c r="S910" s="10">
        <f>+(IF(P910="PUBLICA(1)",1,IF(P910="USO INTERNO(2)",2,IF(P910="RESTRINGIDO(3)",3,3))))+(IF(Q910="BAJA(1)",1,IF(Q910="MEDIA(2)",2,IF(Q910="ALTA(3)",3,3))))+(IF(R910="BAJA(1)",1,IF(R910="MEDIA(2)",2,IF(R910="ALTA(3)",3,3))))</f>
        <v/>
      </c>
      <c r="T910" s="10">
        <f>+IF(S910&lt;6,"BAJA",IF(S910&lt;8,"MEDIA","ALTA"))</f>
        <v/>
      </c>
      <c r="U910" s="10" t="inlineStr">
        <is>
          <t>-</t>
        </is>
      </c>
      <c r="V910" s="24" t="n">
        <v>45681</v>
      </c>
      <c r="W910" s="19" t="inlineStr">
        <is>
          <t>N/A</t>
        </is>
      </c>
      <c r="X910" s="10">
        <f>+IFERROR(IF(VLOOKUP(Tabla2[[#This Row],[ID]],'EVALUACION DE RIESGO'!A:A,1,FALSE)=Tabla2[[#This Row],[ID]],"SI","NO"),"NO")</f>
        <v/>
      </c>
      <c r="AD910">
        <f>IF(AND(Y910="",AA910=""),"",IF(OR(LEFT(AA910,2)="L0",LEFT(AA910,2)="L1",Y910="No Iniciado"),"CRÍTICO - Incumplimiento Normativo SEPS",IF(AND(OR(LEFT(AA910,2)="L4",LEFT(AA910,2)="L5"),AND(AC910&lt;&gt;"",AC910&lt;&gt;"N/A")),"CONFORME - Control Efectivo ISO 27001","OBSERVACIÓN - Revisar Controles")))</f>
        <v/>
      </c>
    </row>
    <row r="911">
      <c r="A911" s="99" t="inlineStr">
        <is>
          <t>88-GES</t>
        </is>
      </c>
      <c r="B911" s="10" t="inlineStr">
        <is>
          <t>ESTRATÉGICO</t>
        </is>
      </c>
      <c r="C911" s="10" t="inlineStr">
        <is>
          <t xml:space="preserve">Gestión Estratégica </t>
        </is>
      </c>
      <c r="D911" s="10" t="inlineStr">
        <is>
          <t>GES</t>
        </is>
      </c>
      <c r="E911" s="10" t="inlineStr">
        <is>
          <t xml:space="preserve">Gestión de Proyectos </t>
        </is>
      </c>
      <c r="F911" s="10" t="inlineStr">
        <is>
          <t>-</t>
        </is>
      </c>
      <c r="G911" s="10" t="inlineStr">
        <is>
          <t xml:space="preserve">Ejecución del Proyecto  </t>
        </is>
      </c>
      <c r="H911" s="10" t="inlineStr">
        <is>
          <t>Entregables o hitos del proyecto</t>
        </is>
      </c>
      <c r="I911" s="10" t="inlineStr">
        <is>
          <t>Entregable</t>
        </is>
      </c>
      <c r="J911" s="10" t="inlineStr">
        <is>
          <t>GERENTE DE NEGOCIOS</t>
        </is>
      </c>
      <c r="K911" s="10" t="inlineStr">
        <is>
          <t>GERENTE DE NEGOCIOS</t>
        </is>
      </c>
      <c r="L911" s="10" t="inlineStr">
        <is>
          <t>UBICACIÓN DIGITAL-EQUIPO DEL CUSTODIO</t>
        </is>
      </c>
      <c r="M911" s="10" t="inlineStr">
        <is>
          <t>DOCUMENTO DE ARCHIVO-ELECTRÓNICO</t>
        </is>
      </c>
      <c r="N911" s="10" t="inlineStr">
        <is>
          <t>PRIMARIOS</t>
        </is>
      </c>
      <c r="O911" s="10" t="inlineStr">
        <is>
          <t>DOCUMENTOS TÉCNICOS</t>
        </is>
      </c>
      <c r="P911" s="10" t="inlineStr">
        <is>
          <t>PUBLICA(1)</t>
        </is>
      </c>
      <c r="Q911" s="10" t="inlineStr">
        <is>
          <t>BAJA(1)</t>
        </is>
      </c>
      <c r="R911" s="10" t="inlineStr">
        <is>
          <t>BAJA(1)</t>
        </is>
      </c>
      <c r="S911" s="10">
        <f>+(IF(P911="PUBLICA(1)",1,IF(P911="USO INTERNO(2)",2,IF(P911="RESTRINGIDO(3)",3,3))))+(IF(Q911="BAJA(1)",1,IF(Q911="MEDIA(2)",2,IF(Q911="ALTA(3)",3,3))))+(IF(R911="BAJA(1)",1,IF(R911="MEDIA(2)",2,IF(R911="ALTA(3)",3,3))))</f>
        <v/>
      </c>
      <c r="T911" s="10">
        <f>+IF(S911&lt;6,"BAJA",IF(S911&lt;8,"MEDIA","ALTA"))</f>
        <v/>
      </c>
      <c r="U911" s="10" t="inlineStr">
        <is>
          <t>-</t>
        </is>
      </c>
      <c r="V911" s="24" t="n">
        <v>45681</v>
      </c>
      <c r="W911" s="19" t="inlineStr">
        <is>
          <t>N/A</t>
        </is>
      </c>
      <c r="X911" s="10">
        <f>+IFERROR(IF(VLOOKUP(Tabla2[[#This Row],[ID]],'EVALUACION DE RIESGO'!A:A,1,FALSE)=Tabla2[[#This Row],[ID]],"SI","NO"),"NO")</f>
        <v/>
      </c>
      <c r="AD911">
        <f>IF(AND(Y911="",AA911=""),"",IF(OR(LEFT(AA911,2)="L0",LEFT(AA911,2)="L1",Y911="No Iniciado"),"CRÍTICO - Incumplimiento Normativo SEPS",IF(AND(OR(LEFT(AA911,2)="L4",LEFT(AA911,2)="L5"),AND(AC911&lt;&gt;"",AC911&lt;&gt;"N/A")),"CONFORME - Control Efectivo ISO 27001","OBSERVACIÓN - Revisar Controles")))</f>
        <v/>
      </c>
    </row>
    <row r="912">
      <c r="A912" s="99" t="inlineStr">
        <is>
          <t>89-GES</t>
        </is>
      </c>
      <c r="B912" s="10" t="inlineStr">
        <is>
          <t>ESTRATÉGICO</t>
        </is>
      </c>
      <c r="C912" s="10" t="inlineStr">
        <is>
          <t xml:space="preserve">Gestión Estratégica </t>
        </is>
      </c>
      <c r="D912" s="10" t="inlineStr">
        <is>
          <t>GES</t>
        </is>
      </c>
      <c r="E912" s="10" t="inlineStr">
        <is>
          <t xml:space="preserve">Gestión de Proyectos </t>
        </is>
      </c>
      <c r="F912" s="10" t="inlineStr">
        <is>
          <t>-</t>
        </is>
      </c>
      <c r="G912" s="10" t="inlineStr">
        <is>
          <t>Monitoreo y Control del Proyecto</t>
        </is>
      </c>
      <c r="H912" s="10" t="inlineStr">
        <is>
          <t xml:space="preserve">Entregables o hitos del proyecto </t>
        </is>
      </c>
      <c r="I912" s="10" t="inlineStr">
        <is>
          <t>Ejecución del Proyecto</t>
        </is>
      </c>
      <c r="J912" s="10" t="inlineStr">
        <is>
          <t>GERENTE DE NEGOCIOS</t>
        </is>
      </c>
      <c r="K912" s="10" t="inlineStr">
        <is>
          <t>GERENTE DE NEGOCIOS</t>
        </is>
      </c>
      <c r="L912" s="10" t="inlineStr">
        <is>
          <t>UBICACIÓN DIGITAL-EQUIPO DEL CUSTODIO</t>
        </is>
      </c>
      <c r="M912" s="10" t="inlineStr">
        <is>
          <t>DOCUMENTO DE ARCHIVO-ELECTRÓNICO</t>
        </is>
      </c>
      <c r="N912" s="10" t="inlineStr">
        <is>
          <t>PRIMARIOS</t>
        </is>
      </c>
      <c r="O912" s="10" t="inlineStr">
        <is>
          <t>DOCUMENTOS TÉCNICOS</t>
        </is>
      </c>
      <c r="P912" s="10" t="inlineStr">
        <is>
          <t>PUBLICA(1)</t>
        </is>
      </c>
      <c r="Q912" s="10" t="inlineStr">
        <is>
          <t>BAJA(1)</t>
        </is>
      </c>
      <c r="R912" s="10" t="inlineStr">
        <is>
          <t>MEDIA(2)</t>
        </is>
      </c>
      <c r="S912" s="10">
        <f>+(IF(P912="PUBLICA(1)",1,IF(P912="USO INTERNO(2)",2,IF(P912="RESTRINGIDO(3)",3,3))))+(IF(Q912="BAJA(1)",1,IF(Q912="MEDIA(2)",2,IF(Q912="ALTA(3)",3,3))))+(IF(R912="BAJA(1)",1,IF(R912="MEDIA(2)",2,IF(R912="ALTA(3)",3,3))))</f>
        <v/>
      </c>
      <c r="T912" s="10">
        <f>+IF(S912&lt;6,"BAJA",IF(S912&lt;8,"MEDIA","ALTA"))</f>
        <v/>
      </c>
      <c r="U912" s="10" t="inlineStr">
        <is>
          <t>-</t>
        </is>
      </c>
      <c r="V912" s="24" t="n">
        <v>45681</v>
      </c>
      <c r="W912" s="19" t="inlineStr">
        <is>
          <t>N/A</t>
        </is>
      </c>
      <c r="X912" s="10">
        <f>+IFERROR(IF(VLOOKUP(Tabla2[[#This Row],[ID]],'EVALUACION DE RIESGO'!A:A,1,FALSE)=Tabla2[[#This Row],[ID]],"SI","NO"),"NO")</f>
        <v/>
      </c>
      <c r="AD912">
        <f>IF(AND(Y912="",AA912=""),"",IF(OR(LEFT(AA912,2)="L0",LEFT(AA912,2)="L1",Y912="No Iniciado"),"CRÍTICO - Incumplimiento Normativo SEPS",IF(AND(OR(LEFT(AA912,2)="L4",LEFT(AA912,2)="L5"),AND(AC912&lt;&gt;"",AC912&lt;&gt;"N/A")),"CONFORME - Control Efectivo ISO 27001","OBSERVACIÓN - Revisar Controles")))</f>
        <v/>
      </c>
    </row>
    <row r="913">
      <c r="A913" s="99" t="inlineStr">
        <is>
          <t>90-GES</t>
        </is>
      </c>
      <c r="B913" s="10" t="inlineStr">
        <is>
          <t>ESTRATÉGICO</t>
        </is>
      </c>
      <c r="C913" s="10" t="inlineStr">
        <is>
          <t xml:space="preserve">Gestión Estratégica </t>
        </is>
      </c>
      <c r="D913" s="10" t="inlineStr">
        <is>
          <t>GES</t>
        </is>
      </c>
      <c r="E913" s="10" t="inlineStr">
        <is>
          <t xml:space="preserve">Gestión de Proyectos </t>
        </is>
      </c>
      <c r="F913" s="10" t="inlineStr">
        <is>
          <t>-</t>
        </is>
      </c>
      <c r="G913" s="10" t="inlineStr">
        <is>
          <t>Monitoreo y Control del Proyecto</t>
        </is>
      </c>
      <c r="H913" s="10" t="inlineStr">
        <is>
          <t>Matriz de historias de usuario</t>
        </is>
      </c>
      <c r="I913" s="10" t="inlineStr">
        <is>
          <t>Planificación y Estimación del Proyecto</t>
        </is>
      </c>
      <c r="J913" s="10" t="inlineStr">
        <is>
          <t>GERENTE DE NEGOCIOS</t>
        </is>
      </c>
      <c r="K913" s="10" t="inlineStr">
        <is>
          <t>GERENTE DE NEGOCIOS</t>
        </is>
      </c>
      <c r="L913" s="10" t="inlineStr">
        <is>
          <t>UBICACIÓN DIGITAL-EQUIPO DEL CUSTODIO</t>
        </is>
      </c>
      <c r="M913" s="10" t="inlineStr">
        <is>
          <t>DOCUMENTO DE ARCHIVO-ELECTRÓNICO</t>
        </is>
      </c>
      <c r="N913" s="10" t="inlineStr">
        <is>
          <t>PRIMARIOS</t>
        </is>
      </c>
      <c r="O913" s="10" t="inlineStr">
        <is>
          <t>DOCUMENTOS TÉCNICOS</t>
        </is>
      </c>
      <c r="P913" s="10" t="inlineStr">
        <is>
          <t>PUBLICA(1)</t>
        </is>
      </c>
      <c r="Q913" s="10" t="inlineStr">
        <is>
          <t>BAJA(1)</t>
        </is>
      </c>
      <c r="R913" s="10" t="inlineStr">
        <is>
          <t>BAJA(1)</t>
        </is>
      </c>
      <c r="S913" s="10">
        <f>+(IF(P913="PUBLICA(1)",1,IF(P913="USO INTERNO(2)",2,IF(P913="RESTRINGIDO(3)",3,3))))+(IF(Q913="BAJA(1)",1,IF(Q913="MEDIA(2)",2,IF(Q913="ALTA(3)",3,3))))+(IF(R913="BAJA(1)",1,IF(R913="MEDIA(2)",2,IF(R913="ALTA(3)",3,3))))</f>
        <v/>
      </c>
      <c r="T913" s="10">
        <f>+IF(S913&lt;6,"BAJA",IF(S913&lt;8,"MEDIA","ALTA"))</f>
        <v/>
      </c>
      <c r="U913" s="10" t="inlineStr">
        <is>
          <t>-</t>
        </is>
      </c>
      <c r="V913" s="24" t="n">
        <v>45681</v>
      </c>
      <c r="W913" s="19" t="inlineStr">
        <is>
          <t>N/A</t>
        </is>
      </c>
      <c r="X913" s="10">
        <f>+IFERROR(IF(VLOOKUP(Tabla2[[#This Row],[ID]],'EVALUACION DE RIESGO'!A:A,1,FALSE)=Tabla2[[#This Row],[ID]],"SI","NO"),"NO")</f>
        <v/>
      </c>
      <c r="AD913">
        <f>IF(AND(Y913="",AA913=""),"",IF(OR(LEFT(AA913,2)="L0",LEFT(AA913,2)="L1",Y913="No Iniciado"),"CRÍTICO - Incumplimiento Normativo SEPS",IF(AND(OR(LEFT(AA913,2)="L4",LEFT(AA913,2)="L5"),AND(AC913&lt;&gt;"",AC913&lt;&gt;"N/A")),"CONFORME - Control Efectivo ISO 27001","OBSERVACIÓN - Revisar Controles")))</f>
        <v/>
      </c>
    </row>
    <row r="914">
      <c r="A914" s="99" t="inlineStr">
        <is>
          <t>91-GES</t>
        </is>
      </c>
      <c r="B914" s="10" t="inlineStr">
        <is>
          <t>ESTRATÉGICO</t>
        </is>
      </c>
      <c r="C914" s="10" t="inlineStr">
        <is>
          <t xml:space="preserve">Gestión Estratégica </t>
        </is>
      </c>
      <c r="D914" s="10" t="inlineStr">
        <is>
          <t>GES</t>
        </is>
      </c>
      <c r="E914" s="10" t="inlineStr">
        <is>
          <t xml:space="preserve">Gestión de Proyectos </t>
        </is>
      </c>
      <c r="F914" s="10" t="inlineStr">
        <is>
          <t>-</t>
        </is>
      </c>
      <c r="G914" s="10" t="inlineStr">
        <is>
          <t>Monitoreo y Control del Proyecto</t>
        </is>
      </c>
      <c r="H914" s="10" t="inlineStr">
        <is>
          <t>Matriz de planificación y seguimiento del Proyecto por sprints</t>
        </is>
      </c>
      <c r="I914" s="10" t="inlineStr">
        <is>
          <t>Planificación y Estimación del Proyecto</t>
        </is>
      </c>
      <c r="J914" s="10" t="inlineStr">
        <is>
          <t>GERENTE DE NEGOCIOS</t>
        </is>
      </c>
      <c r="K914" s="10" t="inlineStr">
        <is>
          <t>GERENTE DE NEGOCIOS</t>
        </is>
      </c>
      <c r="L914" s="10" t="inlineStr">
        <is>
          <t>UBICACIÓN DIGITAL-EQUIPO DEL CUSTODIO</t>
        </is>
      </c>
      <c r="M914" s="10" t="inlineStr">
        <is>
          <t>DOCUMENTO DE ARCHIVO-ELECTRÓNICO</t>
        </is>
      </c>
      <c r="N914" s="10" t="inlineStr">
        <is>
          <t>PRIMARIOS</t>
        </is>
      </c>
      <c r="O914" s="10" t="inlineStr">
        <is>
          <t>DOCUMENTOS TÉCNICOS</t>
        </is>
      </c>
      <c r="P914" s="10" t="inlineStr">
        <is>
          <t>PUBLICA(1)</t>
        </is>
      </c>
      <c r="Q914" s="10" t="inlineStr">
        <is>
          <t>BAJA(1)</t>
        </is>
      </c>
      <c r="R914" s="10" t="inlineStr">
        <is>
          <t>BAJA(1)</t>
        </is>
      </c>
      <c r="S914" s="10">
        <f>+(IF(P914="PUBLICA(1)",1,IF(P914="USO INTERNO(2)",2,IF(P914="RESTRINGIDO(3)",3,3))))+(IF(Q914="BAJA(1)",1,IF(Q914="MEDIA(2)",2,IF(Q914="ALTA(3)",3,3))))+(IF(R914="BAJA(1)",1,IF(R914="MEDIA(2)",2,IF(R914="ALTA(3)",3,3))))</f>
        <v/>
      </c>
      <c r="T914" s="10">
        <f>+IF(S914&lt;6,"BAJA",IF(S914&lt;8,"MEDIA","ALTA"))</f>
        <v/>
      </c>
      <c r="U914" s="10" t="inlineStr">
        <is>
          <t>-</t>
        </is>
      </c>
      <c r="V914" s="24" t="n">
        <v>45681</v>
      </c>
      <c r="W914" s="19" t="inlineStr">
        <is>
          <t>N/A</t>
        </is>
      </c>
      <c r="X914" s="10">
        <f>+IFERROR(IF(VLOOKUP(Tabla2[[#This Row],[ID]],'EVALUACION DE RIESGO'!A:A,1,FALSE)=Tabla2[[#This Row],[ID]],"SI","NO"),"NO")</f>
        <v/>
      </c>
      <c r="AD914">
        <f>IF(AND(Y914="",AA914=""),"",IF(OR(LEFT(AA914,2)="L0",LEFT(AA914,2)="L1",Y914="No Iniciado"),"CRÍTICO - Incumplimiento Normativo SEPS",IF(AND(OR(LEFT(AA914,2)="L4",LEFT(AA914,2)="L5"),AND(AC914&lt;&gt;"",AC914&lt;&gt;"N/A")),"CONFORME - Control Efectivo ISO 27001","OBSERVACIÓN - Revisar Controles")))</f>
        <v/>
      </c>
    </row>
    <row r="915">
      <c r="A915" s="99" t="inlineStr">
        <is>
          <t>92-GES</t>
        </is>
      </c>
      <c r="B915" s="10" t="inlineStr">
        <is>
          <t>ESTRATÉGICO</t>
        </is>
      </c>
      <c r="C915" s="10" t="inlineStr">
        <is>
          <t xml:space="preserve">Gestión Estratégica </t>
        </is>
      </c>
      <c r="D915" s="10" t="inlineStr">
        <is>
          <t>GES</t>
        </is>
      </c>
      <c r="E915" s="10" t="inlineStr">
        <is>
          <t xml:space="preserve">Gestión de Proyectos </t>
        </is>
      </c>
      <c r="F915" s="10" t="inlineStr">
        <is>
          <t>-</t>
        </is>
      </c>
      <c r="G915" s="10" t="inlineStr">
        <is>
          <t>Monitoreo y Control del Proyecto</t>
        </is>
      </c>
      <c r="H915" s="10" t="inlineStr">
        <is>
          <t>Informe de evaluación</t>
        </is>
      </c>
      <c r="I915" s="10" t="inlineStr">
        <is>
          <t>Cierre del proyecto</t>
        </is>
      </c>
      <c r="J915" s="10" t="inlineStr">
        <is>
          <t>GERENTE DE NEGOCIOS</t>
        </is>
      </c>
      <c r="K915" s="10" t="inlineStr">
        <is>
          <t>GERENTE DE NEGOCIOS</t>
        </is>
      </c>
      <c r="L915" s="10" t="inlineStr">
        <is>
          <t>UBICACIÓN DIGITAL-EQUIPO DEL CUSTODIO</t>
        </is>
      </c>
      <c r="M915" s="10" t="inlineStr">
        <is>
          <t>DOCUMENTO DE ARCHIVO-ELECTRÓNICO</t>
        </is>
      </c>
      <c r="N915" s="10" t="inlineStr">
        <is>
          <t>PRIMARIOS</t>
        </is>
      </c>
      <c r="O915" s="10" t="inlineStr">
        <is>
          <t>DOCUMENTOS TÉCNICOS</t>
        </is>
      </c>
      <c r="P915" s="10" t="inlineStr">
        <is>
          <t>PUBLICA(1)</t>
        </is>
      </c>
      <c r="Q915" s="10" t="inlineStr">
        <is>
          <t>BAJA(1)</t>
        </is>
      </c>
      <c r="R915" s="10" t="inlineStr">
        <is>
          <t>ALTA(3)</t>
        </is>
      </c>
      <c r="S915" s="10">
        <f>+(IF(P915="PUBLICA(1)",1,IF(P915="USO INTERNO(2)",2,IF(P915="RESTRINGIDO(3)",3,3))))+(IF(Q915="BAJA(1)",1,IF(Q915="MEDIA(2)",2,IF(Q915="ALTA(3)",3,3))))+(IF(R915="BAJA(1)",1,IF(R915="MEDIA(2)",2,IF(R915="ALTA(3)",3,3))))</f>
        <v/>
      </c>
      <c r="T915" s="10">
        <f>+IF(S915&lt;6,"BAJA",IF(S915&lt;8,"MEDIA","ALTA"))</f>
        <v/>
      </c>
      <c r="U915" s="10" t="inlineStr">
        <is>
          <t>-</t>
        </is>
      </c>
      <c r="V915" s="24" t="n">
        <v>45681</v>
      </c>
      <c r="W915" s="19" t="inlineStr">
        <is>
          <t>N/A</t>
        </is>
      </c>
      <c r="X915" s="10">
        <f>+IFERROR(IF(VLOOKUP(Tabla2[[#This Row],[ID]],'EVALUACION DE RIESGO'!A:A,1,FALSE)=Tabla2[[#This Row],[ID]],"SI","NO"),"NO")</f>
        <v/>
      </c>
      <c r="AD915">
        <f>IF(AND(Y915="",AA915=""),"",IF(OR(LEFT(AA915,2)="L0",LEFT(AA915,2)="L1",Y915="No Iniciado"),"CRÍTICO - Incumplimiento Normativo SEPS",IF(AND(OR(LEFT(AA915,2)="L4",LEFT(AA915,2)="L5"),AND(AC915&lt;&gt;"",AC915&lt;&gt;"N/A")),"CONFORME - Control Efectivo ISO 27001","OBSERVACIÓN - Revisar Controles")))</f>
        <v/>
      </c>
    </row>
    <row r="916">
      <c r="A916" s="99" t="inlineStr">
        <is>
          <t>93-GES</t>
        </is>
      </c>
      <c r="B916" s="10" t="inlineStr">
        <is>
          <t>ESTRATÉGICO</t>
        </is>
      </c>
      <c r="C916" s="10" t="inlineStr">
        <is>
          <t xml:space="preserve">Gestión Estratégica </t>
        </is>
      </c>
      <c r="D916" s="10" t="inlineStr">
        <is>
          <t>GES</t>
        </is>
      </c>
      <c r="E916" s="10" t="inlineStr">
        <is>
          <t xml:space="preserve">Gestión de Proyectos </t>
        </is>
      </c>
      <c r="F916" s="10" t="inlineStr">
        <is>
          <t>-</t>
        </is>
      </c>
      <c r="G916" s="10" t="inlineStr">
        <is>
          <t>Lanzamiento del Proyecto</t>
        </is>
      </c>
      <c r="H916" s="10" t="inlineStr">
        <is>
          <t>Plan de dirección del proyecto</t>
        </is>
      </c>
      <c r="I916" s="10" t="inlineStr">
        <is>
          <t>Inicio y planificación del proyecto</t>
        </is>
      </c>
      <c r="J916" s="10" t="inlineStr">
        <is>
          <t>GERENTE DE NEGOCIOS</t>
        </is>
      </c>
      <c r="K916" s="10" t="inlineStr">
        <is>
          <t>JEFE DE PLANIFICACIÓN Y PROCESOS</t>
        </is>
      </c>
      <c r="L916" s="10" t="inlineStr">
        <is>
          <t>UBICACIÓN DIGITAL-EQUIPO DEL CUSTODIO</t>
        </is>
      </c>
      <c r="M916" s="10" t="inlineStr">
        <is>
          <t>DOCUMENTO DE ARCHIVO-ELECTRÓNICO</t>
        </is>
      </c>
      <c r="N916" s="10" t="inlineStr">
        <is>
          <t>PRIMARIOS</t>
        </is>
      </c>
      <c r="O916" s="10" t="inlineStr">
        <is>
          <t>DOCUMENTOS TÉCNICOS</t>
        </is>
      </c>
      <c r="P916" s="10" t="inlineStr">
        <is>
          <t>PUBLICA(1)</t>
        </is>
      </c>
      <c r="Q916" s="10" t="inlineStr">
        <is>
          <t>BAJA(1)</t>
        </is>
      </c>
      <c r="R916" s="10" t="inlineStr">
        <is>
          <t>MEDIA(2)</t>
        </is>
      </c>
      <c r="S916" s="10">
        <f>+(IF(P916="PUBLICA(1)",1,IF(P916="USO INTERNO(2)",2,IF(P916="RESTRINGIDO(3)",3,3))))+(IF(Q916="BAJA(1)",1,IF(Q916="MEDIA(2)",2,IF(Q916="ALTA(3)",3,3))))+(IF(R916="BAJA(1)",1,IF(R916="MEDIA(2)",2,IF(R916="ALTA(3)",3,3))))</f>
        <v/>
      </c>
      <c r="T916" s="10">
        <f>+IF(S916&lt;6,"BAJA",IF(S916&lt;8,"MEDIA","ALTA"))</f>
        <v/>
      </c>
      <c r="U916" s="10" t="inlineStr">
        <is>
          <t>-</t>
        </is>
      </c>
      <c r="V916" s="24" t="n">
        <v>45681</v>
      </c>
      <c r="W916" s="19" t="inlineStr">
        <is>
          <t>N/A</t>
        </is>
      </c>
      <c r="X916" s="10">
        <f>+IFERROR(IF(VLOOKUP(Tabla2[[#This Row],[ID]],'EVALUACION DE RIESGO'!A:A,1,FALSE)=Tabla2[[#This Row],[ID]],"SI","NO"),"NO")</f>
        <v/>
      </c>
      <c r="AD916">
        <f>IF(AND(Y916="",AA916=""),"",IF(OR(LEFT(AA916,2)="L0",LEFT(AA916,2)="L1",Y916="No Iniciado"),"CRÍTICO - Incumplimiento Normativo SEPS",IF(AND(OR(LEFT(AA916,2)="L4",LEFT(AA916,2)="L5"),AND(AC916&lt;&gt;"",AC916&lt;&gt;"N/A")),"CONFORME - Control Efectivo ISO 27001","OBSERVACIÓN - Revisar Controles")))</f>
        <v/>
      </c>
    </row>
    <row r="917">
      <c r="A917" s="99" t="inlineStr">
        <is>
          <t>94-GES</t>
        </is>
      </c>
      <c r="B917" s="10" t="inlineStr">
        <is>
          <t>ESTRATÉGICO</t>
        </is>
      </c>
      <c r="C917" s="10" t="inlineStr">
        <is>
          <t xml:space="preserve">Gestión Estratégica </t>
        </is>
      </c>
      <c r="D917" s="10" t="inlineStr">
        <is>
          <t>GES</t>
        </is>
      </c>
      <c r="E917" s="10" t="inlineStr">
        <is>
          <t xml:space="preserve">Gestión de Proyectos </t>
        </is>
      </c>
      <c r="F917" s="10" t="inlineStr">
        <is>
          <t>-</t>
        </is>
      </c>
      <c r="G917" s="10" t="inlineStr">
        <is>
          <t>Lanzamiento del Proyecto</t>
        </is>
      </c>
      <c r="H917" s="10" t="inlineStr">
        <is>
          <t xml:space="preserve">Matriz de seguimiento al cumplimiento de proyectos </t>
        </is>
      </c>
      <c r="I917" s="10" t="inlineStr">
        <is>
          <t>Archivo</t>
        </is>
      </c>
      <c r="J917" s="10" t="inlineStr">
        <is>
          <t>GERENTE DE NEGOCIOS</t>
        </is>
      </c>
      <c r="K917" s="10" t="inlineStr">
        <is>
          <t>JEFE DE PLANIFICACIÓN Y PROCESOS</t>
        </is>
      </c>
      <c r="L917" s="10" t="inlineStr">
        <is>
          <t>UBICACIÓN DIGITAL-EQUIPO DEL CUSTODIO</t>
        </is>
      </c>
      <c r="M917" s="10" t="inlineStr">
        <is>
          <t>DOCUMENTO DE ARCHIVO-ELECTRÓNICO</t>
        </is>
      </c>
      <c r="N917" s="10" t="inlineStr">
        <is>
          <t>PRIMARIOS</t>
        </is>
      </c>
      <c r="O917" s="10" t="inlineStr">
        <is>
          <t>DOCUMENTOS TÉCNICOS</t>
        </is>
      </c>
      <c r="P917" s="10" t="inlineStr">
        <is>
          <t>PUBLICA(1)</t>
        </is>
      </c>
      <c r="Q917" s="10" t="inlineStr">
        <is>
          <t>BAJA(1)</t>
        </is>
      </c>
      <c r="R917" s="10" t="inlineStr">
        <is>
          <t>ALTA(3)</t>
        </is>
      </c>
      <c r="S917" s="10">
        <f>+(IF(P917="PUBLICA(1)",1,IF(P917="USO INTERNO(2)",2,IF(P917="RESTRINGIDO(3)",3,3))))+(IF(Q917="BAJA(1)",1,IF(Q917="MEDIA(2)",2,IF(Q917="ALTA(3)",3,3))))+(IF(R917="BAJA(1)",1,IF(R917="MEDIA(2)",2,IF(R917="ALTA(3)",3,3))))</f>
        <v/>
      </c>
      <c r="T917" s="10">
        <f>+IF(S917&lt;6,"BAJA",IF(S917&lt;8,"MEDIA","ALTA"))</f>
        <v/>
      </c>
      <c r="U917" s="10" t="inlineStr">
        <is>
          <t>-</t>
        </is>
      </c>
      <c r="V917" s="24" t="n">
        <v>45681</v>
      </c>
      <c r="W917" s="19" t="inlineStr">
        <is>
          <t>N/A</t>
        </is>
      </c>
      <c r="X917" s="10">
        <f>+IFERROR(IF(VLOOKUP(Tabla2[[#This Row],[ID]],'EVALUACION DE RIESGO'!A:A,1,FALSE)=Tabla2[[#This Row],[ID]],"SI","NO"),"NO")</f>
        <v/>
      </c>
      <c r="AD917">
        <f>IF(AND(Y917="",AA917=""),"",IF(OR(LEFT(AA917,2)="L0",LEFT(AA917,2)="L1",Y917="No Iniciado"),"CRÍTICO - Incumplimiento Normativo SEPS",IF(AND(OR(LEFT(AA917,2)="L4",LEFT(AA917,2)="L5"),AND(AC917&lt;&gt;"",AC917&lt;&gt;"N/A")),"CONFORME - Control Efectivo ISO 27001","OBSERVACIÓN - Revisar Controles")))</f>
        <v/>
      </c>
    </row>
    <row r="918">
      <c r="A918" s="99" t="inlineStr">
        <is>
          <t>95-GES</t>
        </is>
      </c>
      <c r="B918" s="10" t="inlineStr">
        <is>
          <t>ESTRATÉGICO</t>
        </is>
      </c>
      <c r="C918" s="10" t="inlineStr">
        <is>
          <t xml:space="preserve">Gestión Estratégica </t>
        </is>
      </c>
      <c r="D918" s="10" t="inlineStr">
        <is>
          <t>GES</t>
        </is>
      </c>
      <c r="E918" s="10" t="inlineStr">
        <is>
          <t xml:space="preserve">Gestión de Proyectos </t>
        </is>
      </c>
      <c r="F918" s="10" t="inlineStr">
        <is>
          <t>-</t>
        </is>
      </c>
      <c r="G918" s="10" t="inlineStr">
        <is>
          <t>Lanzamiento del Proyecto</t>
        </is>
      </c>
      <c r="H918" s="10" t="inlineStr">
        <is>
          <t>Informe de Gestión Mensual para Gerencia</t>
        </is>
      </c>
      <c r="I918" s="10" t="inlineStr">
        <is>
          <t>Archivo</t>
        </is>
      </c>
      <c r="J918" s="10" t="inlineStr">
        <is>
          <t>GERENTE DE NEGOCIOS</t>
        </is>
      </c>
      <c r="K918" s="10" t="inlineStr">
        <is>
          <t>JEFE DE PLANIFICACIÓN Y PROCESOS</t>
        </is>
      </c>
      <c r="L918" s="10" t="inlineStr">
        <is>
          <t>UBICACIÓN DIGITAL-EQUIPO DEL CUSTODIO</t>
        </is>
      </c>
      <c r="M918" s="10" t="inlineStr">
        <is>
          <t>DOCUMENTO DE ARCHIVO-ELECTRÓNICO</t>
        </is>
      </c>
      <c r="N918" s="10" t="inlineStr">
        <is>
          <t>PRIMARIOS</t>
        </is>
      </c>
      <c r="O918" s="10" t="inlineStr">
        <is>
          <t>DOCUMENTOS TÉCNICOS</t>
        </is>
      </c>
      <c r="P918" s="10" t="inlineStr">
        <is>
          <t>PUBLICA(1)</t>
        </is>
      </c>
      <c r="Q918" s="10" t="inlineStr">
        <is>
          <t>BAJA(1)</t>
        </is>
      </c>
      <c r="R918" s="10" t="inlineStr">
        <is>
          <t>ALTA(3)</t>
        </is>
      </c>
      <c r="S918" s="10">
        <f>+(IF(P918="PUBLICA(1)",1,IF(P918="USO INTERNO(2)",2,IF(P918="RESTRINGIDO(3)",3,3))))+(IF(Q918="BAJA(1)",1,IF(Q918="MEDIA(2)",2,IF(Q918="ALTA(3)",3,3))))+(IF(R918="BAJA(1)",1,IF(R918="MEDIA(2)",2,IF(R918="ALTA(3)",3,3))))</f>
        <v/>
      </c>
      <c r="T918" s="10">
        <f>+IF(S918&lt;6,"BAJA",IF(S918&lt;8,"MEDIA","ALTA"))</f>
        <v/>
      </c>
      <c r="U918" s="10" t="inlineStr">
        <is>
          <t>-</t>
        </is>
      </c>
      <c r="V918" s="24" t="n">
        <v>45681</v>
      </c>
      <c r="W918" s="19" t="inlineStr">
        <is>
          <t>N/A</t>
        </is>
      </c>
      <c r="X918" s="10">
        <f>+IFERROR(IF(VLOOKUP(Tabla2[[#This Row],[ID]],'EVALUACION DE RIESGO'!A:A,1,FALSE)=Tabla2[[#This Row],[ID]],"SI","NO"),"NO")</f>
        <v/>
      </c>
      <c r="AD918">
        <f>IF(AND(Y918="",AA918=""),"",IF(OR(LEFT(AA918,2)="L0",LEFT(AA918,2)="L1",Y918="No Iniciado"),"CRÍTICO - Incumplimiento Normativo SEPS",IF(AND(OR(LEFT(AA918,2)="L4",LEFT(AA918,2)="L5"),AND(AC918&lt;&gt;"",AC918&lt;&gt;"N/A")),"CONFORME - Control Efectivo ISO 27001","OBSERVACIÓN - Revisar Controles")))</f>
        <v/>
      </c>
    </row>
    <row r="919">
      <c r="A919" s="99" t="inlineStr">
        <is>
          <t>96-GES</t>
        </is>
      </c>
      <c r="B919" s="10" t="inlineStr">
        <is>
          <t>ESTRATÉGICO</t>
        </is>
      </c>
      <c r="C919" s="10" t="inlineStr">
        <is>
          <t xml:space="preserve">Gestión Estratégica </t>
        </is>
      </c>
      <c r="D919" s="10" t="inlineStr">
        <is>
          <t>GES</t>
        </is>
      </c>
      <c r="E919" s="10" t="inlineStr">
        <is>
          <t xml:space="preserve">Gestión de Proyectos </t>
        </is>
      </c>
      <c r="F919" s="10" t="inlineStr">
        <is>
          <t>-</t>
        </is>
      </c>
      <c r="G919" s="10" t="inlineStr">
        <is>
          <t>Otros Activos</t>
        </is>
      </c>
      <c r="H919" s="10" t="inlineStr">
        <is>
          <t>Resolución No. SB-2018-771</t>
        </is>
      </c>
      <c r="I919" s="10" t="inlineStr">
        <is>
          <t>Sección V.- Administración de Proyectos, Artículo 13</t>
        </is>
      </c>
      <c r="J919" s="10" t="inlineStr">
        <is>
          <t>JEFE DE PLANIFICACIÓN Y PROCESOS</t>
        </is>
      </c>
      <c r="K919" s="10" t="inlineStr">
        <is>
          <t>JEFE DE PLANIFICACIÓN Y PROCESOS</t>
        </is>
      </c>
      <c r="L919" s="10" t="inlineStr">
        <is>
          <t>UBICACIÓN DIGITAL-EQUIPO DEL CUSTODIO</t>
        </is>
      </c>
      <c r="M919" s="10" t="inlineStr">
        <is>
          <t>DOCUMENTO DE ARCHIVO-ELECTRÓNICO</t>
        </is>
      </c>
      <c r="N919" s="10" t="inlineStr">
        <is>
          <t>PRIMARIOS</t>
        </is>
      </c>
      <c r="O919" s="10" t="inlineStr">
        <is>
          <t>DOCUMENTOS TÉCNICOS</t>
        </is>
      </c>
      <c r="P919" s="10" t="inlineStr">
        <is>
          <t>PUBLICA(1)</t>
        </is>
      </c>
      <c r="Q919" s="10" t="inlineStr">
        <is>
          <t>BAJA(1)</t>
        </is>
      </c>
      <c r="R919" s="10" t="inlineStr">
        <is>
          <t>ALTA(3)</t>
        </is>
      </c>
      <c r="S919" s="10">
        <f>+(IF(P919="PUBLICA(1)",1,IF(P919="USO INTERNO(2)",2,IF(P919="RESTRINGIDO(3)",3,3))))+(IF(Q919="BAJA(1)",1,IF(Q919="MEDIA(2)",2,IF(Q919="ALTA(3)",3,3))))+(IF(R919="BAJA(1)",1,IF(R919="MEDIA(2)",2,IF(R919="ALTA(3)",3,3))))</f>
        <v/>
      </c>
      <c r="T919" s="10">
        <f>+IF(S919&lt;6,"BAJA",IF(S919&lt;8,"MEDIA","ALTA"))</f>
        <v/>
      </c>
      <c r="U919" s="10" t="inlineStr">
        <is>
          <t>-</t>
        </is>
      </c>
      <c r="V919" s="24" t="n">
        <v>45681</v>
      </c>
      <c r="W919" s="19" t="inlineStr">
        <is>
          <t>N/A</t>
        </is>
      </c>
      <c r="X919" s="10">
        <f>+IFERROR(IF(VLOOKUP(Tabla2[[#This Row],[ID]],'EVALUACION DE RIESGO'!A:A,1,FALSE)=Tabla2[[#This Row],[ID]],"SI","NO"),"NO")</f>
        <v/>
      </c>
      <c r="AD919">
        <f>IF(AND(Y919="",AA919=""),"",IF(OR(LEFT(AA919,2)="L0",LEFT(AA919,2)="L1",Y919="No Iniciado"),"CRÍTICO - Incumplimiento Normativo SEPS",IF(AND(OR(LEFT(AA919,2)="L4",LEFT(AA919,2)="L5"),AND(AC919&lt;&gt;"",AC919&lt;&gt;"N/A")),"CONFORME - Control Efectivo ISO 27001","OBSERVACIÓN - Revisar Controles")))</f>
        <v/>
      </c>
    </row>
    <row r="920">
      <c r="A920" s="99" t="inlineStr">
        <is>
          <t>97-GES</t>
        </is>
      </c>
      <c r="B920" s="10" t="inlineStr">
        <is>
          <t>ESTRATÉGICO</t>
        </is>
      </c>
      <c r="C920" s="10" t="inlineStr">
        <is>
          <t xml:space="preserve">Gestión Estratégica </t>
        </is>
      </c>
      <c r="D920" s="10" t="inlineStr">
        <is>
          <t>GES</t>
        </is>
      </c>
      <c r="E920" s="10" t="inlineStr">
        <is>
          <t xml:space="preserve">Gestión de Proyectos </t>
        </is>
      </c>
      <c r="F920" s="10" t="inlineStr">
        <is>
          <t>-</t>
        </is>
      </c>
      <c r="G920" s="10" t="inlineStr">
        <is>
          <t>Otros Activos</t>
        </is>
      </c>
      <c r="H920" s="10" t="inlineStr">
        <is>
          <t>Metodología PMBOK</t>
        </is>
      </c>
      <c r="I920" s="10" t="inlineStr">
        <is>
          <t>Todo el documento</t>
        </is>
      </c>
      <c r="J920" s="10" t="inlineStr">
        <is>
          <t>JEFE DE PLANIFICACIÓN Y PROCESOS</t>
        </is>
      </c>
      <c r="K920" s="10" t="inlineStr">
        <is>
          <t>JEFE DE PLANIFICACIÓN Y PROCESOS</t>
        </is>
      </c>
      <c r="L920" s="10" t="inlineStr">
        <is>
          <t>UBICACIÓN DIGITAL-EQUIPO DEL CUSTODIO</t>
        </is>
      </c>
      <c r="M920" s="10" t="inlineStr">
        <is>
          <t>DOCUMENTO DE ARCHIVO-ELECTRÓNICO</t>
        </is>
      </c>
      <c r="N920" s="10" t="inlineStr">
        <is>
          <t>PRIMARIOS</t>
        </is>
      </c>
      <c r="O920" s="10" t="inlineStr">
        <is>
          <t>DOCUMENTOS TÉCNICOS</t>
        </is>
      </c>
      <c r="P920" s="10" t="inlineStr">
        <is>
          <t>PUBLICA(1)</t>
        </is>
      </c>
      <c r="Q920" s="10" t="inlineStr">
        <is>
          <t>BAJA(1)</t>
        </is>
      </c>
      <c r="R920" s="10" t="inlineStr">
        <is>
          <t>BAJA(1)</t>
        </is>
      </c>
      <c r="S920" s="10">
        <f>+(IF(P920="PUBLICA(1)",1,IF(P920="USO INTERNO(2)",2,IF(P920="RESTRINGIDO(3)",3,3))))+(IF(Q920="BAJA(1)",1,IF(Q920="MEDIA(2)",2,IF(Q920="ALTA(3)",3,3))))+(IF(R920="BAJA(1)",1,IF(R920="MEDIA(2)",2,IF(R920="ALTA(3)",3,3))))</f>
        <v/>
      </c>
      <c r="T920" s="10">
        <f>+IF(S920&lt;6,"BAJA",IF(S920&lt;8,"MEDIA","ALTA"))</f>
        <v/>
      </c>
      <c r="U920" s="10" t="inlineStr">
        <is>
          <t>-</t>
        </is>
      </c>
      <c r="V920" s="24" t="n">
        <v>45681</v>
      </c>
      <c r="W920" s="19" t="inlineStr">
        <is>
          <t>N/A</t>
        </is>
      </c>
      <c r="X920" s="10">
        <f>+IFERROR(IF(VLOOKUP(Tabla2[[#This Row],[ID]],'EVALUACION DE RIESGO'!A:A,1,FALSE)=Tabla2[[#This Row],[ID]],"SI","NO"),"NO")</f>
        <v/>
      </c>
      <c r="AD920">
        <f>IF(AND(Y920="",AA920=""),"",IF(OR(LEFT(AA920,2)="L0",LEFT(AA920,2)="L1",Y920="No Iniciado"),"CRÍTICO - Incumplimiento Normativo SEPS",IF(AND(OR(LEFT(AA920,2)="L4",LEFT(AA920,2)="L5"),AND(AC920&lt;&gt;"",AC920&lt;&gt;"N/A")),"CONFORME - Control Efectivo ISO 27001","OBSERVACIÓN - Revisar Controles")))</f>
        <v/>
      </c>
    </row>
    <row r="921">
      <c r="A921" s="99" t="inlineStr">
        <is>
          <t>98-GES</t>
        </is>
      </c>
      <c r="B921" s="10" t="inlineStr">
        <is>
          <t>ESTRATÉGICO</t>
        </is>
      </c>
      <c r="C921" s="10" t="inlineStr">
        <is>
          <t xml:space="preserve">Gestión Estratégica </t>
        </is>
      </c>
      <c r="D921" s="10" t="inlineStr">
        <is>
          <t>GES</t>
        </is>
      </c>
      <c r="E921" s="10" t="inlineStr">
        <is>
          <t xml:space="preserve">Gestión de Proyectos </t>
        </is>
      </c>
      <c r="F921" s="10" t="inlineStr">
        <is>
          <t>-</t>
        </is>
      </c>
      <c r="G921" s="10" t="inlineStr">
        <is>
          <t>Otros Activos</t>
        </is>
      </c>
      <c r="H921" s="10" t="inlineStr">
        <is>
          <t>SCRUM study SBOK Guide 4th edition Spanish</t>
        </is>
      </c>
      <c r="I921" s="10" t="inlineStr">
        <is>
          <t>Todo el documento</t>
        </is>
      </c>
      <c r="J921" s="10" t="inlineStr">
        <is>
          <t>JEFE DE PLANIFICACIÓN Y PROCESOS</t>
        </is>
      </c>
      <c r="K921" s="10" t="inlineStr">
        <is>
          <t>JEFE DE PLANIFICACIÓN Y PROCESOS</t>
        </is>
      </c>
      <c r="L921" s="10" t="inlineStr">
        <is>
          <t>UBICACIÓN DIGITAL-EQUIPO DEL CUSTODIO</t>
        </is>
      </c>
      <c r="M921" s="10" t="inlineStr">
        <is>
          <t>DOCUMENTO DE ARCHIVO-ELECTRÓNICO</t>
        </is>
      </c>
      <c r="N921" s="10" t="inlineStr">
        <is>
          <t>PRIMARIOS</t>
        </is>
      </c>
      <c r="O921" s="10" t="inlineStr">
        <is>
          <t>DOCUMENTOS TÉCNICOS</t>
        </is>
      </c>
      <c r="P921" s="10" t="inlineStr">
        <is>
          <t>PUBLICA(1)</t>
        </is>
      </c>
      <c r="Q921" s="10" t="inlineStr">
        <is>
          <t>BAJA(1)</t>
        </is>
      </c>
      <c r="R921" s="10" t="inlineStr">
        <is>
          <t>BAJA(1)</t>
        </is>
      </c>
      <c r="S921" s="10">
        <f>+(IF(P921="PUBLICA(1)",1,IF(P921="USO INTERNO(2)",2,IF(P921="RESTRINGIDO(3)",3,3))))+(IF(Q921="BAJA(1)",1,IF(Q921="MEDIA(2)",2,IF(Q921="ALTA(3)",3,3))))+(IF(R921="BAJA(1)",1,IF(R921="MEDIA(2)",2,IF(R921="ALTA(3)",3,3))))</f>
        <v/>
      </c>
      <c r="T921" s="10">
        <f>+IF(S921&lt;6,"BAJA",IF(S921&lt;8,"MEDIA","ALTA"))</f>
        <v/>
      </c>
      <c r="U921" s="10" t="inlineStr">
        <is>
          <t>-</t>
        </is>
      </c>
      <c r="V921" s="24" t="n">
        <v>45681</v>
      </c>
      <c r="W921" s="19" t="inlineStr">
        <is>
          <t>N/A</t>
        </is>
      </c>
      <c r="X921" s="10">
        <f>+IFERROR(IF(VLOOKUP(Tabla2[[#This Row],[ID]],'EVALUACION DE RIESGO'!A:A,1,FALSE)=Tabla2[[#This Row],[ID]],"SI","NO"),"NO")</f>
        <v/>
      </c>
      <c r="AD921">
        <f>IF(AND(Y921="",AA921=""),"",IF(OR(LEFT(AA921,2)="L0",LEFT(AA921,2)="L1",Y921="No Iniciado"),"CRÍTICO - Incumplimiento Normativo SEPS",IF(AND(OR(LEFT(AA921,2)="L4",LEFT(AA921,2)="L5"),AND(AC921&lt;&gt;"",AC921&lt;&gt;"N/A")),"CONFORME - Control Efectivo ISO 27001","OBSERVACIÓN - Revisar Controles")))</f>
        <v/>
      </c>
    </row>
    <row r="922">
      <c r="A922" s="99" t="inlineStr">
        <is>
          <t>99-GES</t>
        </is>
      </c>
      <c r="B922" s="10" t="inlineStr">
        <is>
          <t>ESTRATÉGICO</t>
        </is>
      </c>
      <c r="C922" s="10" t="inlineStr">
        <is>
          <t xml:space="preserve">Gestión Estratégica </t>
        </is>
      </c>
      <c r="D922" s="10" t="inlineStr">
        <is>
          <t>GES</t>
        </is>
      </c>
      <c r="E922" s="10" t="inlineStr">
        <is>
          <t xml:space="preserve">Gestión de Proyectos </t>
        </is>
      </c>
      <c r="F922" s="10" t="inlineStr">
        <is>
          <t>-</t>
        </is>
      </c>
      <c r="G922" s="10" t="inlineStr">
        <is>
          <t>Otros Activos</t>
        </is>
      </c>
      <c r="H922" s="10" t="inlineStr">
        <is>
          <t xml:space="preserve">Metodología para la Gestión de Proyectos </t>
        </is>
      </c>
      <c r="I922" s="10" t="inlineStr">
        <is>
          <t>Todo el documento</t>
        </is>
      </c>
      <c r="J922" s="10" t="inlineStr">
        <is>
          <t>JEFE DE PLANIFICACIÓN Y PROCESOS</t>
        </is>
      </c>
      <c r="K922" s="10" t="inlineStr">
        <is>
          <t>JEFE DE PLANIFICACIÓN Y PROCESOS</t>
        </is>
      </c>
      <c r="L922" s="10" t="inlineStr">
        <is>
          <t>UBICACIÓN DIGITAL-EQUIPO DEL CUSTODIO</t>
        </is>
      </c>
      <c r="M922" s="10" t="inlineStr">
        <is>
          <t>DOCUMENTO DE ARCHIVO-ELECTRÓNICO</t>
        </is>
      </c>
      <c r="N922" s="10" t="inlineStr">
        <is>
          <t>PRIMARIOS</t>
        </is>
      </c>
      <c r="O922" s="10" t="inlineStr">
        <is>
          <t>DOCUMENTOS TÉCNICOS</t>
        </is>
      </c>
      <c r="P922" s="10" t="inlineStr">
        <is>
          <t>PUBLICA(1)</t>
        </is>
      </c>
      <c r="Q922" s="10" t="inlineStr">
        <is>
          <t>BAJA(1)</t>
        </is>
      </c>
      <c r="R922" s="10" t="inlineStr">
        <is>
          <t>BAJA(1)</t>
        </is>
      </c>
      <c r="S922" s="10">
        <f>+(IF(P922="PUBLICA(1)",1,IF(P922="USO INTERNO(2)",2,IF(P922="RESTRINGIDO(3)",3,3))))+(IF(Q922="BAJA(1)",1,IF(Q922="MEDIA(2)",2,IF(Q922="ALTA(3)",3,3))))+(IF(R922="BAJA(1)",1,IF(R922="MEDIA(2)",2,IF(R922="ALTA(3)",3,3))))</f>
        <v/>
      </c>
      <c r="T922" s="10">
        <f>+IF(S922&lt;6,"BAJA",IF(S922&lt;8,"MEDIA","ALTA"))</f>
        <v/>
      </c>
      <c r="U922" s="10" t="inlineStr">
        <is>
          <t>-</t>
        </is>
      </c>
      <c r="V922" s="24" t="n">
        <v>45681</v>
      </c>
      <c r="W922" s="19" t="inlineStr">
        <is>
          <t>N/A</t>
        </is>
      </c>
      <c r="X922" s="10">
        <f>+IFERROR(IF(VLOOKUP(Tabla2[[#This Row],[ID]],'EVALUACION DE RIESGO'!A:A,1,FALSE)=Tabla2[[#This Row],[ID]],"SI","NO"),"NO")</f>
        <v/>
      </c>
      <c r="AD922">
        <f>IF(AND(Y922="",AA922=""),"",IF(OR(LEFT(AA922,2)="L0",LEFT(AA922,2)="L1",Y922="No Iniciado"),"CRÍTICO - Incumplimiento Normativo SEPS",IF(AND(OR(LEFT(AA922,2)="L4",LEFT(AA922,2)="L5"),AND(AC922&lt;&gt;"",AC922&lt;&gt;"N/A")),"CONFORME - Control Efectivo ISO 27001","OBSERVACIÓN - Revisar Controles")))</f>
        <v/>
      </c>
    </row>
    <row r="923">
      <c r="A923" s="99" t="inlineStr">
        <is>
          <t>1-GFI</t>
        </is>
      </c>
      <c r="B923" s="10" t="inlineStr">
        <is>
          <t>APOYO</t>
        </is>
      </c>
      <c r="C923" s="10" t="inlineStr">
        <is>
          <t>Gestión Financiera</t>
        </is>
      </c>
      <c r="D923" s="10" t="inlineStr">
        <is>
          <t>GFI</t>
        </is>
      </c>
      <c r="E923" s="10" t="inlineStr">
        <is>
          <t>Gestión Contable</t>
        </is>
      </c>
      <c r="F923" s="10" t="inlineStr">
        <is>
          <t>-</t>
        </is>
      </c>
      <c r="G923" s="10" t="inlineStr">
        <is>
          <t xml:space="preserve">Registro Contable Diario  </t>
        </is>
      </c>
      <c r="H923" s="10" t="inlineStr">
        <is>
          <t>Registro y Comprobante Contable Diario</t>
        </is>
      </c>
      <c r="I923" s="10" t="inlineStr">
        <is>
          <t>Consolida las transacciones diarias que se generan en el día</t>
        </is>
      </c>
      <c r="J923" s="10" t="inlineStr">
        <is>
          <t>Contador General</t>
        </is>
      </c>
      <c r="K923" s="10" t="inlineStr">
        <is>
          <t>ASIS CONTABLE / ANALISTA CONTABLE</t>
        </is>
      </c>
      <c r="L923" s="10" t="inlineStr">
        <is>
          <t>DOCUMENTOS FISICOS-ARCHIVOS DE LA OFICINA</t>
        </is>
      </c>
      <c r="M923" s="10" t="inlineStr">
        <is>
          <t>ARCHIVOS INSTITUCIONALES-FÍSICOS</t>
        </is>
      </c>
      <c r="N923" s="10" t="inlineStr">
        <is>
          <t>PRIMARIOS</t>
        </is>
      </c>
      <c r="O923" s="10" t="inlineStr">
        <is>
          <t>INFORMACIÓN DE SOCIOS Y CLIENTES</t>
        </is>
      </c>
      <c r="P923" s="10" t="inlineStr">
        <is>
          <t>RESTRINGIDO(3)</t>
        </is>
      </c>
      <c r="Q923" s="10" t="inlineStr">
        <is>
          <t>MEDIA(2)</t>
        </is>
      </c>
      <c r="R923" s="10" t="inlineStr">
        <is>
          <t>MEDIA(2)</t>
        </is>
      </c>
      <c r="S923" s="10">
        <f>+(IF(P923="PUBLICA(1)",1,IF(P923="USO INTERNO(2)",2,IF(P923="RESTRINGIDO(3)",3,3))))+(IF(Q923="BAJA(1)",1,IF(Q923="MEDIA(2)",2,IF(Q923="ALTA(3)",3,3))))+(IF(R923="BAJA(1)",1,IF(R923="MEDIA(2)",2,IF(R923="ALTA(3)",3,3))))</f>
        <v/>
      </c>
      <c r="T923" s="10">
        <f>+IF(S923&lt;6,"BAJA",IF(S923&lt;8,"MEDIA","ALTA"))</f>
        <v/>
      </c>
      <c r="U923" s="10" t="inlineStr">
        <is>
          <t>-</t>
        </is>
      </c>
      <c r="V923" s="24" t="n">
        <v>45673</v>
      </c>
      <c r="W923" s="19" t="inlineStr">
        <is>
          <t>N/A</t>
        </is>
      </c>
      <c r="X923" s="10">
        <f>+IFERROR(IF(VLOOKUP(Tabla2[[#This Row],[ID]],'EVALUACION DE RIESGO'!A:A,1,FALSE)=Tabla2[[#This Row],[ID]],"SI","NO"),"NO")</f>
        <v/>
      </c>
      <c r="AD923">
        <f>IF(AND(Y923="",AA923=""),"",IF(OR(LEFT(AA923,2)="L0",LEFT(AA923,2)="L1",Y923="No Iniciado"),"CRÍTICO - Incumplimiento Normativo SEPS",IF(AND(OR(LEFT(AA923,2)="L4",LEFT(AA923,2)="L5"),AND(AC923&lt;&gt;"",AC923&lt;&gt;"N/A")),"CONFORME - Control Efectivo ISO 27001","OBSERVACIÓN - Revisar Controles")))</f>
        <v/>
      </c>
    </row>
    <row r="924">
      <c r="A924" s="99" t="inlineStr">
        <is>
          <t>2-GFI</t>
        </is>
      </c>
      <c r="B924" s="10" t="inlineStr">
        <is>
          <t>APOYO</t>
        </is>
      </c>
      <c r="C924" s="10" t="inlineStr">
        <is>
          <t>Gestión Financiera</t>
        </is>
      </c>
      <c r="D924" s="10" t="inlineStr">
        <is>
          <t>GFI</t>
        </is>
      </c>
      <c r="E924" s="10" t="inlineStr">
        <is>
          <t>Gestión Contable</t>
        </is>
      </c>
      <c r="F924" s="10" t="inlineStr">
        <is>
          <t>-</t>
        </is>
      </c>
      <c r="G924" s="10" t="inlineStr">
        <is>
          <t xml:space="preserve">Registro Contable Diario  </t>
        </is>
      </c>
      <c r="H924" s="10" t="inlineStr">
        <is>
          <t>Mayor contable diario</t>
        </is>
      </c>
      <c r="I924" s="10" t="inlineStr">
        <is>
          <t>Información (Trx 124023 ) del sistema para visualizar transacciones cuentas contables y madre</t>
        </is>
      </c>
      <c r="J924" s="10" t="inlineStr">
        <is>
          <t>Contador General</t>
        </is>
      </c>
      <c r="K924" s="10" t="inlineStr">
        <is>
          <t>AREA CONTABLE</t>
        </is>
      </c>
      <c r="L924" s="10" t="inlineStr">
        <is>
          <t>UBICACIÓN DIGITAL-CORE FINANCIERO</t>
        </is>
      </c>
      <c r="M924" s="10" t="inlineStr">
        <is>
          <t>SISTEMAS DE INFORMACIÓN CORPORATIVOS</t>
        </is>
      </c>
      <c r="N924" s="10" t="inlineStr">
        <is>
          <t>APOYO</t>
        </is>
      </c>
      <c r="O924" s="10" t="inlineStr">
        <is>
          <t>OTROS</t>
        </is>
      </c>
      <c r="P924" s="10" t="inlineStr">
        <is>
          <t>RESTRINGIDO(3)</t>
        </is>
      </c>
      <c r="Q924" s="10" t="inlineStr">
        <is>
          <t>MEDIA(2)</t>
        </is>
      </c>
      <c r="R924" s="10" t="inlineStr">
        <is>
          <t>MEDIA(2)</t>
        </is>
      </c>
      <c r="S924" s="10">
        <f>+(IF(P924="PUBLICA(1)",1,IF(P924="USO INTERNO(2)",2,IF(P924="RESTRINGIDO(3)",3,3))))+(IF(Q924="BAJA(1)",1,IF(Q924="MEDIA(2)",2,IF(Q924="ALTA(3)",3,3))))+(IF(R924="BAJA(1)",1,IF(R924="MEDIA(2)",2,IF(R924="ALTA(3)",3,3))))</f>
        <v/>
      </c>
      <c r="T924" s="10">
        <f>+IF(S924&lt;6,"BAJA",IF(S924&lt;8,"MEDIA","ALTA"))</f>
        <v/>
      </c>
      <c r="U924" s="10" t="inlineStr">
        <is>
          <t>-</t>
        </is>
      </c>
      <c r="V924" s="24" t="n">
        <v>45673</v>
      </c>
      <c r="W924" s="19" t="inlineStr">
        <is>
          <t>N/A</t>
        </is>
      </c>
      <c r="X924" s="10">
        <f>+IFERROR(IF(VLOOKUP(Tabla2[[#This Row],[ID]],'EVALUACION DE RIESGO'!A:A,1,FALSE)=Tabla2[[#This Row],[ID]],"SI","NO"),"NO")</f>
        <v/>
      </c>
      <c r="AD924">
        <f>IF(AND(Y924="",AA924=""),"",IF(OR(LEFT(AA924,2)="L0",LEFT(AA924,2)="L1",Y924="No Iniciado"),"CRÍTICO - Incumplimiento Normativo SEPS",IF(AND(OR(LEFT(AA924,2)="L4",LEFT(AA924,2)="L5"),AND(AC924&lt;&gt;"",AC924&lt;&gt;"N/A")),"CONFORME - Control Efectivo ISO 27001","OBSERVACIÓN - Revisar Controles")))</f>
        <v/>
      </c>
    </row>
    <row r="925">
      <c r="A925" s="99" t="inlineStr">
        <is>
          <t>3-GFI</t>
        </is>
      </c>
      <c r="B925" s="10" t="inlineStr">
        <is>
          <t>APOYO</t>
        </is>
      </c>
      <c r="C925" s="10" t="inlineStr">
        <is>
          <t>Gestión Financiera</t>
        </is>
      </c>
      <c r="D925" s="10" t="inlineStr">
        <is>
          <t>GFI</t>
        </is>
      </c>
      <c r="E925" s="10" t="inlineStr">
        <is>
          <t>Gestión Contable</t>
        </is>
      </c>
      <c r="F925" s="10" t="inlineStr">
        <is>
          <t>-</t>
        </is>
      </c>
      <c r="G925" s="10" t="inlineStr">
        <is>
          <t xml:space="preserve">Registro Contable Mensual   </t>
        </is>
      </c>
      <c r="H925" s="10" t="inlineStr">
        <is>
          <t>Registro y comprobante contable mensual</t>
        </is>
      </c>
      <c r="I925" s="10" t="inlineStr">
        <is>
          <t>Consolida las transacciones diarias que se generan en el mes, similar al registro contable diario</t>
        </is>
      </c>
      <c r="J925" s="10" t="inlineStr">
        <is>
          <t>Contador General</t>
        </is>
      </c>
      <c r="K925" s="10" t="inlineStr">
        <is>
          <t>AREA CONTABLE</t>
        </is>
      </c>
      <c r="L925" s="10" t="inlineStr">
        <is>
          <t>DOCUMENTOS FISICOS-ARCHIVOS DE LA OFICINA</t>
        </is>
      </c>
      <c r="M925" s="10" t="inlineStr">
        <is>
          <t>ARCHIVOS INSTITUCIONALES-FÍSICOS</t>
        </is>
      </c>
      <c r="N925" s="10" t="inlineStr">
        <is>
          <t>APOYO</t>
        </is>
      </c>
      <c r="O925" s="10" t="inlineStr">
        <is>
          <t>OTROS</t>
        </is>
      </c>
      <c r="P925" s="10" t="inlineStr">
        <is>
          <t>RESTRINGIDO(3)</t>
        </is>
      </c>
      <c r="Q925" s="10" t="inlineStr">
        <is>
          <t>MEDIA(2)</t>
        </is>
      </c>
      <c r="R925" s="10" t="inlineStr">
        <is>
          <t>MEDIA(2)</t>
        </is>
      </c>
      <c r="S925" s="10">
        <f>+(IF(P925="PUBLICA(1)",1,IF(P925="USO INTERNO(2)",2,IF(P925="RESTRINGIDO(3)",3,3))))+(IF(Q925="BAJA(1)",1,IF(Q925="MEDIA(2)",2,IF(Q925="ALTA(3)",3,3))))+(IF(R925="BAJA(1)",1,IF(R925="MEDIA(2)",2,IF(R925="ALTA(3)",3,3))))</f>
        <v/>
      </c>
      <c r="T925" s="10">
        <f>+IF(S925&lt;6,"BAJA",IF(S925&lt;8,"MEDIA","ALTA"))</f>
        <v/>
      </c>
      <c r="U925" s="10" t="inlineStr">
        <is>
          <t>-</t>
        </is>
      </c>
      <c r="V925" s="24" t="n">
        <v>45673</v>
      </c>
      <c r="W925" s="19" t="inlineStr">
        <is>
          <t>N/A</t>
        </is>
      </c>
      <c r="X925" s="10">
        <f>+IFERROR(IF(VLOOKUP(Tabla2[[#This Row],[ID]],'EVALUACION DE RIESGO'!A:A,1,FALSE)=Tabla2[[#This Row],[ID]],"SI","NO"),"NO")</f>
        <v/>
      </c>
      <c r="AD925">
        <f>IF(AND(Y925="",AA925=""),"",IF(OR(LEFT(AA925,2)="L0",LEFT(AA925,2)="L1",Y925="No Iniciado"),"CRÍTICO - Incumplimiento Normativo SEPS",IF(AND(OR(LEFT(AA925,2)="L4",LEFT(AA925,2)="L5"),AND(AC925&lt;&gt;"",AC925&lt;&gt;"N/A")),"CONFORME - Control Efectivo ISO 27001","OBSERVACIÓN - Revisar Controles")))</f>
        <v/>
      </c>
    </row>
    <row r="926">
      <c r="A926" s="99" t="inlineStr">
        <is>
          <t>4-GFI</t>
        </is>
      </c>
      <c r="B926" s="10" t="inlineStr">
        <is>
          <t>APOYO</t>
        </is>
      </c>
      <c r="C926" s="10" t="inlineStr">
        <is>
          <t>Gestión Financiera</t>
        </is>
      </c>
      <c r="D926" s="10" t="inlineStr">
        <is>
          <t>GFI</t>
        </is>
      </c>
      <c r="E926" s="10" t="inlineStr">
        <is>
          <t>Gestión Contable</t>
        </is>
      </c>
      <c r="F926" s="10" t="inlineStr">
        <is>
          <t>-</t>
        </is>
      </c>
      <c r="G926" s="10" t="inlineStr">
        <is>
          <t xml:space="preserve">Registro Contable Mensual   </t>
        </is>
      </c>
      <c r="H926" s="10" t="inlineStr">
        <is>
          <t>Mayor contable mensual</t>
        </is>
      </c>
      <c r="I926" s="10" t="inlineStr">
        <is>
          <t>Información (Trx 124023 ) del sistema para visualizar transacciones cuentas contables y madre, similar al mayor contable diario</t>
        </is>
      </c>
      <c r="J926" s="10" t="inlineStr">
        <is>
          <t>Contador General</t>
        </is>
      </c>
      <c r="K926" s="10" t="inlineStr">
        <is>
          <t>AREA CONTABLE</t>
        </is>
      </c>
      <c r="L926" s="10" t="inlineStr">
        <is>
          <t>DOCUMENTOS FISICOS-ARCHIVOS DE LA OFICINA</t>
        </is>
      </c>
      <c r="M926" s="10" t="inlineStr">
        <is>
          <t>ARCHIVOS INSTITUCIONALES-FÍSICOS</t>
        </is>
      </c>
      <c r="N926" s="10" t="inlineStr">
        <is>
          <t>APOYO</t>
        </is>
      </c>
      <c r="O926" s="10" t="inlineStr">
        <is>
          <t>OTROS</t>
        </is>
      </c>
      <c r="P926" s="10" t="inlineStr">
        <is>
          <t>RESTRINGIDO(3)</t>
        </is>
      </c>
      <c r="Q926" s="10" t="inlineStr">
        <is>
          <t>MEDIA(2)</t>
        </is>
      </c>
      <c r="R926" s="10" t="inlineStr">
        <is>
          <t>MEDIA(2)</t>
        </is>
      </c>
      <c r="S926" s="10">
        <f>+(IF(P926="PUBLICA(1)",1,IF(P926="USO INTERNO(2)",2,IF(P926="RESTRINGIDO(3)",3,3))))+(IF(Q926="BAJA(1)",1,IF(Q926="MEDIA(2)",2,IF(Q926="ALTA(3)",3,3))))+(IF(R926="BAJA(1)",1,IF(R926="MEDIA(2)",2,IF(R926="ALTA(3)",3,3))))</f>
        <v/>
      </c>
      <c r="T926" s="10">
        <f>+IF(S926&lt;6,"BAJA",IF(S926&lt;8,"MEDIA","ALTA"))</f>
        <v/>
      </c>
      <c r="U926" s="10" t="inlineStr">
        <is>
          <t>-</t>
        </is>
      </c>
      <c r="V926" s="24" t="n">
        <v>45673</v>
      </c>
      <c r="W926" s="19" t="inlineStr">
        <is>
          <t>N/A</t>
        </is>
      </c>
      <c r="X926" s="10">
        <f>+IFERROR(IF(VLOOKUP(Tabla2[[#This Row],[ID]],'EVALUACION DE RIESGO'!A:A,1,FALSE)=Tabla2[[#This Row],[ID]],"SI","NO"),"NO")</f>
        <v/>
      </c>
      <c r="AD926">
        <f>IF(AND(Y926="",AA926=""),"",IF(OR(LEFT(AA926,2)="L0",LEFT(AA926,2)="L1",Y926="No Iniciado"),"CRÍTICO - Incumplimiento Normativo SEPS",IF(AND(OR(LEFT(AA926,2)="L4",LEFT(AA926,2)="L5"),AND(AC926&lt;&gt;"",AC926&lt;&gt;"N/A")),"CONFORME - Control Efectivo ISO 27001","OBSERVACIÓN - Revisar Controles")))</f>
        <v/>
      </c>
    </row>
    <row r="927">
      <c r="A927" s="99" t="inlineStr">
        <is>
          <t>5-GFI</t>
        </is>
      </c>
      <c r="B927" s="10" t="inlineStr">
        <is>
          <t>APOYO</t>
        </is>
      </c>
      <c r="C927" s="10" t="inlineStr">
        <is>
          <t>Gestión Financiera</t>
        </is>
      </c>
      <c r="D927" s="10" t="inlineStr">
        <is>
          <t>GFI</t>
        </is>
      </c>
      <c r="E927" s="10" t="inlineStr">
        <is>
          <t>Gestión Contable</t>
        </is>
      </c>
      <c r="F927" s="10" t="inlineStr">
        <is>
          <t>-</t>
        </is>
      </c>
      <c r="G927" s="10" t="inlineStr">
        <is>
          <t>Registro de Ajustes Contables y Reclasificaciones</t>
        </is>
      </c>
      <c r="H927" s="10" t="inlineStr">
        <is>
          <t>Registro contable de ajustes</t>
        </is>
      </c>
      <c r="I927" s="10" t="inlineStr">
        <is>
          <t xml:space="preserve">Formulario interno donde se registran los ajustes contables requeridos al área </t>
        </is>
      </c>
      <c r="J927" s="10" t="inlineStr">
        <is>
          <t>Contador General</t>
        </is>
      </c>
      <c r="K927" s="10" t="inlineStr">
        <is>
          <t>Contador General</t>
        </is>
      </c>
      <c r="L927" s="10" t="inlineStr">
        <is>
          <t>UBICACIÓN DIGITAL-EQUIPO DEL CUSTODIO</t>
        </is>
      </c>
      <c r="M927" s="10" t="inlineStr">
        <is>
          <t>DOCUMENTO DE ARCHIVO-FÍSICO</t>
        </is>
      </c>
      <c r="N927" s="10" t="inlineStr">
        <is>
          <t>PRIMARIOS</t>
        </is>
      </c>
      <c r="O927" s="10" t="inlineStr">
        <is>
          <t>DOCUMENTOS HABILITANTES</t>
        </is>
      </c>
      <c r="P927" s="10" t="inlineStr">
        <is>
          <t>RESTRINGIDO(3)</t>
        </is>
      </c>
      <c r="Q927" s="10" t="inlineStr">
        <is>
          <t>MEDIA(2)</t>
        </is>
      </c>
      <c r="R927" s="10" t="inlineStr">
        <is>
          <t>MEDIA(2)</t>
        </is>
      </c>
      <c r="S927" s="10">
        <f>+(IF(P927="PUBLICA(1)",1,IF(P927="USO INTERNO(2)",2,IF(P927="RESTRINGIDO(3)",3,3))))+(IF(Q927="BAJA(1)",1,IF(Q927="MEDIA(2)",2,IF(Q927="ALTA(3)",3,3))))+(IF(R927="BAJA(1)",1,IF(R927="MEDIA(2)",2,IF(R927="ALTA(3)",3,3))))</f>
        <v/>
      </c>
      <c r="T927" s="10">
        <f>+IF(S927&lt;6,"BAJA",IF(S927&lt;8,"MEDIA","ALTA"))</f>
        <v/>
      </c>
      <c r="U927" s="10" t="inlineStr">
        <is>
          <t>-</t>
        </is>
      </c>
      <c r="V927" s="24" t="n">
        <v>45673</v>
      </c>
      <c r="W927" s="19" t="inlineStr">
        <is>
          <t>N/A</t>
        </is>
      </c>
      <c r="X927" s="10">
        <f>+IFERROR(IF(VLOOKUP(Tabla2[[#This Row],[ID]],'EVALUACION DE RIESGO'!A:A,1,FALSE)=Tabla2[[#This Row],[ID]],"SI","NO"),"NO")</f>
        <v/>
      </c>
      <c r="AD927">
        <f>IF(AND(Y927="",AA927=""),"",IF(OR(LEFT(AA927,2)="L0",LEFT(AA927,2)="L1",Y927="No Iniciado"),"CRÍTICO - Incumplimiento Normativo SEPS",IF(AND(OR(LEFT(AA927,2)="L4",LEFT(AA927,2)="L5"),AND(AC927&lt;&gt;"",AC927&lt;&gt;"N/A")),"CONFORME - Control Efectivo ISO 27001","OBSERVACIÓN - Revisar Controles")))</f>
        <v/>
      </c>
    </row>
    <row r="928">
      <c r="A928" s="99" t="inlineStr">
        <is>
          <t>6-GFI</t>
        </is>
      </c>
      <c r="B928" s="10" t="inlineStr">
        <is>
          <t>APOYO</t>
        </is>
      </c>
      <c r="C928" s="10" t="inlineStr">
        <is>
          <t>Gestión Financiera</t>
        </is>
      </c>
      <c r="D928" s="10" t="inlineStr">
        <is>
          <t>GFI</t>
        </is>
      </c>
      <c r="E928" s="10" t="inlineStr">
        <is>
          <t>Gestión Contable</t>
        </is>
      </c>
      <c r="F928" s="10" t="inlineStr">
        <is>
          <t>-</t>
        </is>
      </c>
      <c r="G928" s="10" t="inlineStr">
        <is>
          <t>Registro de Ajustes Contables y Reclasificaciones</t>
        </is>
      </c>
      <c r="H928" s="10" t="inlineStr">
        <is>
          <t>Comprobante contable de ajustes</t>
        </is>
      </c>
      <c r="I928" s="10" t="inlineStr">
        <is>
          <t>Registro y Comprobante en función al ajuste solicitado</t>
        </is>
      </c>
      <c r="J928" s="10" t="inlineStr">
        <is>
          <t>Contador General</t>
        </is>
      </c>
      <c r="K928" s="10" t="inlineStr">
        <is>
          <t>ANALISTA CONTABLE / ASIS CONTABLE</t>
        </is>
      </c>
      <c r="L928" s="10" t="inlineStr">
        <is>
          <t>DOCUMENTOS FISICOS-ARCHIVOS DE LA OFICINA</t>
        </is>
      </c>
      <c r="M928" s="10" t="inlineStr">
        <is>
          <t>DOCUMENTO DE ARCHIVO-FÍSICO</t>
        </is>
      </c>
      <c r="N928" s="10" t="inlineStr">
        <is>
          <t>PRIMARIOS</t>
        </is>
      </c>
      <c r="O928" s="10" t="inlineStr">
        <is>
          <t>COMUNICACIÓN INTERNA</t>
        </is>
      </c>
      <c r="P928" s="10" t="inlineStr">
        <is>
          <t>USO INTERNO(2)</t>
        </is>
      </c>
      <c r="Q928" s="10" t="inlineStr">
        <is>
          <t>BAJA(1)</t>
        </is>
      </c>
      <c r="R928" s="10" t="inlineStr">
        <is>
          <t>MEDIA(2)</t>
        </is>
      </c>
      <c r="S928" s="10">
        <f>+(IF(P928="PUBLICA(1)",1,IF(P928="USO INTERNO(2)",2,IF(P928="RESTRINGIDO(3)",3,3))))+(IF(Q928="BAJA(1)",1,IF(Q928="MEDIA(2)",2,IF(Q928="ALTA(3)",3,3))))+(IF(R928="BAJA(1)",1,IF(R928="MEDIA(2)",2,IF(R928="ALTA(3)",3,3))))</f>
        <v/>
      </c>
      <c r="T928" s="10">
        <f>+IF(S928&lt;6,"BAJA",IF(S928&lt;8,"MEDIA","ALTA"))</f>
        <v/>
      </c>
      <c r="U928" s="10" t="inlineStr">
        <is>
          <t>-</t>
        </is>
      </c>
      <c r="V928" s="24" t="n">
        <v>45673</v>
      </c>
      <c r="W928" s="19" t="inlineStr">
        <is>
          <t>N/A</t>
        </is>
      </c>
      <c r="X928" s="10">
        <f>+IFERROR(IF(VLOOKUP(Tabla2[[#This Row],[ID]],'EVALUACION DE RIESGO'!A:A,1,FALSE)=Tabla2[[#This Row],[ID]],"SI","NO"),"NO")</f>
        <v/>
      </c>
      <c r="AD928">
        <f>IF(AND(Y928="",AA928=""),"",IF(OR(LEFT(AA928,2)="L0",LEFT(AA928,2)="L1",Y928="No Iniciado"),"CRÍTICO - Incumplimiento Normativo SEPS",IF(AND(OR(LEFT(AA928,2)="L4",LEFT(AA928,2)="L5"),AND(AC928&lt;&gt;"",AC928&lt;&gt;"N/A")),"CONFORME - Control Efectivo ISO 27001","OBSERVACIÓN - Revisar Controles")))</f>
        <v/>
      </c>
    </row>
    <row r="929">
      <c r="A929" s="99" t="inlineStr">
        <is>
          <t>7-GFI</t>
        </is>
      </c>
      <c r="B929" s="10" t="inlineStr">
        <is>
          <t>APOYO</t>
        </is>
      </c>
      <c r="C929" s="10" t="inlineStr">
        <is>
          <t>Gestión Financiera</t>
        </is>
      </c>
      <c r="D929" s="10" t="inlineStr">
        <is>
          <t>GFI</t>
        </is>
      </c>
      <c r="E929" s="10" t="inlineStr">
        <is>
          <t>Gestión Contable</t>
        </is>
      </c>
      <c r="F929" s="10" t="inlineStr">
        <is>
          <t>-</t>
        </is>
      </c>
      <c r="G929" s="10" t="inlineStr">
        <is>
          <t xml:space="preserve">Creación y reposición de fondos caja chica, judicial y vehicular </t>
        </is>
      </c>
      <c r="H929" s="10" t="inlineStr">
        <is>
          <t>Solicitud de acreditación de
fondos (caja chica, judicial y
vehicular)</t>
        </is>
      </c>
      <c r="I929" s="10" t="inlineStr">
        <is>
          <t>Solicitud mediante correo donde se indica el objeto de la acreditación</t>
        </is>
      </c>
      <c r="J929" s="10" t="inlineStr">
        <is>
          <t>Contador General</t>
        </is>
      </c>
      <c r="K929" s="10" t="inlineStr">
        <is>
          <t>ANALISTA CONTABLE / ASIS CONTABLE</t>
        </is>
      </c>
      <c r="L929" s="10" t="inlineStr">
        <is>
          <t>DOCUMENTOS FISICOS-ARCHIVOS DE LA OFICINA</t>
        </is>
      </c>
      <c r="M929" s="10" t="inlineStr">
        <is>
          <t>DOCUMENTO DE ARCHIVO-FÍSICO</t>
        </is>
      </c>
      <c r="N929" s="10" t="inlineStr">
        <is>
          <t>PRIMARIOS</t>
        </is>
      </c>
      <c r="O929" s="10" t="inlineStr">
        <is>
          <t>COMUNICACIÓN INTERNA</t>
        </is>
      </c>
      <c r="P929" s="10" t="inlineStr">
        <is>
          <t>USO INTERNO(2)</t>
        </is>
      </c>
      <c r="Q929" s="10" t="inlineStr">
        <is>
          <t>BAJA(1)</t>
        </is>
      </c>
      <c r="R929" s="10" t="inlineStr">
        <is>
          <t>BAJA(1)</t>
        </is>
      </c>
      <c r="S929" s="10">
        <f>+(IF(P929="PUBLICA(1)",1,IF(P929="USO INTERNO(2)",2,IF(P929="RESTRINGIDO(3)",3,3))))+(IF(Q929="BAJA(1)",1,IF(Q929="MEDIA(2)",2,IF(Q929="ALTA(3)",3,3))))+(IF(R929="BAJA(1)",1,IF(R929="MEDIA(2)",2,IF(R929="ALTA(3)",3,3))))</f>
        <v/>
      </c>
      <c r="T929" s="10">
        <f>+IF(S929&lt;6,"BAJA",IF(S929&lt;8,"MEDIA","ALTA"))</f>
        <v/>
      </c>
      <c r="U929" s="10" t="inlineStr">
        <is>
          <t>-</t>
        </is>
      </c>
      <c r="V929" s="24" t="n">
        <v>45673</v>
      </c>
      <c r="W929" s="19" t="inlineStr">
        <is>
          <t>N/A</t>
        </is>
      </c>
      <c r="X929" s="10">
        <f>+IFERROR(IF(VLOOKUP(Tabla2[[#This Row],[ID]],'EVALUACION DE RIESGO'!A:A,1,FALSE)=Tabla2[[#This Row],[ID]],"SI","NO"),"NO")</f>
        <v/>
      </c>
      <c r="AD929">
        <f>IF(AND(Y929="",AA929=""),"",IF(OR(LEFT(AA929,2)="L0",LEFT(AA929,2)="L1",Y929="No Iniciado"),"CRÍTICO - Incumplimiento Normativo SEPS",IF(AND(OR(LEFT(AA929,2)="L4",LEFT(AA929,2)="L5"),AND(AC929&lt;&gt;"",AC929&lt;&gt;"N/A")),"CONFORME - Control Efectivo ISO 27001","OBSERVACIÓN - Revisar Controles")))</f>
        <v/>
      </c>
    </row>
    <row r="930">
      <c r="A930" s="99" t="inlineStr">
        <is>
          <t>8-GFI</t>
        </is>
      </c>
      <c r="B930" s="10" t="inlineStr">
        <is>
          <t>APOYO</t>
        </is>
      </c>
      <c r="C930" s="10" t="inlineStr">
        <is>
          <t>Gestión Financiera</t>
        </is>
      </c>
      <c r="D930" s="10" t="inlineStr">
        <is>
          <t>GFI</t>
        </is>
      </c>
      <c r="E930" s="10" t="inlineStr">
        <is>
          <t>Gestión Contable</t>
        </is>
      </c>
      <c r="F930" s="10" t="inlineStr">
        <is>
          <t>-</t>
        </is>
      </c>
      <c r="G930" s="10" t="inlineStr">
        <is>
          <t xml:space="preserve">Creación y reposición de fondos caja chica, judicial y vehicular </t>
        </is>
      </c>
      <c r="H930" s="10" t="inlineStr">
        <is>
          <t>Registro y comprobante contable creación y reposición de fondos caja chica</t>
        </is>
      </c>
      <c r="I930" s="10" t="inlineStr">
        <is>
          <t>Registro y Comprobante de la reposición, similar al registro contable diario</t>
        </is>
      </c>
      <c r="J930" s="10" t="inlineStr">
        <is>
          <t>Contador General</t>
        </is>
      </c>
      <c r="K930" s="10" t="inlineStr">
        <is>
          <t>AREA CONTABLE</t>
        </is>
      </c>
      <c r="L930" s="10" t="inlineStr">
        <is>
          <t>DOCUMENTOS FISICOS-ARCHIVOS DE LA OFICINA</t>
        </is>
      </c>
      <c r="M930" s="10" t="inlineStr">
        <is>
          <t>DOCUMENTO DE ARCHIVO-FÍSICO</t>
        </is>
      </c>
      <c r="N930" s="10" t="inlineStr">
        <is>
          <t>APOYO</t>
        </is>
      </c>
      <c r="O930" s="10" t="inlineStr">
        <is>
          <t>OTROS</t>
        </is>
      </c>
      <c r="P930" s="10" t="inlineStr">
        <is>
          <t>USO INTERNO(2)</t>
        </is>
      </c>
      <c r="Q930" s="10" t="inlineStr">
        <is>
          <t>MEDIA(2)</t>
        </is>
      </c>
      <c r="R930" s="10" t="inlineStr">
        <is>
          <t>BAJA(1)</t>
        </is>
      </c>
      <c r="S930" s="10">
        <f>+(IF(P930="PUBLICA(1)",1,IF(P930="USO INTERNO(2)",2,IF(P930="RESTRINGIDO(3)",3,3))))+(IF(Q930="BAJA(1)",1,IF(Q930="MEDIA(2)",2,IF(Q930="ALTA(3)",3,3))))+(IF(R930="BAJA(1)",1,IF(R930="MEDIA(2)",2,IF(R930="ALTA(3)",3,3))))</f>
        <v/>
      </c>
      <c r="T930" s="10">
        <f>+IF(S930&lt;6,"BAJA",IF(S930&lt;8,"MEDIA","ALTA"))</f>
        <v/>
      </c>
      <c r="U930" s="10" t="inlineStr">
        <is>
          <t>-</t>
        </is>
      </c>
      <c r="V930" s="24" t="n">
        <v>45673</v>
      </c>
      <c r="W930" s="19" t="inlineStr">
        <is>
          <t>N/A</t>
        </is>
      </c>
      <c r="X930" s="10">
        <f>+IFERROR(IF(VLOOKUP(Tabla2[[#This Row],[ID]],'EVALUACION DE RIESGO'!A:A,1,FALSE)=Tabla2[[#This Row],[ID]],"SI","NO"),"NO")</f>
        <v/>
      </c>
      <c r="AD930">
        <f>IF(AND(Y930="",AA930=""),"",IF(OR(LEFT(AA930,2)="L0",LEFT(AA930,2)="L1",Y930="No Iniciado"),"CRÍTICO - Incumplimiento Normativo SEPS",IF(AND(OR(LEFT(AA930,2)="L4",LEFT(AA930,2)="L5"),AND(AC930&lt;&gt;"",AC930&lt;&gt;"N/A")),"CONFORME - Control Efectivo ISO 27001","OBSERVACIÓN - Revisar Controles")))</f>
        <v/>
      </c>
    </row>
    <row r="931" ht="20.45" customHeight="1" s="106">
      <c r="A931" s="99" t="inlineStr">
        <is>
          <t>9-GFI</t>
        </is>
      </c>
      <c r="B931" s="10" t="inlineStr">
        <is>
          <t>APOYO</t>
        </is>
      </c>
      <c r="C931" s="10" t="inlineStr">
        <is>
          <t>Gestión Financiera</t>
        </is>
      </c>
      <c r="D931" s="10" t="inlineStr">
        <is>
          <t>GFI</t>
        </is>
      </c>
      <c r="E931" s="10" t="inlineStr">
        <is>
          <t>Gestión Contable</t>
        </is>
      </c>
      <c r="F931" s="10" t="inlineStr">
        <is>
          <t>-</t>
        </is>
      </c>
      <c r="G931" s="10" t="inlineStr">
        <is>
          <t>Bienes Realizables, Adjudicados por Pago y no utilizados</t>
        </is>
      </c>
      <c r="H931" s="17" t="inlineStr">
        <is>
          <t>Escrituras del Bien inmueble/ Autorizaciones de Gerencia</t>
        </is>
      </c>
      <c r="I931" s="17" t="inlineStr">
        <is>
          <t>Escritura del bien inmueble que se va adjudicar con autorización del Gerente. G</t>
        </is>
      </c>
      <c r="J931" s="10" t="inlineStr">
        <is>
          <t>Contador General</t>
        </is>
      </c>
      <c r="K931" s="10" t="inlineStr">
        <is>
          <t>AREA CONTABLE</t>
        </is>
      </c>
      <c r="L931" s="10" t="inlineStr">
        <is>
          <t>UBICACIÓN DIGITAL-EQUIPO DEL CUSTODIO</t>
        </is>
      </c>
      <c r="M931" s="10" t="inlineStr">
        <is>
          <t>DOCUMENTO DE ARCHIVO-ELECTRÓNICO</t>
        </is>
      </c>
      <c r="N931" s="10" t="inlineStr">
        <is>
          <t>PRIMARIOS</t>
        </is>
      </c>
      <c r="O931" s="10" t="inlineStr">
        <is>
          <t>DOCUMENTOS HABILITANTES</t>
        </is>
      </c>
      <c r="P931" s="10" t="inlineStr">
        <is>
          <t>RESTRINGIDO(3)</t>
        </is>
      </c>
      <c r="Q931" s="10" t="inlineStr">
        <is>
          <t>MEDIA(2)</t>
        </is>
      </c>
      <c r="R931" s="10" t="inlineStr">
        <is>
          <t>ALTA(3)</t>
        </is>
      </c>
      <c r="S931" s="10">
        <f>+(IF(P931="PUBLICA(1)",1,IF(P931="USO INTERNO(2)",2,IF(P931="RESTRINGIDO(3)",3,3))))+(IF(Q931="BAJA(1)",1,IF(Q931="MEDIA(2)",2,IF(Q931="ALTA(3)",3,3))))+(IF(R931="BAJA(1)",1,IF(R931="MEDIA(2)",2,IF(R931="ALTA(3)",3,3))))</f>
        <v/>
      </c>
      <c r="T931" s="10">
        <f>+IF(S931&lt;6,"BAJA",IF(S931&lt;8,"MEDIA","ALTA"))</f>
        <v/>
      </c>
      <c r="U931" s="10" t="inlineStr">
        <is>
          <t>-</t>
        </is>
      </c>
      <c r="V931" s="24" t="n">
        <v>45673</v>
      </c>
      <c r="W931" s="19" t="inlineStr">
        <is>
          <t>N/A</t>
        </is>
      </c>
      <c r="X931" s="10">
        <f>+IFERROR(IF(VLOOKUP(Tabla2[[#This Row],[ID]],'EVALUACION DE RIESGO'!A:A,1,FALSE)=Tabla2[[#This Row],[ID]],"SI","NO"),"NO")</f>
        <v/>
      </c>
      <c r="AD931">
        <f>IF(AND(Y931="",AA931=""),"",IF(OR(LEFT(AA931,2)="L0",LEFT(AA931,2)="L1",Y931="No Iniciado"),"CRÍTICO - Incumplimiento Normativo SEPS",IF(AND(OR(LEFT(AA931,2)="L4",LEFT(AA931,2)="L5"),AND(AC931&lt;&gt;"",AC931&lt;&gt;"N/A")),"CONFORME - Control Efectivo ISO 27001","OBSERVACIÓN - Revisar Controles")))</f>
        <v/>
      </c>
    </row>
    <row r="932" ht="24" customHeight="1" s="106">
      <c r="A932" s="99" t="inlineStr">
        <is>
          <t>10-GFI</t>
        </is>
      </c>
      <c r="B932" s="10" t="inlineStr">
        <is>
          <t>APOYO</t>
        </is>
      </c>
      <c r="C932" s="10" t="inlineStr">
        <is>
          <t>Gestión Financiera</t>
        </is>
      </c>
      <c r="D932" s="10" t="inlineStr">
        <is>
          <t>GFI</t>
        </is>
      </c>
      <c r="E932" s="10" t="inlineStr">
        <is>
          <t>Gestión Contable</t>
        </is>
      </c>
      <c r="F932" s="10" t="inlineStr">
        <is>
          <t>-</t>
        </is>
      </c>
      <c r="G932" s="10" t="inlineStr">
        <is>
          <t xml:space="preserve">Compras y Pagos a Terceros </t>
        </is>
      </c>
      <c r="H932" s="17" t="inlineStr">
        <is>
          <t>Cheque</t>
        </is>
      </c>
      <c r="I932" s="17" t="inlineStr">
        <is>
          <t>Pagos que se realiza a los proveedores en cheques</t>
        </is>
      </c>
      <c r="J932" s="10" t="inlineStr">
        <is>
          <t>Contador General</t>
        </is>
      </c>
      <c r="K932" s="10" t="inlineStr">
        <is>
          <t>ANALISTA CONTABLE</t>
        </is>
      </c>
      <c r="L932" s="10" t="inlineStr">
        <is>
          <t>DOCUMENTOS FISICOS-ARCHIVOS DE LA OFICINA</t>
        </is>
      </c>
      <c r="M932" s="10" t="inlineStr">
        <is>
          <t>DOCUMENTO DE ARCHIVO-FÍSICO</t>
        </is>
      </c>
      <c r="N932" s="10" t="inlineStr">
        <is>
          <t>PRIMARIOS</t>
        </is>
      </c>
      <c r="O932" s="10" t="inlineStr">
        <is>
          <t>DOCUMENTOS HABILITANTES</t>
        </is>
      </c>
      <c r="P932" s="10" t="inlineStr">
        <is>
          <t>RESTRINGIDO(3)</t>
        </is>
      </c>
      <c r="Q932" s="10" t="inlineStr">
        <is>
          <t>MEDIA(2)</t>
        </is>
      </c>
      <c r="R932" s="10" t="inlineStr">
        <is>
          <t>ALTA(3)</t>
        </is>
      </c>
      <c r="S932" s="10">
        <f>+(IF(P932="PUBLICA(1)",1,IF(P932="USO INTERNO(2)",2,IF(P932="RESTRINGIDO(3)",3,3))))+(IF(Q932="BAJA(1)",1,IF(Q932="MEDIA(2)",2,IF(Q932="ALTA(3)",3,3))))+(IF(R932="BAJA(1)",1,IF(R932="MEDIA(2)",2,IF(R932="ALTA(3)",3,3))))</f>
        <v/>
      </c>
      <c r="T932" s="10">
        <f>+IF(S932&lt;6,"BAJA",IF(S932&lt;8,"MEDIA","ALTA"))</f>
        <v/>
      </c>
      <c r="U932" s="10" t="inlineStr">
        <is>
          <t>-</t>
        </is>
      </c>
      <c r="V932" s="24" t="n">
        <v>45673</v>
      </c>
      <c r="W932" s="19" t="inlineStr">
        <is>
          <t>N/A</t>
        </is>
      </c>
      <c r="X932" s="10">
        <f>+IFERROR(IF(VLOOKUP(Tabla2[[#This Row],[ID]],'EVALUACION DE RIESGO'!A:A,1,FALSE)=Tabla2[[#This Row],[ID]],"SI","NO"),"NO")</f>
        <v/>
      </c>
      <c r="AD932">
        <f>IF(AND(Y932="",AA932=""),"",IF(OR(LEFT(AA932,2)="L0",LEFT(AA932,2)="L1",Y932="No Iniciado"),"CRÍTICO - Incumplimiento Normativo SEPS",IF(AND(OR(LEFT(AA932,2)="L4",LEFT(AA932,2)="L5"),AND(AC932&lt;&gt;"",AC932&lt;&gt;"N/A")),"CONFORME - Control Efectivo ISO 27001","OBSERVACIÓN - Revisar Controles")))</f>
        <v/>
      </c>
    </row>
    <row r="933">
      <c r="A933" s="99" t="inlineStr">
        <is>
          <t>11-GFI</t>
        </is>
      </c>
      <c r="B933" s="10" t="inlineStr">
        <is>
          <t>APOYO</t>
        </is>
      </c>
      <c r="C933" s="10" t="inlineStr">
        <is>
          <t>Gestión Financiera</t>
        </is>
      </c>
      <c r="D933" s="10" t="inlineStr">
        <is>
          <t>GFI</t>
        </is>
      </c>
      <c r="E933" s="10" t="inlineStr">
        <is>
          <t>Gestión Contable</t>
        </is>
      </c>
      <c r="F933" s="10" t="inlineStr">
        <is>
          <t>-</t>
        </is>
      </c>
      <c r="G933" s="10" t="inlineStr">
        <is>
          <t xml:space="preserve">Compras y Pagos a Terceros </t>
        </is>
      </c>
      <c r="H933" s="10" t="inlineStr">
        <is>
          <t>Orden de liquidación</t>
        </is>
      </c>
      <c r="I933" s="10" t="inlineStr">
        <is>
          <t>Doc. generado del sistema para liquidar mediante pagos con cheque</t>
        </is>
      </c>
      <c r="J933" s="10" t="inlineStr">
        <is>
          <t>Contador General</t>
        </is>
      </c>
      <c r="K933" s="10" t="inlineStr">
        <is>
          <t>ANALISTA CONTABLE</t>
        </is>
      </c>
      <c r="L933" s="10" t="inlineStr">
        <is>
          <t>DOCUMENTOS FISICOS-ARCHIVOS DE LA OFICINA</t>
        </is>
      </c>
      <c r="M933" s="10" t="inlineStr">
        <is>
          <t>DOCUMENTO DE ARCHIVO-FÍSICO</t>
        </is>
      </c>
      <c r="N933" s="10" t="inlineStr">
        <is>
          <t>PRIMARIOS</t>
        </is>
      </c>
      <c r="O933" s="10" t="inlineStr">
        <is>
          <t>DOCUMENTOS HABILITANTES</t>
        </is>
      </c>
      <c r="P933" s="10" t="inlineStr">
        <is>
          <t>RESTRINGIDO(3)</t>
        </is>
      </c>
      <c r="Q933" s="10" t="inlineStr">
        <is>
          <t>MEDIA(2)</t>
        </is>
      </c>
      <c r="R933" s="10" t="inlineStr">
        <is>
          <t>MEDIA(2)</t>
        </is>
      </c>
      <c r="S933" s="10">
        <f>+(IF(P933="PUBLICA(1)",1,IF(P933="USO INTERNO(2)",2,IF(P933="RESTRINGIDO(3)",3,3))))+(IF(Q933="BAJA(1)",1,IF(Q933="MEDIA(2)",2,IF(Q933="ALTA(3)",3,3))))+(IF(R933="BAJA(1)",1,IF(R933="MEDIA(2)",2,IF(R933="ALTA(3)",3,3))))</f>
        <v/>
      </c>
      <c r="T933" s="10">
        <f>+IF(S933&lt;6,"BAJA",IF(S933&lt;8,"MEDIA","ALTA"))</f>
        <v/>
      </c>
      <c r="U933" s="10" t="inlineStr">
        <is>
          <t>-</t>
        </is>
      </c>
      <c r="V933" s="24" t="n">
        <v>45673</v>
      </c>
      <c r="W933" s="19" t="inlineStr">
        <is>
          <t>N/A</t>
        </is>
      </c>
      <c r="X933" s="10">
        <f>+IFERROR(IF(VLOOKUP(Tabla2[[#This Row],[ID]],'EVALUACION DE RIESGO'!A:A,1,FALSE)=Tabla2[[#This Row],[ID]],"SI","NO"),"NO")</f>
        <v/>
      </c>
      <c r="AD933">
        <f>IF(AND(Y933="",AA933=""),"",IF(OR(LEFT(AA933,2)="L0",LEFT(AA933,2)="L1",Y933="No Iniciado"),"CRÍTICO - Incumplimiento Normativo SEPS",IF(AND(OR(LEFT(AA933,2)="L4",LEFT(AA933,2)="L5"),AND(AC933&lt;&gt;"",AC933&lt;&gt;"N/A")),"CONFORME - Control Efectivo ISO 27001","OBSERVACIÓN - Revisar Controles")))</f>
        <v/>
      </c>
    </row>
    <row r="934">
      <c r="A934" s="99" t="inlineStr">
        <is>
          <t>12-GFI</t>
        </is>
      </c>
      <c r="B934" s="10" t="inlineStr">
        <is>
          <t>APOYO</t>
        </is>
      </c>
      <c r="C934" s="10" t="inlineStr">
        <is>
          <t>Gestión Financiera</t>
        </is>
      </c>
      <c r="D934" s="10" t="inlineStr">
        <is>
          <t>GFI</t>
        </is>
      </c>
      <c r="E934" s="10" t="inlineStr">
        <is>
          <t>Gestión Contable</t>
        </is>
      </c>
      <c r="F934" s="10" t="inlineStr">
        <is>
          <t>-</t>
        </is>
      </c>
      <c r="G934" s="10" t="inlineStr">
        <is>
          <t xml:space="preserve">Compras y Pagos a Terceros </t>
        </is>
      </c>
      <c r="H934" s="10" t="inlineStr">
        <is>
          <t>Comprobantes electrónico de retención electrónica</t>
        </is>
      </c>
      <c r="I934" s="10" t="inlineStr">
        <is>
          <t>Retención que se maneja a través del sistema, trx 244042, se descarga la factura electrónica.</t>
        </is>
      </c>
      <c r="J934" s="10" t="inlineStr">
        <is>
          <t>Contador General</t>
        </is>
      </c>
      <c r="K934" s="10" t="inlineStr">
        <is>
          <t>CORE FINANCIERO</t>
        </is>
      </c>
      <c r="L934" s="10" t="inlineStr">
        <is>
          <t>UBICACIÓN DIGITAL-CORE FINANCIERO</t>
        </is>
      </c>
      <c r="M934" s="10" t="inlineStr">
        <is>
          <t>DOCUMENTO DE ARCHIVO-ELECTRÓNICO</t>
        </is>
      </c>
      <c r="N934" s="10" t="inlineStr">
        <is>
          <t>PRIMARIOS</t>
        </is>
      </c>
      <c r="O934" s="10" t="inlineStr">
        <is>
          <t>COMUNICACIÓN INTERNA</t>
        </is>
      </c>
      <c r="P934" s="10" t="inlineStr">
        <is>
          <t>USO INTERNO(2)</t>
        </is>
      </c>
      <c r="Q934" s="10" t="inlineStr">
        <is>
          <t>MEDIA(2)</t>
        </is>
      </c>
      <c r="R934" s="10" t="inlineStr">
        <is>
          <t>MEDIA(2)</t>
        </is>
      </c>
      <c r="S934" s="10">
        <f>+(IF(P934="PUBLICA(1)",1,IF(P934="USO INTERNO(2)",2,IF(P934="RESTRINGIDO(3)",3,3))))+(IF(Q934="BAJA(1)",1,IF(Q934="MEDIA(2)",2,IF(Q934="ALTA(3)",3,3))))+(IF(R934="BAJA(1)",1,IF(R934="MEDIA(2)",2,IF(R934="ALTA(3)",3,3))))</f>
        <v/>
      </c>
      <c r="T934" s="10">
        <f>+IF(S934&lt;6,"BAJA",IF(S934&lt;8,"MEDIA","ALTA"))</f>
        <v/>
      </c>
      <c r="U934" s="10" t="inlineStr">
        <is>
          <t>-</t>
        </is>
      </c>
      <c r="V934" s="24" t="n">
        <v>45673</v>
      </c>
      <c r="W934" s="19" t="inlineStr">
        <is>
          <t>N/A</t>
        </is>
      </c>
      <c r="X934" s="10">
        <f>+IFERROR(IF(VLOOKUP(Tabla2[[#This Row],[ID]],'EVALUACION DE RIESGO'!A:A,1,FALSE)=Tabla2[[#This Row],[ID]],"SI","NO"),"NO")</f>
        <v/>
      </c>
      <c r="AD934">
        <f>IF(AND(Y934="",AA934=""),"",IF(OR(LEFT(AA934,2)="L0",LEFT(AA934,2)="L1",Y934="No Iniciado"),"CRÍTICO - Incumplimiento Normativo SEPS",IF(AND(OR(LEFT(AA934,2)="L4",LEFT(AA934,2)="L5"),AND(AC934&lt;&gt;"",AC934&lt;&gt;"N/A")),"CONFORME - Control Efectivo ISO 27001","OBSERVACIÓN - Revisar Controles")))</f>
        <v/>
      </c>
    </row>
    <row r="935">
      <c r="A935" s="99" t="inlineStr">
        <is>
          <t>13-GFI</t>
        </is>
      </c>
      <c r="B935" s="10" t="inlineStr">
        <is>
          <t>APOYO</t>
        </is>
      </c>
      <c r="C935" s="10" t="inlineStr">
        <is>
          <t>Gestión Financiera</t>
        </is>
      </c>
      <c r="D935" s="10" t="inlineStr">
        <is>
          <t>GFI</t>
        </is>
      </c>
      <c r="E935" s="10" t="inlineStr">
        <is>
          <t>Gestión Contable</t>
        </is>
      </c>
      <c r="F935" s="10" t="inlineStr">
        <is>
          <t>-</t>
        </is>
      </c>
      <c r="G935" s="10" t="inlineStr">
        <is>
          <t xml:space="preserve">Compras y Pagos a Terceros </t>
        </is>
      </c>
      <c r="H935" s="10" t="inlineStr">
        <is>
          <t>Registro contable automático</t>
        </is>
      </c>
      <c r="I935" s="10" t="inlineStr">
        <is>
          <t>Registro y Comprobante Contable que se genera en FIT, igual a Registro y Comprobante Contable Diario</t>
        </is>
      </c>
      <c r="J935" s="10" t="inlineStr">
        <is>
          <t>Contador General</t>
        </is>
      </c>
      <c r="K935" s="10" t="inlineStr">
        <is>
          <t>AREA CONTABLE</t>
        </is>
      </c>
      <c r="L935" s="10" t="inlineStr">
        <is>
          <t>UBICACIÓN DIGITAL-EQUIPO DEL CUSTODIO</t>
        </is>
      </c>
      <c r="M935" s="10" t="inlineStr">
        <is>
          <t>DISCOS DUROS, SERVIDORES, DISCOS O MEDIOS PORTÁTILES, CINTAS O MEDIOS DE VIDEO Y AUDIO, ETC.</t>
        </is>
      </c>
      <c r="N935" s="10" t="inlineStr">
        <is>
          <t>PRIMARIOS</t>
        </is>
      </c>
      <c r="O935" s="10" t="inlineStr">
        <is>
          <t>INFORMACIÓN DE SOCIOS Y CLIENTES</t>
        </is>
      </c>
      <c r="P935" s="10" t="inlineStr">
        <is>
          <t>USO INTERNO(2)</t>
        </is>
      </c>
      <c r="Q935" s="10" t="inlineStr">
        <is>
          <t>BAJA(1)</t>
        </is>
      </c>
      <c r="R935" s="10" t="inlineStr">
        <is>
          <t>MEDIA(2)</t>
        </is>
      </c>
      <c r="S935" s="10">
        <f>+(IF(P935="PUBLICA(1)",1,IF(P935="USO INTERNO(2)",2,IF(P935="RESTRINGIDO(3)",3,3))))+(IF(Q935="BAJA(1)",1,IF(Q935="MEDIA(2)",2,IF(Q935="ALTA(3)",3,3))))+(IF(R935="BAJA(1)",1,IF(R935="MEDIA(2)",2,IF(R935="ALTA(3)",3,3))))</f>
        <v/>
      </c>
      <c r="T935" s="10">
        <f>+IF(S935&lt;6,"BAJA",IF(S935&lt;8,"MEDIA","ALTA"))</f>
        <v/>
      </c>
      <c r="U935" s="10" t="inlineStr">
        <is>
          <t>-</t>
        </is>
      </c>
      <c r="V935" s="24" t="n">
        <v>45673</v>
      </c>
      <c r="W935" s="19" t="inlineStr">
        <is>
          <t>N/A</t>
        </is>
      </c>
      <c r="X935" s="10">
        <f>+IFERROR(IF(VLOOKUP(Tabla2[[#This Row],[ID]],'EVALUACION DE RIESGO'!A:A,1,FALSE)=Tabla2[[#This Row],[ID]],"SI","NO"),"NO")</f>
        <v/>
      </c>
      <c r="AD935">
        <f>IF(AND(Y935="",AA935=""),"",IF(OR(LEFT(AA935,2)="L0",LEFT(AA935,2)="L1",Y935="No Iniciado"),"CRÍTICO - Incumplimiento Normativo SEPS",IF(AND(OR(LEFT(AA935,2)="L4",LEFT(AA935,2)="L5"),AND(AC935&lt;&gt;"",AC935&lt;&gt;"N/A")),"CONFORME - Control Efectivo ISO 27001","OBSERVACIÓN - Revisar Controles")))</f>
        <v/>
      </c>
    </row>
    <row r="936">
      <c r="A936" s="99" t="inlineStr">
        <is>
          <t>14-GFI</t>
        </is>
      </c>
      <c r="B936" s="10" t="inlineStr">
        <is>
          <t>APOYO</t>
        </is>
      </c>
      <c r="C936" s="10" t="inlineStr">
        <is>
          <t>Gestión Financiera</t>
        </is>
      </c>
      <c r="D936" s="10" t="inlineStr">
        <is>
          <t>GFI</t>
        </is>
      </c>
      <c r="E936" s="10" t="inlineStr">
        <is>
          <t>Gestión Contable</t>
        </is>
      </c>
      <c r="F936" s="10" t="inlineStr">
        <is>
          <t>-</t>
        </is>
      </c>
      <c r="G936" s="10" t="inlineStr">
        <is>
          <t xml:space="preserve">Nómina, Liquidaciones de viáticos, haberes y jubilaciones     </t>
        </is>
      </c>
      <c r="H936" s="10" t="inlineStr">
        <is>
          <t xml:space="preserve">Solicitud de liquidación de viáticos </t>
        </is>
      </c>
      <c r="I936" s="10" t="inlineStr">
        <is>
          <t>Solicitud que emiten los empleados para el reembolso</t>
        </is>
      </c>
      <c r="J936" s="10" t="inlineStr">
        <is>
          <t>Contador General</t>
        </is>
      </c>
      <c r="K936" s="10" t="inlineStr">
        <is>
          <t>Contador General</t>
        </is>
      </c>
      <c r="L936" s="10" t="inlineStr">
        <is>
          <t>DOCUMENTOS FISICOS-ARCHIVOS DE LA OFICINA</t>
        </is>
      </c>
      <c r="M936" s="10" t="inlineStr">
        <is>
          <t>DOCUMENTO DE ARCHIVO-FÍSICO</t>
        </is>
      </c>
      <c r="N936" s="10" t="inlineStr">
        <is>
          <t>PRIMARIOS</t>
        </is>
      </c>
      <c r="O936" s="10" t="inlineStr">
        <is>
          <t>DOCUMENTOS HABILITANTES</t>
        </is>
      </c>
      <c r="P936" s="10" t="inlineStr">
        <is>
          <t>USO INTERNO(2)</t>
        </is>
      </c>
      <c r="Q936" s="10" t="inlineStr">
        <is>
          <t>BAJA(1)</t>
        </is>
      </c>
      <c r="R936" s="10" t="inlineStr">
        <is>
          <t>BAJA(1)</t>
        </is>
      </c>
      <c r="S936" s="10">
        <f>+(IF(P936="PUBLICA(1)",1,IF(P936="USO INTERNO(2)",2,IF(P936="RESTRINGIDO(3)",3,3))))+(IF(Q936="BAJA(1)",1,IF(Q936="MEDIA(2)",2,IF(Q936="ALTA(3)",3,3))))+(IF(R936="BAJA(1)",1,IF(R936="MEDIA(2)",2,IF(R936="ALTA(3)",3,3))))</f>
        <v/>
      </c>
      <c r="T936" s="10">
        <f>+IF(S936&lt;6,"BAJA",IF(S936&lt;8,"MEDIA","ALTA"))</f>
        <v/>
      </c>
      <c r="U936" s="10" t="inlineStr">
        <is>
          <t>-</t>
        </is>
      </c>
      <c r="V936" s="24" t="n">
        <v>45673</v>
      </c>
      <c r="W936" s="19" t="inlineStr">
        <is>
          <t>N/A</t>
        </is>
      </c>
      <c r="X936" s="10">
        <f>+IFERROR(IF(VLOOKUP(Tabla2[[#This Row],[ID]],'EVALUACION DE RIESGO'!A:A,1,FALSE)=Tabla2[[#This Row],[ID]],"SI","NO"),"NO")</f>
        <v/>
      </c>
      <c r="AD936">
        <f>IF(AND(Y936="",AA936=""),"",IF(OR(LEFT(AA936,2)="L0",LEFT(AA936,2)="L1",Y936="No Iniciado"),"CRÍTICO - Incumplimiento Normativo SEPS",IF(AND(OR(LEFT(AA936,2)="L4",LEFT(AA936,2)="L5"),AND(AC936&lt;&gt;"",AC936&lt;&gt;"N/A")),"CONFORME - Control Efectivo ISO 27001","OBSERVACIÓN - Revisar Controles")))</f>
        <v/>
      </c>
    </row>
    <row r="937">
      <c r="A937" s="99" t="inlineStr">
        <is>
          <t>15-GFI</t>
        </is>
      </c>
      <c r="B937" s="10" t="inlineStr">
        <is>
          <t>APOYO</t>
        </is>
      </c>
      <c r="C937" s="10" t="inlineStr">
        <is>
          <t>Gestión Financiera</t>
        </is>
      </c>
      <c r="D937" s="10" t="inlineStr">
        <is>
          <t>GFI</t>
        </is>
      </c>
      <c r="E937" s="10" t="inlineStr">
        <is>
          <t>Gestión Contable</t>
        </is>
      </c>
      <c r="F937" s="10" t="inlineStr">
        <is>
          <t>-</t>
        </is>
      </c>
      <c r="G937" s="10" t="inlineStr">
        <is>
          <t xml:space="preserve">Nómina, Liquidaciones de viáticos, haberes y jubilaciones     </t>
        </is>
      </c>
      <c r="H937" s="10" t="inlineStr">
        <is>
          <t>Acta transaccional de entrega de fondos global</t>
        </is>
      </c>
      <c r="I937" s="10" t="inlineStr">
        <is>
          <t>Doc. que proviene de GTH indicando el valor que se debe cancelar, pago global</t>
        </is>
      </c>
      <c r="J937" s="10" t="inlineStr">
        <is>
          <t>Contador General</t>
        </is>
      </c>
      <c r="K937" s="10" t="inlineStr">
        <is>
          <t>AREA CONTABLE</t>
        </is>
      </c>
      <c r="L937" s="10" t="inlineStr">
        <is>
          <t>DOCUMENTOS FISICOS-ARCHIVOS DE LA OFICINA</t>
        </is>
      </c>
      <c r="M937" s="10" t="inlineStr">
        <is>
          <t>DOCUMENTO DE ARCHIVO-FÍSICO</t>
        </is>
      </c>
      <c r="N937" s="10" t="inlineStr">
        <is>
          <t>PRIMARIOS</t>
        </is>
      </c>
      <c r="O937" s="10" t="inlineStr">
        <is>
          <t>DOCUMENTOS HABILITANTES</t>
        </is>
      </c>
      <c r="P937" s="10" t="inlineStr">
        <is>
          <t>USO INTERNO(2)</t>
        </is>
      </c>
      <c r="Q937" s="10" t="inlineStr">
        <is>
          <t>MEDIA(2)</t>
        </is>
      </c>
      <c r="R937" s="10" t="inlineStr">
        <is>
          <t>BAJA(1)</t>
        </is>
      </c>
      <c r="S937" s="10">
        <f>+(IF(P937="PUBLICA(1)",1,IF(P937="USO INTERNO(2)",2,IF(P937="RESTRINGIDO(3)",3,3))))+(IF(Q937="BAJA(1)",1,IF(Q937="MEDIA(2)",2,IF(Q937="ALTA(3)",3,3))))+(IF(R937="BAJA(1)",1,IF(R937="MEDIA(2)",2,IF(R937="ALTA(3)",3,3))))</f>
        <v/>
      </c>
      <c r="T937" s="10">
        <f>+IF(S937&lt;6,"BAJA",IF(S937&lt;8,"MEDIA","ALTA"))</f>
        <v/>
      </c>
      <c r="U937" s="10" t="inlineStr">
        <is>
          <t>-</t>
        </is>
      </c>
      <c r="V937" s="24" t="n">
        <v>45673</v>
      </c>
      <c r="W937" s="19" t="inlineStr">
        <is>
          <t>N/A</t>
        </is>
      </c>
      <c r="X937" s="10">
        <f>+IFERROR(IF(VLOOKUP(Tabla2[[#This Row],[ID]],'EVALUACION DE RIESGO'!A:A,1,FALSE)=Tabla2[[#This Row],[ID]],"SI","NO"),"NO")</f>
        <v/>
      </c>
      <c r="AD937">
        <f>IF(AND(Y937="",AA937=""),"",IF(OR(LEFT(AA937,2)="L0",LEFT(AA937,2)="L1",Y937="No Iniciado"),"CRÍTICO - Incumplimiento Normativo SEPS",IF(AND(OR(LEFT(AA937,2)="L4",LEFT(AA937,2)="L5"),AND(AC937&lt;&gt;"",AC937&lt;&gt;"N/A")),"CONFORME - Control Efectivo ISO 27001","OBSERVACIÓN - Revisar Controles")))</f>
        <v/>
      </c>
    </row>
    <row r="938">
      <c r="A938" s="99" t="inlineStr">
        <is>
          <t>16-GFI</t>
        </is>
      </c>
      <c r="B938" s="10" t="inlineStr">
        <is>
          <t>APOYO</t>
        </is>
      </c>
      <c r="C938" s="10" t="inlineStr">
        <is>
          <t>Gestión Financiera</t>
        </is>
      </c>
      <c r="D938" s="10" t="inlineStr">
        <is>
          <t>GFI</t>
        </is>
      </c>
      <c r="E938" s="10" t="inlineStr">
        <is>
          <t>Gestión Contable</t>
        </is>
      </c>
      <c r="F938" s="10" t="inlineStr">
        <is>
          <t>-</t>
        </is>
      </c>
      <c r="G938" s="10" t="inlineStr">
        <is>
          <t xml:space="preserve">Nómina, Liquidaciones de viáticos, haberes y jubilaciones     </t>
        </is>
      </c>
      <c r="H938" s="10" t="inlineStr">
        <is>
          <t>Solicitud de pago de pensión mensual</t>
        </is>
      </c>
      <c r="I938" s="10" t="inlineStr">
        <is>
          <t>Doc. que proviene de GTH indicando el valor que se debe cancelar, pago mensualizado</t>
        </is>
      </c>
      <c r="J938" s="10" t="inlineStr">
        <is>
          <t>Contador General</t>
        </is>
      </c>
      <c r="K938" s="10" t="inlineStr">
        <is>
          <t>AREA CONTABLE</t>
        </is>
      </c>
      <c r="L938" s="10" t="inlineStr">
        <is>
          <t>UBICACIÓN DIGITAL-EQUIPO DEL CUSTODIO</t>
        </is>
      </c>
      <c r="M938" s="10" t="inlineStr">
        <is>
          <t>DISCOS DUROS, SERVIDORES, DISCOS O MEDIOS PORTÁTILES, CINTAS O MEDIOS DE VIDEO Y AUDIO, ETC.</t>
        </is>
      </c>
      <c r="N938" s="10" t="inlineStr">
        <is>
          <t>PRIMARIOS</t>
        </is>
      </c>
      <c r="O938" s="10" t="inlineStr">
        <is>
          <t>DOCUMENTOS HABILITANTES</t>
        </is>
      </c>
      <c r="P938" s="10" t="inlineStr">
        <is>
          <t>USO INTERNO(2)</t>
        </is>
      </c>
      <c r="Q938" s="10" t="inlineStr">
        <is>
          <t>MEDIA(2)</t>
        </is>
      </c>
      <c r="R938" s="10" t="inlineStr">
        <is>
          <t>BAJA(1)</t>
        </is>
      </c>
      <c r="S938" s="10">
        <f>+(IF(P938="PUBLICA(1)",1,IF(P938="USO INTERNO(2)",2,IF(P938="RESTRINGIDO(3)",3,3))))+(IF(Q938="BAJA(1)",1,IF(Q938="MEDIA(2)",2,IF(Q938="ALTA(3)",3,3))))+(IF(R938="BAJA(1)",1,IF(R938="MEDIA(2)",2,IF(R938="ALTA(3)",3,3))))</f>
        <v/>
      </c>
      <c r="T938" s="10">
        <f>+IF(S938&lt;6,"BAJA",IF(S938&lt;8,"MEDIA","ALTA"))</f>
        <v/>
      </c>
      <c r="U938" s="10" t="inlineStr">
        <is>
          <t>-</t>
        </is>
      </c>
      <c r="V938" s="24" t="n">
        <v>45673</v>
      </c>
      <c r="W938" s="19" t="inlineStr">
        <is>
          <t>N/A</t>
        </is>
      </c>
      <c r="X938" s="10">
        <f>+IFERROR(IF(VLOOKUP(Tabla2[[#This Row],[ID]],'EVALUACION DE RIESGO'!A:A,1,FALSE)=Tabla2[[#This Row],[ID]],"SI","NO"),"NO")</f>
        <v/>
      </c>
      <c r="AD938">
        <f>IF(AND(Y938="",AA938=""),"",IF(OR(LEFT(AA938,2)="L0",LEFT(AA938,2)="L1",Y938="No Iniciado"),"CRÍTICO - Incumplimiento Normativo SEPS",IF(AND(OR(LEFT(AA938,2)="L4",LEFT(AA938,2)="L5"),AND(AC938&lt;&gt;"",AC938&lt;&gt;"N/A")),"CONFORME - Control Efectivo ISO 27001","OBSERVACIÓN - Revisar Controles")))</f>
        <v/>
      </c>
    </row>
    <row r="939">
      <c r="A939" s="99" t="inlineStr">
        <is>
          <t>17-GFI</t>
        </is>
      </c>
      <c r="B939" s="10" t="inlineStr">
        <is>
          <t>APOYO</t>
        </is>
      </c>
      <c r="C939" s="10" t="inlineStr">
        <is>
          <t>Gestión Financiera</t>
        </is>
      </c>
      <c r="D939" s="10" t="inlineStr">
        <is>
          <t>GFI</t>
        </is>
      </c>
      <c r="E939" s="10" t="inlineStr">
        <is>
          <t>Gestión Contable</t>
        </is>
      </c>
      <c r="F939" s="10" t="inlineStr">
        <is>
          <t>-</t>
        </is>
      </c>
      <c r="G939" s="10" t="inlineStr">
        <is>
          <t>Cuadre Contable</t>
        </is>
      </c>
      <c r="H939" s="10" t="inlineStr">
        <is>
          <t>Cuadre contable</t>
        </is>
      </c>
      <c r="I939" s="10" t="inlineStr">
        <is>
          <t>Doc. interno del área, se revisa las cuadraturas de reportes que se generan en el sistema entre reporte de Fit versus lo que se registra en la contabilidad</t>
        </is>
      </c>
      <c r="J939" s="10" t="inlineStr">
        <is>
          <t>Contador General</t>
        </is>
      </c>
      <c r="K939" s="10" t="inlineStr">
        <is>
          <t>ANALISTA CONTABLE</t>
        </is>
      </c>
      <c r="L939" s="10" t="inlineStr">
        <is>
          <t>UBICACIÓN DIGITAL-EQUIPO DEL CUSTODIO</t>
        </is>
      </c>
      <c r="M939" s="10" t="inlineStr">
        <is>
          <t>DISCOS DUROS, SERVIDORES, DISCOS O MEDIOS PORTÁTILES, CINTAS O MEDIOS DE VIDEO Y AUDIO, ETC.</t>
        </is>
      </c>
      <c r="N939" s="10" t="inlineStr">
        <is>
          <t>PRIMARIOS</t>
        </is>
      </c>
      <c r="O939" s="10" t="inlineStr">
        <is>
          <t>DOCUMENTOS TÉCNICOS</t>
        </is>
      </c>
      <c r="P939" s="10" t="inlineStr">
        <is>
          <t>RESTRINGIDO(3)</t>
        </is>
      </c>
      <c r="Q939" s="10" t="inlineStr">
        <is>
          <t>MEDIA(2)</t>
        </is>
      </c>
      <c r="R939" s="10" t="inlineStr">
        <is>
          <t>MEDIA(2)</t>
        </is>
      </c>
      <c r="S939" s="10">
        <f>+(IF(P939="PUBLICA(1)",1,IF(P939="USO INTERNO(2)",2,IF(P939="RESTRINGIDO(3)",3,3))))+(IF(Q939="BAJA(1)",1,IF(Q939="MEDIA(2)",2,IF(Q939="ALTA(3)",3,3))))+(IF(R939="BAJA(1)",1,IF(R939="MEDIA(2)",2,IF(R939="ALTA(3)",3,3))))</f>
        <v/>
      </c>
      <c r="T939" s="10">
        <f>+IF(S939&lt;6,"BAJA",IF(S939&lt;8,"MEDIA","ALTA"))</f>
        <v/>
      </c>
      <c r="U939" s="10" t="inlineStr">
        <is>
          <t>-</t>
        </is>
      </c>
      <c r="V939" s="24" t="n">
        <v>45673</v>
      </c>
      <c r="W939" s="19" t="inlineStr">
        <is>
          <t>N/A</t>
        </is>
      </c>
      <c r="X939" s="10">
        <f>+IFERROR(IF(VLOOKUP(Tabla2[[#This Row],[ID]],'EVALUACION DE RIESGO'!A:A,1,FALSE)=Tabla2[[#This Row],[ID]],"SI","NO"),"NO")</f>
        <v/>
      </c>
      <c r="AD939">
        <f>IF(AND(Y939="",AA939=""),"",IF(OR(LEFT(AA939,2)="L0",LEFT(AA939,2)="L1",Y939="No Iniciado"),"CRÍTICO - Incumplimiento Normativo SEPS",IF(AND(OR(LEFT(AA939,2)="L4",LEFT(AA939,2)="L5"),AND(AC939&lt;&gt;"",AC939&lt;&gt;"N/A")),"CONFORME - Control Efectivo ISO 27001","OBSERVACIÓN - Revisar Controles")))</f>
        <v/>
      </c>
    </row>
    <row r="940">
      <c r="A940" s="99" t="inlineStr">
        <is>
          <t>18-GFI</t>
        </is>
      </c>
      <c r="B940" s="10" t="inlineStr">
        <is>
          <t>APOYO</t>
        </is>
      </c>
      <c r="C940" s="10" t="inlineStr">
        <is>
          <t>Gestión Financiera</t>
        </is>
      </c>
      <c r="D940" s="10" t="inlineStr">
        <is>
          <t>GFI</t>
        </is>
      </c>
      <c r="E940" s="10" t="inlineStr">
        <is>
          <t>Gestión Contable</t>
        </is>
      </c>
      <c r="F940" s="10" t="inlineStr">
        <is>
          <t>-</t>
        </is>
      </c>
      <c r="G940" s="10" t="inlineStr">
        <is>
          <t xml:space="preserve">Facturación Electrónica </t>
        </is>
      </c>
      <c r="H940" s="10" t="inlineStr">
        <is>
          <t>Comprobantes digitales</t>
        </is>
      </c>
      <c r="I940" s="10" t="inlineStr">
        <is>
          <t>Documentos que se encuentran en el sistema al igual que los comprobantes electrónicos</t>
        </is>
      </c>
      <c r="J940" s="10" t="inlineStr">
        <is>
          <t>Contador General</t>
        </is>
      </c>
      <c r="K940" s="10" t="inlineStr">
        <is>
          <t>CORE FINANCIERO</t>
        </is>
      </c>
      <c r="L940" s="10" t="inlineStr">
        <is>
          <t>UBICACIÓN DIGITAL-CORE FINANCIERO</t>
        </is>
      </c>
      <c r="M940" s="10" t="inlineStr">
        <is>
          <t>DOCUMENTO DE ARCHIVO-ELECTRÓNICO</t>
        </is>
      </c>
      <c r="N940" s="10" t="inlineStr">
        <is>
          <t>PRIMARIOS</t>
        </is>
      </c>
      <c r="O940" s="10" t="inlineStr">
        <is>
          <t>DOCUMENTOS HABILITANTES</t>
        </is>
      </c>
      <c r="P940" s="10" t="inlineStr">
        <is>
          <t>USO INTERNO(2)</t>
        </is>
      </c>
      <c r="Q940" s="10" t="inlineStr">
        <is>
          <t>MEDIA(2)</t>
        </is>
      </c>
      <c r="R940" s="10" t="inlineStr">
        <is>
          <t>MEDIA(2)</t>
        </is>
      </c>
      <c r="S940" s="10">
        <f>+(IF(P940="PUBLICA(1)",1,IF(P940="USO INTERNO(2)",2,IF(P940="RESTRINGIDO(3)",3,3))))+(IF(Q940="BAJA(1)",1,IF(Q940="MEDIA(2)",2,IF(Q940="ALTA(3)",3,3))))+(IF(R940="BAJA(1)",1,IF(R940="MEDIA(2)",2,IF(R940="ALTA(3)",3,3))))</f>
        <v/>
      </c>
      <c r="T940" s="10">
        <f>+IF(S940&lt;6,"BAJA",IF(S940&lt;8,"MEDIA","ALTA"))</f>
        <v/>
      </c>
      <c r="U940" s="10" t="inlineStr">
        <is>
          <t>-</t>
        </is>
      </c>
      <c r="V940" s="24" t="n">
        <v>45673</v>
      </c>
      <c r="W940" s="19" t="inlineStr">
        <is>
          <t>N/A</t>
        </is>
      </c>
      <c r="X940" s="10">
        <f>+IFERROR(IF(VLOOKUP(Tabla2[[#This Row],[ID]],'EVALUACION DE RIESGO'!A:A,1,FALSE)=Tabla2[[#This Row],[ID]],"SI","NO"),"NO")</f>
        <v/>
      </c>
      <c r="AD940">
        <f>IF(AND(Y940="",AA940=""),"",IF(OR(LEFT(AA940,2)="L0",LEFT(AA940,2)="L1",Y940="No Iniciado"),"CRÍTICO - Incumplimiento Normativo SEPS",IF(AND(OR(LEFT(AA940,2)="L4",LEFT(AA940,2)="L5"),AND(AC940&lt;&gt;"",AC940&lt;&gt;"N/A")),"CONFORME - Control Efectivo ISO 27001","OBSERVACIÓN - Revisar Controles")))</f>
        <v/>
      </c>
    </row>
    <row r="941">
      <c r="A941" s="99" t="inlineStr">
        <is>
          <t>19-GFI</t>
        </is>
      </c>
      <c r="B941" s="10" t="inlineStr">
        <is>
          <t>APOYO</t>
        </is>
      </c>
      <c r="C941" s="10" t="inlineStr">
        <is>
          <t>Gestión Financiera</t>
        </is>
      </c>
      <c r="D941" s="10" t="inlineStr">
        <is>
          <t>GFI</t>
        </is>
      </c>
      <c r="E941" s="10" t="inlineStr">
        <is>
          <t>Gestión Contable</t>
        </is>
      </c>
      <c r="F941" s="10" t="inlineStr">
        <is>
          <t>-</t>
        </is>
      </c>
      <c r="G941" s="10" t="inlineStr">
        <is>
          <t>Ventas</t>
        </is>
      </c>
      <c r="H941" s="10" t="inlineStr">
        <is>
          <t>Registros de Ventas</t>
        </is>
      </c>
      <c r="I941" s="10" t="inlineStr">
        <is>
          <t>Doc. interno donde se controla que se haya reaceptado las retenciones y registrarlos en el sistema</t>
        </is>
      </c>
      <c r="J941" s="10" t="inlineStr">
        <is>
          <t>Contador General</t>
        </is>
      </c>
      <c r="K941" s="10" t="inlineStr">
        <is>
          <t>CORE FINANCIERO</t>
        </is>
      </c>
      <c r="L941" s="10" t="inlineStr">
        <is>
          <t>UBICACIÓN DIGITAL-CORE FINANCIERO</t>
        </is>
      </c>
      <c r="M941" s="10" t="inlineStr">
        <is>
          <t>DOCUMENTO DE ARCHIVO-ELECTRÓNICO</t>
        </is>
      </c>
      <c r="N941" s="10" t="inlineStr">
        <is>
          <t>PRIMARIOS</t>
        </is>
      </c>
      <c r="O941" s="10" t="inlineStr">
        <is>
          <t>DOCUMENTOS HABILITANTES</t>
        </is>
      </c>
      <c r="P941" s="10" t="inlineStr">
        <is>
          <t>USO INTERNO(2)</t>
        </is>
      </c>
      <c r="Q941" s="10" t="inlineStr">
        <is>
          <t>MEDIA(2)</t>
        </is>
      </c>
      <c r="R941" s="10" t="inlineStr">
        <is>
          <t>BAJA(1)</t>
        </is>
      </c>
      <c r="S941" s="10">
        <f>+(IF(P941="PUBLICA(1)",1,IF(P941="USO INTERNO(2)",2,IF(P941="RESTRINGIDO(3)",3,3))))+(IF(Q941="BAJA(1)",1,IF(Q941="MEDIA(2)",2,IF(Q941="ALTA(3)",3,3))))+(IF(R941="BAJA(1)",1,IF(R941="MEDIA(2)",2,IF(R941="ALTA(3)",3,3))))</f>
        <v/>
      </c>
      <c r="T941" s="10">
        <f>+IF(S941&lt;6,"BAJA",IF(S941&lt;8,"MEDIA","ALTA"))</f>
        <v/>
      </c>
      <c r="U941" s="10" t="inlineStr">
        <is>
          <t>-</t>
        </is>
      </c>
      <c r="V941" s="24" t="n">
        <v>45673</v>
      </c>
      <c r="W941" s="19" t="inlineStr">
        <is>
          <t>N/A</t>
        </is>
      </c>
      <c r="X941" s="10">
        <f>+IFERROR(IF(VLOOKUP(Tabla2[[#This Row],[ID]],'EVALUACION DE RIESGO'!A:A,1,FALSE)=Tabla2[[#This Row],[ID]],"SI","NO"),"NO")</f>
        <v/>
      </c>
      <c r="AD941">
        <f>IF(AND(Y941="",AA941=""),"",IF(OR(LEFT(AA941,2)="L0",LEFT(AA941,2)="L1",Y941="No Iniciado"),"CRÍTICO - Incumplimiento Normativo SEPS",IF(AND(OR(LEFT(AA941,2)="L4",LEFT(AA941,2)="L5"),AND(AC941&lt;&gt;"",AC941&lt;&gt;"N/A")),"CONFORME - Control Efectivo ISO 27001","OBSERVACIÓN - Revisar Controles")))</f>
        <v/>
      </c>
    </row>
    <row r="942">
      <c r="A942" s="99" t="inlineStr">
        <is>
          <t>20-GFI</t>
        </is>
      </c>
      <c r="B942" s="10" t="inlineStr">
        <is>
          <t>APOYO</t>
        </is>
      </c>
      <c r="C942" s="10" t="inlineStr">
        <is>
          <t>Gestión Financiera</t>
        </is>
      </c>
      <c r="D942" s="10" t="inlineStr">
        <is>
          <t>GFI</t>
        </is>
      </c>
      <c r="E942" s="10" t="inlineStr">
        <is>
          <t>Gestión Contable</t>
        </is>
      </c>
      <c r="F942" s="10" t="inlineStr">
        <is>
          <t>-</t>
        </is>
      </c>
      <c r="G942" s="10" t="inlineStr">
        <is>
          <t>Cuentas por Pagar generadas por Módulos</t>
        </is>
      </c>
      <c r="H942" s="10" t="inlineStr">
        <is>
          <t>Registros Cuentas por Pagar generadas por Módulos</t>
        </is>
      </c>
      <c r="I942" s="10" t="inlineStr">
        <is>
          <t>Facturación de servicios financieros y sus cobros que se establecen en la norma por servicio que la institución da</t>
        </is>
      </c>
      <c r="J942" s="10" t="inlineStr">
        <is>
          <t>Contador General</t>
        </is>
      </c>
      <c r="K942" s="10" t="inlineStr">
        <is>
          <t>CORE FINANCIERO</t>
        </is>
      </c>
      <c r="L942" s="10" t="inlineStr">
        <is>
          <t>UBICACIÓN DIGITAL-CORE FINANCIERO</t>
        </is>
      </c>
      <c r="M942" s="10" t="inlineStr">
        <is>
          <t>DOCUMENTO DE ARCHIVO-ELECTRÓNICO</t>
        </is>
      </c>
      <c r="N942" s="10" t="inlineStr">
        <is>
          <t>PRIMARIOS</t>
        </is>
      </c>
      <c r="O942" s="10" t="inlineStr">
        <is>
          <t>COMUNICACIÓN INTERNA</t>
        </is>
      </c>
      <c r="P942" s="10" t="inlineStr">
        <is>
          <t>USO INTERNO(2)</t>
        </is>
      </c>
      <c r="Q942" s="10" t="inlineStr">
        <is>
          <t>MEDIA(2)</t>
        </is>
      </c>
      <c r="R942" s="10" t="inlineStr">
        <is>
          <t>MEDIA(2)</t>
        </is>
      </c>
      <c r="S942" s="10">
        <f>+(IF(P942="PUBLICA(1)",1,IF(P942="USO INTERNO(2)",2,IF(P942="RESTRINGIDO(3)",3,3))))+(IF(Q942="BAJA(1)",1,IF(Q942="MEDIA(2)",2,IF(Q942="ALTA(3)",3,3))))+(IF(R942="BAJA(1)",1,IF(R942="MEDIA(2)",2,IF(R942="ALTA(3)",3,3))))</f>
        <v/>
      </c>
      <c r="T942" s="10">
        <f>+IF(S942&lt;6,"BAJA",IF(S942&lt;8,"MEDIA","ALTA"))</f>
        <v/>
      </c>
      <c r="U942" s="10" t="inlineStr">
        <is>
          <t>-</t>
        </is>
      </c>
      <c r="V942" s="24" t="n">
        <v>45673</v>
      </c>
      <c r="W942" s="19" t="inlineStr">
        <is>
          <t>N/A</t>
        </is>
      </c>
      <c r="X942" s="10">
        <f>+IFERROR(IF(VLOOKUP(Tabla2[[#This Row],[ID]],'EVALUACION DE RIESGO'!A:A,1,FALSE)=Tabla2[[#This Row],[ID]],"SI","NO"),"NO")</f>
        <v/>
      </c>
      <c r="AD942">
        <f>IF(AND(Y942="",AA942=""),"",IF(OR(LEFT(AA942,2)="L0",LEFT(AA942,2)="L1",Y942="No Iniciado"),"CRÍTICO - Incumplimiento Normativo SEPS",IF(AND(OR(LEFT(AA942,2)="L4",LEFT(AA942,2)="L5"),AND(AC942&lt;&gt;"",AC942&lt;&gt;"N/A")),"CONFORME - Control Efectivo ISO 27001","OBSERVACIÓN - Revisar Controles")))</f>
        <v/>
      </c>
    </row>
    <row r="943">
      <c r="A943" s="99" t="inlineStr">
        <is>
          <t>21-GFI</t>
        </is>
      </c>
      <c r="B943" s="10" t="inlineStr">
        <is>
          <t>APOYO</t>
        </is>
      </c>
      <c r="C943" s="10" t="inlineStr">
        <is>
          <t>Gestión Financiera</t>
        </is>
      </c>
      <c r="D943" s="10" t="inlineStr">
        <is>
          <t>GFI</t>
        </is>
      </c>
      <c r="E943" s="10" t="inlineStr">
        <is>
          <t>Gestión Contable</t>
        </is>
      </c>
      <c r="F943" s="10" t="inlineStr">
        <is>
          <t>-</t>
        </is>
      </c>
      <c r="G943" s="10" t="inlineStr">
        <is>
          <t>Lotes Masivos</t>
        </is>
      </c>
      <c r="H943" s="10" t="inlineStr">
        <is>
          <t>Registros de Lotes masivos</t>
        </is>
      </c>
      <c r="I943" s="10" t="inlineStr">
        <is>
          <t>Registro para acreditar o debitar por lotes</t>
        </is>
      </c>
      <c r="J943" s="10" t="inlineStr">
        <is>
          <t>Contador General</t>
        </is>
      </c>
      <c r="K943" s="10" t="inlineStr">
        <is>
          <t>ASIS CONTABLE</t>
        </is>
      </c>
      <c r="L943" s="10" t="inlineStr">
        <is>
          <t>DOCUMENTOS FISICOS-ARCHIVOS DE LA OFICINA</t>
        </is>
      </c>
      <c r="M943" s="10" t="inlineStr">
        <is>
          <t>DOCUMENTO DE ARCHIVO-FÍSICO</t>
        </is>
      </c>
      <c r="N943" s="10" t="inlineStr">
        <is>
          <t>PRIMARIOS</t>
        </is>
      </c>
      <c r="O943" s="10" t="inlineStr">
        <is>
          <t>COMUNICACIÓN INTERNA</t>
        </is>
      </c>
      <c r="P943" s="10" t="inlineStr">
        <is>
          <t>RESTRINGIDO(3)</t>
        </is>
      </c>
      <c r="Q943" s="10" t="inlineStr">
        <is>
          <t>MEDIA(2)</t>
        </is>
      </c>
      <c r="R943" s="10" t="inlineStr">
        <is>
          <t>MEDIA(2)</t>
        </is>
      </c>
      <c r="S943" s="10">
        <f>+(IF(P943="PUBLICA(1)",1,IF(P943="USO INTERNO(2)",2,IF(P943="RESTRINGIDO(3)",3,3))))+(IF(Q943="BAJA(1)",1,IF(Q943="MEDIA(2)",2,IF(Q943="ALTA(3)",3,3))))+(IF(R943="BAJA(1)",1,IF(R943="MEDIA(2)",2,IF(R943="ALTA(3)",3,3))))</f>
        <v/>
      </c>
      <c r="T943" s="10">
        <f>+IF(S943&lt;6,"BAJA",IF(S943&lt;8,"MEDIA","ALTA"))</f>
        <v/>
      </c>
      <c r="U943" s="10" t="inlineStr">
        <is>
          <t>-</t>
        </is>
      </c>
      <c r="V943" s="24" t="n">
        <v>45673</v>
      </c>
      <c r="W943" s="19" t="inlineStr">
        <is>
          <t>N/A</t>
        </is>
      </c>
      <c r="X943" s="10">
        <f>+IFERROR(IF(VLOOKUP(Tabla2[[#This Row],[ID]],'EVALUACION DE RIESGO'!A:A,1,FALSE)=Tabla2[[#This Row],[ID]],"SI","NO"),"NO")</f>
        <v/>
      </c>
      <c r="AD943">
        <f>IF(AND(Y943="",AA943=""),"",IF(OR(LEFT(AA943,2)="L0",LEFT(AA943,2)="L1",Y943="No Iniciado"),"CRÍTICO - Incumplimiento Normativo SEPS",IF(AND(OR(LEFT(AA943,2)="L4",LEFT(AA943,2)="L5"),AND(AC943&lt;&gt;"",AC943&lt;&gt;"N/A")),"CONFORME - Control Efectivo ISO 27001","OBSERVACIÓN - Revisar Controles")))</f>
        <v/>
      </c>
    </row>
    <row r="944">
      <c r="A944" s="99" t="inlineStr">
        <is>
          <t>22-GFI</t>
        </is>
      </c>
      <c r="B944" s="10" t="inlineStr">
        <is>
          <t>APOYO</t>
        </is>
      </c>
      <c r="C944" s="10" t="inlineStr">
        <is>
          <t>Gestión Financiera</t>
        </is>
      </c>
      <c r="D944" s="10" t="inlineStr">
        <is>
          <t>GFI</t>
        </is>
      </c>
      <c r="E944" s="10" t="inlineStr">
        <is>
          <t>Gestión Contable</t>
        </is>
      </c>
      <c r="F944" s="10" t="inlineStr">
        <is>
          <t>-</t>
        </is>
      </c>
      <c r="G944" s="10" t="inlineStr">
        <is>
          <t>Parametrización y Certificación de Pruebas</t>
        </is>
      </c>
      <c r="H944" s="10" t="inlineStr">
        <is>
          <t>Requerimientos de parametrización y certificación de pruebas</t>
        </is>
      </c>
      <c r="I944" s="10" t="inlineStr">
        <is>
          <t>Requerimiento subido por service desk para solicitar desarrollos y actualizaciones</t>
        </is>
      </c>
      <c r="J944" s="10" t="inlineStr">
        <is>
          <t>Contador General</t>
        </is>
      </c>
      <c r="K944" s="10" t="inlineStr">
        <is>
          <t>SERVICE DESK</t>
        </is>
      </c>
      <c r="L944" s="10" t="inlineStr">
        <is>
          <t>DOCUMENTOS FISICOS-ARCHIVOS DE LA OFICINA</t>
        </is>
      </c>
      <c r="M944" s="10" t="inlineStr">
        <is>
          <t>DOCUMENTO DE ARCHIVO-FÍSICO</t>
        </is>
      </c>
      <c r="N944" s="10" t="inlineStr">
        <is>
          <t>PRIMARIOS</t>
        </is>
      </c>
      <c r="O944" s="10" t="inlineStr">
        <is>
          <t>COMUNICACIÓN INTERNA</t>
        </is>
      </c>
      <c r="P944" s="10" t="inlineStr">
        <is>
          <t>USO INTERNO(2)</t>
        </is>
      </c>
      <c r="Q944" s="10" t="inlineStr">
        <is>
          <t>BAJA(1)</t>
        </is>
      </c>
      <c r="R944" s="10" t="inlineStr">
        <is>
          <t>BAJA(1)</t>
        </is>
      </c>
      <c r="S944" s="10">
        <f>+(IF(P944="PUBLICA(1)",1,IF(P944="USO INTERNO(2)",2,IF(P944="RESTRINGIDO(3)",3,3))))+(IF(Q944="BAJA(1)",1,IF(Q944="MEDIA(2)",2,IF(Q944="ALTA(3)",3,3))))+(IF(R944="BAJA(1)",1,IF(R944="MEDIA(2)",2,IF(R944="ALTA(3)",3,3))))</f>
        <v/>
      </c>
      <c r="T944" s="10">
        <f>+IF(S944&lt;6,"BAJA",IF(S944&lt;8,"MEDIA","ALTA"))</f>
        <v/>
      </c>
      <c r="U944" s="10" t="inlineStr">
        <is>
          <t>-</t>
        </is>
      </c>
      <c r="V944" s="24" t="n">
        <v>45673</v>
      </c>
      <c r="W944" s="19" t="inlineStr">
        <is>
          <t>N/A</t>
        </is>
      </c>
      <c r="X944" s="10">
        <f>+IFERROR(IF(VLOOKUP(Tabla2[[#This Row],[ID]],'EVALUACION DE RIESGO'!A:A,1,FALSE)=Tabla2[[#This Row],[ID]],"SI","NO"),"NO")</f>
        <v/>
      </c>
      <c r="AD944">
        <f>IF(AND(Y944="",AA944=""),"",IF(OR(LEFT(AA944,2)="L0",LEFT(AA944,2)="L1",Y944="No Iniciado"),"CRÍTICO - Incumplimiento Normativo SEPS",IF(AND(OR(LEFT(AA944,2)="L4",LEFT(AA944,2)="L5"),AND(AC944&lt;&gt;"",AC944&lt;&gt;"N/A")),"CONFORME - Control Efectivo ISO 27001","OBSERVACIÓN - Revisar Controles")))</f>
        <v/>
      </c>
    </row>
    <row r="945">
      <c r="A945" s="99" t="inlineStr">
        <is>
          <t>23-GFI</t>
        </is>
      </c>
      <c r="B945" s="10" t="inlineStr">
        <is>
          <t>APOYO</t>
        </is>
      </c>
      <c r="C945" s="10" t="inlineStr">
        <is>
          <t>Gestión Financiera</t>
        </is>
      </c>
      <c r="D945" s="10" t="inlineStr">
        <is>
          <t>GFI</t>
        </is>
      </c>
      <c r="E945" s="10" t="inlineStr">
        <is>
          <t>Gestión Contable</t>
        </is>
      </c>
      <c r="F945" s="10" t="inlineStr">
        <is>
          <t>-</t>
        </is>
      </c>
      <c r="G945" s="10" t="inlineStr">
        <is>
          <t xml:space="preserve">Generación de Balance </t>
        </is>
      </c>
      <c r="H945" s="10" t="inlineStr">
        <is>
          <t>Balance</t>
        </is>
      </c>
      <c r="I945" s="10" t="inlineStr">
        <is>
          <t>información financiera consolidad en un solo archivo</t>
        </is>
      </c>
      <c r="J945" s="10" t="inlineStr">
        <is>
          <t>Contador General</t>
        </is>
      </c>
      <c r="K945" s="10" t="inlineStr">
        <is>
          <t>Contador General</t>
        </is>
      </c>
      <c r="L945" s="10" t="inlineStr">
        <is>
          <t>UBICACIÓN DIGITAL-EQUIPO DEL RESPONSABLE</t>
        </is>
      </c>
      <c r="M945" s="10" t="inlineStr">
        <is>
          <t>DISCOS DUROS, SERVIDORES, DISCOS O MEDIOS PORTÁTILES, CINTAS O MEDIOS DE VIDEO Y AUDIO, ETC.</t>
        </is>
      </c>
      <c r="N945" s="10" t="inlineStr">
        <is>
          <t>PRIMARIOS</t>
        </is>
      </c>
      <c r="O945" s="10" t="inlineStr">
        <is>
          <t>DOCUMENTOS TÉCNICOS</t>
        </is>
      </c>
      <c r="P945" s="10" t="inlineStr">
        <is>
          <t>USO INTERNO(2)</t>
        </is>
      </c>
      <c r="Q945" s="10" t="inlineStr">
        <is>
          <t>MEDIA(2)</t>
        </is>
      </c>
      <c r="R945" s="10" t="inlineStr">
        <is>
          <t>ALTA(3)</t>
        </is>
      </c>
      <c r="S945" s="10">
        <f>+(IF(P945="PUBLICA(1)",1,IF(P945="USO INTERNO(2)",2,IF(P945="RESTRINGIDO(3)",3,3))))+(IF(Q945="BAJA(1)",1,IF(Q945="MEDIA(2)",2,IF(Q945="ALTA(3)",3,3))))+(IF(R945="BAJA(1)",1,IF(R945="MEDIA(2)",2,IF(R945="ALTA(3)",3,3))))</f>
        <v/>
      </c>
      <c r="T945" s="10">
        <f>+IF(S945&lt;6,"BAJA",IF(S945&lt;8,"MEDIA","ALTA"))</f>
        <v/>
      </c>
      <c r="U945" s="10" t="inlineStr">
        <is>
          <t>-</t>
        </is>
      </c>
      <c r="V945" s="24" t="n">
        <v>45673</v>
      </c>
      <c r="W945" s="19" t="inlineStr">
        <is>
          <t>N/A</t>
        </is>
      </c>
      <c r="X945" s="10">
        <f>+IFERROR(IF(VLOOKUP(Tabla2[[#This Row],[ID]],'EVALUACION DE RIESGO'!A:A,1,FALSE)=Tabla2[[#This Row],[ID]],"SI","NO"),"NO")</f>
        <v/>
      </c>
      <c r="AD945">
        <f>IF(AND(Y945="",AA945=""),"",IF(OR(LEFT(AA945,2)="L0",LEFT(AA945,2)="L1",Y945="No Iniciado"),"CRÍTICO - Incumplimiento Normativo SEPS",IF(AND(OR(LEFT(AA945,2)="L4",LEFT(AA945,2)="L5"),AND(AC945&lt;&gt;"",AC945&lt;&gt;"N/A")),"CONFORME - Control Efectivo ISO 27001","OBSERVACIÓN - Revisar Controles")))</f>
        <v/>
      </c>
    </row>
    <row r="946">
      <c r="A946" s="99" t="inlineStr">
        <is>
          <t>24-GFI</t>
        </is>
      </c>
      <c r="B946" s="10" t="inlineStr">
        <is>
          <t>APOYO</t>
        </is>
      </c>
      <c r="C946" s="10" t="inlineStr">
        <is>
          <t>Gestión Financiera</t>
        </is>
      </c>
      <c r="D946" s="10" t="inlineStr">
        <is>
          <t>GFI</t>
        </is>
      </c>
      <c r="E946" s="10" t="inlineStr">
        <is>
          <t>Gestión Contable</t>
        </is>
      </c>
      <c r="F946" s="10" t="inlineStr">
        <is>
          <t>-</t>
        </is>
      </c>
      <c r="G946" s="10" t="inlineStr">
        <is>
          <t xml:space="preserve">Generación de Balance </t>
        </is>
      </c>
      <c r="H946" s="10" t="inlineStr">
        <is>
          <t>Estado de flujo de efectivo y evolución patrimonial</t>
        </is>
      </c>
      <c r="I946" s="10" t="inlineStr">
        <is>
          <t>información financiera consolidad en un solo archivo sujeta al balance</t>
        </is>
      </c>
      <c r="J946" s="10" t="inlineStr">
        <is>
          <t>Contador General</t>
        </is>
      </c>
      <c r="K946" s="10" t="inlineStr">
        <is>
          <t>Contador General</t>
        </is>
      </c>
      <c r="L946" s="10" t="inlineStr">
        <is>
          <t>UBICACIÓN DIGITAL-EQUIPO DEL RESPONSABLE</t>
        </is>
      </c>
      <c r="M946" s="10" t="inlineStr">
        <is>
          <t>DISCOS DUROS, SERVIDORES, DISCOS O MEDIOS PORTÁTILES, CINTAS O MEDIOS DE VIDEO Y AUDIO, ETC.</t>
        </is>
      </c>
      <c r="N946" s="10" t="inlineStr">
        <is>
          <t>PRIMARIOS</t>
        </is>
      </c>
      <c r="O946" s="10" t="inlineStr">
        <is>
          <t>DOCUMENTOS TÉCNICOS</t>
        </is>
      </c>
      <c r="P946" s="10" t="inlineStr">
        <is>
          <t>RESTRINGIDO(3)</t>
        </is>
      </c>
      <c r="Q946" s="10" t="inlineStr">
        <is>
          <t>MEDIA(2)</t>
        </is>
      </c>
      <c r="R946" s="10" t="inlineStr">
        <is>
          <t>MEDIA(2)</t>
        </is>
      </c>
      <c r="S946" s="10">
        <f>+(IF(P946="PUBLICA(1)",1,IF(P946="USO INTERNO(2)",2,IF(P946="RESTRINGIDO(3)",3,3))))+(IF(Q946="BAJA(1)",1,IF(Q946="MEDIA(2)",2,IF(Q946="ALTA(3)",3,3))))+(IF(R946="BAJA(1)",1,IF(R946="MEDIA(2)",2,IF(R946="ALTA(3)",3,3))))</f>
        <v/>
      </c>
      <c r="T946" s="10">
        <f>+IF(S946&lt;6,"BAJA",IF(S946&lt;8,"MEDIA","ALTA"))</f>
        <v/>
      </c>
      <c r="U946" s="10" t="inlineStr">
        <is>
          <t>-</t>
        </is>
      </c>
      <c r="V946" s="24" t="n">
        <v>45673</v>
      </c>
      <c r="W946" s="19" t="inlineStr">
        <is>
          <t>N/A</t>
        </is>
      </c>
      <c r="X946" s="10">
        <f>+IFERROR(IF(VLOOKUP(Tabla2[[#This Row],[ID]],'EVALUACION DE RIESGO'!A:A,1,FALSE)=Tabla2[[#This Row],[ID]],"SI","NO"),"NO")</f>
        <v/>
      </c>
      <c r="AD946">
        <f>IF(AND(Y946="",AA946=""),"",IF(OR(LEFT(AA946,2)="L0",LEFT(AA946,2)="L1",Y946="No Iniciado"),"CRÍTICO - Incumplimiento Normativo SEPS",IF(AND(OR(LEFT(AA946,2)="L4",LEFT(AA946,2)="L5"),AND(AC946&lt;&gt;"",AC946&lt;&gt;"N/A")),"CONFORME - Control Efectivo ISO 27001","OBSERVACIÓN - Revisar Controles")))</f>
        <v/>
      </c>
    </row>
    <row r="947">
      <c r="A947" s="99" t="inlineStr">
        <is>
          <t>25-GFI</t>
        </is>
      </c>
      <c r="B947" s="10" t="inlineStr">
        <is>
          <t>APOYO</t>
        </is>
      </c>
      <c r="C947" s="10" t="inlineStr">
        <is>
          <t>Gestión Financiera</t>
        </is>
      </c>
      <c r="D947" s="10" t="inlineStr">
        <is>
          <t>GFI</t>
        </is>
      </c>
      <c r="E947" s="10" t="inlineStr">
        <is>
          <t>Gestión Contable</t>
        </is>
      </c>
      <c r="F947" s="10" t="inlineStr">
        <is>
          <t>-</t>
        </is>
      </c>
      <c r="G947" s="10" t="inlineStr">
        <is>
          <t xml:space="preserve">Generación de Balance </t>
        </is>
      </c>
      <c r="H947" s="10" t="inlineStr">
        <is>
          <t>Balance de comprobación</t>
        </is>
      </c>
      <c r="I947" s="10" t="inlineStr">
        <is>
          <t>Resumen de las operaciones financieras obtenidas del balance</t>
        </is>
      </c>
      <c r="J947" s="10" t="inlineStr">
        <is>
          <t>Contador General</t>
        </is>
      </c>
      <c r="K947" s="10" t="inlineStr">
        <is>
          <t>Contador General</t>
        </is>
      </c>
      <c r="L947" s="10" t="inlineStr">
        <is>
          <t>UBICACIÓN DIGITAL-EQUIPO DEL RESPONSABLE</t>
        </is>
      </c>
      <c r="M947" s="10" t="inlineStr">
        <is>
          <t>DISCOS DUROS, SERVIDORES, DISCOS O MEDIOS PORTÁTILES, CINTAS O MEDIOS DE VIDEO Y AUDIO, ETC.</t>
        </is>
      </c>
      <c r="N947" s="10" t="inlineStr">
        <is>
          <t>PRIMARIOS</t>
        </is>
      </c>
      <c r="O947" s="10" t="inlineStr">
        <is>
          <t>DOCUMENTOS TÉCNICOS</t>
        </is>
      </c>
      <c r="P947" s="10" t="inlineStr">
        <is>
          <t>RESTRINGIDO(3)</t>
        </is>
      </c>
      <c r="Q947" s="10" t="inlineStr">
        <is>
          <t>MEDIA(2)</t>
        </is>
      </c>
      <c r="R947" s="10" t="inlineStr">
        <is>
          <t>MEDIA(2)</t>
        </is>
      </c>
      <c r="S947" s="10">
        <f>+(IF(P947="PUBLICA(1)",1,IF(P947="USO INTERNO(2)",2,IF(P947="RESTRINGIDO(3)",3,3))))+(IF(Q947="BAJA(1)",1,IF(Q947="MEDIA(2)",2,IF(Q947="ALTA(3)",3,3))))+(IF(R947="BAJA(1)",1,IF(R947="MEDIA(2)",2,IF(R947="ALTA(3)",3,3))))</f>
        <v/>
      </c>
      <c r="T947" s="10">
        <f>+IF(S947&lt;6,"BAJA",IF(S947&lt;8,"MEDIA","ALTA"))</f>
        <v/>
      </c>
      <c r="U947" s="10" t="inlineStr">
        <is>
          <t>-</t>
        </is>
      </c>
      <c r="V947" s="24" t="n">
        <v>45673</v>
      </c>
      <c r="W947" s="19" t="inlineStr">
        <is>
          <t>N/A</t>
        </is>
      </c>
      <c r="X947" s="10">
        <f>+IFERROR(IF(VLOOKUP(Tabla2[[#This Row],[ID]],'EVALUACION DE RIESGO'!A:A,1,FALSE)=Tabla2[[#This Row],[ID]],"SI","NO"),"NO")</f>
        <v/>
      </c>
      <c r="AD947">
        <f>IF(AND(Y947="",AA947=""),"",IF(OR(LEFT(AA947,2)="L0",LEFT(AA947,2)="L1",Y947="No Iniciado"),"CRÍTICO - Incumplimiento Normativo SEPS",IF(AND(OR(LEFT(AA947,2)="L4",LEFT(AA947,2)="L5"),AND(AC947&lt;&gt;"",AC947&lt;&gt;"N/A")),"CONFORME - Control Efectivo ISO 27001","OBSERVACIÓN - Revisar Controles")))</f>
        <v/>
      </c>
    </row>
    <row r="948">
      <c r="A948" s="99" t="inlineStr">
        <is>
          <t>26-GFI</t>
        </is>
      </c>
      <c r="B948" s="10" t="inlineStr">
        <is>
          <t>APOYO</t>
        </is>
      </c>
      <c r="C948" s="10" t="inlineStr">
        <is>
          <t>Gestión Financiera</t>
        </is>
      </c>
      <c r="D948" s="10" t="inlineStr">
        <is>
          <t>GFI</t>
        </is>
      </c>
      <c r="E948" s="10" t="inlineStr">
        <is>
          <t>Gestión Contable</t>
        </is>
      </c>
      <c r="F948" s="10" t="inlineStr">
        <is>
          <t>-</t>
        </is>
      </c>
      <c r="G948" s="10" t="inlineStr">
        <is>
          <t xml:space="preserve">Generación de Balance </t>
        </is>
      </c>
      <c r="H948" s="10" t="inlineStr">
        <is>
          <t>Notas a los estados financieros</t>
        </is>
      </c>
      <c r="I948" s="10" t="inlineStr">
        <is>
          <t>Registros de las observaciones relevantes de los estados financieros en función de los datos obtenidos</t>
        </is>
      </c>
      <c r="J948" s="10" t="inlineStr">
        <is>
          <t>Contador General</t>
        </is>
      </c>
      <c r="K948" s="10" t="inlineStr">
        <is>
          <t>Contador General</t>
        </is>
      </c>
      <c r="L948" s="10" t="inlineStr">
        <is>
          <t>UBICACIÓN DIGITAL-EQUIPO DEL RESPONSABLE</t>
        </is>
      </c>
      <c r="M948" s="10" t="inlineStr">
        <is>
          <t>DISCOS DUROS, SERVIDORES, DISCOS O MEDIOS PORTÁTILES, CINTAS O MEDIOS DE VIDEO Y AUDIO, ETC.</t>
        </is>
      </c>
      <c r="N948" s="10" t="inlineStr">
        <is>
          <t>PRIMARIOS</t>
        </is>
      </c>
      <c r="O948" s="10" t="inlineStr">
        <is>
          <t>COMUNICACIÓN INTERNA</t>
        </is>
      </c>
      <c r="P948" s="10" t="inlineStr">
        <is>
          <t>RESTRINGIDO(3)</t>
        </is>
      </c>
      <c r="Q948" s="10" t="inlineStr">
        <is>
          <t>MEDIA(2)</t>
        </is>
      </c>
      <c r="R948" s="10" t="inlineStr">
        <is>
          <t>MEDIA(2)</t>
        </is>
      </c>
      <c r="S948" s="10">
        <f>+(IF(P948="PUBLICA(1)",1,IF(P948="USO INTERNO(2)",2,IF(P948="RESTRINGIDO(3)",3,3))))+(IF(Q948="BAJA(1)",1,IF(Q948="MEDIA(2)",2,IF(Q948="ALTA(3)",3,3))))+(IF(R948="BAJA(1)",1,IF(R948="MEDIA(2)",2,IF(R948="ALTA(3)",3,3))))</f>
        <v/>
      </c>
      <c r="T948" s="10">
        <f>+IF(S948&lt;6,"BAJA",IF(S948&lt;8,"MEDIA","ALTA"))</f>
        <v/>
      </c>
      <c r="U948" s="10" t="inlineStr">
        <is>
          <t>-</t>
        </is>
      </c>
      <c r="V948" s="24" t="n">
        <v>45673</v>
      </c>
      <c r="W948" s="19" t="inlineStr">
        <is>
          <t>N/A</t>
        </is>
      </c>
      <c r="X948" s="10">
        <f>+IFERROR(IF(VLOOKUP(Tabla2[[#This Row],[ID]],'EVALUACION DE RIESGO'!A:A,1,FALSE)=Tabla2[[#This Row],[ID]],"SI","NO"),"NO")</f>
        <v/>
      </c>
      <c r="AD948">
        <f>IF(AND(Y948="",AA948=""),"",IF(OR(LEFT(AA948,2)="L0",LEFT(AA948,2)="L1",Y948="No Iniciado"),"CRÍTICO - Incumplimiento Normativo SEPS",IF(AND(OR(LEFT(AA948,2)="L4",LEFT(AA948,2)="L5"),AND(AC948&lt;&gt;"",AC948&lt;&gt;"N/A")),"CONFORME - Control Efectivo ISO 27001","OBSERVACIÓN - Revisar Controles")))</f>
        <v/>
      </c>
    </row>
    <row r="949">
      <c r="A949" s="99" t="inlineStr">
        <is>
          <t>27-GFI</t>
        </is>
      </c>
      <c r="B949" s="10" t="inlineStr">
        <is>
          <t>APOYO</t>
        </is>
      </c>
      <c r="C949" s="10" t="inlineStr">
        <is>
          <t>Gestión Financiera</t>
        </is>
      </c>
      <c r="D949" s="10" t="inlineStr">
        <is>
          <t>GFI</t>
        </is>
      </c>
      <c r="E949" s="10" t="inlineStr">
        <is>
          <t>Gestión Contable</t>
        </is>
      </c>
      <c r="F949" s="10" t="inlineStr">
        <is>
          <t>-</t>
        </is>
      </c>
      <c r="G949" s="10" t="inlineStr">
        <is>
          <t>Validación de Estructuras de Balances Diarios</t>
        </is>
      </c>
      <c r="H949" s="10" t="inlineStr">
        <is>
          <t>Estructura B13</t>
        </is>
      </c>
      <c r="I949" s="10" t="inlineStr">
        <is>
          <t>Estructura de cuentas contables y saldos que se valida en BCE y SEPS</t>
        </is>
      </c>
      <c r="J949" s="10" t="inlineStr">
        <is>
          <t>Contador General</t>
        </is>
      </c>
      <c r="K949" s="10" t="inlineStr">
        <is>
          <t>Contador General</t>
        </is>
      </c>
      <c r="L949" s="10" t="inlineStr">
        <is>
          <t>UBICACIÓN DIGITAL-EQUIPO DEL RESPONSABLE</t>
        </is>
      </c>
      <c r="M949" s="10" t="inlineStr">
        <is>
          <t>DISCOS DUROS, SERVIDORES, DISCOS O MEDIOS PORTÁTILES, CINTAS O MEDIOS DE VIDEO Y AUDIO, ETC.</t>
        </is>
      </c>
      <c r="N949" s="10" t="inlineStr">
        <is>
          <t>PRIMARIOS</t>
        </is>
      </c>
      <c r="O949" s="10" t="inlineStr">
        <is>
          <t>DOCUMENTOS TÉCNICOS</t>
        </is>
      </c>
      <c r="P949" s="10" t="inlineStr">
        <is>
          <t>RESTRINGIDO(3)</t>
        </is>
      </c>
      <c r="Q949" s="10" t="inlineStr">
        <is>
          <t>MEDIA(2)</t>
        </is>
      </c>
      <c r="R949" s="10" t="inlineStr">
        <is>
          <t>MEDIA(2)</t>
        </is>
      </c>
      <c r="S949" s="10">
        <f>+(IF(P949="PUBLICA(1)",1,IF(P949="USO INTERNO(2)",2,IF(P949="RESTRINGIDO(3)",3,3))))+(IF(Q949="BAJA(1)",1,IF(Q949="MEDIA(2)",2,IF(Q949="ALTA(3)",3,3))))+(IF(R949="BAJA(1)",1,IF(R949="MEDIA(2)",2,IF(R949="ALTA(3)",3,3))))</f>
        <v/>
      </c>
      <c r="T949" s="10">
        <f>+IF(S949&lt;6,"BAJA",IF(S949&lt;8,"MEDIA","ALTA"))</f>
        <v/>
      </c>
      <c r="U949" s="10" t="inlineStr">
        <is>
          <t>-</t>
        </is>
      </c>
      <c r="V949" s="24" t="n">
        <v>45673</v>
      </c>
      <c r="W949" s="19" t="inlineStr">
        <is>
          <t>N/A</t>
        </is>
      </c>
      <c r="X949" s="10">
        <f>+IFERROR(IF(VLOOKUP(Tabla2[[#This Row],[ID]],'EVALUACION DE RIESGO'!A:A,1,FALSE)=Tabla2[[#This Row],[ID]],"SI","NO"),"NO")</f>
        <v/>
      </c>
      <c r="AD949">
        <f>IF(AND(Y949="",AA949=""),"",IF(OR(LEFT(AA949,2)="L0",LEFT(AA949,2)="L1",Y949="No Iniciado"),"CRÍTICO - Incumplimiento Normativo SEPS",IF(AND(OR(LEFT(AA949,2)="L4",LEFT(AA949,2)="L5"),AND(AC949&lt;&gt;"",AC949&lt;&gt;"N/A")),"CONFORME - Control Efectivo ISO 27001","OBSERVACIÓN - Revisar Controles")))</f>
        <v/>
      </c>
    </row>
    <row r="950">
      <c r="A950" s="99" t="inlineStr">
        <is>
          <t>28-GFI</t>
        </is>
      </c>
      <c r="B950" s="10" t="inlineStr">
        <is>
          <t>APOYO</t>
        </is>
      </c>
      <c r="C950" s="10" t="inlineStr">
        <is>
          <t>Gestión Financiera</t>
        </is>
      </c>
      <c r="D950" s="10" t="inlineStr">
        <is>
          <t>GFI</t>
        </is>
      </c>
      <c r="E950" s="10" t="inlineStr">
        <is>
          <t>Gestión Contable</t>
        </is>
      </c>
      <c r="F950" s="10" t="inlineStr">
        <is>
          <t>-</t>
        </is>
      </c>
      <c r="G950" s="10" t="inlineStr">
        <is>
          <t>Validación de Estructuras de Balances Diarios</t>
        </is>
      </c>
      <c r="H950" s="10" t="inlineStr">
        <is>
          <t>Sectorialización</t>
        </is>
      </c>
      <c r="I950" s="10" t="inlineStr">
        <is>
          <t>Documento de texto de recopilación de cuantas contables especificas que solicita el BCE</t>
        </is>
      </c>
      <c r="J950" s="10" t="inlineStr">
        <is>
          <t>Contador General</t>
        </is>
      </c>
      <c r="K950" s="10" t="inlineStr">
        <is>
          <t>Contador General</t>
        </is>
      </c>
      <c r="L950" s="10" t="inlineStr">
        <is>
          <t>UBICACIÓN DIGITAL-EQUIPO DEL RESPONSABLE</t>
        </is>
      </c>
      <c r="M950" s="10" t="inlineStr">
        <is>
          <t>DISCOS DUROS, SERVIDORES, DISCOS O MEDIOS PORTÁTILES, CINTAS O MEDIOS DE VIDEO Y AUDIO, ETC.</t>
        </is>
      </c>
      <c r="N950" s="10" t="inlineStr">
        <is>
          <t>PRIMARIOS</t>
        </is>
      </c>
      <c r="O950" s="10" t="inlineStr">
        <is>
          <t>DOCUMENTOS TÉCNICOS</t>
        </is>
      </c>
      <c r="P950" s="10" t="inlineStr">
        <is>
          <t>RESTRINGIDO(3)</t>
        </is>
      </c>
      <c r="Q950" s="10" t="inlineStr">
        <is>
          <t>MEDIA(2)</t>
        </is>
      </c>
      <c r="R950" s="10" t="inlineStr">
        <is>
          <t>MEDIA(2)</t>
        </is>
      </c>
      <c r="S950" s="10">
        <f>+(IF(P950="PUBLICA(1)",1,IF(P950="USO INTERNO(2)",2,IF(P950="RESTRINGIDO(3)",3,3))))+(IF(Q950="BAJA(1)",1,IF(Q950="MEDIA(2)",2,IF(Q950="ALTA(3)",3,3))))+(IF(R950="BAJA(1)",1,IF(R950="MEDIA(2)",2,IF(R950="ALTA(3)",3,3))))</f>
        <v/>
      </c>
      <c r="T950" s="10">
        <f>+IF(S950&lt;6,"BAJA",IF(S950&lt;8,"MEDIA","ALTA"))</f>
        <v/>
      </c>
      <c r="U950" s="10" t="inlineStr">
        <is>
          <t>-</t>
        </is>
      </c>
      <c r="V950" s="24" t="n">
        <v>45673</v>
      </c>
      <c r="W950" s="19" t="inlineStr">
        <is>
          <t>N/A</t>
        </is>
      </c>
      <c r="X950" s="10">
        <f>+IFERROR(IF(VLOOKUP(Tabla2[[#This Row],[ID]],'EVALUACION DE RIESGO'!A:A,1,FALSE)=Tabla2[[#This Row],[ID]],"SI","NO"),"NO")</f>
        <v/>
      </c>
      <c r="AD950">
        <f>IF(AND(Y950="",AA950=""),"",IF(OR(LEFT(AA950,2)="L0",LEFT(AA950,2)="L1",Y950="No Iniciado"),"CRÍTICO - Incumplimiento Normativo SEPS",IF(AND(OR(LEFT(AA950,2)="L4",LEFT(AA950,2)="L5"),AND(AC950&lt;&gt;"",AC950&lt;&gt;"N/A")),"CONFORME - Control Efectivo ISO 27001","OBSERVACIÓN - Revisar Controles")))</f>
        <v/>
      </c>
    </row>
    <row r="951">
      <c r="A951" s="99" t="inlineStr">
        <is>
          <t>29-GFI</t>
        </is>
      </c>
      <c r="B951" s="10" t="inlineStr">
        <is>
          <t>APOYO</t>
        </is>
      </c>
      <c r="C951" s="10" t="inlineStr">
        <is>
          <t>Gestión Financiera</t>
        </is>
      </c>
      <c r="D951" s="10" t="inlineStr">
        <is>
          <t>GFI</t>
        </is>
      </c>
      <c r="E951" s="10" t="inlineStr">
        <is>
          <t>Gestión Contable</t>
        </is>
      </c>
      <c r="F951" s="10" t="inlineStr">
        <is>
          <t>-</t>
        </is>
      </c>
      <c r="G951" s="10" t="inlineStr">
        <is>
          <t>Generación de Estructuras de Balances Mensuales</t>
        </is>
      </c>
      <c r="H951" s="10" t="inlineStr">
        <is>
          <t>Estructura B11</t>
        </is>
      </c>
      <c r="I951" s="10" t="inlineStr">
        <is>
          <t>Estructura XML que se genera del sistema para validación BCE</t>
        </is>
      </c>
      <c r="J951" s="10" t="inlineStr">
        <is>
          <t>Contador General</t>
        </is>
      </c>
      <c r="K951" s="10" t="inlineStr">
        <is>
          <t>Contador General</t>
        </is>
      </c>
      <c r="L951" s="10" t="inlineStr">
        <is>
          <t>UBICACIÓN DIGITAL-EQUIPO DEL RESPONSABLE</t>
        </is>
      </c>
      <c r="M951" s="10" t="inlineStr">
        <is>
          <t>DISCOS DUROS, SERVIDORES, DISCOS O MEDIOS PORTÁTILES, CINTAS O MEDIOS DE VIDEO Y AUDIO, ETC.</t>
        </is>
      </c>
      <c r="N951" s="10" t="inlineStr">
        <is>
          <t>PRIMARIOS</t>
        </is>
      </c>
      <c r="O951" s="10" t="inlineStr">
        <is>
          <t>DOCUMENTOS TÉCNICOS</t>
        </is>
      </c>
      <c r="P951" s="10" t="inlineStr">
        <is>
          <t>RESTRINGIDO(3)</t>
        </is>
      </c>
      <c r="Q951" s="10" t="inlineStr">
        <is>
          <t>MEDIA(2)</t>
        </is>
      </c>
      <c r="R951" s="10" t="inlineStr">
        <is>
          <t>MEDIA(2)</t>
        </is>
      </c>
      <c r="S951" s="10">
        <f>+(IF(P951="PUBLICA(1)",1,IF(P951="USO INTERNO(2)",2,IF(P951="RESTRINGIDO(3)",3,3))))+(IF(Q951="BAJA(1)",1,IF(Q951="MEDIA(2)",2,IF(Q951="ALTA(3)",3,3))))+(IF(R951="BAJA(1)",1,IF(R951="MEDIA(2)",2,IF(R951="ALTA(3)",3,3))))</f>
        <v/>
      </c>
      <c r="T951" s="10">
        <f>+IF(S951&lt;6,"BAJA",IF(S951&lt;8,"MEDIA","ALTA"))</f>
        <v/>
      </c>
      <c r="U951" s="10" t="inlineStr">
        <is>
          <t>-</t>
        </is>
      </c>
      <c r="V951" s="24" t="n">
        <v>45673</v>
      </c>
      <c r="W951" s="19" t="inlineStr">
        <is>
          <t>N/A</t>
        </is>
      </c>
      <c r="X951" s="10">
        <f>+IFERROR(IF(VLOOKUP(Tabla2[[#This Row],[ID]],'EVALUACION DE RIESGO'!A:A,1,FALSE)=Tabla2[[#This Row],[ID]],"SI","NO"),"NO")</f>
        <v/>
      </c>
      <c r="AD951">
        <f>IF(AND(Y951="",AA951=""),"",IF(OR(LEFT(AA951,2)="L0",LEFT(AA951,2)="L1",Y951="No Iniciado"),"CRÍTICO - Incumplimiento Normativo SEPS",IF(AND(OR(LEFT(AA951,2)="L4",LEFT(AA951,2)="L5"),AND(AC951&lt;&gt;"",AC951&lt;&gt;"N/A")),"CONFORME - Control Efectivo ISO 27001","OBSERVACIÓN - Revisar Controles")))</f>
        <v/>
      </c>
    </row>
    <row r="952">
      <c r="A952" s="99" t="inlineStr">
        <is>
          <t>30-GFI</t>
        </is>
      </c>
      <c r="B952" s="10" t="inlineStr">
        <is>
          <t>APOYO</t>
        </is>
      </c>
      <c r="C952" s="10" t="inlineStr">
        <is>
          <t>Gestión Financiera</t>
        </is>
      </c>
      <c r="D952" s="10" t="inlineStr">
        <is>
          <t>GFI</t>
        </is>
      </c>
      <c r="E952" s="10" t="inlineStr">
        <is>
          <t>Gestión Contable</t>
        </is>
      </c>
      <c r="F952" s="10" t="inlineStr">
        <is>
          <t>-</t>
        </is>
      </c>
      <c r="G952" s="10" t="inlineStr">
        <is>
          <t>Generación de Estructuras de Balances Mensuales</t>
        </is>
      </c>
      <c r="H952" s="10" t="inlineStr">
        <is>
          <t>Patrimonio Técnico</t>
        </is>
      </c>
      <c r="I952" s="10" t="inlineStr">
        <is>
          <t>Reporte de Patrimonio técnico de acuerdo a los lineamientos de la SEPS, estructura validad a través del formulario FS01</t>
        </is>
      </c>
      <c r="J952" s="10" t="inlineStr">
        <is>
          <t>Contador General</t>
        </is>
      </c>
      <c r="K952" s="10" t="inlineStr">
        <is>
          <t>Contador General</t>
        </is>
      </c>
      <c r="L952" s="10" t="inlineStr">
        <is>
          <t>UBICACIÓN DIGITAL-EQUIPO DEL RESPONSABLE</t>
        </is>
      </c>
      <c r="M952" s="10" t="inlineStr">
        <is>
          <t>DISCOS DUROS, SERVIDORES, DISCOS O MEDIOS PORTÁTILES, CINTAS O MEDIOS DE VIDEO Y AUDIO, ETC.</t>
        </is>
      </c>
      <c r="N952" s="10" t="inlineStr">
        <is>
          <t>PRIMARIOS</t>
        </is>
      </c>
      <c r="O952" s="10" t="inlineStr">
        <is>
          <t>DOCUMENTOS TÉCNICOS</t>
        </is>
      </c>
      <c r="P952" s="10" t="inlineStr">
        <is>
          <t>RESTRINGIDO(3)</t>
        </is>
      </c>
      <c r="Q952" s="10" t="inlineStr">
        <is>
          <t>MEDIA(2)</t>
        </is>
      </c>
      <c r="R952" s="10" t="inlineStr">
        <is>
          <t>MEDIA(2)</t>
        </is>
      </c>
      <c r="S952" s="10">
        <f>+(IF(P952="PUBLICA(1)",1,IF(P952="USO INTERNO(2)",2,IF(P952="RESTRINGIDO(3)",3,3))))+(IF(Q952="BAJA(1)",1,IF(Q952="MEDIA(2)",2,IF(Q952="ALTA(3)",3,3))))+(IF(R952="BAJA(1)",1,IF(R952="MEDIA(2)",2,IF(R952="ALTA(3)",3,3))))</f>
        <v/>
      </c>
      <c r="T952" s="10">
        <f>+IF(S952&lt;6,"BAJA",IF(S952&lt;8,"MEDIA","ALTA"))</f>
        <v/>
      </c>
      <c r="U952" s="10" t="inlineStr">
        <is>
          <t>-</t>
        </is>
      </c>
      <c r="V952" s="24" t="n">
        <v>45673</v>
      </c>
      <c r="W952" s="19" t="inlineStr">
        <is>
          <t>N/A</t>
        </is>
      </c>
      <c r="X952" s="10">
        <f>+IFERROR(IF(VLOOKUP(Tabla2[[#This Row],[ID]],'EVALUACION DE RIESGO'!A:A,1,FALSE)=Tabla2[[#This Row],[ID]],"SI","NO"),"NO")</f>
        <v/>
      </c>
      <c r="AD952">
        <f>IF(AND(Y952="",AA952=""),"",IF(OR(LEFT(AA952,2)="L0",LEFT(AA952,2)="L1",Y952="No Iniciado"),"CRÍTICO - Incumplimiento Normativo SEPS",IF(AND(OR(LEFT(AA952,2)="L4",LEFT(AA952,2)="L5"),AND(AC952&lt;&gt;"",AC952&lt;&gt;"N/A")),"CONFORME - Control Efectivo ISO 27001","OBSERVACIÓN - Revisar Controles")))</f>
        <v/>
      </c>
    </row>
    <row r="953">
      <c r="A953" s="99" t="inlineStr">
        <is>
          <t>31-GFI</t>
        </is>
      </c>
      <c r="B953" s="10" t="inlineStr">
        <is>
          <t>APOYO</t>
        </is>
      </c>
      <c r="C953" s="10" t="inlineStr">
        <is>
          <t>Gestión Financiera</t>
        </is>
      </c>
      <c r="D953" s="10" t="inlineStr">
        <is>
          <t>GFI</t>
        </is>
      </c>
      <c r="E953" s="10" t="inlineStr">
        <is>
          <t>Gestión Contable</t>
        </is>
      </c>
      <c r="F953" s="10" t="inlineStr">
        <is>
          <t>-</t>
        </is>
      </c>
      <c r="G953" s="10" t="inlineStr">
        <is>
          <t>Generación de Estructuras de Balances Mensuales</t>
        </is>
      </c>
      <c r="H953" s="10" t="inlineStr">
        <is>
          <t>Reporte 231</t>
        </is>
      </c>
      <c r="I953" s="10" t="inlineStr">
        <is>
          <t>Consolidación de anexos por oficinas de las cuentas contables requeridas en el Reporte 231, se detallan los saldos reflejados en cada cuenta y anexo de calificación de acuerdo al tipo de calificación en las bandas de temporalidad correspondiente.</t>
        </is>
      </c>
      <c r="J953" s="10" t="inlineStr">
        <is>
          <t>Contador General</t>
        </is>
      </c>
      <c r="K953" s="10" t="inlineStr">
        <is>
          <t>Contador General</t>
        </is>
      </c>
      <c r="L953" s="10" t="inlineStr">
        <is>
          <t>UBICACIÓN DIGITAL-EQUIPO DEL RESPONSABLE</t>
        </is>
      </c>
      <c r="M953" s="10" t="inlineStr">
        <is>
          <t>DISCOS DUROS, SERVIDORES, DISCOS O MEDIOS PORTÁTILES, CINTAS O MEDIOS DE VIDEO Y AUDIO, ETC.</t>
        </is>
      </c>
      <c r="N953" s="10" t="inlineStr">
        <is>
          <t>PRIMARIOS</t>
        </is>
      </c>
      <c r="O953" s="10" t="inlineStr">
        <is>
          <t>DOCUMENTOS TÉCNICOS</t>
        </is>
      </c>
      <c r="P953" s="10" t="inlineStr">
        <is>
          <t>RESTRINGIDO(3)</t>
        </is>
      </c>
      <c r="Q953" s="10" t="inlineStr">
        <is>
          <t>MEDIA(2)</t>
        </is>
      </c>
      <c r="R953" s="10" t="inlineStr">
        <is>
          <t>MEDIA(2)</t>
        </is>
      </c>
      <c r="S953" s="10">
        <f>+(IF(P953="PUBLICA(1)",1,IF(P953="USO INTERNO(2)",2,IF(P953="RESTRINGIDO(3)",3,3))))+(IF(Q953="BAJA(1)",1,IF(Q953="MEDIA(2)",2,IF(Q953="ALTA(3)",3,3))))+(IF(R953="BAJA(1)",1,IF(R953="MEDIA(2)",2,IF(R953="ALTA(3)",3,3))))</f>
        <v/>
      </c>
      <c r="T953" s="10">
        <f>+IF(S953&lt;6,"BAJA",IF(S953&lt;8,"MEDIA","ALTA"))</f>
        <v/>
      </c>
      <c r="U953" s="10" t="inlineStr">
        <is>
          <t>-</t>
        </is>
      </c>
      <c r="V953" s="24" t="n">
        <v>45673</v>
      </c>
      <c r="W953" s="19" t="inlineStr">
        <is>
          <t>N/A</t>
        </is>
      </c>
      <c r="X953" s="10">
        <f>+IFERROR(IF(VLOOKUP(Tabla2[[#This Row],[ID]],'EVALUACION DE RIESGO'!A:A,1,FALSE)=Tabla2[[#This Row],[ID]],"SI","NO"),"NO")</f>
        <v/>
      </c>
      <c r="AD953">
        <f>IF(AND(Y953="",AA953=""),"",IF(OR(LEFT(AA953,2)="L0",LEFT(AA953,2)="L1",Y953="No Iniciado"),"CRÍTICO - Incumplimiento Normativo SEPS",IF(AND(OR(LEFT(AA953,2)="L4",LEFT(AA953,2)="L5"),AND(AC953&lt;&gt;"",AC953&lt;&gt;"N/A")),"CONFORME - Control Efectivo ISO 27001","OBSERVACIÓN - Revisar Controles")))</f>
        <v/>
      </c>
    </row>
    <row r="954">
      <c r="A954" s="99" t="inlineStr">
        <is>
          <t>32-GFI</t>
        </is>
      </c>
      <c r="B954" s="10" t="inlineStr">
        <is>
          <t>APOYO</t>
        </is>
      </c>
      <c r="C954" s="10" t="inlineStr">
        <is>
          <t>Gestión Financiera</t>
        </is>
      </c>
      <c r="D954" s="10" t="inlineStr">
        <is>
          <t>GFI</t>
        </is>
      </c>
      <c r="E954" s="10" t="inlineStr">
        <is>
          <t>Gestión Contable</t>
        </is>
      </c>
      <c r="F954" s="10" t="inlineStr">
        <is>
          <t>-</t>
        </is>
      </c>
      <c r="G954" s="10" t="inlineStr">
        <is>
          <t xml:space="preserve">Elaboración de anexos contables </t>
        </is>
      </c>
      <c r="H954" s="10" t="inlineStr">
        <is>
          <t>Anexos contables</t>
        </is>
      </c>
      <c r="I954" s="10" t="inlineStr">
        <is>
          <t>anexos que respaldan la información de los balances generados por cada cuenta contable</t>
        </is>
      </c>
      <c r="J954" s="10" t="inlineStr">
        <is>
          <t>Contador General</t>
        </is>
      </c>
      <c r="K954" s="10" t="inlineStr">
        <is>
          <t>ANALISTA CONTABLE / ASIS CONTABLE</t>
        </is>
      </c>
      <c r="L954" s="10" t="inlineStr">
        <is>
          <t>UBICACIÓN DIGITAL-EQUIPO DEL RESPONSABLE</t>
        </is>
      </c>
      <c r="M954" s="10" t="inlineStr">
        <is>
          <t>DISCOS DUROS, SERVIDORES, DISCOS O MEDIOS PORTÁTILES, CINTAS O MEDIOS DE VIDEO Y AUDIO, ETC.</t>
        </is>
      </c>
      <c r="N954" s="10" t="inlineStr">
        <is>
          <t>PRIMARIOS</t>
        </is>
      </c>
      <c r="O954" s="10" t="inlineStr">
        <is>
          <t>DOCUMENTOS TÉCNICOS</t>
        </is>
      </c>
      <c r="P954" s="10" t="inlineStr">
        <is>
          <t>USO INTERNO(2)</t>
        </is>
      </c>
      <c r="Q954" s="10" t="inlineStr">
        <is>
          <t>MEDIA(2)</t>
        </is>
      </c>
      <c r="R954" s="10" t="inlineStr">
        <is>
          <t>MEDIA(2)</t>
        </is>
      </c>
      <c r="S954" s="10">
        <f>+(IF(P954="PUBLICA(1)",1,IF(P954="USO INTERNO(2)",2,IF(P954="RESTRINGIDO(3)",3,3))))+(IF(Q954="BAJA(1)",1,IF(Q954="MEDIA(2)",2,IF(Q954="ALTA(3)",3,3))))+(IF(R954="BAJA(1)",1,IF(R954="MEDIA(2)",2,IF(R954="ALTA(3)",3,3))))</f>
        <v/>
      </c>
      <c r="T954" s="10">
        <f>+IF(S954&lt;6,"BAJA",IF(S954&lt;8,"MEDIA","ALTA"))</f>
        <v/>
      </c>
      <c r="U954" s="10" t="inlineStr">
        <is>
          <t>-</t>
        </is>
      </c>
      <c r="V954" s="24" t="n">
        <v>45673</v>
      </c>
      <c r="W954" s="19" t="inlineStr">
        <is>
          <t>N/A</t>
        </is>
      </c>
      <c r="X954" s="10">
        <f>+IFERROR(IF(VLOOKUP(Tabla2[[#This Row],[ID]],'EVALUACION DE RIESGO'!A:A,1,FALSE)=Tabla2[[#This Row],[ID]],"SI","NO"),"NO")</f>
        <v/>
      </c>
      <c r="AD954">
        <f>IF(AND(Y954="",AA954=""),"",IF(OR(LEFT(AA954,2)="L0",LEFT(AA954,2)="L1",Y954="No Iniciado"),"CRÍTICO - Incumplimiento Normativo SEPS",IF(AND(OR(LEFT(AA954,2)="L4",LEFT(AA954,2)="L5"),AND(AC954&lt;&gt;"",AC954&lt;&gt;"N/A")),"CONFORME - Control Efectivo ISO 27001","OBSERVACIÓN - Revisar Controles")))</f>
        <v/>
      </c>
    </row>
    <row r="955">
      <c r="A955" s="99" t="inlineStr">
        <is>
          <t>33-GFI</t>
        </is>
      </c>
      <c r="B955" s="10" t="inlineStr">
        <is>
          <t>APOYO</t>
        </is>
      </c>
      <c r="C955" s="10" t="inlineStr">
        <is>
          <t>Gestión Financiera</t>
        </is>
      </c>
      <c r="D955" s="10" t="inlineStr">
        <is>
          <t>GFI</t>
        </is>
      </c>
      <c r="E955" s="10" t="inlineStr">
        <is>
          <t>Gestión Contable</t>
        </is>
      </c>
      <c r="F955" s="10" t="inlineStr">
        <is>
          <t>-</t>
        </is>
      </c>
      <c r="G955" s="10" t="inlineStr">
        <is>
          <t xml:space="preserve">Conciliación Bancaria Previa </t>
        </is>
      </c>
      <c r="H955" s="10" t="inlineStr">
        <is>
          <t>Estados de cuenta de los bancos</t>
        </is>
      </c>
      <c r="I955" s="10" t="inlineStr">
        <is>
          <t>Información bancaria donde la institución tiene la cuenta / borrador</t>
        </is>
      </c>
      <c r="J955" s="10" t="inlineStr">
        <is>
          <t>Contador General</t>
        </is>
      </c>
      <c r="K955" s="10" t="inlineStr">
        <is>
          <t>ANALISTA CONTABLE / ASIS CONTABLE</t>
        </is>
      </c>
      <c r="L955" s="10" t="inlineStr">
        <is>
          <t>UBICACIÓN DIGITAL-EQUIPO DEL RESPONSABLE</t>
        </is>
      </c>
      <c r="M955" s="10" t="inlineStr">
        <is>
          <t>DISCOS DUROS, SERVIDORES, DISCOS O MEDIOS PORTÁTILES, CINTAS O MEDIOS DE VIDEO Y AUDIO, ETC.</t>
        </is>
      </c>
      <c r="N955" s="10" t="inlineStr">
        <is>
          <t>PRIMARIOS</t>
        </is>
      </c>
      <c r="O955" s="10" t="inlineStr">
        <is>
          <t>DOCUMENTOS TÉCNICOS</t>
        </is>
      </c>
      <c r="P955" s="10" t="inlineStr">
        <is>
          <t>RESTRINGIDO(3)</t>
        </is>
      </c>
      <c r="Q955" s="10" t="inlineStr">
        <is>
          <t>BAJA(1)</t>
        </is>
      </c>
      <c r="R955" s="10" t="inlineStr">
        <is>
          <t>MEDIA(2)</t>
        </is>
      </c>
      <c r="S955" s="10">
        <f>+(IF(P955="PUBLICA(1)",1,IF(P955="USO INTERNO(2)",2,IF(P955="RESTRINGIDO(3)",3,3))))+(IF(Q955="BAJA(1)",1,IF(Q955="MEDIA(2)",2,IF(Q955="ALTA(3)",3,3))))+(IF(R955="BAJA(1)",1,IF(R955="MEDIA(2)",2,IF(R955="ALTA(3)",3,3))))</f>
        <v/>
      </c>
      <c r="T955" s="10">
        <f>+IF(S955&lt;6,"BAJA",IF(S955&lt;8,"MEDIA","ALTA"))</f>
        <v/>
      </c>
      <c r="U955" s="10" t="inlineStr">
        <is>
          <t>-</t>
        </is>
      </c>
      <c r="V955" s="24" t="n">
        <v>45673</v>
      </c>
      <c r="W955" s="19" t="inlineStr">
        <is>
          <t>N/A</t>
        </is>
      </c>
      <c r="X955" s="10">
        <f>+IFERROR(IF(VLOOKUP(Tabla2[[#This Row],[ID]],'EVALUACION DE RIESGO'!A:A,1,FALSE)=Tabla2[[#This Row],[ID]],"SI","NO"),"NO")</f>
        <v/>
      </c>
      <c r="AD955">
        <f>IF(AND(Y955="",AA955=""),"",IF(OR(LEFT(AA955,2)="L0",LEFT(AA955,2)="L1",Y955="No Iniciado"),"CRÍTICO - Incumplimiento Normativo SEPS",IF(AND(OR(LEFT(AA955,2)="L4",LEFT(AA955,2)="L5"),AND(AC955&lt;&gt;"",AC955&lt;&gt;"N/A")),"CONFORME - Control Efectivo ISO 27001","OBSERVACIÓN - Revisar Controles")))</f>
        <v/>
      </c>
    </row>
    <row r="956">
      <c r="A956" s="99" t="inlineStr">
        <is>
          <t>34-GFI</t>
        </is>
      </c>
      <c r="B956" s="10" t="inlineStr">
        <is>
          <t>APOYO</t>
        </is>
      </c>
      <c r="C956" s="10" t="inlineStr">
        <is>
          <t>Gestión Financiera</t>
        </is>
      </c>
      <c r="D956" s="10" t="inlineStr">
        <is>
          <t>GFI</t>
        </is>
      </c>
      <c r="E956" s="10" t="inlineStr">
        <is>
          <t>Gestión Contable</t>
        </is>
      </c>
      <c r="F956" s="10" t="inlineStr">
        <is>
          <t>-</t>
        </is>
      </c>
      <c r="G956" s="10" t="inlineStr">
        <is>
          <t xml:space="preserve">Conciliación Bancaria Previa </t>
        </is>
      </c>
      <c r="H956" s="10" t="inlineStr">
        <is>
          <t>Conciliación bancaria</t>
        </is>
      </c>
      <c r="I956" s="10" t="inlineStr">
        <is>
          <t>Resultado final la conciliación bancaria, la fuente es el estado de cuenta de los bancos  / borrador</t>
        </is>
      </c>
      <c r="J956" s="10" t="inlineStr">
        <is>
          <t>Contador General</t>
        </is>
      </c>
      <c r="K956" s="10" t="inlineStr">
        <is>
          <t>ANALISTA CONTABLE / ASIS CONTABLE</t>
        </is>
      </c>
      <c r="L956" s="10" t="inlineStr">
        <is>
          <t>UBICACIÓN DIGITAL-EQUIPO DEL RESPONSABLE</t>
        </is>
      </c>
      <c r="M956" s="10" t="inlineStr">
        <is>
          <t>DISCOS DUROS, SERVIDORES, DISCOS O MEDIOS PORTÁTILES, CINTAS O MEDIOS DE VIDEO Y AUDIO, ETC.</t>
        </is>
      </c>
      <c r="N956" s="10" t="inlineStr">
        <is>
          <t>PRIMARIOS</t>
        </is>
      </c>
      <c r="O956" s="10" t="inlineStr">
        <is>
          <t>DOCUMENTOS TÉCNICOS</t>
        </is>
      </c>
      <c r="P956" s="10" t="inlineStr">
        <is>
          <t>USO INTERNO(2)</t>
        </is>
      </c>
      <c r="Q956" s="10" t="inlineStr">
        <is>
          <t>BAJA(1)</t>
        </is>
      </c>
      <c r="R956" s="10" t="inlineStr">
        <is>
          <t>MEDIA(2)</t>
        </is>
      </c>
      <c r="S956" s="10">
        <f>+(IF(P956="PUBLICA(1)",1,IF(P956="USO INTERNO(2)",2,IF(P956="RESTRINGIDO(3)",3,3))))+(IF(Q956="BAJA(1)",1,IF(Q956="MEDIA(2)",2,IF(Q956="ALTA(3)",3,3))))+(IF(R956="BAJA(1)",1,IF(R956="MEDIA(2)",2,IF(R956="ALTA(3)",3,3))))</f>
        <v/>
      </c>
      <c r="T956" s="10">
        <f>+IF(S956&lt;6,"BAJA",IF(S956&lt;8,"MEDIA","ALTA"))</f>
        <v/>
      </c>
      <c r="U956" s="10" t="inlineStr">
        <is>
          <t>-</t>
        </is>
      </c>
      <c r="V956" s="24" t="n">
        <v>45673</v>
      </c>
      <c r="W956" s="19" t="inlineStr">
        <is>
          <t>N/A</t>
        </is>
      </c>
      <c r="X956" s="10">
        <f>+IFERROR(IF(VLOOKUP(Tabla2[[#This Row],[ID]],'EVALUACION DE RIESGO'!A:A,1,FALSE)=Tabla2[[#This Row],[ID]],"SI","NO"),"NO")</f>
        <v/>
      </c>
      <c r="AD956">
        <f>IF(AND(Y956="",AA956=""),"",IF(OR(LEFT(AA956,2)="L0",LEFT(AA956,2)="L1",Y956="No Iniciado"),"CRÍTICO - Incumplimiento Normativo SEPS",IF(AND(OR(LEFT(AA956,2)="L4",LEFT(AA956,2)="L5"),AND(AC956&lt;&gt;"",AC956&lt;&gt;"N/A")),"CONFORME - Control Efectivo ISO 27001","OBSERVACIÓN - Revisar Controles")))</f>
        <v/>
      </c>
    </row>
    <row r="957">
      <c r="A957" s="99" t="inlineStr">
        <is>
          <t>35-GFI</t>
        </is>
      </c>
      <c r="B957" s="10" t="inlineStr">
        <is>
          <t>APOYO</t>
        </is>
      </c>
      <c r="C957" s="10" t="inlineStr">
        <is>
          <t>Gestión Financiera</t>
        </is>
      </c>
      <c r="D957" s="10" t="inlineStr">
        <is>
          <t>GFI</t>
        </is>
      </c>
      <c r="E957" s="10" t="inlineStr">
        <is>
          <t>Gestión Contable</t>
        </is>
      </c>
      <c r="F957" s="10" t="inlineStr">
        <is>
          <t>-</t>
        </is>
      </c>
      <c r="G957" s="10" t="inlineStr">
        <is>
          <t>Conciliación Bancaria Definitiva</t>
        </is>
      </c>
      <c r="H957" s="10" t="inlineStr">
        <is>
          <t>Estados de cuenta de los bancos</t>
        </is>
      </c>
      <c r="I957" s="10" t="inlineStr">
        <is>
          <t xml:space="preserve">Información bancaria donde la institución tiene la cuenta / definitivo a legalizar </t>
        </is>
      </c>
      <c r="J957" s="10" t="inlineStr">
        <is>
          <t>Contador General</t>
        </is>
      </c>
      <c r="K957" s="10" t="inlineStr">
        <is>
          <t>ANALISTA CONTABLE / ASIS CONTABLE</t>
        </is>
      </c>
      <c r="L957" s="10" t="inlineStr">
        <is>
          <t>DOCUMENTOS FISICOS-ARCHIVOS DE LA OFICINA</t>
        </is>
      </c>
      <c r="M957" s="10" t="inlineStr">
        <is>
          <t>DOCUMENTO DE ARCHIVO-FÍSICO</t>
        </is>
      </c>
      <c r="N957" s="10" t="inlineStr">
        <is>
          <t>PRIMARIOS</t>
        </is>
      </c>
      <c r="O957" s="10" t="inlineStr">
        <is>
          <t>DOCUMENTOS TÉCNICOS</t>
        </is>
      </c>
      <c r="P957" s="10" t="inlineStr">
        <is>
          <t>RESTRINGIDO(3)</t>
        </is>
      </c>
      <c r="Q957" s="10" t="inlineStr">
        <is>
          <t>BAJA(1)</t>
        </is>
      </c>
      <c r="R957" s="10" t="inlineStr">
        <is>
          <t>MEDIA(2)</t>
        </is>
      </c>
      <c r="S957" s="10">
        <f>+(IF(P957="PUBLICA(1)",1,IF(P957="USO INTERNO(2)",2,IF(P957="RESTRINGIDO(3)",3,3))))+(IF(Q957="BAJA(1)",1,IF(Q957="MEDIA(2)",2,IF(Q957="ALTA(3)",3,3))))+(IF(R957="BAJA(1)",1,IF(R957="MEDIA(2)",2,IF(R957="ALTA(3)",3,3))))</f>
        <v/>
      </c>
      <c r="T957" s="10">
        <f>+IF(S957&lt;6,"BAJA",IF(S957&lt;8,"MEDIA","ALTA"))</f>
        <v/>
      </c>
      <c r="U957" s="10" t="inlineStr">
        <is>
          <t>-</t>
        </is>
      </c>
      <c r="V957" s="24" t="n">
        <v>45673</v>
      </c>
      <c r="W957" s="19" t="inlineStr">
        <is>
          <t>N/A</t>
        </is>
      </c>
      <c r="X957" s="10">
        <f>+IFERROR(IF(VLOOKUP(Tabla2[[#This Row],[ID]],'EVALUACION DE RIESGO'!A:A,1,FALSE)=Tabla2[[#This Row],[ID]],"SI","NO"),"NO")</f>
        <v/>
      </c>
      <c r="AD957">
        <f>IF(AND(Y957="",AA957=""),"",IF(OR(LEFT(AA957,2)="L0",LEFT(AA957,2)="L1",Y957="No Iniciado"),"CRÍTICO - Incumplimiento Normativo SEPS",IF(AND(OR(LEFT(AA957,2)="L4",LEFT(AA957,2)="L5"),AND(AC957&lt;&gt;"",AC957&lt;&gt;"N/A")),"CONFORME - Control Efectivo ISO 27001","OBSERVACIÓN - Revisar Controles")))</f>
        <v/>
      </c>
    </row>
    <row r="958">
      <c r="A958" s="99" t="inlineStr">
        <is>
          <t>36-GFI</t>
        </is>
      </c>
      <c r="B958" s="10" t="inlineStr">
        <is>
          <t>APOYO</t>
        </is>
      </c>
      <c r="C958" s="10" t="inlineStr">
        <is>
          <t>Gestión Financiera</t>
        </is>
      </c>
      <c r="D958" s="10" t="inlineStr">
        <is>
          <t>GFI</t>
        </is>
      </c>
      <c r="E958" s="10" t="inlineStr">
        <is>
          <t>Gestión Contable</t>
        </is>
      </c>
      <c r="F958" s="10" t="inlineStr">
        <is>
          <t>-</t>
        </is>
      </c>
      <c r="G958" s="10" t="inlineStr">
        <is>
          <t>Conciliación Bancaria Definitiva</t>
        </is>
      </c>
      <c r="H958" s="10" t="inlineStr">
        <is>
          <t>Conciliación bancaria</t>
        </is>
      </c>
      <c r="I958" s="10" t="inlineStr">
        <is>
          <t xml:space="preserve">Resultado final la conciliación bancaria, la fuente es el estado de cuenta de los bancos  / definitivo a legalizar </t>
        </is>
      </c>
      <c r="J958" s="10" t="inlineStr">
        <is>
          <t>Contador General</t>
        </is>
      </c>
      <c r="K958" s="10" t="inlineStr">
        <is>
          <t>ANALISTA CONTABLE / ASIS CONTABLE</t>
        </is>
      </c>
      <c r="L958" s="10" t="inlineStr">
        <is>
          <t>DOCUMENTOS FISICOS-ARCHIVOS DE LA OFICINA</t>
        </is>
      </c>
      <c r="M958" s="10" t="inlineStr">
        <is>
          <t>DOCUMENTO DE ARCHIVO-FÍSICO</t>
        </is>
      </c>
      <c r="N958" s="10" t="inlineStr">
        <is>
          <t>PRIMARIOS</t>
        </is>
      </c>
      <c r="O958" s="10" t="inlineStr">
        <is>
          <t>DOCUMENTOS TÉCNICOS</t>
        </is>
      </c>
      <c r="P958" s="10" t="inlineStr">
        <is>
          <t>USO INTERNO(2)</t>
        </is>
      </c>
      <c r="Q958" s="10" t="inlineStr">
        <is>
          <t>BAJA(1)</t>
        </is>
      </c>
      <c r="R958" s="10" t="inlineStr">
        <is>
          <t>BAJA(1)</t>
        </is>
      </c>
      <c r="S958" s="10">
        <f>+(IF(P958="PUBLICA(1)",1,IF(P958="USO INTERNO(2)",2,IF(P958="RESTRINGIDO(3)",3,3))))+(IF(Q958="BAJA(1)",1,IF(Q958="MEDIA(2)",2,IF(Q958="ALTA(3)",3,3))))+(IF(R958="BAJA(1)",1,IF(R958="MEDIA(2)",2,IF(R958="ALTA(3)",3,3))))</f>
        <v/>
      </c>
      <c r="T958" s="10">
        <f>+IF(S958&lt;6,"BAJA",IF(S958&lt;8,"MEDIA","ALTA"))</f>
        <v/>
      </c>
      <c r="U958" s="10" t="inlineStr">
        <is>
          <t>-</t>
        </is>
      </c>
      <c r="V958" s="24" t="n">
        <v>45673</v>
      </c>
      <c r="W958" s="19" t="inlineStr">
        <is>
          <t>N/A</t>
        </is>
      </c>
      <c r="X958" s="10">
        <f>+IFERROR(IF(VLOOKUP(Tabla2[[#This Row],[ID]],'EVALUACION DE RIESGO'!A:A,1,FALSE)=Tabla2[[#This Row],[ID]],"SI","NO"),"NO")</f>
        <v/>
      </c>
      <c r="AD958">
        <f>IF(AND(Y958="",AA958=""),"",IF(OR(LEFT(AA958,2)="L0",LEFT(AA958,2)="L1",Y958="No Iniciado"),"CRÍTICO - Incumplimiento Normativo SEPS",IF(AND(OR(LEFT(AA958,2)="L4",LEFT(AA958,2)="L5"),AND(AC958&lt;&gt;"",AC958&lt;&gt;"N/A")),"CONFORME - Control Efectivo ISO 27001","OBSERVACIÓN - Revisar Controles")))</f>
        <v/>
      </c>
    </row>
    <row r="959">
      <c r="A959" s="99" t="inlineStr">
        <is>
          <t>37-GFI</t>
        </is>
      </c>
      <c r="B959" s="10" t="inlineStr">
        <is>
          <t>APOYO</t>
        </is>
      </c>
      <c r="C959" s="10" t="inlineStr">
        <is>
          <t>Gestión Financiera</t>
        </is>
      </c>
      <c r="D959" s="10" t="inlineStr">
        <is>
          <t>GFI</t>
        </is>
      </c>
      <c r="E959" s="10" t="inlineStr">
        <is>
          <t>Gestión Contable</t>
        </is>
      </c>
      <c r="F959" s="10" t="inlineStr">
        <is>
          <t>-</t>
        </is>
      </c>
      <c r="G959" s="10" t="inlineStr">
        <is>
          <t>Declaración y legalización de obligaciones tributarias</t>
        </is>
      </c>
      <c r="H959" s="10" t="inlineStr">
        <is>
          <t>Reporte de cuadre de impuestos</t>
        </is>
      </c>
      <c r="I959" s="10" t="inlineStr">
        <is>
          <t>Detalle de la conciliación realizada de impuestos versus la contabilización, para la declaración de impuestos</t>
        </is>
      </c>
      <c r="J959" s="10" t="inlineStr">
        <is>
          <t>Contador General</t>
        </is>
      </c>
      <c r="K959" s="10" t="inlineStr">
        <is>
          <t>ANALISTA CONTABLE / ASIS CONTABLE</t>
        </is>
      </c>
      <c r="L959" s="10" t="inlineStr">
        <is>
          <t>UBICACIÓN DIGITAL-EQUIPO DEL RESPONSABLE</t>
        </is>
      </c>
      <c r="M959" s="10" t="inlineStr">
        <is>
          <t>DISCOS DUROS, SERVIDORES, DISCOS O MEDIOS PORTÁTILES, CINTAS O MEDIOS DE VIDEO Y AUDIO, ETC.</t>
        </is>
      </c>
      <c r="N959" s="10" t="inlineStr">
        <is>
          <t>PRIMARIOS</t>
        </is>
      </c>
      <c r="O959" s="10" t="inlineStr">
        <is>
          <t>DOCUMENTOS TÉCNICOS</t>
        </is>
      </c>
      <c r="P959" s="10" t="inlineStr">
        <is>
          <t>RESTRINGIDO(3)</t>
        </is>
      </c>
      <c r="Q959" s="10" t="inlineStr">
        <is>
          <t>BAJA(1)</t>
        </is>
      </c>
      <c r="R959" s="10" t="inlineStr">
        <is>
          <t>BAJA(1)</t>
        </is>
      </c>
      <c r="S959" s="10">
        <f>+(IF(P959="PUBLICA(1)",1,IF(P959="USO INTERNO(2)",2,IF(P959="RESTRINGIDO(3)",3,3))))+(IF(Q959="BAJA(1)",1,IF(Q959="MEDIA(2)",2,IF(Q959="ALTA(3)",3,3))))+(IF(R959="BAJA(1)",1,IF(R959="MEDIA(2)",2,IF(R959="ALTA(3)",3,3))))</f>
        <v/>
      </c>
      <c r="T959" s="10">
        <f>+IF(S959&lt;6,"BAJA",IF(S959&lt;8,"MEDIA","ALTA"))</f>
        <v/>
      </c>
      <c r="U959" s="10" t="inlineStr">
        <is>
          <t>-</t>
        </is>
      </c>
      <c r="V959" s="24" t="n">
        <v>45673</v>
      </c>
      <c r="W959" s="19" t="inlineStr">
        <is>
          <t>N/A</t>
        </is>
      </c>
      <c r="X959" s="10">
        <f>+IFERROR(IF(VLOOKUP(Tabla2[[#This Row],[ID]],'EVALUACION DE RIESGO'!A:A,1,FALSE)=Tabla2[[#This Row],[ID]],"SI","NO"),"NO")</f>
        <v/>
      </c>
      <c r="AD959">
        <f>IF(AND(Y959="",AA959=""),"",IF(OR(LEFT(AA959,2)="L0",LEFT(AA959,2)="L1",Y959="No Iniciado"),"CRÍTICO - Incumplimiento Normativo SEPS",IF(AND(OR(LEFT(AA959,2)="L4",LEFT(AA959,2)="L5"),AND(AC959&lt;&gt;"",AC959&lt;&gt;"N/A")),"CONFORME - Control Efectivo ISO 27001","OBSERVACIÓN - Revisar Controles")))</f>
        <v/>
      </c>
    </row>
    <row r="960">
      <c r="A960" s="99" t="inlineStr">
        <is>
          <t>38-GFI</t>
        </is>
      </c>
      <c r="B960" s="10" t="inlineStr">
        <is>
          <t>APOYO</t>
        </is>
      </c>
      <c r="C960" s="10" t="inlineStr">
        <is>
          <t>Gestión Financiera</t>
        </is>
      </c>
      <c r="D960" s="10" t="inlineStr">
        <is>
          <t>GFI</t>
        </is>
      </c>
      <c r="E960" s="10" t="inlineStr">
        <is>
          <t>Gestión Contable</t>
        </is>
      </c>
      <c r="F960" s="10" t="inlineStr">
        <is>
          <t>-</t>
        </is>
      </c>
      <c r="G960" s="10" t="inlineStr">
        <is>
          <t>Declaración y legalización de obligaciones tributarias</t>
        </is>
      </c>
      <c r="H960" s="10" t="inlineStr">
        <is>
          <t>Formularios tributarios 101, 103, 104, 109, 110, 115</t>
        </is>
      </c>
      <c r="I960" s="10" t="inlineStr">
        <is>
          <t>Formularios de reporte de cuadre de impuestos con saldos contables del sistema.</t>
        </is>
      </c>
      <c r="J960" s="10" t="inlineStr">
        <is>
          <t>Contador General</t>
        </is>
      </c>
      <c r="K960" s="10" t="inlineStr">
        <is>
          <t>Contador General</t>
        </is>
      </c>
      <c r="L960" s="10" t="inlineStr">
        <is>
          <t>UBICACIÓN DIGITAL-EQUIPO DEL RESPONSABLE</t>
        </is>
      </c>
      <c r="M960" s="10" t="inlineStr">
        <is>
          <t>DISCOS DUROS, SERVIDORES, DISCOS O MEDIOS PORTÁTILES, CINTAS O MEDIOS DE VIDEO Y AUDIO, ETC.</t>
        </is>
      </c>
      <c r="N960" s="10" t="inlineStr">
        <is>
          <t>PRIMARIOS</t>
        </is>
      </c>
      <c r="O960" s="10" t="inlineStr">
        <is>
          <t>DOCUMENTOS TÉCNICOS</t>
        </is>
      </c>
      <c r="P960" s="10" t="inlineStr">
        <is>
          <t>RESTRINGIDO(3)</t>
        </is>
      </c>
      <c r="Q960" s="10" t="inlineStr">
        <is>
          <t>MEDIA(2)</t>
        </is>
      </c>
      <c r="R960" s="10" t="inlineStr">
        <is>
          <t>MEDIA(2)</t>
        </is>
      </c>
      <c r="S960" s="10">
        <f>+(IF(P960="PUBLICA(1)",1,IF(P960="USO INTERNO(2)",2,IF(P960="RESTRINGIDO(3)",3,3))))+(IF(Q960="BAJA(1)",1,IF(Q960="MEDIA(2)",2,IF(Q960="ALTA(3)",3,3))))+(IF(R960="BAJA(1)",1,IF(R960="MEDIA(2)",2,IF(R960="ALTA(3)",3,3))))</f>
        <v/>
      </c>
      <c r="T960" s="10">
        <f>+IF(S960&lt;6,"BAJA",IF(S960&lt;8,"MEDIA","ALTA"))</f>
        <v/>
      </c>
      <c r="U960" s="10" t="inlineStr">
        <is>
          <t>-</t>
        </is>
      </c>
      <c r="V960" s="24" t="n">
        <v>45673</v>
      </c>
      <c r="W960" s="19" t="inlineStr">
        <is>
          <t>N/A</t>
        </is>
      </c>
      <c r="X960" s="10">
        <f>+IFERROR(IF(VLOOKUP(Tabla2[[#This Row],[ID]],'EVALUACION DE RIESGO'!A:A,1,FALSE)=Tabla2[[#This Row],[ID]],"SI","NO"),"NO")</f>
        <v/>
      </c>
      <c r="AD960">
        <f>IF(AND(Y960="",AA960=""),"",IF(OR(LEFT(AA960,2)="L0",LEFT(AA960,2)="L1",Y960="No Iniciado"),"CRÍTICO - Incumplimiento Normativo SEPS",IF(AND(OR(LEFT(AA960,2)="L4",LEFT(AA960,2)="L5"),AND(AC960&lt;&gt;"",AC960&lt;&gt;"N/A")),"CONFORME - Control Efectivo ISO 27001","OBSERVACIÓN - Revisar Controles")))</f>
        <v/>
      </c>
    </row>
    <row r="961">
      <c r="A961" s="99" t="inlineStr">
        <is>
          <t>39-GFI</t>
        </is>
      </c>
      <c r="B961" s="10" t="inlineStr">
        <is>
          <t>APOYO</t>
        </is>
      </c>
      <c r="C961" s="10" t="inlineStr">
        <is>
          <t>Gestión Financiera</t>
        </is>
      </c>
      <c r="D961" s="10" t="inlineStr">
        <is>
          <t>GFI</t>
        </is>
      </c>
      <c r="E961" s="10" t="inlineStr">
        <is>
          <t>Gestión Contable</t>
        </is>
      </c>
      <c r="F961" s="10" t="inlineStr">
        <is>
          <t>-</t>
        </is>
      </c>
      <c r="G961" s="10" t="inlineStr">
        <is>
          <t>Declaración y legalización de obligaciones tributarias</t>
        </is>
      </c>
      <c r="H961" s="10" t="inlineStr">
        <is>
          <t>Comprobantes de pago tributario</t>
        </is>
      </c>
      <c r="I961" s="10" t="inlineStr">
        <is>
          <t>Registro contable del pago tributario</t>
        </is>
      </c>
      <c r="J961" s="10" t="inlineStr">
        <is>
          <t>Contador General</t>
        </is>
      </c>
      <c r="K961" s="10" t="inlineStr">
        <is>
          <t>Contador General</t>
        </is>
      </c>
      <c r="L961" s="10" t="inlineStr">
        <is>
          <t>UBICACIÓN DIGITAL-EQUIPO DEL RESPONSABLE</t>
        </is>
      </c>
      <c r="M961" s="10" t="inlineStr">
        <is>
          <t>DISCOS DUROS, SERVIDORES, DISCOS O MEDIOS PORTÁTILES, CINTAS O MEDIOS DE VIDEO Y AUDIO, ETC.</t>
        </is>
      </c>
      <c r="N961" s="10" t="inlineStr">
        <is>
          <t>PRIMARIOS</t>
        </is>
      </c>
      <c r="O961" s="10" t="inlineStr">
        <is>
          <t>DOCUMENTOS HABILITANTES</t>
        </is>
      </c>
      <c r="P961" s="10" t="inlineStr">
        <is>
          <t>RESTRINGIDO(3)</t>
        </is>
      </c>
      <c r="Q961" s="10" t="inlineStr">
        <is>
          <t>MEDIA(2)</t>
        </is>
      </c>
      <c r="R961" s="10" t="inlineStr">
        <is>
          <t>MEDIA(2)</t>
        </is>
      </c>
      <c r="S961" s="10">
        <f>+(IF(P961="PUBLICA(1)",1,IF(P961="USO INTERNO(2)",2,IF(P961="RESTRINGIDO(3)",3,3))))+(IF(Q961="BAJA(1)",1,IF(Q961="MEDIA(2)",2,IF(Q961="ALTA(3)",3,3))))+(IF(R961="BAJA(1)",1,IF(R961="MEDIA(2)",2,IF(R961="ALTA(3)",3,3))))</f>
        <v/>
      </c>
      <c r="T961" s="10">
        <f>+IF(S961&lt;6,"BAJA",IF(S961&lt;8,"MEDIA","ALTA"))</f>
        <v/>
      </c>
      <c r="U961" s="10" t="inlineStr">
        <is>
          <t>-</t>
        </is>
      </c>
      <c r="V961" s="24" t="n">
        <v>45673</v>
      </c>
      <c r="W961" s="19" t="inlineStr">
        <is>
          <t>N/A</t>
        </is>
      </c>
      <c r="X961" s="10">
        <f>+IFERROR(IF(VLOOKUP(Tabla2[[#This Row],[ID]],'EVALUACION DE RIESGO'!A:A,1,FALSE)=Tabla2[[#This Row],[ID]],"SI","NO"),"NO")</f>
        <v/>
      </c>
      <c r="AD961">
        <f>IF(AND(Y961="",AA961=""),"",IF(OR(LEFT(AA961,2)="L0",LEFT(AA961,2)="L1",Y961="No Iniciado"),"CRÍTICO - Incumplimiento Normativo SEPS",IF(AND(OR(LEFT(AA961,2)="L4",LEFT(AA961,2)="L5"),AND(AC961&lt;&gt;"",AC961&lt;&gt;"N/A")),"CONFORME - Control Efectivo ISO 27001","OBSERVACIÓN - Revisar Controles")))</f>
        <v/>
      </c>
    </row>
    <row r="962">
      <c r="A962" s="99" t="inlineStr">
        <is>
          <t>40-GFI</t>
        </is>
      </c>
      <c r="B962" s="10" t="inlineStr">
        <is>
          <t>APOYO</t>
        </is>
      </c>
      <c r="C962" s="10" t="inlineStr">
        <is>
          <t>Gestión Financiera</t>
        </is>
      </c>
      <c r="D962" s="10" t="inlineStr">
        <is>
          <t>GFI</t>
        </is>
      </c>
      <c r="E962" s="10" t="inlineStr">
        <is>
          <t>Gestión Contable</t>
        </is>
      </c>
      <c r="F962" s="10" t="inlineStr">
        <is>
          <t>-</t>
        </is>
      </c>
      <c r="G962" s="10" t="inlineStr">
        <is>
          <t xml:space="preserve">Conciliación Tributaria </t>
        </is>
      </c>
      <c r="H962" s="10" t="inlineStr">
        <is>
          <t>Registro de conciliación tributaria</t>
        </is>
      </c>
      <c r="I962" s="10" t="inlineStr">
        <is>
          <t>Anexos de Impuesto a la Renta Anual</t>
        </is>
      </c>
      <c r="J962" s="10" t="inlineStr">
        <is>
          <t>Contador General</t>
        </is>
      </c>
      <c r="K962" s="10" t="inlineStr">
        <is>
          <t>Contador General</t>
        </is>
      </c>
      <c r="L962" s="10" t="inlineStr">
        <is>
          <t>UBICACIÓN DIGITAL-EQUIPO DEL RESPONSABLE</t>
        </is>
      </c>
      <c r="M962" s="10" t="inlineStr">
        <is>
          <t>DISCOS DUROS, SERVIDORES, DISCOS O MEDIOS PORTÁTILES, CINTAS O MEDIOS DE VIDEO Y AUDIO, ETC.</t>
        </is>
      </c>
      <c r="N962" s="10" t="inlineStr">
        <is>
          <t>PRIMARIOS</t>
        </is>
      </c>
      <c r="O962" s="10" t="inlineStr">
        <is>
          <t>DOCUMENTOS HABILITANTES</t>
        </is>
      </c>
      <c r="P962" s="10" t="inlineStr">
        <is>
          <t>USO INTERNO(2)</t>
        </is>
      </c>
      <c r="Q962" s="10" t="inlineStr">
        <is>
          <t>MEDIA(2)</t>
        </is>
      </c>
      <c r="R962" s="10" t="inlineStr">
        <is>
          <t>MEDIA(2)</t>
        </is>
      </c>
      <c r="S962" s="10">
        <f>+(IF(P962="PUBLICA(1)",1,IF(P962="USO INTERNO(2)",2,IF(P962="RESTRINGIDO(3)",3,3))))+(IF(Q962="BAJA(1)",1,IF(Q962="MEDIA(2)",2,IF(Q962="ALTA(3)",3,3))))+(IF(R962="BAJA(1)",1,IF(R962="MEDIA(2)",2,IF(R962="ALTA(3)",3,3))))</f>
        <v/>
      </c>
      <c r="T962" s="10">
        <f>+IF(S962&lt;6,"BAJA",IF(S962&lt;8,"MEDIA","ALTA"))</f>
        <v/>
      </c>
      <c r="U962" s="10" t="inlineStr">
        <is>
          <t>-</t>
        </is>
      </c>
      <c r="V962" s="24" t="n">
        <v>45673</v>
      </c>
      <c r="W962" s="19" t="inlineStr">
        <is>
          <t>N/A</t>
        </is>
      </c>
      <c r="X962" s="10">
        <f>+IFERROR(IF(VLOOKUP(Tabla2[[#This Row],[ID]],'EVALUACION DE RIESGO'!A:A,1,FALSE)=Tabla2[[#This Row],[ID]],"SI","NO"),"NO")</f>
        <v/>
      </c>
      <c r="AD962">
        <f>IF(AND(Y962="",AA962=""),"",IF(OR(LEFT(AA962,2)="L0",LEFT(AA962,2)="L1",Y962="No Iniciado"),"CRÍTICO - Incumplimiento Normativo SEPS",IF(AND(OR(LEFT(AA962,2)="L4",LEFT(AA962,2)="L5"),AND(AC962&lt;&gt;"",AC962&lt;&gt;"N/A")),"CONFORME - Control Efectivo ISO 27001","OBSERVACIÓN - Revisar Controles")))</f>
        <v/>
      </c>
    </row>
    <row r="963">
      <c r="A963" s="99" t="inlineStr">
        <is>
          <t>41-GFI</t>
        </is>
      </c>
      <c r="B963" s="10" t="inlineStr">
        <is>
          <t>APOYO</t>
        </is>
      </c>
      <c r="C963" s="10" t="inlineStr">
        <is>
          <t>Gestión Financiera</t>
        </is>
      </c>
      <c r="D963" s="10" t="inlineStr">
        <is>
          <t>GFI</t>
        </is>
      </c>
      <c r="E963" s="10" t="inlineStr">
        <is>
          <t>Gestión Contable</t>
        </is>
      </c>
      <c r="F963" s="10" t="inlineStr">
        <is>
          <t>-</t>
        </is>
      </c>
      <c r="G963" s="10" t="inlineStr">
        <is>
          <t>Anexos de Obligaciones Tributarias</t>
        </is>
      </c>
      <c r="H963" s="10" t="inlineStr">
        <is>
          <t>Anexo transaccional / Anexo de movimiento internacional de divisas / Anexo de Retenciones en la fuente bajo relación de dependencia</t>
        </is>
      </c>
      <c r="I963" s="10" t="inlineStr">
        <is>
          <t>Anexos generados del sistema transaccional, que posterior son cargados al portal web del Servicio de Rentas Internas.</t>
        </is>
      </c>
      <c r="J963" s="10" t="inlineStr">
        <is>
          <t>Contador General</t>
        </is>
      </c>
      <c r="K963" s="10" t="inlineStr">
        <is>
          <t>Contador General</t>
        </is>
      </c>
      <c r="L963" s="10" t="inlineStr">
        <is>
          <t>UBICACIÓN DIGITAL-EQUIPO DEL CUSTODIO</t>
        </is>
      </c>
      <c r="M963" s="10" t="inlineStr">
        <is>
          <t>DISCOS DUROS, SERVIDORES, DISCOS O MEDIOS PORTÁTILES, CINTAS O MEDIOS DE VIDEO Y AUDIO, ETC.</t>
        </is>
      </c>
      <c r="N963" s="10" t="inlineStr">
        <is>
          <t>PRIMARIOS</t>
        </is>
      </c>
      <c r="O963" s="10" t="inlineStr">
        <is>
          <t>DOCUMENTOS TÉCNICOS</t>
        </is>
      </c>
      <c r="P963" s="10" t="inlineStr">
        <is>
          <t>USO INTERNO(2)</t>
        </is>
      </c>
      <c r="Q963" s="10" t="inlineStr">
        <is>
          <t>MEDIA(2)</t>
        </is>
      </c>
      <c r="R963" s="10" t="inlineStr">
        <is>
          <t>MEDIA(2)</t>
        </is>
      </c>
      <c r="S963" s="10">
        <f>+(IF(P963="PUBLICA(1)",1,IF(P963="USO INTERNO(2)",2,IF(P963="RESTRINGIDO(3)",3,3))))+(IF(Q963="BAJA(1)",1,IF(Q963="MEDIA(2)",2,IF(Q963="ALTA(3)",3,3))))+(IF(R963="BAJA(1)",1,IF(R963="MEDIA(2)",2,IF(R963="ALTA(3)",3,3))))</f>
        <v/>
      </c>
      <c r="T963" s="10">
        <f>+IF(S963&lt;6,"BAJA",IF(S963&lt;8,"MEDIA","ALTA"))</f>
        <v/>
      </c>
      <c r="U963" s="10" t="inlineStr">
        <is>
          <t>-</t>
        </is>
      </c>
      <c r="V963" s="24" t="n">
        <v>45673</v>
      </c>
      <c r="W963" s="19" t="inlineStr">
        <is>
          <t>N/A</t>
        </is>
      </c>
      <c r="X963" s="10">
        <f>+IFERROR(IF(VLOOKUP(Tabla2[[#This Row],[ID]],'EVALUACION DE RIESGO'!A:A,1,FALSE)=Tabla2[[#This Row],[ID]],"SI","NO"),"NO")</f>
        <v/>
      </c>
      <c r="AD963">
        <f>IF(AND(Y963="",AA963=""),"",IF(OR(LEFT(AA963,2)="L0",LEFT(AA963,2)="L1",Y963="No Iniciado"),"CRÍTICO - Incumplimiento Normativo SEPS",IF(AND(OR(LEFT(AA963,2)="L4",LEFT(AA963,2)="L5"),AND(AC963&lt;&gt;"",AC963&lt;&gt;"N/A")),"CONFORME - Control Efectivo ISO 27001","OBSERVACIÓN - Revisar Controles")))</f>
        <v/>
      </c>
    </row>
    <row r="964">
      <c r="A964" s="99" t="inlineStr">
        <is>
          <t>42-GFI</t>
        </is>
      </c>
      <c r="B964" s="10" t="inlineStr">
        <is>
          <t>APOYO</t>
        </is>
      </c>
      <c r="C964" s="10" t="inlineStr">
        <is>
          <t>Gestión Financiera</t>
        </is>
      </c>
      <c r="D964" s="10" t="inlineStr">
        <is>
          <t>GFI</t>
        </is>
      </c>
      <c r="E964" s="10" t="inlineStr">
        <is>
          <t>Gestión Contable</t>
        </is>
      </c>
      <c r="F964" s="10" t="inlineStr">
        <is>
          <t>-</t>
        </is>
      </c>
      <c r="G964" s="10" t="inlineStr">
        <is>
          <t>N/A</t>
        </is>
      </c>
      <c r="H964" s="10" t="inlineStr">
        <is>
          <t xml:space="preserve">Equipos de computación </t>
        </is>
      </c>
      <c r="I964" s="10" t="inlineStr">
        <is>
          <t>Equipos de computación donde se realiza la gestión del área</t>
        </is>
      </c>
      <c r="J964" s="10" t="inlineStr">
        <is>
          <t xml:space="preserve">Gerente Financiero </t>
        </is>
      </c>
      <c r="K964" s="10" t="inlineStr">
        <is>
          <t xml:space="preserve">Oficial de Seguridad de la Información </t>
        </is>
      </c>
      <c r="L964" s="10" t="inlineStr">
        <is>
          <t>UBICACIÓN FISICA-SUCURSAL IBARRA</t>
        </is>
      </c>
      <c r="M964" s="10" t="inlineStr">
        <is>
          <t>DISCOS DUROS, SERVIDORES, DISCOS O MEDIOS PORTÁTILES, CINTAS O MEDIOS DE VIDEO Y AUDIO, ETC.</t>
        </is>
      </c>
      <c r="N964" s="10" t="inlineStr">
        <is>
          <t>APOYO</t>
        </is>
      </c>
      <c r="O964" s="10" t="inlineStr">
        <is>
          <t>HARDWARE</t>
        </is>
      </c>
      <c r="P964" s="10" t="inlineStr">
        <is>
          <t>RESTRINGIDO(3)</t>
        </is>
      </c>
      <c r="Q964" s="10" t="inlineStr">
        <is>
          <t>MEDIA(2)</t>
        </is>
      </c>
      <c r="R964" s="10" t="inlineStr">
        <is>
          <t>MEDIA(2)</t>
        </is>
      </c>
      <c r="S964" s="10">
        <f>+(IF(P964="PUBLICA(1)",1,IF(P964="USO INTERNO(2)",2,IF(P964="RESTRINGIDO(3)",3,3))))+(IF(Q964="BAJA(1)",1,IF(Q964="MEDIA(2)",2,IF(Q964="ALTA(3)",3,3))))+(IF(R964="BAJA(1)",1,IF(R964="MEDIA(2)",2,IF(R964="ALTA(3)",3,3))))</f>
        <v/>
      </c>
      <c r="T964" s="10">
        <f>+IF(S964&lt;6,"BAJA",IF(S964&lt;8,"MEDIA","ALTA"))</f>
        <v/>
      </c>
      <c r="U964" s="10" t="inlineStr">
        <is>
          <t>-</t>
        </is>
      </c>
      <c r="V964" s="24" t="n">
        <v>45712</v>
      </c>
      <c r="W964" s="19" t="inlineStr">
        <is>
          <t>N/A</t>
        </is>
      </c>
      <c r="X964" s="10">
        <f>+IFERROR(IF(VLOOKUP(Tabla2[[#This Row],[ID]],'EVALUACION DE RIESGO'!A:A,1,FALSE)=Tabla2[[#This Row],[ID]],"SI","NO"),"NO")</f>
        <v/>
      </c>
      <c r="AD964">
        <f>IF(AND(Y964="",AA964=""),"",IF(OR(LEFT(AA964,2)="L0",LEFT(AA964,2)="L1",Y964="No Iniciado"),"CRÍTICO - Incumplimiento Normativo SEPS",IF(AND(OR(LEFT(AA964,2)="L4",LEFT(AA964,2)="L5"),AND(AC964&lt;&gt;"",AC964&lt;&gt;"N/A")),"CONFORME - Control Efectivo ISO 27001","OBSERVACIÓN - Revisar Controles")))</f>
        <v/>
      </c>
    </row>
    <row r="965">
      <c r="A965" s="99" t="inlineStr">
        <is>
          <t>43-GFI</t>
        </is>
      </c>
      <c r="B965" s="10" t="inlineStr">
        <is>
          <t>APOYO</t>
        </is>
      </c>
      <c r="C965" s="10" t="inlineStr">
        <is>
          <t>Gestión Financiera</t>
        </is>
      </c>
      <c r="D965" s="10" t="inlineStr">
        <is>
          <t>GFI</t>
        </is>
      </c>
      <c r="E965" s="10" t="inlineStr">
        <is>
          <t>Gestión Contable</t>
        </is>
      </c>
      <c r="F965" s="10" t="inlineStr">
        <is>
          <t>-</t>
        </is>
      </c>
      <c r="G965" s="10" t="inlineStr">
        <is>
          <t>N/A</t>
        </is>
      </c>
      <c r="H965" s="10" t="inlineStr">
        <is>
          <t>Gerente Financiero</t>
        </is>
      </c>
      <c r="I965" s="10" t="inlineStr">
        <is>
          <t>N/A</t>
        </is>
      </c>
      <c r="J965" s="10" t="inlineStr">
        <is>
          <t xml:space="preserve">Gerente Financiero </t>
        </is>
      </c>
      <c r="K965" s="10" t="inlineStr">
        <is>
          <t>N/A</t>
        </is>
      </c>
      <c r="L965" s="10" t="inlineStr">
        <is>
          <t>N/A</t>
        </is>
      </c>
      <c r="M965" s="10" t="inlineStr">
        <is>
          <t>N/A</t>
        </is>
      </c>
      <c r="N965" s="10" t="inlineStr">
        <is>
          <t>APOYO</t>
        </is>
      </c>
      <c r="O965" s="10" t="inlineStr">
        <is>
          <t>RECURSO HUMANO</t>
        </is>
      </c>
      <c r="P965" s="10" t="inlineStr">
        <is>
          <t>USO INTERNO(2)</t>
        </is>
      </c>
      <c r="Q965" s="10" t="inlineStr">
        <is>
          <t>MEDIA(2)</t>
        </is>
      </c>
      <c r="R965" s="10" t="inlineStr">
        <is>
          <t>MEDIA(2)</t>
        </is>
      </c>
      <c r="S965" s="10">
        <f>+(IF(P965="PUBLICA(1)",1,IF(P965="USO INTERNO(2)",2,IF(P965="RESTRINGIDO(3)",3,3))))+(IF(Q965="BAJA(1)",1,IF(Q965="MEDIA(2)",2,IF(Q965="ALTA(3)",3,3))))+(IF(R965="BAJA(1)",1,IF(R965="MEDIA(2)",2,IF(R965="ALTA(3)",3,3))))</f>
        <v/>
      </c>
      <c r="T965" s="10">
        <f>+IF(S965&lt;6,"BAJA",IF(S965&lt;8,"MEDIA","ALTA"))</f>
        <v/>
      </c>
      <c r="U965" s="10" t="inlineStr">
        <is>
          <t>-</t>
        </is>
      </c>
      <c r="V965" s="24" t="n">
        <v>45712</v>
      </c>
      <c r="W965" s="19" t="inlineStr">
        <is>
          <t>N/A</t>
        </is>
      </c>
      <c r="X965" s="10">
        <f>+IFERROR(IF(VLOOKUP(Tabla2[[#This Row],[ID]],'EVALUACION DE RIESGO'!A:A,1,FALSE)=Tabla2[[#This Row],[ID]],"SI","NO"),"NO")</f>
        <v/>
      </c>
      <c r="AD965">
        <f>IF(AND(Y965="",AA965=""),"",IF(OR(LEFT(AA965,2)="L0",LEFT(AA965,2)="L1",Y965="No Iniciado"),"CRÍTICO - Incumplimiento Normativo SEPS",IF(AND(OR(LEFT(AA965,2)="L4",LEFT(AA965,2)="L5"),AND(AC965&lt;&gt;"",AC965&lt;&gt;"N/A")),"CONFORME - Control Efectivo ISO 27001","OBSERVACIÓN - Revisar Controles")))</f>
        <v/>
      </c>
    </row>
    <row r="966">
      <c r="A966" s="99" t="inlineStr">
        <is>
          <t>44-GFI</t>
        </is>
      </c>
      <c r="B966" s="10" t="inlineStr">
        <is>
          <t>APOYO</t>
        </is>
      </c>
      <c r="C966" s="10" t="inlineStr">
        <is>
          <t>Gestión Financiera</t>
        </is>
      </c>
      <c r="D966" s="10" t="inlineStr">
        <is>
          <t>GFI</t>
        </is>
      </c>
      <c r="E966" s="10" t="inlineStr">
        <is>
          <t>Gestión Contable</t>
        </is>
      </c>
      <c r="F966" s="10" t="inlineStr">
        <is>
          <t>-</t>
        </is>
      </c>
      <c r="G966" s="10" t="inlineStr">
        <is>
          <t>N/A</t>
        </is>
      </c>
      <c r="H966" s="10" t="inlineStr">
        <is>
          <t>Contador General</t>
        </is>
      </c>
      <c r="I966" s="10" t="inlineStr">
        <is>
          <t>N/A</t>
        </is>
      </c>
      <c r="J966" s="10" t="inlineStr">
        <is>
          <t>Contador General</t>
        </is>
      </c>
      <c r="K966" s="10" t="inlineStr">
        <is>
          <t>N/A</t>
        </is>
      </c>
      <c r="L966" s="10" t="inlineStr">
        <is>
          <t>N/A</t>
        </is>
      </c>
      <c r="M966" s="10" t="inlineStr">
        <is>
          <t>N/A</t>
        </is>
      </c>
      <c r="N966" s="10" t="inlineStr">
        <is>
          <t>APOYO</t>
        </is>
      </c>
      <c r="O966" s="10" t="inlineStr">
        <is>
          <t>RECURSO HUMANO</t>
        </is>
      </c>
      <c r="P966" s="10" t="inlineStr">
        <is>
          <t>USO INTERNO(2)</t>
        </is>
      </c>
      <c r="Q966" s="10" t="inlineStr">
        <is>
          <t>MEDIA(2)</t>
        </is>
      </c>
      <c r="R966" s="10" t="inlineStr">
        <is>
          <t>MEDIA(2)</t>
        </is>
      </c>
      <c r="S966" s="10">
        <f>+(IF(P966="PUBLICA(1)",1,IF(P966="USO INTERNO(2)",2,IF(P966="RESTRINGIDO(3)",3,3))))+(IF(Q966="BAJA(1)",1,IF(Q966="MEDIA(2)",2,IF(Q966="ALTA(3)",3,3))))+(IF(R966="BAJA(1)",1,IF(R966="MEDIA(2)",2,IF(R966="ALTA(3)",3,3))))</f>
        <v/>
      </c>
      <c r="T966" s="10">
        <f>+IF(S966&lt;6,"BAJA",IF(S966&lt;8,"MEDIA","ALTA"))</f>
        <v/>
      </c>
      <c r="U966" s="10" t="inlineStr">
        <is>
          <t>-</t>
        </is>
      </c>
      <c r="V966" s="24" t="n">
        <v>45712</v>
      </c>
      <c r="W966" s="19" t="inlineStr">
        <is>
          <t>N/A</t>
        </is>
      </c>
      <c r="X966" s="10">
        <f>+IFERROR(IF(VLOOKUP(Tabla2[[#This Row],[ID]],'EVALUACION DE RIESGO'!A:A,1,FALSE)=Tabla2[[#This Row],[ID]],"SI","NO"),"NO")</f>
        <v/>
      </c>
      <c r="AD966">
        <f>IF(AND(Y966="",AA966=""),"",IF(OR(LEFT(AA966,2)="L0",LEFT(AA966,2)="L1",Y966="No Iniciado"),"CRÍTICO - Incumplimiento Normativo SEPS",IF(AND(OR(LEFT(AA966,2)="L4",LEFT(AA966,2)="L5"),AND(AC966&lt;&gt;"",AC966&lt;&gt;"N/A")),"CONFORME - Control Efectivo ISO 27001","OBSERVACIÓN - Revisar Controles")))</f>
        <v/>
      </c>
    </row>
    <row r="967">
      <c r="A967" s="99" t="inlineStr">
        <is>
          <t>45-GFI</t>
        </is>
      </c>
      <c r="B967" s="10" t="inlineStr">
        <is>
          <t>APOYO</t>
        </is>
      </c>
      <c r="C967" s="10" t="inlineStr">
        <is>
          <t>Gestión Financiera</t>
        </is>
      </c>
      <c r="D967" s="10" t="inlineStr">
        <is>
          <t>GFI</t>
        </is>
      </c>
      <c r="E967" s="10" t="inlineStr">
        <is>
          <t>Gestión de Tesorería</t>
        </is>
      </c>
      <c r="F967" s="10" t="inlineStr">
        <is>
          <t>Gestión de Inversiones de Recursos Propios</t>
        </is>
      </c>
      <c r="G967" s="10" t="inlineStr">
        <is>
          <t>Negociación de inversiones  recursos propios</t>
        </is>
      </c>
      <c r="H967" s="10" t="inlineStr">
        <is>
          <t>Propuesta de apertura de inversiones</t>
        </is>
      </c>
      <c r="I967" s="10" t="inlineStr">
        <is>
          <t>Informe de vencimiento de inversiones, se presenta al comité al comité de las inversiones, se toma las decisiones para cancelar renovar inversiones</t>
        </is>
      </c>
      <c r="J967" s="10" t="inlineStr">
        <is>
          <t xml:space="preserve">Tesorero </t>
        </is>
      </c>
      <c r="K967" s="10" t="inlineStr">
        <is>
          <t>Asistente de Tesorería</t>
        </is>
      </c>
      <c r="L967" s="10" t="inlineStr">
        <is>
          <t>UBICACIÓN DIGITAL-EQUIPO DEL CUSTODIO</t>
        </is>
      </c>
      <c r="M967" s="10" t="inlineStr">
        <is>
          <t>DISCOS DUROS, SERVIDORES, DISCOS O MEDIOS PORTÁTILES, CINTAS O MEDIOS DE VIDEO Y AUDIO, ETC.</t>
        </is>
      </c>
      <c r="N967" s="10" t="inlineStr">
        <is>
          <t>PRIMARIOS</t>
        </is>
      </c>
      <c r="O967" s="10" t="inlineStr">
        <is>
          <t>DOCUMENTOS TÉCNICOS</t>
        </is>
      </c>
      <c r="P967" s="10" t="inlineStr">
        <is>
          <t>RESTRINGIDO(3)</t>
        </is>
      </c>
      <c r="Q967" s="10" t="inlineStr">
        <is>
          <t>BAJA(1)</t>
        </is>
      </c>
      <c r="R967" s="10" t="inlineStr">
        <is>
          <t>BAJA(1)</t>
        </is>
      </c>
      <c r="S967" s="10">
        <f>+(IF(P967="PUBLICA(1)",1,IF(P967="USO INTERNO(2)",2,IF(P967="RESTRINGIDO(3)",3,3))))+(IF(Q967="BAJA(1)",1,IF(Q967="MEDIA(2)",2,IF(Q967="ALTA(3)",3,3))))+(IF(R967="BAJA(1)",1,IF(R967="MEDIA(2)",2,IF(R967="ALTA(3)",3,3))))</f>
        <v/>
      </c>
      <c r="T967" s="10">
        <f>+IF(S967&lt;6,"BAJA",IF(S967&lt;8,"MEDIA","ALTA"))</f>
        <v/>
      </c>
      <c r="U967" s="10" t="inlineStr">
        <is>
          <t>-</t>
        </is>
      </c>
      <c r="V967" s="24" t="n">
        <v>45673</v>
      </c>
      <c r="W967" s="19" t="inlineStr">
        <is>
          <t>N/A</t>
        </is>
      </c>
      <c r="X967" s="10">
        <f>+IFERROR(IF(VLOOKUP(Tabla2[[#This Row],[ID]],'EVALUACION DE RIESGO'!A:A,1,FALSE)=Tabla2[[#This Row],[ID]],"SI","NO"),"NO")</f>
        <v/>
      </c>
      <c r="AD967">
        <f>IF(AND(Y967="",AA967=""),"",IF(OR(LEFT(AA967,2)="L0",LEFT(AA967,2)="L1",Y967="No Iniciado"),"CRÍTICO - Incumplimiento Normativo SEPS",IF(AND(OR(LEFT(AA967,2)="L4",LEFT(AA967,2)="L5"),AND(AC967&lt;&gt;"",AC967&lt;&gt;"N/A")),"CONFORME - Control Efectivo ISO 27001","OBSERVACIÓN - Revisar Controles")))</f>
        <v/>
      </c>
    </row>
    <row r="968">
      <c r="A968" s="99" t="inlineStr">
        <is>
          <t>46-GFI</t>
        </is>
      </c>
      <c r="B968" s="10" t="inlineStr">
        <is>
          <t>APOYO</t>
        </is>
      </c>
      <c r="C968" s="10" t="inlineStr">
        <is>
          <t>Gestión Financiera</t>
        </is>
      </c>
      <c r="D968" s="10" t="inlineStr">
        <is>
          <t>GFI</t>
        </is>
      </c>
      <c r="E968" s="10" t="inlineStr">
        <is>
          <t>Gestión de Tesorería</t>
        </is>
      </c>
      <c r="F968" s="10" t="inlineStr">
        <is>
          <t>Gestión de Inversiones de Recursos Propios</t>
        </is>
      </c>
      <c r="G968" s="10" t="inlineStr">
        <is>
          <t>Negociación de inversiones  recursos propios</t>
        </is>
      </c>
      <c r="H968" s="10" t="inlineStr">
        <is>
          <t>Resolución del Comité ALCO</t>
        </is>
      </c>
      <c r="I968" s="10" t="inlineStr">
        <is>
          <t xml:space="preserve">Sumillas de resoluciones de Comité </t>
        </is>
      </c>
      <c r="J968" s="10" t="inlineStr">
        <is>
          <t xml:space="preserve">Tesorero </t>
        </is>
      </c>
      <c r="K968" s="10" t="inlineStr">
        <is>
          <t xml:space="preserve">Tesorero </t>
        </is>
      </c>
      <c r="L968" s="10" t="inlineStr">
        <is>
          <t>UBICACIÓN DIGITAL-EQUIPO DEL CUSTODIO</t>
        </is>
      </c>
      <c r="M968" s="10" t="inlineStr">
        <is>
          <t>DISCOS DUROS, SERVIDORES, DISCOS O MEDIOS PORTÁTILES, CINTAS O MEDIOS DE VIDEO Y AUDIO, ETC.</t>
        </is>
      </c>
      <c r="N968" s="10" t="inlineStr">
        <is>
          <t>PRIMARIOS</t>
        </is>
      </c>
      <c r="O968" s="10" t="inlineStr">
        <is>
          <t>COMUNICACIÓN INTERNA</t>
        </is>
      </c>
      <c r="P968" s="10" t="inlineStr">
        <is>
          <t>RESTRINGIDO(3)</t>
        </is>
      </c>
      <c r="Q968" s="10" t="inlineStr">
        <is>
          <t>MEDIA(2)</t>
        </is>
      </c>
      <c r="R968" s="10" t="inlineStr">
        <is>
          <t>BAJA(1)</t>
        </is>
      </c>
      <c r="S968" s="10">
        <f>+(IF(P968="PUBLICA(1)",1,IF(P968="USO INTERNO(2)",2,IF(P968="RESTRINGIDO(3)",3,3))))+(IF(Q968="BAJA(1)",1,IF(Q968="MEDIA(2)",2,IF(Q968="ALTA(3)",3,3))))+(IF(R968="BAJA(1)",1,IF(R968="MEDIA(2)",2,IF(R968="ALTA(3)",3,3))))</f>
        <v/>
      </c>
      <c r="T968" s="10">
        <f>+IF(S968&lt;6,"BAJA",IF(S968&lt;8,"MEDIA","ALTA"))</f>
        <v/>
      </c>
      <c r="U968" s="10" t="inlineStr">
        <is>
          <t>-</t>
        </is>
      </c>
      <c r="V968" s="24" t="n">
        <v>45673</v>
      </c>
      <c r="W968" s="19" t="inlineStr">
        <is>
          <t>N/A</t>
        </is>
      </c>
      <c r="X968" s="10">
        <f>+IFERROR(IF(VLOOKUP(Tabla2[[#This Row],[ID]],'EVALUACION DE RIESGO'!A:A,1,FALSE)=Tabla2[[#This Row],[ID]],"SI","NO"),"NO")</f>
        <v/>
      </c>
      <c r="AD968">
        <f>IF(AND(Y968="",AA968=""),"",IF(OR(LEFT(AA968,2)="L0",LEFT(AA968,2)="L1",Y968="No Iniciado"),"CRÍTICO - Incumplimiento Normativo SEPS",IF(AND(OR(LEFT(AA968,2)="L4",LEFT(AA968,2)="L5"),AND(AC968&lt;&gt;"",AC968&lt;&gt;"N/A")),"CONFORME - Control Efectivo ISO 27001","OBSERVACIÓN - Revisar Controles")))</f>
        <v/>
      </c>
    </row>
    <row r="969">
      <c r="A969" s="99" t="inlineStr">
        <is>
          <t>47-GFI</t>
        </is>
      </c>
      <c r="B969" s="10" t="inlineStr">
        <is>
          <t>APOYO</t>
        </is>
      </c>
      <c r="C969" s="10" t="inlineStr">
        <is>
          <t>Gestión Financiera</t>
        </is>
      </c>
      <c r="D969" s="10" t="inlineStr">
        <is>
          <t>GFI</t>
        </is>
      </c>
      <c r="E969" s="10" t="inlineStr">
        <is>
          <t>Gestión de Tesorería</t>
        </is>
      </c>
      <c r="F969" s="10" t="inlineStr">
        <is>
          <t>Gestión de Inversiones de Recursos Propios</t>
        </is>
      </c>
      <c r="G969" s="10" t="inlineStr">
        <is>
          <t>Negociación de inversiones  recursos propios</t>
        </is>
      </c>
      <c r="H969" s="10" t="inlineStr">
        <is>
          <t>Carta de instrucciones</t>
        </is>
      </c>
      <c r="I969" s="10" t="inlineStr">
        <is>
          <t>Carta de apertura e instrucciones de los bancos que contiene numero de oficio, fecha, institución financiera, detalla de la inversión, firmas de responsabilidad</t>
        </is>
      </c>
      <c r="J969" s="10" t="inlineStr">
        <is>
          <t xml:space="preserve">Tesorero </t>
        </is>
      </c>
      <c r="K969" s="10" t="inlineStr">
        <is>
          <t>Asistente de Tesorería</t>
        </is>
      </c>
      <c r="L969" s="10" t="inlineStr">
        <is>
          <t>UBICACIÓN DIGITAL-EQUIPO DEL CUSTODIO</t>
        </is>
      </c>
      <c r="M969" s="10" t="inlineStr">
        <is>
          <t>DISCOS DUROS, SERVIDORES, DISCOS O MEDIOS PORTÁTILES, CINTAS O MEDIOS DE VIDEO Y AUDIO, ETC.</t>
        </is>
      </c>
      <c r="N969" s="10" t="inlineStr">
        <is>
          <t>PRIMARIOS</t>
        </is>
      </c>
      <c r="O969" s="10" t="inlineStr">
        <is>
          <t>COMUNICACIÓN INTERNA</t>
        </is>
      </c>
      <c r="P969" s="10" t="inlineStr">
        <is>
          <t>USO INTERNO(2)</t>
        </is>
      </c>
      <c r="Q969" s="10" t="inlineStr">
        <is>
          <t>MEDIA(2)</t>
        </is>
      </c>
      <c r="R969" s="10" t="inlineStr">
        <is>
          <t>BAJA(1)</t>
        </is>
      </c>
      <c r="S969" s="10">
        <f>+(IF(P969="PUBLICA(1)",1,IF(P969="USO INTERNO(2)",2,IF(P969="RESTRINGIDO(3)",3,3))))+(IF(Q969="BAJA(1)",1,IF(Q969="MEDIA(2)",2,IF(Q969="ALTA(3)",3,3))))+(IF(R969="BAJA(1)",1,IF(R969="MEDIA(2)",2,IF(R969="ALTA(3)",3,3))))</f>
        <v/>
      </c>
      <c r="T969" s="10">
        <f>+IF(S969&lt;6,"BAJA",IF(S969&lt;8,"MEDIA","ALTA"))</f>
        <v/>
      </c>
      <c r="U969" s="10" t="inlineStr">
        <is>
          <t>-</t>
        </is>
      </c>
      <c r="V969" s="24" t="n">
        <v>45673</v>
      </c>
      <c r="W969" s="19" t="inlineStr">
        <is>
          <t>N/A</t>
        </is>
      </c>
      <c r="X969" s="10">
        <f>+IFERROR(IF(VLOOKUP(Tabla2[[#This Row],[ID]],'EVALUACION DE RIESGO'!A:A,1,FALSE)=Tabla2[[#This Row],[ID]],"SI","NO"),"NO")</f>
        <v/>
      </c>
      <c r="AD969">
        <f>IF(AND(Y969="",AA969=""),"",IF(OR(LEFT(AA969,2)="L0",LEFT(AA969,2)="L1",Y969="No Iniciado"),"CRÍTICO - Incumplimiento Normativo SEPS",IF(AND(OR(LEFT(AA969,2)="L4",LEFT(AA969,2)="L5"),AND(AC969&lt;&gt;"",AC969&lt;&gt;"N/A")),"CONFORME - Control Efectivo ISO 27001","OBSERVACIÓN - Revisar Controles")))</f>
        <v/>
      </c>
    </row>
    <row r="970" ht="20.45" customHeight="1" s="106">
      <c r="A970" s="99" t="inlineStr">
        <is>
          <t>48-GFI</t>
        </is>
      </c>
      <c r="B970" s="10" t="inlineStr">
        <is>
          <t>APOYO</t>
        </is>
      </c>
      <c r="C970" s="10" t="inlineStr">
        <is>
          <t>Gestión Financiera</t>
        </is>
      </c>
      <c r="D970" s="10" t="inlineStr">
        <is>
          <t>GFI</t>
        </is>
      </c>
      <c r="E970" s="10" t="inlineStr">
        <is>
          <t>Gestión de Tesorería</t>
        </is>
      </c>
      <c r="F970" s="10" t="inlineStr">
        <is>
          <t>Gestión de Inversiones de Recursos Propios</t>
        </is>
      </c>
      <c r="G970" s="10" t="inlineStr">
        <is>
          <t>Registro de Inversiones recursos propios</t>
        </is>
      </c>
      <c r="H970" s="17" t="inlineStr">
        <is>
          <t>Certificado de Depósito a Plazo</t>
        </is>
      </c>
      <c r="I970" s="17" t="inlineStr">
        <is>
          <t>Pre cancelación de inversiones Cancelación de inversiones Renovación de inversiones</t>
        </is>
      </c>
      <c r="J970" s="10" t="inlineStr">
        <is>
          <t xml:space="preserve">Tesorero </t>
        </is>
      </c>
      <c r="K970" s="10" t="inlineStr">
        <is>
          <t>Asistente de Tesorería</t>
        </is>
      </c>
      <c r="L970" s="10" t="inlineStr">
        <is>
          <t>UBICACIÓN DIGITAL-EQUIPO DEL CUSTODIO</t>
        </is>
      </c>
      <c r="M970" s="10" t="inlineStr">
        <is>
          <t>DISCOS DUROS, SERVIDORES, DISCOS O MEDIOS PORTÁTILES, CINTAS O MEDIOS DE VIDEO Y AUDIO, ETC.</t>
        </is>
      </c>
      <c r="N970" s="10" t="inlineStr">
        <is>
          <t>PRIMARIOS</t>
        </is>
      </c>
      <c r="O970" s="10" t="inlineStr">
        <is>
          <t>DOCUMENTOS HABILITANTES</t>
        </is>
      </c>
      <c r="P970" s="10" t="inlineStr">
        <is>
          <t>RESTRINGIDO(3)</t>
        </is>
      </c>
      <c r="Q970" s="10" t="inlineStr">
        <is>
          <t>MEDIA(2)</t>
        </is>
      </c>
      <c r="R970" s="10" t="inlineStr">
        <is>
          <t>ALTA(3)</t>
        </is>
      </c>
      <c r="S970" s="10">
        <f>+(IF(P970="PUBLICA(1)",1,IF(P970="USO INTERNO(2)",2,IF(P970="RESTRINGIDO(3)",3,3))))+(IF(Q970="BAJA(1)",1,IF(Q970="MEDIA(2)",2,IF(Q970="ALTA(3)",3,3))))+(IF(R970="BAJA(1)",1,IF(R970="MEDIA(2)",2,IF(R970="ALTA(3)",3,3))))</f>
        <v/>
      </c>
      <c r="T970" s="10">
        <f>+IF(S970&lt;6,"BAJA",IF(S970&lt;8,"MEDIA","ALTA"))</f>
        <v/>
      </c>
      <c r="U970" s="10" t="inlineStr">
        <is>
          <t>-</t>
        </is>
      </c>
      <c r="V970" s="24" t="n">
        <v>45673</v>
      </c>
      <c r="W970" s="19" t="inlineStr">
        <is>
          <t>N/A</t>
        </is>
      </c>
      <c r="X970" s="10">
        <f>+IFERROR(IF(VLOOKUP(Tabla2[[#This Row],[ID]],'EVALUACION DE RIESGO'!A:A,1,FALSE)=Tabla2[[#This Row],[ID]],"SI","NO"),"NO")</f>
        <v/>
      </c>
      <c r="AD970">
        <f>IF(AND(Y970="",AA970=""),"",IF(OR(LEFT(AA970,2)="L0",LEFT(AA970,2)="L1",Y970="No Iniciado"),"CRÍTICO - Incumplimiento Normativo SEPS",IF(AND(OR(LEFT(AA970,2)="L4",LEFT(AA970,2)="L5"),AND(AC970&lt;&gt;"",AC970&lt;&gt;"N/A")),"CONFORME - Control Efectivo ISO 27001","OBSERVACIÓN - Revisar Controles")))</f>
        <v/>
      </c>
    </row>
    <row r="971">
      <c r="A971" s="99" t="inlineStr">
        <is>
          <t>49-GFI</t>
        </is>
      </c>
      <c r="B971" s="10" t="inlineStr">
        <is>
          <t>APOYO</t>
        </is>
      </c>
      <c r="C971" s="10" t="inlineStr">
        <is>
          <t>Gestión Financiera</t>
        </is>
      </c>
      <c r="D971" s="10" t="inlineStr">
        <is>
          <t>GFI</t>
        </is>
      </c>
      <c r="E971" s="10" t="inlineStr">
        <is>
          <t>Gestión de Tesorería</t>
        </is>
      </c>
      <c r="F971" s="10" t="inlineStr">
        <is>
          <t>Gestión de Inversiones de Recursos Propios</t>
        </is>
      </c>
      <c r="G971" s="10" t="inlineStr">
        <is>
          <t>Registro de Inversiones recursos propias</t>
        </is>
      </c>
      <c r="H971" s="10" t="inlineStr">
        <is>
          <t>Reporte de portafolio de inversiones</t>
        </is>
      </c>
      <c r="I971" s="10" t="inlineStr">
        <is>
          <t xml:space="preserve">Documento donde se detallan tolas las inversiones del activo que se administran en tesorería </t>
        </is>
      </c>
      <c r="J971" s="10" t="inlineStr">
        <is>
          <t xml:space="preserve">Tesorero </t>
        </is>
      </c>
      <c r="K971" s="10" t="inlineStr">
        <is>
          <t>Asistente de Tesorería</t>
        </is>
      </c>
      <c r="L971" s="10" t="inlineStr">
        <is>
          <t>UBICACIÓN DIGITAL-EQUIPO DEL CUSTODIO</t>
        </is>
      </c>
      <c r="M971" s="10" t="inlineStr">
        <is>
          <t>DISCOS DUROS, SERVIDORES, DISCOS O MEDIOS PORTÁTILES, CINTAS O MEDIOS DE VIDEO Y AUDIO, ETC.</t>
        </is>
      </c>
      <c r="N971" s="10" t="inlineStr">
        <is>
          <t>PRIMARIOS</t>
        </is>
      </c>
      <c r="O971" s="10" t="inlineStr">
        <is>
          <t>DOCUMENTOS TÉCNICOS</t>
        </is>
      </c>
      <c r="P971" s="10" t="inlineStr">
        <is>
          <t>USO INTERNO(2)</t>
        </is>
      </c>
      <c r="Q971" s="10" t="inlineStr">
        <is>
          <t>BAJA(1)</t>
        </is>
      </c>
      <c r="R971" s="10" t="inlineStr">
        <is>
          <t>BAJA(1)</t>
        </is>
      </c>
      <c r="S971" s="10">
        <f>+(IF(P971="PUBLICA(1)",1,IF(P971="USO INTERNO(2)",2,IF(P971="RESTRINGIDO(3)",3,3))))+(IF(Q971="BAJA(1)",1,IF(Q971="MEDIA(2)",2,IF(Q971="ALTA(3)",3,3))))+(IF(R971="BAJA(1)",1,IF(R971="MEDIA(2)",2,IF(R971="ALTA(3)",3,3))))</f>
        <v/>
      </c>
      <c r="T971" s="10">
        <f>+IF(S971&lt;6,"BAJA",IF(S971&lt;8,"MEDIA","ALTA"))</f>
        <v/>
      </c>
      <c r="U971" s="10" t="inlineStr">
        <is>
          <t>-</t>
        </is>
      </c>
      <c r="V971" s="24" t="n">
        <v>45673</v>
      </c>
      <c r="W971" s="19" t="inlineStr">
        <is>
          <t>N/A</t>
        </is>
      </c>
      <c r="X971" s="10">
        <f>+IFERROR(IF(VLOOKUP(Tabla2[[#This Row],[ID]],'EVALUACION DE RIESGO'!A:A,1,FALSE)=Tabla2[[#This Row],[ID]],"SI","NO"),"NO")</f>
        <v/>
      </c>
      <c r="AD971">
        <f>IF(AND(Y971="",AA971=""),"",IF(OR(LEFT(AA971,2)="L0",LEFT(AA971,2)="L1",Y971="No Iniciado"),"CRÍTICO - Incumplimiento Normativo SEPS",IF(AND(OR(LEFT(AA971,2)="L4",LEFT(AA971,2)="L5"),AND(AC971&lt;&gt;"",AC971&lt;&gt;"N/A")),"CONFORME - Control Efectivo ISO 27001","OBSERVACIÓN - Revisar Controles")))</f>
        <v/>
      </c>
    </row>
    <row r="972">
      <c r="A972" s="99" t="inlineStr">
        <is>
          <t>50-GFI</t>
        </is>
      </c>
      <c r="B972" s="10" t="inlineStr">
        <is>
          <t>APOYO</t>
        </is>
      </c>
      <c r="C972" s="10" t="inlineStr">
        <is>
          <t>Gestión Financiera</t>
        </is>
      </c>
      <c r="D972" s="10" t="inlineStr">
        <is>
          <t>GFI</t>
        </is>
      </c>
      <c r="E972" s="10" t="inlineStr">
        <is>
          <t>Gestión de Tesorería</t>
        </is>
      </c>
      <c r="F972" s="10" t="inlineStr">
        <is>
          <t>Gestión de Inversiones de Recursos Propios</t>
        </is>
      </c>
      <c r="G972" s="10" t="inlineStr">
        <is>
          <t>Renovación de Inversiones recursos propios</t>
        </is>
      </c>
      <c r="H972" s="10" t="inlineStr">
        <is>
          <t>Propuesta de renovación de inversiones</t>
        </is>
      </c>
      <c r="I972" s="10" t="inlineStr">
        <is>
          <t>Informe de vencimiento de inversiones, se presenta al comité al comité de las inversiones, se toma las decisiones para cancelar renovar inversiones</t>
        </is>
      </c>
      <c r="J972" s="10" t="inlineStr">
        <is>
          <t xml:space="preserve">Tesorero </t>
        </is>
      </c>
      <c r="K972" s="10" t="inlineStr">
        <is>
          <t>Asistente de Tesorería</t>
        </is>
      </c>
      <c r="L972" s="10" t="inlineStr">
        <is>
          <t>UBICACIÓN DIGITAL-EQUIPO DEL CUSTODIO</t>
        </is>
      </c>
      <c r="M972" s="10" t="inlineStr">
        <is>
          <t>DISCOS DUROS, SERVIDORES, DISCOS O MEDIOS PORTÁTILES, CINTAS O MEDIOS DE VIDEO Y AUDIO, ETC.</t>
        </is>
      </c>
      <c r="N972" s="10" t="inlineStr">
        <is>
          <t>PRIMARIOS</t>
        </is>
      </c>
      <c r="O972" s="10" t="inlineStr">
        <is>
          <t>DOCUMENTOS TÉCNICOS</t>
        </is>
      </c>
      <c r="P972" s="10" t="inlineStr">
        <is>
          <t>RESTRINGIDO(3)</t>
        </is>
      </c>
      <c r="Q972" s="10" t="inlineStr">
        <is>
          <t>BAJA(1)</t>
        </is>
      </c>
      <c r="R972" s="10" t="inlineStr">
        <is>
          <t>BAJA(1)</t>
        </is>
      </c>
      <c r="S972" s="10">
        <f>+(IF(P972="PUBLICA(1)",1,IF(P972="USO INTERNO(2)",2,IF(P972="RESTRINGIDO(3)",3,3))))+(IF(Q972="BAJA(1)",1,IF(Q972="MEDIA(2)",2,IF(Q972="ALTA(3)",3,3))))+(IF(R972="BAJA(1)",1,IF(R972="MEDIA(2)",2,IF(R972="ALTA(3)",3,3))))</f>
        <v/>
      </c>
      <c r="T972" s="10">
        <f>+IF(S972&lt;6,"BAJA",IF(S972&lt;8,"MEDIA","ALTA"))</f>
        <v/>
      </c>
      <c r="U972" s="10" t="inlineStr">
        <is>
          <t>-</t>
        </is>
      </c>
      <c r="V972" s="24" t="n">
        <v>45673</v>
      </c>
      <c r="W972" s="19" t="inlineStr">
        <is>
          <t>N/A</t>
        </is>
      </c>
      <c r="X972" s="10">
        <f>+IFERROR(IF(VLOOKUP(Tabla2[[#This Row],[ID]],'EVALUACION DE RIESGO'!A:A,1,FALSE)=Tabla2[[#This Row],[ID]],"SI","NO"),"NO")</f>
        <v/>
      </c>
      <c r="AD972">
        <f>IF(AND(Y972="",AA972=""),"",IF(OR(LEFT(AA972,2)="L0",LEFT(AA972,2)="L1",Y972="No Iniciado"),"CRÍTICO - Incumplimiento Normativo SEPS",IF(AND(OR(LEFT(AA972,2)="L4",LEFT(AA972,2)="L5"),AND(AC972&lt;&gt;"",AC972&lt;&gt;"N/A")),"CONFORME - Control Efectivo ISO 27001","OBSERVACIÓN - Revisar Controles")))</f>
        <v/>
      </c>
    </row>
    <row r="973">
      <c r="A973" s="99" t="inlineStr">
        <is>
          <t>51-GFI</t>
        </is>
      </c>
      <c r="B973" s="10" t="inlineStr">
        <is>
          <t>APOYO</t>
        </is>
      </c>
      <c r="C973" s="10" t="inlineStr">
        <is>
          <t>Gestión Financiera</t>
        </is>
      </c>
      <c r="D973" s="10" t="inlineStr">
        <is>
          <t>GFI</t>
        </is>
      </c>
      <c r="E973" s="10" t="inlineStr">
        <is>
          <t>Gestión de Tesorería</t>
        </is>
      </c>
      <c r="F973" s="10" t="inlineStr">
        <is>
          <t>Gestión de Inversiones de Recursos Propios</t>
        </is>
      </c>
      <c r="G973" s="10" t="inlineStr">
        <is>
          <t>Renovación de Inversiones recursos propios</t>
        </is>
      </c>
      <c r="H973" s="10" t="inlineStr">
        <is>
          <t>Resolución del comité ALCO</t>
        </is>
      </c>
      <c r="I973" s="10" t="inlineStr">
        <is>
          <t xml:space="preserve">Sumillas de resoluciones de Comité </t>
        </is>
      </c>
      <c r="J973" s="10" t="inlineStr">
        <is>
          <t xml:space="preserve">Tesorero </t>
        </is>
      </c>
      <c r="K973" s="10" t="inlineStr">
        <is>
          <t>Asistente de Tesorería</t>
        </is>
      </c>
      <c r="L973" s="10" t="inlineStr">
        <is>
          <t>UBICACIÓN DIGITAL-EQUIPO DEL CUSTODIO</t>
        </is>
      </c>
      <c r="M973" s="10" t="inlineStr">
        <is>
          <t>DISCOS DUROS, SERVIDORES, DISCOS O MEDIOS PORTÁTILES, CINTAS O MEDIOS DE VIDEO Y AUDIO, ETC.</t>
        </is>
      </c>
      <c r="N973" s="10" t="inlineStr">
        <is>
          <t>PRIMARIOS</t>
        </is>
      </c>
      <c r="O973" s="10" t="inlineStr">
        <is>
          <t>COMUNICACIÓN INTERNA</t>
        </is>
      </c>
      <c r="P973" s="10" t="inlineStr">
        <is>
          <t>RESTRINGIDO(3)</t>
        </is>
      </c>
      <c r="Q973" s="10" t="inlineStr">
        <is>
          <t>MEDIA(2)</t>
        </is>
      </c>
      <c r="R973" s="10" t="inlineStr">
        <is>
          <t>MEDIA(2)</t>
        </is>
      </c>
      <c r="S973" s="10">
        <f>+(IF(P973="PUBLICA(1)",1,IF(P973="USO INTERNO(2)",2,IF(P973="RESTRINGIDO(3)",3,3))))+(IF(Q973="BAJA(1)",1,IF(Q973="MEDIA(2)",2,IF(Q973="ALTA(3)",3,3))))+(IF(R973="BAJA(1)",1,IF(R973="MEDIA(2)",2,IF(R973="ALTA(3)",3,3))))</f>
        <v/>
      </c>
      <c r="T973" s="10">
        <f>+IF(S973&lt;6,"BAJA",IF(S973&lt;8,"MEDIA","ALTA"))</f>
        <v/>
      </c>
      <c r="U973" s="10" t="inlineStr">
        <is>
          <t>-</t>
        </is>
      </c>
      <c r="V973" s="24" t="n">
        <v>45673</v>
      </c>
      <c r="W973" s="19" t="inlineStr">
        <is>
          <t>N/A</t>
        </is>
      </c>
      <c r="X973" s="10">
        <f>+IFERROR(IF(VLOOKUP(Tabla2[[#This Row],[ID]],'EVALUACION DE RIESGO'!A:A,1,FALSE)=Tabla2[[#This Row],[ID]],"SI","NO"),"NO")</f>
        <v/>
      </c>
      <c r="AD973">
        <f>IF(AND(Y973="",AA973=""),"",IF(OR(LEFT(AA973,2)="L0",LEFT(AA973,2)="L1",Y973="No Iniciado"),"CRÍTICO - Incumplimiento Normativo SEPS",IF(AND(OR(LEFT(AA973,2)="L4",LEFT(AA973,2)="L5"),AND(AC973&lt;&gt;"",AC973&lt;&gt;"N/A")),"CONFORME - Control Efectivo ISO 27001","OBSERVACIÓN - Revisar Controles")))</f>
        <v/>
      </c>
    </row>
    <row r="974">
      <c r="A974" s="99" t="inlineStr">
        <is>
          <t>52-GFI</t>
        </is>
      </c>
      <c r="B974" s="10" t="inlineStr">
        <is>
          <t>APOYO</t>
        </is>
      </c>
      <c r="C974" s="10" t="inlineStr">
        <is>
          <t>Gestión Financiera</t>
        </is>
      </c>
      <c r="D974" s="10" t="inlineStr">
        <is>
          <t>GFI</t>
        </is>
      </c>
      <c r="E974" s="10" t="inlineStr">
        <is>
          <t>Gestión de Tesorería</t>
        </is>
      </c>
      <c r="F974" s="10" t="inlineStr">
        <is>
          <t>Gestión de Inversiones de Recursos Propios</t>
        </is>
      </c>
      <c r="G974" s="10" t="inlineStr">
        <is>
          <t>Renovación de Inversiones recursos propios</t>
        </is>
      </c>
      <c r="H974" s="10" t="inlineStr">
        <is>
          <t>Reporte de vencimiento de inversiones</t>
        </is>
      </c>
      <c r="I974" s="10" t="inlineStr">
        <is>
          <t xml:space="preserve">Documento donde se detallan tolas las inversiones del activo que se administran en tesorería </t>
        </is>
      </c>
      <c r="J974" s="10" t="inlineStr">
        <is>
          <t xml:space="preserve">Tesorero </t>
        </is>
      </c>
      <c r="K974" s="10" t="inlineStr">
        <is>
          <t xml:space="preserve">Tesorero </t>
        </is>
      </c>
      <c r="L974" s="10" t="inlineStr">
        <is>
          <t>UBICACIÓN DIGITAL-EQUIPO DEL CUSTODIO</t>
        </is>
      </c>
      <c r="M974" s="10" t="inlineStr">
        <is>
          <t>DISCOS DUROS, SERVIDORES, DISCOS O MEDIOS PORTÁTILES, CINTAS O MEDIOS DE VIDEO Y AUDIO, ETC.</t>
        </is>
      </c>
      <c r="N974" s="10" t="inlineStr">
        <is>
          <t>PRIMARIOS</t>
        </is>
      </c>
      <c r="O974" s="10" t="inlineStr">
        <is>
          <t>DOCUMENTOS TÉCNICOS</t>
        </is>
      </c>
      <c r="P974" s="10" t="inlineStr">
        <is>
          <t>RESTRINGIDO(3)</t>
        </is>
      </c>
      <c r="Q974" s="10" t="inlineStr">
        <is>
          <t>BAJA(1)</t>
        </is>
      </c>
      <c r="R974" s="10" t="inlineStr">
        <is>
          <t>BAJA(1)</t>
        </is>
      </c>
      <c r="S974" s="10">
        <f>+(IF(P974="PUBLICA(1)",1,IF(P974="USO INTERNO(2)",2,IF(P974="RESTRINGIDO(3)",3,3))))+(IF(Q974="BAJA(1)",1,IF(Q974="MEDIA(2)",2,IF(Q974="ALTA(3)",3,3))))+(IF(R974="BAJA(1)",1,IF(R974="MEDIA(2)",2,IF(R974="ALTA(3)",3,3))))</f>
        <v/>
      </c>
      <c r="T974" s="10">
        <f>+IF(S974&lt;6,"BAJA",IF(S974&lt;8,"MEDIA","ALTA"))</f>
        <v/>
      </c>
      <c r="U974" s="10" t="inlineStr">
        <is>
          <t>-</t>
        </is>
      </c>
      <c r="V974" s="24" t="n">
        <v>45673</v>
      </c>
      <c r="W974" s="19" t="inlineStr">
        <is>
          <t>N/A</t>
        </is>
      </c>
      <c r="X974" s="10">
        <f>+IFERROR(IF(VLOOKUP(Tabla2[[#This Row],[ID]],'EVALUACION DE RIESGO'!A:A,1,FALSE)=Tabla2[[#This Row],[ID]],"SI","NO"),"NO")</f>
        <v/>
      </c>
      <c r="AD974">
        <f>IF(AND(Y974="",AA974=""),"",IF(OR(LEFT(AA974,2)="L0",LEFT(AA974,2)="L1",Y974="No Iniciado"),"CRÍTICO - Incumplimiento Normativo SEPS",IF(AND(OR(LEFT(AA974,2)="L4",LEFT(AA974,2)="L5"),AND(AC974&lt;&gt;"",AC974&lt;&gt;"N/A")),"CONFORME - Control Efectivo ISO 27001","OBSERVACIÓN - Revisar Controles")))</f>
        <v/>
      </c>
    </row>
    <row r="975">
      <c r="A975" s="99" t="inlineStr">
        <is>
          <t>53-GFI</t>
        </is>
      </c>
      <c r="B975" s="10" t="inlineStr">
        <is>
          <t>APOYO</t>
        </is>
      </c>
      <c r="C975" s="10" t="inlineStr">
        <is>
          <t>Gestión Financiera</t>
        </is>
      </c>
      <c r="D975" s="10" t="inlineStr">
        <is>
          <t>GFI</t>
        </is>
      </c>
      <c r="E975" s="10" t="inlineStr">
        <is>
          <t>Gestión de Tesorería</t>
        </is>
      </c>
      <c r="F975" s="10" t="inlineStr">
        <is>
          <t>Gestión de Inversiones de Recursos Propios</t>
        </is>
      </c>
      <c r="G975" s="10" t="inlineStr">
        <is>
          <t>Renovación de Inversiones recursos propios</t>
        </is>
      </c>
      <c r="H975" s="10" t="inlineStr">
        <is>
          <t>Reporte de portafolio de inversiones</t>
        </is>
      </c>
      <c r="I975" s="10" t="inlineStr">
        <is>
          <t xml:space="preserve">Documento donde se detallan tolas las inversiones del activo que se administran en tesorería </t>
        </is>
      </c>
      <c r="J975" s="10" t="inlineStr">
        <is>
          <t xml:space="preserve">Tesorero </t>
        </is>
      </c>
      <c r="K975" s="10" t="inlineStr">
        <is>
          <t xml:space="preserve">Tesorero </t>
        </is>
      </c>
      <c r="L975" s="10" t="inlineStr">
        <is>
          <t>UBICACIÓN DIGITAL-EQUIPO DEL CUSTODIO</t>
        </is>
      </c>
      <c r="M975" s="10" t="inlineStr">
        <is>
          <t>DISCOS DUROS, SERVIDORES, DISCOS O MEDIOS PORTÁTILES, CINTAS O MEDIOS DE VIDEO Y AUDIO, ETC.</t>
        </is>
      </c>
      <c r="N975" s="10" t="inlineStr">
        <is>
          <t>PRIMARIOS</t>
        </is>
      </c>
      <c r="O975" s="10" t="inlineStr">
        <is>
          <t>DOCUMENTOS TÉCNICOS</t>
        </is>
      </c>
      <c r="P975" s="10" t="inlineStr">
        <is>
          <t>RESTRINGIDO(3)</t>
        </is>
      </c>
      <c r="Q975" s="10" t="inlineStr">
        <is>
          <t>MEDIA(2)</t>
        </is>
      </c>
      <c r="R975" s="10" t="inlineStr">
        <is>
          <t>BAJA(1)</t>
        </is>
      </c>
      <c r="S975" s="10">
        <f>+(IF(P975="PUBLICA(1)",1,IF(P975="USO INTERNO(2)",2,IF(P975="RESTRINGIDO(3)",3,3))))+(IF(Q975="BAJA(1)",1,IF(Q975="MEDIA(2)",2,IF(Q975="ALTA(3)",3,3))))+(IF(R975="BAJA(1)",1,IF(R975="MEDIA(2)",2,IF(R975="ALTA(3)",3,3))))</f>
        <v/>
      </c>
      <c r="T975" s="10">
        <f>+IF(S975&lt;6,"BAJA",IF(S975&lt;8,"MEDIA","ALTA"))</f>
        <v/>
      </c>
      <c r="U975" s="10" t="inlineStr">
        <is>
          <t>-</t>
        </is>
      </c>
      <c r="V975" s="24" t="n">
        <v>45673</v>
      </c>
      <c r="W975" s="19" t="inlineStr">
        <is>
          <t>N/A</t>
        </is>
      </c>
      <c r="X975" s="10">
        <f>+IFERROR(IF(VLOOKUP(Tabla2[[#This Row],[ID]],'EVALUACION DE RIESGO'!A:A,1,FALSE)=Tabla2[[#This Row],[ID]],"SI","NO"),"NO")</f>
        <v/>
      </c>
      <c r="AD975">
        <f>IF(AND(Y975="",AA975=""),"",IF(OR(LEFT(AA975,2)="L0",LEFT(AA975,2)="L1",Y975="No Iniciado"),"CRÍTICO - Incumplimiento Normativo SEPS",IF(AND(OR(LEFT(AA975,2)="L4",LEFT(AA975,2)="L5"),AND(AC975&lt;&gt;"",AC975&lt;&gt;"N/A")),"CONFORME - Control Efectivo ISO 27001","OBSERVACIÓN - Revisar Controles")))</f>
        <v/>
      </c>
    </row>
    <row r="976">
      <c r="A976" s="99" t="inlineStr">
        <is>
          <t>54-GFI</t>
        </is>
      </c>
      <c r="B976" s="10" t="inlineStr">
        <is>
          <t>APOYO</t>
        </is>
      </c>
      <c r="C976" s="10" t="inlineStr">
        <is>
          <t>Gestión Financiera</t>
        </is>
      </c>
      <c r="D976" s="10" t="inlineStr">
        <is>
          <t>GFI</t>
        </is>
      </c>
      <c r="E976" s="10" t="inlineStr">
        <is>
          <t>Gestión de Tesorería</t>
        </is>
      </c>
      <c r="F976" s="10" t="inlineStr">
        <is>
          <t>Gestión de Inversiones de Recursos Propios</t>
        </is>
      </c>
      <c r="G976" s="10" t="inlineStr">
        <is>
          <t>Cancelación de inversiones recursos propios</t>
        </is>
      </c>
      <c r="H976" s="10" t="inlineStr">
        <is>
          <t>Resolución Comité alco</t>
        </is>
      </c>
      <c r="I976" s="10" t="inlineStr">
        <is>
          <t xml:space="preserve">Sumillas de resoluciones de Comité </t>
        </is>
      </c>
      <c r="J976" s="10" t="inlineStr">
        <is>
          <t xml:space="preserve">Tesorero </t>
        </is>
      </c>
      <c r="K976" s="10" t="inlineStr">
        <is>
          <t xml:space="preserve">Tesorero </t>
        </is>
      </c>
      <c r="L976" s="10" t="inlineStr">
        <is>
          <t>UBICACIÓN DIGITAL-EQUIPO DEL CUSTODIO</t>
        </is>
      </c>
      <c r="M976" s="10" t="inlineStr">
        <is>
          <t>DISCOS DUROS, SERVIDORES, DISCOS O MEDIOS PORTÁTILES, CINTAS O MEDIOS DE VIDEO Y AUDIO, ETC.</t>
        </is>
      </c>
      <c r="N976" s="10" t="inlineStr">
        <is>
          <t>PRIMARIOS</t>
        </is>
      </c>
      <c r="O976" s="10" t="inlineStr">
        <is>
          <t>COMUNICACIÓN INTERNA</t>
        </is>
      </c>
      <c r="P976" s="10" t="inlineStr">
        <is>
          <t>RESTRINGIDO(3)</t>
        </is>
      </c>
      <c r="Q976" s="10" t="inlineStr">
        <is>
          <t>MEDIA(2)</t>
        </is>
      </c>
      <c r="R976" s="10" t="inlineStr">
        <is>
          <t>MEDIA(2)</t>
        </is>
      </c>
      <c r="S976" s="10">
        <f>+(IF(P976="PUBLICA(1)",1,IF(P976="USO INTERNO(2)",2,IF(P976="RESTRINGIDO(3)",3,3))))+(IF(Q976="BAJA(1)",1,IF(Q976="MEDIA(2)",2,IF(Q976="ALTA(3)",3,3))))+(IF(R976="BAJA(1)",1,IF(R976="MEDIA(2)",2,IF(R976="ALTA(3)",3,3))))</f>
        <v/>
      </c>
      <c r="T976" s="10">
        <f>+IF(S976&lt;6,"BAJA",IF(S976&lt;8,"MEDIA","ALTA"))</f>
        <v/>
      </c>
      <c r="U976" s="10" t="inlineStr">
        <is>
          <t>-</t>
        </is>
      </c>
      <c r="V976" s="24" t="n">
        <v>45673</v>
      </c>
      <c r="W976" s="19" t="inlineStr">
        <is>
          <t>N/A</t>
        </is>
      </c>
      <c r="X976" s="10">
        <f>+IFERROR(IF(VLOOKUP(Tabla2[[#This Row],[ID]],'EVALUACION DE RIESGO'!A:A,1,FALSE)=Tabla2[[#This Row],[ID]],"SI","NO"),"NO")</f>
        <v/>
      </c>
      <c r="AD976">
        <f>IF(AND(Y976="",AA976=""),"",IF(OR(LEFT(AA976,2)="L0",LEFT(AA976,2)="L1",Y976="No Iniciado"),"CRÍTICO - Incumplimiento Normativo SEPS",IF(AND(OR(LEFT(AA976,2)="L4",LEFT(AA976,2)="L5"),AND(AC976&lt;&gt;"",AC976&lt;&gt;"N/A")),"CONFORME - Control Efectivo ISO 27001","OBSERVACIÓN - Revisar Controles")))</f>
        <v/>
      </c>
    </row>
    <row r="977">
      <c r="A977" s="99" t="inlineStr">
        <is>
          <t>55-GFI</t>
        </is>
      </c>
      <c r="B977" s="10" t="inlineStr">
        <is>
          <t>APOYO</t>
        </is>
      </c>
      <c r="C977" s="10" t="inlineStr">
        <is>
          <t>Gestión Financiera</t>
        </is>
      </c>
      <c r="D977" s="10" t="inlineStr">
        <is>
          <t>GFI</t>
        </is>
      </c>
      <c r="E977" s="10" t="inlineStr">
        <is>
          <t>Gestión de Tesorería</t>
        </is>
      </c>
      <c r="F977" s="10" t="inlineStr">
        <is>
          <t>Gestión de Fondos Disponibles</t>
        </is>
      </c>
      <c r="G977" s="10" t="inlineStr">
        <is>
          <t>Aporte Fondo de liquidez y encaje bancario</t>
        </is>
      </c>
      <c r="H977" s="10" t="inlineStr">
        <is>
          <t>Reporte de intereses del Fondo de Liquidez</t>
        </is>
      </c>
      <c r="I977" s="10" t="inlineStr">
        <is>
          <t>Reportes recibido de BCE con el detalle de intereses del Fondo</t>
        </is>
      </c>
      <c r="J977" s="10" t="inlineStr">
        <is>
          <t xml:space="preserve">Tesorero </t>
        </is>
      </c>
      <c r="K977" s="10" t="inlineStr">
        <is>
          <t xml:space="preserve">Tesorero </t>
        </is>
      </c>
      <c r="L977" s="10" t="inlineStr">
        <is>
          <t>UBICACIÓN DIGITAL-EQUIPO DEL CUSTODIO</t>
        </is>
      </c>
      <c r="M977" s="10" t="inlineStr">
        <is>
          <t>DISCOS DUROS, SERVIDORES, DISCOS O MEDIOS PORTÁTILES, CINTAS O MEDIOS DE VIDEO Y AUDIO, ETC.</t>
        </is>
      </c>
      <c r="N977" s="10" t="inlineStr">
        <is>
          <t>PRIMARIOS</t>
        </is>
      </c>
      <c r="O977" s="10" t="inlineStr">
        <is>
          <t>COMUNICACIÓN INTERNA</t>
        </is>
      </c>
      <c r="P977" s="10" t="inlineStr">
        <is>
          <t>USO INTERNO(2)</t>
        </is>
      </c>
      <c r="Q977" s="10" t="inlineStr">
        <is>
          <t>MEDIA(2)</t>
        </is>
      </c>
      <c r="R977" s="10" t="inlineStr">
        <is>
          <t>BAJA(1)</t>
        </is>
      </c>
      <c r="S977" s="10">
        <f>+(IF(P977="PUBLICA(1)",1,IF(P977="USO INTERNO(2)",2,IF(P977="RESTRINGIDO(3)",3,3))))+(IF(Q977="BAJA(1)",1,IF(Q977="MEDIA(2)",2,IF(Q977="ALTA(3)",3,3))))+(IF(R977="BAJA(1)",1,IF(R977="MEDIA(2)",2,IF(R977="ALTA(3)",3,3))))</f>
        <v/>
      </c>
      <c r="T977" s="10">
        <f>+IF(S977&lt;6,"BAJA",IF(S977&lt;8,"MEDIA","ALTA"))</f>
        <v/>
      </c>
      <c r="U977" s="10" t="inlineStr">
        <is>
          <t>-</t>
        </is>
      </c>
      <c r="V977" s="24" t="n">
        <v>45673</v>
      </c>
      <c r="W977" s="19" t="inlineStr">
        <is>
          <t>N/A</t>
        </is>
      </c>
      <c r="X977" s="10">
        <f>+IFERROR(IF(VLOOKUP(Tabla2[[#This Row],[ID]],'EVALUACION DE RIESGO'!A:A,1,FALSE)=Tabla2[[#This Row],[ID]],"SI","NO"),"NO")</f>
        <v/>
      </c>
      <c r="AD977">
        <f>IF(AND(Y977="",AA977=""),"",IF(OR(LEFT(AA977,2)="L0",LEFT(AA977,2)="L1",Y977="No Iniciado"),"CRÍTICO - Incumplimiento Normativo SEPS",IF(AND(OR(LEFT(AA977,2)="L4",LEFT(AA977,2)="L5"),AND(AC977&lt;&gt;"",AC977&lt;&gt;"N/A")),"CONFORME - Control Efectivo ISO 27001","OBSERVACIÓN - Revisar Controles")))</f>
        <v/>
      </c>
    </row>
    <row r="978">
      <c r="A978" s="99" t="inlineStr">
        <is>
          <t>56-GFI</t>
        </is>
      </c>
      <c r="B978" s="10" t="inlineStr">
        <is>
          <t>APOYO</t>
        </is>
      </c>
      <c r="C978" s="10" t="inlineStr">
        <is>
          <t>Gestión Financiera</t>
        </is>
      </c>
      <c r="D978" s="10" t="inlineStr">
        <is>
          <t>GFI</t>
        </is>
      </c>
      <c r="E978" s="10" t="inlineStr">
        <is>
          <t>Gestión de Tesorería</t>
        </is>
      </c>
      <c r="F978" s="10" t="inlineStr">
        <is>
          <t>Gestión de Fondos Disponibles</t>
        </is>
      </c>
      <c r="G978" s="10" t="inlineStr">
        <is>
          <t>Aporte Fondo de liquidez y encaje bancario</t>
        </is>
      </c>
      <c r="H978" s="10" t="inlineStr">
        <is>
          <t>Reporte de cuadre para el fondo de liquidez /Reporte de cálculo para el requerimiento de encaje bancario</t>
        </is>
      </c>
      <c r="I978" s="10" t="inlineStr">
        <is>
          <t xml:space="preserve">Reporte en Excel realizado con el detalle de las inversiones enviado a Contabilidad </t>
        </is>
      </c>
      <c r="J978" s="10" t="inlineStr">
        <is>
          <t xml:space="preserve">Tesorero </t>
        </is>
      </c>
      <c r="K978" s="10" t="inlineStr">
        <is>
          <t xml:space="preserve">Tesorero </t>
        </is>
      </c>
      <c r="L978" s="10" t="inlineStr">
        <is>
          <t>UBICACIÓN DIGITAL-EQUIPO DEL CUSTODIO</t>
        </is>
      </c>
      <c r="M978" s="10" t="inlineStr">
        <is>
          <t>DISCOS DUROS, SERVIDORES, DISCOS O MEDIOS PORTÁTILES, CINTAS O MEDIOS DE VIDEO Y AUDIO, ETC.</t>
        </is>
      </c>
      <c r="N978" s="10" t="inlineStr">
        <is>
          <t>PRIMARIOS</t>
        </is>
      </c>
      <c r="O978" s="10" t="inlineStr">
        <is>
          <t>DOCUMENTOS TÉCNICOS</t>
        </is>
      </c>
      <c r="P978" s="10" t="inlineStr">
        <is>
          <t>USO INTERNO(2)</t>
        </is>
      </c>
      <c r="Q978" s="10" t="inlineStr">
        <is>
          <t>BAJA(1)</t>
        </is>
      </c>
      <c r="R978" s="10" t="inlineStr">
        <is>
          <t>BAJA(1)</t>
        </is>
      </c>
      <c r="S978" s="10">
        <f>+(IF(P978="PUBLICA(1)",1,IF(P978="USO INTERNO(2)",2,IF(P978="RESTRINGIDO(3)",3,3))))+(IF(Q978="BAJA(1)",1,IF(Q978="MEDIA(2)",2,IF(Q978="ALTA(3)",3,3))))+(IF(R978="BAJA(1)",1,IF(R978="MEDIA(2)",2,IF(R978="ALTA(3)",3,3))))</f>
        <v/>
      </c>
      <c r="T978" s="10">
        <f>+IF(S978&lt;6,"BAJA",IF(S978&lt;8,"MEDIA","ALTA"))</f>
        <v/>
      </c>
      <c r="U978" s="10" t="inlineStr">
        <is>
          <t>-</t>
        </is>
      </c>
      <c r="V978" s="24" t="n">
        <v>45673</v>
      </c>
      <c r="W978" s="19" t="inlineStr">
        <is>
          <t>N/A</t>
        </is>
      </c>
      <c r="X978" s="10">
        <f>+IFERROR(IF(VLOOKUP(Tabla2[[#This Row],[ID]],'EVALUACION DE RIESGO'!A:A,1,FALSE)=Tabla2[[#This Row],[ID]],"SI","NO"),"NO")</f>
        <v/>
      </c>
      <c r="AD978">
        <f>IF(AND(Y978="",AA978=""),"",IF(OR(LEFT(AA978,2)="L0",LEFT(AA978,2)="L1",Y978="No Iniciado"),"CRÍTICO - Incumplimiento Normativo SEPS",IF(AND(OR(LEFT(AA978,2)="L4",LEFT(AA978,2)="L5"),AND(AC978&lt;&gt;"",AC978&lt;&gt;"N/A")),"CONFORME - Control Efectivo ISO 27001","OBSERVACIÓN - Revisar Controles")))</f>
        <v/>
      </c>
    </row>
    <row r="979">
      <c r="A979" s="99" t="inlineStr">
        <is>
          <t>57-GFI</t>
        </is>
      </c>
      <c r="B979" s="10" t="inlineStr">
        <is>
          <t>APOYO</t>
        </is>
      </c>
      <c r="C979" s="10" t="inlineStr">
        <is>
          <t>Gestión Financiera</t>
        </is>
      </c>
      <c r="D979" s="10" t="inlineStr">
        <is>
          <t>GFI</t>
        </is>
      </c>
      <c r="E979" s="10" t="inlineStr">
        <is>
          <t>Gestión de Tesorería</t>
        </is>
      </c>
      <c r="F979" s="10" t="inlineStr">
        <is>
          <t>Gestión de Fondos Disponibles</t>
        </is>
      </c>
      <c r="G979" s="10" t="inlineStr">
        <is>
          <t>Aporte Fondo de liquidez y encaje bancario</t>
        </is>
      </c>
      <c r="H979" s="10" t="inlineStr">
        <is>
          <t>Requerimiento de encaje bancario</t>
        </is>
      </c>
      <c r="I979" s="10" t="inlineStr">
        <is>
          <t>Documento externo del BCE donde se detalla el saldo que se debe tener en el Banco como encaje.</t>
        </is>
      </c>
      <c r="J979" s="10" t="inlineStr">
        <is>
          <t xml:space="preserve">Tesorero </t>
        </is>
      </c>
      <c r="K979" s="10" t="inlineStr">
        <is>
          <t xml:space="preserve">Tesorero </t>
        </is>
      </c>
      <c r="L979" s="10" t="inlineStr">
        <is>
          <t>UBICACIÓN DIGITAL-EQUIPO DEL CUSTODIO</t>
        </is>
      </c>
      <c r="M979" s="10" t="inlineStr">
        <is>
          <t>DISCOS DUROS, SERVIDORES, DISCOS O MEDIOS PORTÁTILES, CINTAS O MEDIOS DE VIDEO Y AUDIO, ETC.</t>
        </is>
      </c>
      <c r="N979" s="10" t="inlineStr">
        <is>
          <t>PRIMARIOS</t>
        </is>
      </c>
      <c r="O979" s="10" t="inlineStr">
        <is>
          <t>DOCUMENTOS TÉCNICOS</t>
        </is>
      </c>
      <c r="P979" s="10" t="inlineStr">
        <is>
          <t>RESTRINGIDO(3)</t>
        </is>
      </c>
      <c r="Q979" s="10" t="inlineStr">
        <is>
          <t>MEDIA(2)</t>
        </is>
      </c>
      <c r="R979" s="10" t="inlineStr">
        <is>
          <t>MEDIA(2)</t>
        </is>
      </c>
      <c r="S979" s="10">
        <f>+(IF(P979="PUBLICA(1)",1,IF(P979="USO INTERNO(2)",2,IF(P979="RESTRINGIDO(3)",3,3))))+(IF(Q979="BAJA(1)",1,IF(Q979="MEDIA(2)",2,IF(Q979="ALTA(3)",3,3))))+(IF(R979="BAJA(1)",1,IF(R979="MEDIA(2)",2,IF(R979="ALTA(3)",3,3))))</f>
        <v/>
      </c>
      <c r="T979" s="10">
        <f>+IF(S979&lt;6,"BAJA",IF(S979&lt;8,"MEDIA","ALTA"))</f>
        <v/>
      </c>
      <c r="U979" s="10" t="inlineStr">
        <is>
          <t>-</t>
        </is>
      </c>
      <c r="V979" s="24" t="n">
        <v>45673</v>
      </c>
      <c r="W979" s="19" t="inlineStr">
        <is>
          <t>N/A</t>
        </is>
      </c>
      <c r="X979" s="10">
        <f>+IFERROR(IF(VLOOKUP(Tabla2[[#This Row],[ID]],'EVALUACION DE RIESGO'!A:A,1,FALSE)=Tabla2[[#This Row],[ID]],"SI","NO"),"NO")</f>
        <v/>
      </c>
      <c r="AD979">
        <f>IF(AND(Y979="",AA979=""),"",IF(OR(LEFT(AA979,2)="L0",LEFT(AA979,2)="L1",Y979="No Iniciado"),"CRÍTICO - Incumplimiento Normativo SEPS",IF(AND(OR(LEFT(AA979,2)="L4",LEFT(AA979,2)="L5"),AND(AC979&lt;&gt;"",AC979&lt;&gt;"N/A")),"CONFORME - Control Efectivo ISO 27001","OBSERVACIÓN - Revisar Controles")))</f>
        <v/>
      </c>
    </row>
    <row r="980">
      <c r="A980" s="99" t="inlineStr">
        <is>
          <t>58-GFI</t>
        </is>
      </c>
      <c r="B980" s="10" t="inlineStr">
        <is>
          <t>APOYO</t>
        </is>
      </c>
      <c r="C980" s="10" t="inlineStr">
        <is>
          <t>Gestión Financiera</t>
        </is>
      </c>
      <c r="D980" s="10" t="inlineStr">
        <is>
          <t>GFI</t>
        </is>
      </c>
      <c r="E980" s="10" t="inlineStr">
        <is>
          <t>Gestión de Tesorería</t>
        </is>
      </c>
      <c r="F980" s="10" t="inlineStr">
        <is>
          <t>Gestión de Fondos Disponibles</t>
        </is>
      </c>
      <c r="G980" s="10" t="inlineStr">
        <is>
          <t>Aporte Fondo de liquidez y encaje bancario</t>
        </is>
      </c>
      <c r="H980" s="10" t="inlineStr">
        <is>
          <t>Cumplimiento de encaje bancario</t>
        </is>
      </c>
      <c r="I980" s="10" t="inlineStr">
        <is>
          <t>Reporte externo en Excel recibido del BCE donde se detalla el cumplimiento del encaje o su observación</t>
        </is>
      </c>
      <c r="J980" s="10" t="inlineStr">
        <is>
          <t xml:space="preserve">Tesorero </t>
        </is>
      </c>
      <c r="K980" s="10" t="inlineStr">
        <is>
          <t xml:space="preserve">Tesorero </t>
        </is>
      </c>
      <c r="L980" s="10" t="inlineStr">
        <is>
          <t>UBICACIÓN DIGITAL-EQUIPO DEL CUSTODIO</t>
        </is>
      </c>
      <c r="M980" s="10" t="inlineStr">
        <is>
          <t>DISCOS DUROS, SERVIDORES, DISCOS O MEDIOS PORTÁTILES, CINTAS O MEDIOS DE VIDEO Y AUDIO, ETC.</t>
        </is>
      </c>
      <c r="N980" s="10" t="inlineStr">
        <is>
          <t>PRIMARIOS</t>
        </is>
      </c>
      <c r="O980" s="10" t="inlineStr">
        <is>
          <t>DOCUMENTOS TÉCNICOS</t>
        </is>
      </c>
      <c r="P980" s="10" t="inlineStr">
        <is>
          <t>USO INTERNO(2)</t>
        </is>
      </c>
      <c r="Q980" s="10" t="inlineStr">
        <is>
          <t>MEDIA(2)</t>
        </is>
      </c>
      <c r="R980" s="10" t="inlineStr">
        <is>
          <t>MEDIA(2)</t>
        </is>
      </c>
      <c r="S980" s="10">
        <f>+(IF(P980="PUBLICA(1)",1,IF(P980="USO INTERNO(2)",2,IF(P980="RESTRINGIDO(3)",3,3))))+(IF(Q980="BAJA(1)",1,IF(Q980="MEDIA(2)",2,IF(Q980="ALTA(3)",3,3))))+(IF(R980="BAJA(1)",1,IF(R980="MEDIA(2)",2,IF(R980="ALTA(3)",3,3))))</f>
        <v/>
      </c>
      <c r="T980" s="10">
        <f>+IF(S980&lt;6,"BAJA",IF(S980&lt;8,"MEDIA","ALTA"))</f>
        <v/>
      </c>
      <c r="U980" s="10" t="inlineStr">
        <is>
          <t>-</t>
        </is>
      </c>
      <c r="V980" s="24" t="n">
        <v>45673</v>
      </c>
      <c r="W980" s="19" t="inlineStr">
        <is>
          <t>N/A</t>
        </is>
      </c>
      <c r="X980" s="10">
        <f>+IFERROR(IF(VLOOKUP(Tabla2[[#This Row],[ID]],'EVALUACION DE RIESGO'!A:A,1,FALSE)=Tabla2[[#This Row],[ID]],"SI","NO"),"NO")</f>
        <v/>
      </c>
      <c r="AD980">
        <f>IF(AND(Y980="",AA980=""),"",IF(OR(LEFT(AA980,2)="L0",LEFT(AA980,2)="L1",Y980="No Iniciado"),"CRÍTICO - Incumplimiento Normativo SEPS",IF(AND(OR(LEFT(AA980,2)="L4",LEFT(AA980,2)="L5"),AND(AC980&lt;&gt;"",AC980&lt;&gt;"N/A")),"CONFORME - Control Efectivo ISO 27001","OBSERVACIÓN - Revisar Controles")))</f>
        <v/>
      </c>
    </row>
    <row r="981">
      <c r="A981" s="99" t="inlineStr">
        <is>
          <t>59-GFI</t>
        </is>
      </c>
      <c r="B981" s="10" t="inlineStr">
        <is>
          <t>APOYO</t>
        </is>
      </c>
      <c r="C981" s="10" t="inlineStr">
        <is>
          <t>Gestión Financiera</t>
        </is>
      </c>
      <c r="D981" s="10" t="inlineStr">
        <is>
          <t>GFI</t>
        </is>
      </c>
      <c r="E981" s="10" t="inlineStr">
        <is>
          <t>Gestión de Tesorería</t>
        </is>
      </c>
      <c r="F981" s="10" t="inlineStr">
        <is>
          <t>Gestión de Fondos Disponibles</t>
        </is>
      </c>
      <c r="G981" s="10" t="inlineStr">
        <is>
          <t>Apertura, manejo y cierre de cuentas en otras entidades financieras</t>
        </is>
      </c>
      <c r="H981" s="10" t="inlineStr">
        <is>
          <t>Registro de firmas</t>
        </is>
      </c>
      <c r="I981" s="10" t="inlineStr">
        <is>
          <t>Carta u oficio enviado al banco donde se solicita y se procede con el registro de las firmas</t>
        </is>
      </c>
      <c r="J981" s="10" t="inlineStr">
        <is>
          <t xml:space="preserve">Tesorero </t>
        </is>
      </c>
      <c r="K981" s="10" t="inlineStr">
        <is>
          <t xml:space="preserve">Tesorero </t>
        </is>
      </c>
      <c r="L981" s="10" t="inlineStr">
        <is>
          <t>UBICACIÓN DIGITAL-EQUIPO DEL CUSTODIO</t>
        </is>
      </c>
      <c r="M981" s="10" t="inlineStr">
        <is>
          <t>DISCOS DUROS, SERVIDORES, DISCOS O MEDIOS PORTÁTILES, CINTAS O MEDIOS DE VIDEO Y AUDIO, ETC.</t>
        </is>
      </c>
      <c r="N981" s="10" t="inlineStr">
        <is>
          <t>PRIMARIOS</t>
        </is>
      </c>
      <c r="O981" s="10" t="inlineStr">
        <is>
          <t>DOCUMENTOS HABILITANTES</t>
        </is>
      </c>
      <c r="P981" s="10" t="inlineStr">
        <is>
          <t>USO INTERNO(2)</t>
        </is>
      </c>
      <c r="Q981" s="10" t="inlineStr">
        <is>
          <t>MEDIA(2)</t>
        </is>
      </c>
      <c r="R981" s="10" t="inlineStr">
        <is>
          <t>MEDIA(2)</t>
        </is>
      </c>
      <c r="S981" s="10">
        <f>+(IF(P981="PUBLICA(1)",1,IF(P981="USO INTERNO(2)",2,IF(P981="RESTRINGIDO(3)",3,3))))+(IF(Q981="BAJA(1)",1,IF(Q981="MEDIA(2)",2,IF(Q981="ALTA(3)",3,3))))+(IF(R981="BAJA(1)",1,IF(R981="MEDIA(2)",2,IF(R981="ALTA(3)",3,3))))</f>
        <v/>
      </c>
      <c r="T981" s="10">
        <f>+IF(S981&lt;6,"BAJA",IF(S981&lt;8,"MEDIA","ALTA"))</f>
        <v/>
      </c>
      <c r="U981" s="10" t="inlineStr">
        <is>
          <t>-</t>
        </is>
      </c>
      <c r="V981" s="24" t="n">
        <v>45673</v>
      </c>
      <c r="W981" s="19" t="inlineStr">
        <is>
          <t>N/A</t>
        </is>
      </c>
      <c r="X981" s="10">
        <f>+IFERROR(IF(VLOOKUP(Tabla2[[#This Row],[ID]],'EVALUACION DE RIESGO'!A:A,1,FALSE)=Tabla2[[#This Row],[ID]],"SI","NO"),"NO")</f>
        <v/>
      </c>
      <c r="AD981">
        <f>IF(AND(Y981="",AA981=""),"",IF(OR(LEFT(AA981,2)="L0",LEFT(AA981,2)="L1",Y981="No Iniciado"),"CRÍTICO - Incumplimiento Normativo SEPS",IF(AND(OR(LEFT(AA981,2)="L4",LEFT(AA981,2)="L5"),AND(AC981&lt;&gt;"",AC981&lt;&gt;"N/A")),"CONFORME - Control Efectivo ISO 27001","OBSERVACIÓN - Revisar Controles")))</f>
        <v/>
      </c>
    </row>
    <row r="982">
      <c r="A982" s="99" t="inlineStr">
        <is>
          <t>60-GFI</t>
        </is>
      </c>
      <c r="B982" s="10" t="inlineStr">
        <is>
          <t>APOYO</t>
        </is>
      </c>
      <c r="C982" s="10" t="inlineStr">
        <is>
          <t>Gestión Financiera</t>
        </is>
      </c>
      <c r="D982" s="10" t="inlineStr">
        <is>
          <t>GFI</t>
        </is>
      </c>
      <c r="E982" s="10" t="inlineStr">
        <is>
          <t>Gestión de Tesorería</t>
        </is>
      </c>
      <c r="F982" s="10" t="inlineStr">
        <is>
          <t>Gestión de Fondos Disponibles</t>
        </is>
      </c>
      <c r="G982" s="10" t="inlineStr">
        <is>
          <t xml:space="preserve">Registro y eliminación de firmas autorizadas         </t>
        </is>
      </c>
      <c r="H982" s="10" t="inlineStr">
        <is>
          <t>Documentos de sustento de registro o eliminación de firmas</t>
        </is>
      </c>
      <c r="I982" s="10" t="inlineStr">
        <is>
          <t>Carta u oficio enviado al banco donde se solicita la vinculación o desvinculación de firmas autorizadas</t>
        </is>
      </c>
      <c r="J982" s="10" t="inlineStr">
        <is>
          <t xml:space="preserve">Tesorero </t>
        </is>
      </c>
      <c r="K982" s="10" t="inlineStr">
        <is>
          <t xml:space="preserve">Tesorero </t>
        </is>
      </c>
      <c r="L982" s="10" t="inlineStr">
        <is>
          <t>UBICACIÓN DIGITAL-EQUIPO DEL CUSTODIO</t>
        </is>
      </c>
      <c r="M982" s="10" t="inlineStr">
        <is>
          <t>DISCOS DUROS, SERVIDORES, DISCOS O MEDIOS PORTÁTILES, CINTAS O MEDIOS DE VIDEO Y AUDIO, ETC.</t>
        </is>
      </c>
      <c r="N982" s="10" t="inlineStr">
        <is>
          <t>PRIMARIOS</t>
        </is>
      </c>
      <c r="O982" s="10" t="inlineStr">
        <is>
          <t>DOCUMENTOS HABILITANTES</t>
        </is>
      </c>
      <c r="P982" s="10" t="inlineStr">
        <is>
          <t>USO INTERNO(2)</t>
        </is>
      </c>
      <c r="Q982" s="10" t="inlineStr">
        <is>
          <t>MEDIA(2)</t>
        </is>
      </c>
      <c r="R982" s="10" t="inlineStr">
        <is>
          <t>ALTA(3)</t>
        </is>
      </c>
      <c r="S982" s="10">
        <f>+(IF(P982="PUBLICA(1)",1,IF(P982="USO INTERNO(2)",2,IF(P982="RESTRINGIDO(3)",3,3))))+(IF(Q982="BAJA(1)",1,IF(Q982="MEDIA(2)",2,IF(Q982="ALTA(3)",3,3))))+(IF(R982="BAJA(1)",1,IF(R982="MEDIA(2)",2,IF(R982="ALTA(3)",3,3))))</f>
        <v/>
      </c>
      <c r="T982" s="10">
        <f>+IF(S982&lt;6,"BAJA",IF(S982&lt;8,"MEDIA","ALTA"))</f>
        <v/>
      </c>
      <c r="U982" s="10" t="inlineStr">
        <is>
          <t>-</t>
        </is>
      </c>
      <c r="V982" s="24" t="n">
        <v>45673</v>
      </c>
      <c r="W982" s="19" t="inlineStr">
        <is>
          <t>N/A</t>
        </is>
      </c>
      <c r="X982" s="10">
        <f>+IFERROR(IF(VLOOKUP(Tabla2[[#This Row],[ID]],'EVALUACION DE RIESGO'!A:A,1,FALSE)=Tabla2[[#This Row],[ID]],"SI","NO"),"NO")</f>
        <v/>
      </c>
      <c r="AD982">
        <f>IF(AND(Y982="",AA982=""),"",IF(OR(LEFT(AA982,2)="L0",LEFT(AA982,2)="L1",Y982="No Iniciado"),"CRÍTICO - Incumplimiento Normativo SEPS",IF(AND(OR(LEFT(AA982,2)="L4",LEFT(AA982,2)="L5"),AND(AC982&lt;&gt;"",AC982&lt;&gt;"N/A")),"CONFORME - Control Efectivo ISO 27001","OBSERVACIÓN - Revisar Controles")))</f>
        <v/>
      </c>
    </row>
    <row r="983">
      <c r="A983" s="99" t="inlineStr">
        <is>
          <t>61-GFI</t>
        </is>
      </c>
      <c r="B983" s="10" t="inlineStr">
        <is>
          <t>APOYO</t>
        </is>
      </c>
      <c r="C983" s="10" t="inlineStr">
        <is>
          <t>Gestión Financiera</t>
        </is>
      </c>
      <c r="D983" s="10" t="inlineStr">
        <is>
          <t>GFI</t>
        </is>
      </c>
      <c r="E983" s="10" t="inlineStr">
        <is>
          <t>Gestión de Tesorería</t>
        </is>
      </c>
      <c r="F983" s="10" t="inlineStr">
        <is>
          <t>Gestión de Fondos Disponibles</t>
        </is>
      </c>
      <c r="G983" s="10" t="inlineStr">
        <is>
          <t xml:space="preserve">Registro y eliminación de firmas autorizadas         </t>
        </is>
      </c>
      <c r="H983" s="10" t="inlineStr">
        <is>
          <t>Notificación de vinculación, desvinculación o cambio de funciones</t>
        </is>
      </c>
      <c r="I983" s="10" t="inlineStr">
        <is>
          <t>Notificación de desvinculación enviada por GTH para proceder con la eliminación de formas autorizadas.</t>
        </is>
      </c>
      <c r="J983" s="10" t="inlineStr">
        <is>
          <t xml:space="preserve">Tesorero </t>
        </is>
      </c>
      <c r="K983" s="10" t="inlineStr">
        <is>
          <t xml:space="preserve">Tesorero </t>
        </is>
      </c>
      <c r="L983" s="10" t="inlineStr">
        <is>
          <t>UBICACIÓN DIGITAL-EQUIPO DEL CUSTODIO</t>
        </is>
      </c>
      <c r="M983" s="10" t="inlineStr">
        <is>
          <t>DISCOS DUROS, SERVIDORES, DISCOS O MEDIOS PORTÁTILES, CINTAS O MEDIOS DE VIDEO Y AUDIO, ETC.</t>
        </is>
      </c>
      <c r="N983" s="10" t="inlineStr">
        <is>
          <t>PRIMARIOS</t>
        </is>
      </c>
      <c r="O983" s="10" t="inlineStr">
        <is>
          <t>COMUNICACIÓN INTERNA</t>
        </is>
      </c>
      <c r="P983" s="10" t="inlineStr">
        <is>
          <t>USO INTERNO(2)</t>
        </is>
      </c>
      <c r="Q983" s="10" t="inlineStr">
        <is>
          <t>MEDIA(2)</t>
        </is>
      </c>
      <c r="R983" s="10" t="inlineStr">
        <is>
          <t>MEDIA(2)</t>
        </is>
      </c>
      <c r="S983" s="10">
        <f>+(IF(P983="PUBLICA(1)",1,IF(P983="USO INTERNO(2)",2,IF(P983="RESTRINGIDO(3)",3,3))))+(IF(Q983="BAJA(1)",1,IF(Q983="MEDIA(2)",2,IF(Q983="ALTA(3)",3,3))))+(IF(R983="BAJA(1)",1,IF(R983="MEDIA(2)",2,IF(R983="ALTA(3)",3,3))))</f>
        <v/>
      </c>
      <c r="T983" s="10">
        <f>+IF(S983&lt;6,"BAJA",IF(S983&lt;8,"MEDIA","ALTA"))</f>
        <v/>
      </c>
      <c r="U983" s="10" t="inlineStr">
        <is>
          <t>-</t>
        </is>
      </c>
      <c r="V983" s="24" t="n">
        <v>45673</v>
      </c>
      <c r="W983" s="19" t="inlineStr">
        <is>
          <t>N/A</t>
        </is>
      </c>
      <c r="X983" s="10">
        <f>+IFERROR(IF(VLOOKUP(Tabla2[[#This Row],[ID]],'EVALUACION DE RIESGO'!A:A,1,FALSE)=Tabla2[[#This Row],[ID]],"SI","NO"),"NO")</f>
        <v/>
      </c>
      <c r="AD983">
        <f>IF(AND(Y983="",AA983=""),"",IF(OR(LEFT(AA983,2)="L0",LEFT(AA983,2)="L1",Y983="No Iniciado"),"CRÍTICO - Incumplimiento Normativo SEPS",IF(AND(OR(LEFT(AA983,2)="L4",LEFT(AA983,2)="L5"),AND(AC983&lt;&gt;"",AC983&lt;&gt;"N/A")),"CONFORME - Control Efectivo ISO 27001","OBSERVACIÓN - Revisar Controles")))</f>
        <v/>
      </c>
    </row>
    <row r="984">
      <c r="A984" s="99" t="inlineStr">
        <is>
          <t>62-GFI</t>
        </is>
      </c>
      <c r="B984" s="10" t="inlineStr">
        <is>
          <t>APOYO</t>
        </is>
      </c>
      <c r="C984" s="10" t="inlineStr">
        <is>
          <t>Gestión Financiera</t>
        </is>
      </c>
      <c r="D984" s="10" t="inlineStr">
        <is>
          <t>GFI</t>
        </is>
      </c>
      <c r="E984" s="10" t="inlineStr">
        <is>
          <t>Gestión de Tesorería</t>
        </is>
      </c>
      <c r="F984" s="10" t="inlineStr">
        <is>
          <t>Gestión de Fondos Disponibles</t>
        </is>
      </c>
      <c r="G984" s="10" t="inlineStr">
        <is>
          <t xml:space="preserve">Administración de chequeras    </t>
        </is>
      </c>
      <c r="H984" s="10" t="inlineStr">
        <is>
          <t>Actas de entrega recepción de chequeras</t>
        </is>
      </c>
      <c r="I984" s="10" t="inlineStr">
        <is>
          <t>Documento que avala la recepción de chequeras que contiene firmas de responsabilidad, y detalle del activo entregado</t>
        </is>
      </c>
      <c r="J984" s="10" t="inlineStr">
        <is>
          <t xml:space="preserve">Tesorero </t>
        </is>
      </c>
      <c r="K984" s="10" t="inlineStr">
        <is>
          <t xml:space="preserve">Tesorero </t>
        </is>
      </c>
      <c r="L984" s="10" t="inlineStr">
        <is>
          <t>UBICACIÓN DIGITAL-EQUIPO DEL CUSTODIO</t>
        </is>
      </c>
      <c r="M984" s="10" t="inlineStr">
        <is>
          <t>DISCOS DUROS, SERVIDORES, DISCOS O MEDIOS PORTÁTILES, CINTAS O MEDIOS DE VIDEO Y AUDIO, ETC.</t>
        </is>
      </c>
      <c r="N984" s="10" t="inlineStr">
        <is>
          <t>PRIMARIOS</t>
        </is>
      </c>
      <c r="O984" s="10" t="inlineStr">
        <is>
          <t>DOCUMENTOS HABILITANTES</t>
        </is>
      </c>
      <c r="P984" s="10" t="inlineStr">
        <is>
          <t>USO INTERNO(2)</t>
        </is>
      </c>
      <c r="Q984" s="10" t="inlineStr">
        <is>
          <t>BAJA(1)</t>
        </is>
      </c>
      <c r="R984" s="10" t="inlineStr">
        <is>
          <t>MEDIA(2)</t>
        </is>
      </c>
      <c r="S984" s="10">
        <f>+(IF(P984="PUBLICA(1)",1,IF(P984="USO INTERNO(2)",2,IF(P984="RESTRINGIDO(3)",3,3))))+(IF(Q984="BAJA(1)",1,IF(Q984="MEDIA(2)",2,IF(Q984="ALTA(3)",3,3))))+(IF(R984="BAJA(1)",1,IF(R984="MEDIA(2)",2,IF(R984="ALTA(3)",3,3))))</f>
        <v/>
      </c>
      <c r="T984" s="10">
        <f>+IF(S984&lt;6,"BAJA",IF(S984&lt;8,"MEDIA","ALTA"))</f>
        <v/>
      </c>
      <c r="U984" s="10" t="inlineStr">
        <is>
          <t>-</t>
        </is>
      </c>
      <c r="V984" s="24" t="n">
        <v>45673</v>
      </c>
      <c r="W984" s="19" t="inlineStr">
        <is>
          <t>N/A</t>
        </is>
      </c>
      <c r="X984" s="10">
        <f>+IFERROR(IF(VLOOKUP(Tabla2[[#This Row],[ID]],'EVALUACION DE RIESGO'!A:A,1,FALSE)=Tabla2[[#This Row],[ID]],"SI","NO"),"NO")</f>
        <v/>
      </c>
      <c r="AD984">
        <f>IF(AND(Y984="",AA984=""),"",IF(OR(LEFT(AA984,2)="L0",LEFT(AA984,2)="L1",Y984="No Iniciado"),"CRÍTICO - Incumplimiento Normativo SEPS",IF(AND(OR(LEFT(AA984,2)="L4",LEFT(AA984,2)="L5"),AND(AC984&lt;&gt;"",AC984&lt;&gt;"N/A")),"CONFORME - Control Efectivo ISO 27001","OBSERVACIÓN - Revisar Controles")))</f>
        <v/>
      </c>
    </row>
    <row r="985">
      <c r="A985" s="99" t="inlineStr">
        <is>
          <t>63-GFI</t>
        </is>
      </c>
      <c r="B985" s="10" t="inlineStr">
        <is>
          <t>APOYO</t>
        </is>
      </c>
      <c r="C985" s="10" t="inlineStr">
        <is>
          <t>Gestión Financiera</t>
        </is>
      </c>
      <c r="D985" s="10" t="inlineStr">
        <is>
          <t>GFI</t>
        </is>
      </c>
      <c r="E985" s="10" t="inlineStr">
        <is>
          <t>Gestión de Tesorería</t>
        </is>
      </c>
      <c r="F985" s="10" t="inlineStr">
        <is>
          <t>Gestión de Fondos Disponibles</t>
        </is>
      </c>
      <c r="G985" s="10" t="inlineStr">
        <is>
          <t xml:space="preserve">Administración de chequeras    </t>
        </is>
      </c>
      <c r="H985" s="10" t="inlineStr">
        <is>
          <t>Solicitud de requerimiento de chequera</t>
        </is>
      </c>
      <c r="I985" s="10" t="inlineStr">
        <is>
          <t>Documento o memorando enviado por las oficinas solicitando la chequera, información detalla por medio de un mail</t>
        </is>
      </c>
      <c r="J985" s="10" t="inlineStr">
        <is>
          <t xml:space="preserve">Tesorero </t>
        </is>
      </c>
      <c r="K985" s="10" t="inlineStr">
        <is>
          <t xml:space="preserve">Tesorero </t>
        </is>
      </c>
      <c r="L985" s="10" t="inlineStr">
        <is>
          <t>UBICACIÓN DIGITAL-EQUIPO DEL CUSTODIO</t>
        </is>
      </c>
      <c r="M985" s="10" t="inlineStr">
        <is>
          <t>DISCOS DUROS, SERVIDORES, DISCOS O MEDIOS PORTÁTILES, CINTAS O MEDIOS DE VIDEO Y AUDIO, ETC.</t>
        </is>
      </c>
      <c r="N985" s="10" t="inlineStr">
        <is>
          <t>PRIMARIOS</t>
        </is>
      </c>
      <c r="O985" s="10" t="inlineStr">
        <is>
          <t>COMUNICACIÓN INTERNA</t>
        </is>
      </c>
      <c r="P985" s="10" t="inlineStr">
        <is>
          <t>USO INTERNO(2)</t>
        </is>
      </c>
      <c r="Q985" s="10" t="inlineStr">
        <is>
          <t>BAJA(1)</t>
        </is>
      </c>
      <c r="R985" s="10" t="inlineStr">
        <is>
          <t>MEDIA(2)</t>
        </is>
      </c>
      <c r="S985" s="10">
        <f>+(IF(P985="PUBLICA(1)",1,IF(P985="USO INTERNO(2)",2,IF(P985="RESTRINGIDO(3)",3,3))))+(IF(Q985="BAJA(1)",1,IF(Q985="MEDIA(2)",2,IF(Q985="ALTA(3)",3,3))))+(IF(R985="BAJA(1)",1,IF(R985="MEDIA(2)",2,IF(R985="ALTA(3)",3,3))))</f>
        <v/>
      </c>
      <c r="T985" s="10">
        <f>+IF(S985&lt;6,"BAJA",IF(S985&lt;8,"MEDIA","ALTA"))</f>
        <v/>
      </c>
      <c r="U985" s="10" t="inlineStr">
        <is>
          <t>-</t>
        </is>
      </c>
      <c r="V985" s="24" t="n">
        <v>45673</v>
      </c>
      <c r="W985" s="19" t="inlineStr">
        <is>
          <t>N/A</t>
        </is>
      </c>
      <c r="X985" s="10">
        <f>+IFERROR(IF(VLOOKUP(Tabla2[[#This Row],[ID]],'EVALUACION DE RIESGO'!A:A,1,FALSE)=Tabla2[[#This Row],[ID]],"SI","NO"),"NO")</f>
        <v/>
      </c>
      <c r="AD985">
        <f>IF(AND(Y985="",AA985=""),"",IF(OR(LEFT(AA985,2)="L0",LEFT(AA985,2)="L1",Y985="No Iniciado"),"CRÍTICO - Incumplimiento Normativo SEPS",IF(AND(OR(LEFT(AA985,2)="L4",LEFT(AA985,2)="L5"),AND(AC985&lt;&gt;"",AC985&lt;&gt;"N/A")),"CONFORME - Control Efectivo ISO 27001","OBSERVACIÓN - Revisar Controles")))</f>
        <v/>
      </c>
    </row>
    <row r="986">
      <c r="A986" s="99" t="inlineStr">
        <is>
          <t>64-GFI</t>
        </is>
      </c>
      <c r="B986" s="10" t="inlineStr">
        <is>
          <t>APOYO</t>
        </is>
      </c>
      <c r="C986" s="10" t="inlineStr">
        <is>
          <t>Gestión Financiera</t>
        </is>
      </c>
      <c r="D986" s="10" t="inlineStr">
        <is>
          <t>GFI</t>
        </is>
      </c>
      <c r="E986" s="10" t="inlineStr">
        <is>
          <t>Gestión de Tesorería</t>
        </is>
      </c>
      <c r="F986" s="10" t="inlineStr">
        <is>
          <t>Gestión de Fondos Disponibles</t>
        </is>
      </c>
      <c r="G986" s="10" t="inlineStr">
        <is>
          <t xml:space="preserve">Transferencias bancarias    </t>
        </is>
      </c>
      <c r="H986" s="10" t="inlineStr">
        <is>
          <t>Comprobante de transferencia de fondos propios</t>
        </is>
      </c>
      <c r="I986" s="10" t="inlineStr">
        <is>
          <t>Registro de la transferencia realizada con el banco, enviada a contabilidad para su posterior seguimiento</t>
        </is>
      </c>
      <c r="J986" s="10" t="inlineStr">
        <is>
          <t xml:space="preserve">Tesorero </t>
        </is>
      </c>
      <c r="K986" s="10" t="inlineStr">
        <is>
          <t xml:space="preserve">Tesorero </t>
        </is>
      </c>
      <c r="L986" s="10" t="inlineStr">
        <is>
          <t>UBICACIÓN DIGITAL-EQUIPO DEL CUSTODIO</t>
        </is>
      </c>
      <c r="M986" s="10" t="inlineStr">
        <is>
          <t>DISCOS DUROS, SERVIDORES, DISCOS O MEDIOS PORTÁTILES, CINTAS O MEDIOS DE VIDEO Y AUDIO, ETC.</t>
        </is>
      </c>
      <c r="N986" s="10" t="inlineStr">
        <is>
          <t>PRIMARIOS</t>
        </is>
      </c>
      <c r="O986" s="10" t="inlineStr">
        <is>
          <t>DOCUMENTOS HABILITANTES</t>
        </is>
      </c>
      <c r="P986" s="10" t="inlineStr">
        <is>
          <t>USO INTERNO(2)</t>
        </is>
      </c>
      <c r="Q986" s="10" t="inlineStr">
        <is>
          <t>MEDIA(2)</t>
        </is>
      </c>
      <c r="R986" s="10" t="inlineStr">
        <is>
          <t>MEDIA(2)</t>
        </is>
      </c>
      <c r="S986" s="10">
        <f>+(IF(P986="PUBLICA(1)",1,IF(P986="USO INTERNO(2)",2,IF(P986="RESTRINGIDO(3)",3,3))))+(IF(Q986="BAJA(1)",1,IF(Q986="MEDIA(2)",2,IF(Q986="ALTA(3)",3,3))))+(IF(R986="BAJA(1)",1,IF(R986="MEDIA(2)",2,IF(R986="ALTA(3)",3,3))))</f>
        <v/>
      </c>
      <c r="T986" s="10">
        <f>+IF(S986&lt;6,"BAJA",IF(S986&lt;8,"MEDIA","ALTA"))</f>
        <v/>
      </c>
      <c r="U986" s="10" t="inlineStr">
        <is>
          <t>-</t>
        </is>
      </c>
      <c r="V986" s="24" t="n">
        <v>45673</v>
      </c>
      <c r="W986" s="19" t="inlineStr">
        <is>
          <t>N/A</t>
        </is>
      </c>
      <c r="X986" s="10">
        <f>+IFERROR(IF(VLOOKUP(Tabla2[[#This Row],[ID]],'EVALUACION DE RIESGO'!A:A,1,FALSE)=Tabla2[[#This Row],[ID]],"SI","NO"),"NO")</f>
        <v/>
      </c>
      <c r="AD986">
        <f>IF(AND(Y986="",AA986=""),"",IF(OR(LEFT(AA986,2)="L0",LEFT(AA986,2)="L1",Y986="No Iniciado"),"CRÍTICO - Incumplimiento Normativo SEPS",IF(AND(OR(LEFT(AA986,2)="L4",LEFT(AA986,2)="L5"),AND(AC986&lt;&gt;"",AC986&lt;&gt;"N/A")),"CONFORME - Control Efectivo ISO 27001","OBSERVACIÓN - Revisar Controles")))</f>
        <v/>
      </c>
    </row>
    <row r="987">
      <c r="A987" s="99" t="inlineStr">
        <is>
          <t>65-GFI</t>
        </is>
      </c>
      <c r="B987" s="10" t="inlineStr">
        <is>
          <t>APOYO</t>
        </is>
      </c>
      <c r="C987" s="10" t="inlineStr">
        <is>
          <t>Gestión Financiera</t>
        </is>
      </c>
      <c r="D987" s="10" t="inlineStr">
        <is>
          <t>GFI</t>
        </is>
      </c>
      <c r="E987" s="10" t="inlineStr">
        <is>
          <t>Gestión de Tesorería</t>
        </is>
      </c>
      <c r="F987" s="10" t="inlineStr">
        <is>
          <t>Gestión de Fondos Disponibles</t>
        </is>
      </c>
      <c r="G987" s="10" t="inlineStr">
        <is>
          <t xml:space="preserve">Transferencias bancarias    </t>
        </is>
      </c>
      <c r="H987" s="10" t="inlineStr">
        <is>
          <t>Comprobante de transferencias cash managment / BCE</t>
        </is>
      </c>
      <c r="I987" s="10" t="inlineStr">
        <is>
          <t>Comprobante de transferencia del sistema de pagos en línea del BCE, detalla n comprobante, fecha, información de la institución ordenante, valor, cuanta, institución beneficiaria</t>
        </is>
      </c>
      <c r="J987" s="10" t="inlineStr">
        <is>
          <t xml:space="preserve">Tesorero </t>
        </is>
      </c>
      <c r="K987" s="10" t="inlineStr">
        <is>
          <t xml:space="preserve">Tesorero </t>
        </is>
      </c>
      <c r="L987" s="10" t="inlineStr">
        <is>
          <t>UBICACIÓN DIGITAL-EQUIPO DEL CUSTODIO</t>
        </is>
      </c>
      <c r="M987" s="10" t="inlineStr">
        <is>
          <t>DISCOS DUROS, SERVIDORES, DISCOS O MEDIOS PORTÁTILES, CINTAS O MEDIOS DE VIDEO Y AUDIO, ETC.</t>
        </is>
      </c>
      <c r="N987" s="10" t="inlineStr">
        <is>
          <t>PRIMARIOS</t>
        </is>
      </c>
      <c r="O987" s="10" t="inlineStr">
        <is>
          <t>DOCUMENTOS HABILITANTES</t>
        </is>
      </c>
      <c r="P987" s="10" t="inlineStr">
        <is>
          <t>USO INTERNO(2)</t>
        </is>
      </c>
      <c r="Q987" s="10" t="inlineStr">
        <is>
          <t>BAJA(1)</t>
        </is>
      </c>
      <c r="R987" s="10" t="inlineStr">
        <is>
          <t>MEDIA(2)</t>
        </is>
      </c>
      <c r="S987" s="10">
        <f>+(IF(P987="PUBLICA(1)",1,IF(P987="USO INTERNO(2)",2,IF(P987="RESTRINGIDO(3)",3,3))))+(IF(Q987="BAJA(1)",1,IF(Q987="MEDIA(2)",2,IF(Q987="ALTA(3)",3,3))))+(IF(R987="BAJA(1)",1,IF(R987="MEDIA(2)",2,IF(R987="ALTA(3)",3,3))))</f>
        <v/>
      </c>
      <c r="T987" s="10">
        <f>+IF(S987&lt;6,"BAJA",IF(S987&lt;8,"MEDIA","ALTA"))</f>
        <v/>
      </c>
      <c r="U987" s="10" t="inlineStr">
        <is>
          <t>-</t>
        </is>
      </c>
      <c r="V987" s="24" t="n">
        <v>45673</v>
      </c>
      <c r="W987" s="19" t="inlineStr">
        <is>
          <t>N/A</t>
        </is>
      </c>
      <c r="X987" s="10">
        <f>+IFERROR(IF(VLOOKUP(Tabla2[[#This Row],[ID]],'EVALUACION DE RIESGO'!A:A,1,FALSE)=Tabla2[[#This Row],[ID]],"SI","NO"),"NO")</f>
        <v/>
      </c>
      <c r="AD987">
        <f>IF(AND(Y987="",AA987=""),"",IF(OR(LEFT(AA987,2)="L0",LEFT(AA987,2)="L1",Y987="No Iniciado"),"CRÍTICO - Incumplimiento Normativo SEPS",IF(AND(OR(LEFT(AA987,2)="L4",LEFT(AA987,2)="L5"),AND(AC987&lt;&gt;"",AC987&lt;&gt;"N/A")),"CONFORME - Control Efectivo ISO 27001","OBSERVACIÓN - Revisar Controles")))</f>
        <v/>
      </c>
    </row>
    <row r="988">
      <c r="A988" s="99" t="inlineStr">
        <is>
          <t>66-GFI</t>
        </is>
      </c>
      <c r="B988" s="10" t="inlineStr">
        <is>
          <t>APOYO</t>
        </is>
      </c>
      <c r="C988" s="10" t="inlineStr">
        <is>
          <t>Gestión Financiera</t>
        </is>
      </c>
      <c r="D988" s="10" t="inlineStr">
        <is>
          <t>GFI</t>
        </is>
      </c>
      <c r="E988" s="10" t="inlineStr">
        <is>
          <t>Gestión de Tesorería</t>
        </is>
      </c>
      <c r="F988" s="10" t="inlineStr">
        <is>
          <t>Gestión de Fondos Disponibles</t>
        </is>
      </c>
      <c r="G988" s="10" t="inlineStr">
        <is>
          <t xml:space="preserve">Transferencias bancarias    </t>
        </is>
      </c>
      <c r="H988" s="10" t="inlineStr">
        <is>
          <t>Comprobante de transferencia varias</t>
        </is>
      </c>
      <c r="I988" s="10" t="inlineStr">
        <is>
          <t>Registro de la transferencias que son inusuales, realizada con el banco, enviada a contabilidad para su posterior seguimiento</t>
        </is>
      </c>
      <c r="J988" s="10" t="inlineStr">
        <is>
          <t xml:space="preserve">Tesorero </t>
        </is>
      </c>
      <c r="K988" s="10" t="inlineStr">
        <is>
          <t xml:space="preserve">Tesorero </t>
        </is>
      </c>
      <c r="L988" s="10" t="inlineStr">
        <is>
          <t>UBICACIÓN DIGITAL-EQUIPO DEL CUSTODIO</t>
        </is>
      </c>
      <c r="M988" s="10" t="inlineStr">
        <is>
          <t>DISCOS DUROS, SERVIDORES, DISCOS O MEDIOS PORTÁTILES, CINTAS O MEDIOS DE VIDEO Y AUDIO, ETC.</t>
        </is>
      </c>
      <c r="N988" s="10" t="inlineStr">
        <is>
          <t>PRIMARIOS</t>
        </is>
      </c>
      <c r="O988" s="10" t="inlineStr">
        <is>
          <t>COMUNICACIÓN INTERNA</t>
        </is>
      </c>
      <c r="P988" s="10" t="inlineStr">
        <is>
          <t>USO INTERNO(2)</t>
        </is>
      </c>
      <c r="Q988" s="10" t="inlineStr">
        <is>
          <t>BAJA(1)</t>
        </is>
      </c>
      <c r="R988" s="10" t="inlineStr">
        <is>
          <t>MEDIA(2)</t>
        </is>
      </c>
      <c r="S988" s="10">
        <f>+(IF(P988="PUBLICA(1)",1,IF(P988="USO INTERNO(2)",2,IF(P988="RESTRINGIDO(3)",3,3))))+(IF(Q988="BAJA(1)",1,IF(Q988="MEDIA(2)",2,IF(Q988="ALTA(3)",3,3))))+(IF(R988="BAJA(1)",1,IF(R988="MEDIA(2)",2,IF(R988="ALTA(3)",3,3))))</f>
        <v/>
      </c>
      <c r="T988" s="10">
        <f>+IF(S988&lt;6,"BAJA",IF(S988&lt;8,"MEDIA","ALTA"))</f>
        <v/>
      </c>
      <c r="U988" s="10" t="inlineStr">
        <is>
          <t>-</t>
        </is>
      </c>
      <c r="V988" s="24" t="n">
        <v>45673</v>
      </c>
      <c r="W988" s="19" t="inlineStr">
        <is>
          <t>N/A</t>
        </is>
      </c>
      <c r="X988" s="10">
        <f>+IFERROR(IF(VLOOKUP(Tabla2[[#This Row],[ID]],'EVALUACION DE RIESGO'!A:A,1,FALSE)=Tabla2[[#This Row],[ID]],"SI","NO"),"NO")</f>
        <v/>
      </c>
      <c r="AD988">
        <f>IF(AND(Y988="",AA988=""),"",IF(OR(LEFT(AA988,2)="L0",LEFT(AA988,2)="L1",Y988="No Iniciado"),"CRÍTICO - Incumplimiento Normativo SEPS",IF(AND(OR(LEFT(AA988,2)="L4",LEFT(AA988,2)="L5"),AND(AC988&lt;&gt;"",AC988&lt;&gt;"N/A")),"CONFORME - Control Efectivo ISO 27001","OBSERVACIÓN - Revisar Controles")))</f>
        <v/>
      </c>
    </row>
    <row r="989">
      <c r="A989" s="99" t="inlineStr">
        <is>
          <t>67-GFI</t>
        </is>
      </c>
      <c r="B989" s="10" t="inlineStr">
        <is>
          <t>APOYO</t>
        </is>
      </c>
      <c r="C989" s="10" t="inlineStr">
        <is>
          <t>Gestión Financiera</t>
        </is>
      </c>
      <c r="D989" s="10" t="inlineStr">
        <is>
          <t>GFI</t>
        </is>
      </c>
      <c r="E989" s="10" t="inlineStr">
        <is>
          <t>Gestión de Tesorería</t>
        </is>
      </c>
      <c r="F989" s="10" t="inlineStr">
        <is>
          <t>Gestión de Fondos Disponibles</t>
        </is>
      </c>
      <c r="G989" s="10" t="inlineStr">
        <is>
          <t xml:space="preserve">Flujo de caja   </t>
        </is>
      </c>
      <c r="H989" s="10" t="inlineStr">
        <is>
          <t>Archivo de Flujo de caja</t>
        </is>
      </c>
      <c r="I989" s="10" t="inlineStr">
        <is>
          <t>Archivo digital de FIT que contiene el flujo de caja proyectado, ingreso egresos y saldo final de caja</t>
        </is>
      </c>
      <c r="J989" s="10" t="inlineStr">
        <is>
          <t xml:space="preserve">Tesorero </t>
        </is>
      </c>
      <c r="K989" s="10" t="inlineStr">
        <is>
          <t xml:space="preserve">Tesorero </t>
        </is>
      </c>
      <c r="L989" s="10" t="inlineStr">
        <is>
          <t>UBICACIÓN DIGITAL-EQUIPO DEL CUSTODIO</t>
        </is>
      </c>
      <c r="M989" s="10" t="inlineStr">
        <is>
          <t>DISCOS DUROS, SERVIDORES, DISCOS O MEDIOS PORTÁTILES, CINTAS O MEDIOS DE VIDEO Y AUDIO, ETC.</t>
        </is>
      </c>
      <c r="N989" s="10" t="inlineStr">
        <is>
          <t>PRIMARIOS</t>
        </is>
      </c>
      <c r="O989" s="10" t="inlineStr">
        <is>
          <t>DOCUMENTOS TÉCNICOS</t>
        </is>
      </c>
      <c r="P989" s="10" t="inlineStr">
        <is>
          <t>USO INTERNO(2)</t>
        </is>
      </c>
      <c r="Q989" s="10" t="inlineStr">
        <is>
          <t>BAJA(1)</t>
        </is>
      </c>
      <c r="R989" s="10" t="inlineStr">
        <is>
          <t>MEDIA(2)</t>
        </is>
      </c>
      <c r="S989" s="10">
        <f>+(IF(P989="PUBLICA(1)",1,IF(P989="USO INTERNO(2)",2,IF(P989="RESTRINGIDO(3)",3,3))))+(IF(Q989="BAJA(1)",1,IF(Q989="MEDIA(2)",2,IF(Q989="ALTA(3)",3,3))))+(IF(R989="BAJA(1)",1,IF(R989="MEDIA(2)",2,IF(R989="ALTA(3)",3,3))))</f>
        <v/>
      </c>
      <c r="T989" s="10">
        <f>+IF(S989&lt;6,"BAJA",IF(S989&lt;8,"MEDIA","ALTA"))</f>
        <v/>
      </c>
      <c r="U989" s="10" t="inlineStr">
        <is>
          <t>-</t>
        </is>
      </c>
      <c r="V989" s="24" t="n">
        <v>45673</v>
      </c>
      <c r="W989" s="19" t="inlineStr">
        <is>
          <t>N/A</t>
        </is>
      </c>
      <c r="X989" s="10">
        <f>+IFERROR(IF(VLOOKUP(Tabla2[[#This Row],[ID]],'EVALUACION DE RIESGO'!A:A,1,FALSE)=Tabla2[[#This Row],[ID]],"SI","NO"),"NO")</f>
        <v/>
      </c>
      <c r="AD989">
        <f>IF(AND(Y989="",AA989=""),"",IF(OR(LEFT(AA989,2)="L0",LEFT(AA989,2)="L1",Y989="No Iniciado"),"CRÍTICO - Incumplimiento Normativo SEPS",IF(AND(OR(LEFT(AA989,2)="L4",LEFT(AA989,2)="L5"),AND(AC989&lt;&gt;"",AC989&lt;&gt;"N/A")),"CONFORME - Control Efectivo ISO 27001","OBSERVACIÓN - Revisar Controles")))</f>
        <v/>
      </c>
    </row>
    <row r="990">
      <c r="A990" s="99" t="inlineStr">
        <is>
          <t>68-GFI</t>
        </is>
      </c>
      <c r="B990" s="10" t="inlineStr">
        <is>
          <t>APOYO</t>
        </is>
      </c>
      <c r="C990" s="10" t="inlineStr">
        <is>
          <t>Gestión Financiera</t>
        </is>
      </c>
      <c r="D990" s="10" t="inlineStr">
        <is>
          <t>GFI</t>
        </is>
      </c>
      <c r="E990" s="10" t="inlineStr">
        <is>
          <t>Gestión de Tesorería</t>
        </is>
      </c>
      <c r="F990" s="10" t="inlineStr">
        <is>
          <t>Gestión de Fondos Disponibles</t>
        </is>
      </c>
      <c r="G990" s="10" t="inlineStr">
        <is>
          <t xml:space="preserve">Fondeo de bóveda y depósitos de excedentes </t>
        </is>
      </c>
      <c r="H990" s="10" t="inlineStr">
        <is>
          <t>Oficio para requerir fondos al banco</t>
        </is>
      </c>
      <c r="I990" s="10" t="inlineStr">
        <is>
          <t>Oficio a la institución financiera para requerir fondos al banco</t>
        </is>
      </c>
      <c r="J990" s="10" t="inlineStr">
        <is>
          <t xml:space="preserve">Tesorero </t>
        </is>
      </c>
      <c r="K990" s="10" t="inlineStr">
        <is>
          <t xml:space="preserve">Tesorero </t>
        </is>
      </c>
      <c r="L990" s="10" t="inlineStr">
        <is>
          <t>UBICACIÓN DIGITAL-EQUIPO DEL CUSTODIO</t>
        </is>
      </c>
      <c r="M990" s="10" t="inlineStr">
        <is>
          <t>DISCOS DUROS, SERVIDORES, DISCOS O MEDIOS PORTÁTILES, CINTAS O MEDIOS DE VIDEO Y AUDIO, ETC.</t>
        </is>
      </c>
      <c r="N990" s="10" t="inlineStr">
        <is>
          <t>PRIMARIOS</t>
        </is>
      </c>
      <c r="O990" s="10" t="inlineStr">
        <is>
          <t>DOCUMENTOS HABILITANTES</t>
        </is>
      </c>
      <c r="P990" s="10" t="inlineStr">
        <is>
          <t>USO INTERNO(2)</t>
        </is>
      </c>
      <c r="Q990" s="10" t="inlineStr">
        <is>
          <t>MEDIA(2)</t>
        </is>
      </c>
      <c r="R990" s="10" t="inlineStr">
        <is>
          <t>MEDIA(2)</t>
        </is>
      </c>
      <c r="S990" s="10">
        <f>+(IF(P990="PUBLICA(1)",1,IF(P990="USO INTERNO(2)",2,IF(P990="RESTRINGIDO(3)",3,3))))+(IF(Q990="BAJA(1)",1,IF(Q990="MEDIA(2)",2,IF(Q990="ALTA(3)",3,3))))+(IF(R990="BAJA(1)",1,IF(R990="MEDIA(2)",2,IF(R990="ALTA(3)",3,3))))</f>
        <v/>
      </c>
      <c r="T990" s="10">
        <f>+IF(S990&lt;6,"BAJA",IF(S990&lt;8,"MEDIA","ALTA"))</f>
        <v/>
      </c>
      <c r="U990" s="10" t="inlineStr">
        <is>
          <t>-</t>
        </is>
      </c>
      <c r="V990" s="24" t="n">
        <v>45673</v>
      </c>
      <c r="W990" s="19" t="inlineStr">
        <is>
          <t>N/A</t>
        </is>
      </c>
      <c r="X990" s="10">
        <f>+IFERROR(IF(VLOOKUP(Tabla2[[#This Row],[ID]],'EVALUACION DE RIESGO'!A:A,1,FALSE)=Tabla2[[#This Row],[ID]],"SI","NO"),"NO")</f>
        <v/>
      </c>
      <c r="AD990">
        <f>IF(AND(Y990="",AA990=""),"",IF(OR(LEFT(AA990,2)="L0",LEFT(AA990,2)="L1",Y990="No Iniciado"),"CRÍTICO - Incumplimiento Normativo SEPS",IF(AND(OR(LEFT(AA990,2)="L4",LEFT(AA990,2)="L5"),AND(AC990&lt;&gt;"",AC990&lt;&gt;"N/A")),"CONFORME - Control Efectivo ISO 27001","OBSERVACIÓN - Revisar Controles")))</f>
        <v/>
      </c>
    </row>
    <row r="991">
      <c r="A991" s="99" t="inlineStr">
        <is>
          <t>69-GFI</t>
        </is>
      </c>
      <c r="B991" s="10" t="inlineStr">
        <is>
          <t>APOYO</t>
        </is>
      </c>
      <c r="C991" s="10" t="inlineStr">
        <is>
          <t>Gestión Financiera</t>
        </is>
      </c>
      <c r="D991" s="10" t="inlineStr">
        <is>
          <t>GFI</t>
        </is>
      </c>
      <c r="E991" s="10" t="inlineStr">
        <is>
          <t>Gestión de Tesorería</t>
        </is>
      </c>
      <c r="F991" s="10" t="inlineStr">
        <is>
          <t>Gestión de Fondos Disponibles</t>
        </is>
      </c>
      <c r="G991" s="10" t="inlineStr">
        <is>
          <t xml:space="preserve">Fondeo de bóveda y depósitos de excedentes </t>
        </is>
      </c>
      <c r="H991" s="10" t="inlineStr">
        <is>
          <t>Solicitud de fondeo y depósitos de excedente</t>
        </is>
      </c>
      <c r="I991" s="10" t="inlineStr">
        <is>
          <t>Documento Solicitud de la cantidad la cual va ser fondeada a la bóveda</t>
        </is>
      </c>
      <c r="J991" s="10" t="inlineStr">
        <is>
          <t xml:space="preserve">Tesorero </t>
        </is>
      </c>
      <c r="K991" s="10" t="inlineStr">
        <is>
          <t xml:space="preserve">Tesorero </t>
        </is>
      </c>
      <c r="L991" s="10" t="inlineStr">
        <is>
          <t>UBICACIÓN DIGITAL-EQUIPO DEL CUSTODIO</t>
        </is>
      </c>
      <c r="M991" s="10" t="inlineStr">
        <is>
          <t>DISCOS DUROS, SERVIDORES, DISCOS O MEDIOS PORTÁTILES, CINTAS O MEDIOS DE VIDEO Y AUDIO, ETC.</t>
        </is>
      </c>
      <c r="N991" s="10" t="inlineStr">
        <is>
          <t>PRIMARIOS</t>
        </is>
      </c>
      <c r="O991" s="10" t="inlineStr">
        <is>
          <t>COMUNICACIÓN INTERNA</t>
        </is>
      </c>
      <c r="P991" s="10" t="inlineStr">
        <is>
          <t>USO INTERNO(2)</t>
        </is>
      </c>
      <c r="Q991" s="10" t="inlineStr">
        <is>
          <t>MEDIA(2)</t>
        </is>
      </c>
      <c r="R991" s="10" t="inlineStr">
        <is>
          <t>MEDIA(2)</t>
        </is>
      </c>
      <c r="S991" s="10">
        <f>+(IF(P991="PUBLICA(1)",1,IF(P991="USO INTERNO(2)",2,IF(P991="RESTRINGIDO(3)",3,3))))+(IF(Q991="BAJA(1)",1,IF(Q991="MEDIA(2)",2,IF(Q991="ALTA(3)",3,3))))+(IF(R991="BAJA(1)",1,IF(R991="MEDIA(2)",2,IF(R991="ALTA(3)",3,3))))</f>
        <v/>
      </c>
      <c r="T991" s="10">
        <f>+IF(S991&lt;6,"BAJA",IF(S991&lt;8,"MEDIA","ALTA"))</f>
        <v/>
      </c>
      <c r="U991" s="10" t="inlineStr">
        <is>
          <t>-</t>
        </is>
      </c>
      <c r="V991" s="24" t="n">
        <v>45673</v>
      </c>
      <c r="W991" s="19" t="inlineStr">
        <is>
          <t>N/A</t>
        </is>
      </c>
      <c r="X991" s="10">
        <f>+IFERROR(IF(VLOOKUP(Tabla2[[#This Row],[ID]],'EVALUACION DE RIESGO'!A:A,1,FALSE)=Tabla2[[#This Row],[ID]],"SI","NO"),"NO")</f>
        <v/>
      </c>
      <c r="AD991">
        <f>IF(AND(Y991="",AA991=""),"",IF(OR(LEFT(AA991,2)="L0",LEFT(AA991,2)="L1",Y991="No Iniciado"),"CRÍTICO - Incumplimiento Normativo SEPS",IF(AND(OR(LEFT(AA991,2)="L4",LEFT(AA991,2)="L5"),AND(AC991&lt;&gt;"",AC991&lt;&gt;"N/A")),"CONFORME - Control Efectivo ISO 27001","OBSERVACIÓN - Revisar Controles")))</f>
        <v/>
      </c>
    </row>
    <row r="992">
      <c r="A992" s="99" t="inlineStr">
        <is>
          <t>70-GFI</t>
        </is>
      </c>
      <c r="B992" s="10" t="inlineStr">
        <is>
          <t>APOYO</t>
        </is>
      </c>
      <c r="C992" s="10" t="inlineStr">
        <is>
          <t>Gestión Financiera</t>
        </is>
      </c>
      <c r="D992" s="10" t="inlineStr">
        <is>
          <t>GFI</t>
        </is>
      </c>
      <c r="E992" s="10" t="inlineStr">
        <is>
          <t>Gestión de Tesorería</t>
        </is>
      </c>
      <c r="F992" s="10" t="inlineStr">
        <is>
          <t>Gestión de Fondos Disponibles</t>
        </is>
      </c>
      <c r="G992" s="10" t="inlineStr">
        <is>
          <t xml:space="preserve">Fondeo de bóveda y depósitos de excedentes </t>
        </is>
      </c>
      <c r="H992" s="10" t="inlineStr">
        <is>
          <t>Papeleta de depósito/Guía de remisión</t>
        </is>
      </c>
      <c r="I992" s="10" t="inlineStr">
        <is>
          <t>Documentos de respaldo de la entrega de efectivo a la empresa transportadora de valores</t>
        </is>
      </c>
      <c r="J992" s="10" t="inlineStr">
        <is>
          <t xml:space="preserve">Tesorero </t>
        </is>
      </c>
      <c r="K992" s="10" t="inlineStr">
        <is>
          <t>Supervisor Operativo</t>
        </is>
      </c>
      <c r="L992" s="10" t="inlineStr">
        <is>
          <t>DOCUMENTOS FISICOS-ARCHIVOS DE LA OFICINA</t>
        </is>
      </c>
      <c r="M992" s="10" t="inlineStr">
        <is>
          <t>DOCUMENTO DE ARCHIVO-FÍSICO</t>
        </is>
      </c>
      <c r="N992" s="10" t="inlineStr">
        <is>
          <t>PRIMARIOS</t>
        </is>
      </c>
      <c r="O992" s="10" t="inlineStr">
        <is>
          <t>DOCUMENTOS HABILITANTES</t>
        </is>
      </c>
      <c r="P992" s="10" t="inlineStr">
        <is>
          <t>USO INTERNO(2)</t>
        </is>
      </c>
      <c r="Q992" s="10" t="inlineStr">
        <is>
          <t>MEDIA(2)</t>
        </is>
      </c>
      <c r="R992" s="10" t="inlineStr">
        <is>
          <t>BAJA(1)</t>
        </is>
      </c>
      <c r="S992" s="10">
        <f>+(IF(P992="PUBLICA(1)",1,IF(P992="USO INTERNO(2)",2,IF(P992="RESTRINGIDO(3)",3,3))))+(IF(Q992="BAJA(1)",1,IF(Q992="MEDIA(2)",2,IF(Q992="ALTA(3)",3,3))))+(IF(R992="BAJA(1)",1,IF(R992="MEDIA(2)",2,IF(R992="ALTA(3)",3,3))))</f>
        <v/>
      </c>
      <c r="T992" s="10">
        <f>+IF(S992&lt;6,"BAJA",IF(S992&lt;8,"MEDIA","ALTA"))</f>
        <v/>
      </c>
      <c r="U992" s="10" t="inlineStr">
        <is>
          <t>-</t>
        </is>
      </c>
      <c r="V992" s="24" t="n">
        <v>45673</v>
      </c>
      <c r="W992" s="19" t="inlineStr">
        <is>
          <t>N/A</t>
        </is>
      </c>
      <c r="X992" s="10">
        <f>+IFERROR(IF(VLOOKUP(Tabla2[[#This Row],[ID]],'EVALUACION DE RIESGO'!A:A,1,FALSE)=Tabla2[[#This Row],[ID]],"SI","NO"),"NO")</f>
        <v/>
      </c>
      <c r="AD992">
        <f>IF(AND(Y992="",AA992=""),"",IF(OR(LEFT(AA992,2)="L0",LEFT(AA992,2)="L1",Y992="No Iniciado"),"CRÍTICO - Incumplimiento Normativo SEPS",IF(AND(OR(LEFT(AA992,2)="L4",LEFT(AA992,2)="L5"),AND(AC992&lt;&gt;"",AC992&lt;&gt;"N/A")),"CONFORME - Control Efectivo ISO 27001","OBSERVACIÓN - Revisar Controles")))</f>
        <v/>
      </c>
    </row>
    <row r="993">
      <c r="A993" s="99" t="inlineStr">
        <is>
          <t>71-GFI</t>
        </is>
      </c>
      <c r="B993" s="10" t="inlineStr">
        <is>
          <t>APOYO</t>
        </is>
      </c>
      <c r="C993" s="10" t="inlineStr">
        <is>
          <t>Gestión Financiera</t>
        </is>
      </c>
      <c r="D993" s="10" t="inlineStr">
        <is>
          <t>GFI</t>
        </is>
      </c>
      <c r="E993" s="10" t="inlineStr">
        <is>
          <t>Gestión de Tesorería</t>
        </is>
      </c>
      <c r="F993" s="10" t="inlineStr">
        <is>
          <t>Gestión de Fondos Disponibles</t>
        </is>
      </c>
      <c r="G993" s="10" t="inlineStr">
        <is>
          <t xml:space="preserve">Fondeo de bóveda y depósitos de excedentes </t>
        </is>
      </c>
      <c r="H993" s="10" t="inlineStr">
        <is>
          <t>Factura del servicio de transporte de valores</t>
        </is>
      </c>
      <c r="I993" s="10" t="inlineStr">
        <is>
          <t>Factura del servicio de trasporte por movilización de los recursos</t>
        </is>
      </c>
      <c r="J993" s="10" t="inlineStr">
        <is>
          <t xml:space="preserve">Tesorero </t>
        </is>
      </c>
      <c r="K993" s="10" t="inlineStr">
        <is>
          <t>Contador General</t>
        </is>
      </c>
      <c r="L993" s="10" t="inlineStr">
        <is>
          <t>DOCUMENTOS FISICOS-ARCHIVOS DE LA OFICINA</t>
        </is>
      </c>
      <c r="M993" s="10" t="inlineStr">
        <is>
          <t>DOCUMENTO DE ARCHIVO-FÍSICO</t>
        </is>
      </c>
      <c r="N993" s="10" t="inlineStr">
        <is>
          <t>PRIMARIOS</t>
        </is>
      </c>
      <c r="O993" s="10" t="inlineStr">
        <is>
          <t>DOCUMENTOS HABILITANTES</t>
        </is>
      </c>
      <c r="P993" s="10" t="inlineStr">
        <is>
          <t>RESTRINGIDO(3)</t>
        </is>
      </c>
      <c r="Q993" s="10" t="inlineStr">
        <is>
          <t>MEDIA(2)</t>
        </is>
      </c>
      <c r="R993" s="10" t="inlineStr">
        <is>
          <t>MEDIA(2)</t>
        </is>
      </c>
      <c r="S993" s="10">
        <f>+(IF(P993="PUBLICA(1)",1,IF(P993="USO INTERNO(2)",2,IF(P993="RESTRINGIDO(3)",3,3))))+(IF(Q993="BAJA(1)",1,IF(Q993="MEDIA(2)",2,IF(Q993="ALTA(3)",3,3))))+(IF(R993="BAJA(1)",1,IF(R993="MEDIA(2)",2,IF(R993="ALTA(3)",3,3))))</f>
        <v/>
      </c>
      <c r="T993" s="10">
        <f>+IF(S993&lt;6,"BAJA",IF(S993&lt;8,"MEDIA","ALTA"))</f>
        <v/>
      </c>
      <c r="U993" s="10" t="inlineStr">
        <is>
          <t>-</t>
        </is>
      </c>
      <c r="V993" s="24" t="n">
        <v>45673</v>
      </c>
      <c r="W993" s="19" t="inlineStr">
        <is>
          <t>N/A</t>
        </is>
      </c>
      <c r="X993" s="10">
        <f>+IFERROR(IF(VLOOKUP(Tabla2[[#This Row],[ID]],'EVALUACION DE RIESGO'!A:A,1,FALSE)=Tabla2[[#This Row],[ID]],"SI","NO"),"NO")</f>
        <v/>
      </c>
      <c r="AD993">
        <f>IF(AND(Y993="",AA993=""),"",IF(OR(LEFT(AA993,2)="L0",LEFT(AA993,2)="L1",Y993="No Iniciado"),"CRÍTICO - Incumplimiento Normativo SEPS",IF(AND(OR(LEFT(AA993,2)="L4",LEFT(AA993,2)="L5"),AND(AC993&lt;&gt;"",AC993&lt;&gt;"N/A")),"CONFORME - Control Efectivo ISO 27001","OBSERVACIÓN - Revisar Controles")))</f>
        <v/>
      </c>
    </row>
    <row r="994">
      <c r="A994" s="99" t="inlineStr">
        <is>
          <t>72-GFI</t>
        </is>
      </c>
      <c r="B994" s="10" t="inlineStr">
        <is>
          <t>APOYO</t>
        </is>
      </c>
      <c r="C994" s="10" t="inlineStr">
        <is>
          <t>Gestión Financiera</t>
        </is>
      </c>
      <c r="D994" s="10" t="inlineStr">
        <is>
          <t>GFI</t>
        </is>
      </c>
      <c r="E994" s="10" t="inlineStr">
        <is>
          <t>Gestión de Tesorería</t>
        </is>
      </c>
      <c r="F994" s="10" t="inlineStr">
        <is>
          <t>Gestión de Fondos Disponibles</t>
        </is>
      </c>
      <c r="G994" s="10" t="inlineStr">
        <is>
          <t xml:space="preserve">Fondeo de bóveda y depósitos de excedentes </t>
        </is>
      </c>
      <c r="H994" s="10" t="inlineStr">
        <is>
          <t>Reporte de cuadre de transporte de valores</t>
        </is>
      </c>
      <c r="I994" s="10" t="inlineStr">
        <is>
          <t>Reporte de movimientos entre bóveda y bancos</t>
        </is>
      </c>
      <c r="J994" s="10" t="inlineStr">
        <is>
          <t xml:space="preserve">Tesorero </t>
        </is>
      </c>
      <c r="K994" s="10" t="inlineStr">
        <is>
          <t xml:space="preserve">Tesorero </t>
        </is>
      </c>
      <c r="L994" s="10" t="inlineStr">
        <is>
          <t>UBICACIÓN DIGITAL-EQUIPO DEL CUSTODIO</t>
        </is>
      </c>
      <c r="M994" s="10" t="inlineStr">
        <is>
          <t>DISCOS DUROS, SERVIDORES, DISCOS O MEDIOS PORTÁTILES, CINTAS O MEDIOS DE VIDEO Y AUDIO, ETC.</t>
        </is>
      </c>
      <c r="N994" s="10" t="inlineStr">
        <is>
          <t>PRIMARIOS</t>
        </is>
      </c>
      <c r="O994" s="10" t="inlineStr">
        <is>
          <t>DOCUMENTOS TÉCNICOS</t>
        </is>
      </c>
      <c r="P994" s="10" t="inlineStr">
        <is>
          <t>USO INTERNO(2)</t>
        </is>
      </c>
      <c r="Q994" s="10" t="inlineStr">
        <is>
          <t>BAJA(1)</t>
        </is>
      </c>
      <c r="R994" s="10" t="inlineStr">
        <is>
          <t>BAJA(1)</t>
        </is>
      </c>
      <c r="S994" s="10">
        <f>+(IF(P994="PUBLICA(1)",1,IF(P994="USO INTERNO(2)",2,IF(P994="RESTRINGIDO(3)",3,3))))+(IF(Q994="BAJA(1)",1,IF(Q994="MEDIA(2)",2,IF(Q994="ALTA(3)",3,3))))+(IF(R994="BAJA(1)",1,IF(R994="MEDIA(2)",2,IF(R994="ALTA(3)",3,3))))</f>
        <v/>
      </c>
      <c r="T994" s="10">
        <f>+IF(S994&lt;6,"BAJA",IF(S994&lt;8,"MEDIA","ALTA"))</f>
        <v/>
      </c>
      <c r="U994" s="10" t="inlineStr">
        <is>
          <t>-</t>
        </is>
      </c>
      <c r="V994" s="24" t="n">
        <v>45673</v>
      </c>
      <c r="W994" s="19" t="inlineStr">
        <is>
          <t>N/A</t>
        </is>
      </c>
      <c r="X994" s="10">
        <f>+IFERROR(IF(VLOOKUP(Tabla2[[#This Row],[ID]],'EVALUACION DE RIESGO'!A:A,1,FALSE)=Tabla2[[#This Row],[ID]],"SI","NO"),"NO")</f>
        <v/>
      </c>
      <c r="AD994">
        <f>IF(AND(Y994="",AA994=""),"",IF(OR(LEFT(AA994,2)="L0",LEFT(AA994,2)="L1",Y994="No Iniciado"),"CRÍTICO - Incumplimiento Normativo SEPS",IF(AND(OR(LEFT(AA994,2)="L4",LEFT(AA994,2)="L5"),AND(AC994&lt;&gt;"",AC994&lt;&gt;"N/A")),"CONFORME - Control Efectivo ISO 27001","OBSERVACIÓN - Revisar Controles")))</f>
        <v/>
      </c>
    </row>
    <row r="995">
      <c r="A995" s="99" t="inlineStr">
        <is>
          <t>73-GFI</t>
        </is>
      </c>
      <c r="B995" s="10" t="inlineStr">
        <is>
          <t>APOYO</t>
        </is>
      </c>
      <c r="C995" s="10" t="inlineStr">
        <is>
          <t>Gestión Financiera</t>
        </is>
      </c>
      <c r="D995" s="10" t="inlineStr">
        <is>
          <t>GFI</t>
        </is>
      </c>
      <c r="E995" s="10" t="inlineStr">
        <is>
          <t>Gestión de Tesorería</t>
        </is>
      </c>
      <c r="F995" s="10" t="inlineStr">
        <is>
          <t>Procedimientos  complementarios de Tesorería</t>
        </is>
      </c>
      <c r="G995" s="10" t="inlineStr">
        <is>
          <t xml:space="preserve">Custodia de documentos de valor </t>
        </is>
      </c>
      <c r="H995" s="10" t="inlineStr">
        <is>
          <t>Reporte de contratos vencidos</t>
        </is>
      </c>
      <c r="I995" s="10" t="inlineStr">
        <is>
          <t>Reporte interno de ingresos y salidas de custodia de contratos</t>
        </is>
      </c>
      <c r="J995" s="10" t="inlineStr">
        <is>
          <t xml:space="preserve">Tesorero </t>
        </is>
      </c>
      <c r="K995" s="10" t="inlineStr">
        <is>
          <t xml:space="preserve">Tesorero </t>
        </is>
      </c>
      <c r="L995" s="10" t="inlineStr">
        <is>
          <t>UBICACIÓN DIGITAL-EQUIPO DEL CUSTODIO</t>
        </is>
      </c>
      <c r="M995" s="10" t="inlineStr">
        <is>
          <t>DISCOS DUROS, SERVIDORES, DISCOS O MEDIOS PORTÁTILES, CINTAS O MEDIOS DE VIDEO Y AUDIO, ETC.</t>
        </is>
      </c>
      <c r="N995" s="10" t="inlineStr">
        <is>
          <t>PRIMARIOS</t>
        </is>
      </c>
      <c r="O995" s="10" t="inlineStr">
        <is>
          <t>DOCUMENTOS TÉCNICOS</t>
        </is>
      </c>
      <c r="P995" s="10" t="inlineStr">
        <is>
          <t>RESTRINGIDO(3)</t>
        </is>
      </c>
      <c r="Q995" s="10" t="inlineStr">
        <is>
          <t>MEDIA(2)</t>
        </is>
      </c>
      <c r="R995" s="10" t="inlineStr">
        <is>
          <t>BAJA(1)</t>
        </is>
      </c>
      <c r="S995" s="10">
        <f>+(IF(P995="PUBLICA(1)",1,IF(P995="USO INTERNO(2)",2,IF(P995="RESTRINGIDO(3)",3,3))))+(IF(Q995="BAJA(1)",1,IF(Q995="MEDIA(2)",2,IF(Q995="ALTA(3)",3,3))))+(IF(R995="BAJA(1)",1,IF(R995="MEDIA(2)",2,IF(R995="ALTA(3)",3,3))))</f>
        <v/>
      </c>
      <c r="T995" s="10">
        <f>+IF(S995&lt;6,"BAJA",IF(S995&lt;8,"MEDIA","ALTA"))</f>
        <v/>
      </c>
      <c r="U995" s="10" t="inlineStr">
        <is>
          <t>-</t>
        </is>
      </c>
      <c r="V995" s="24" t="n">
        <v>45673</v>
      </c>
      <c r="W995" s="19" t="inlineStr">
        <is>
          <t>N/A</t>
        </is>
      </c>
      <c r="X995" s="10">
        <f>+IFERROR(IF(VLOOKUP(Tabla2[[#This Row],[ID]],'EVALUACION DE RIESGO'!A:A,1,FALSE)=Tabla2[[#This Row],[ID]],"SI","NO"),"NO")</f>
        <v/>
      </c>
      <c r="AD995">
        <f>IF(AND(Y995="",AA995=""),"",IF(OR(LEFT(AA995,2)="L0",LEFT(AA995,2)="L1",Y995="No Iniciado"),"CRÍTICO - Incumplimiento Normativo SEPS",IF(AND(OR(LEFT(AA995,2)="L4",LEFT(AA995,2)="L5"),AND(AC995&lt;&gt;"",AC995&lt;&gt;"N/A")),"CONFORME - Control Efectivo ISO 27001","OBSERVACIÓN - Revisar Controles")))</f>
        <v/>
      </c>
    </row>
    <row r="996">
      <c r="A996" s="99" t="inlineStr">
        <is>
          <t>74-GFI</t>
        </is>
      </c>
      <c r="B996" s="10" t="inlineStr">
        <is>
          <t>APOYO</t>
        </is>
      </c>
      <c r="C996" s="10" t="inlineStr">
        <is>
          <t>Gestión Financiera</t>
        </is>
      </c>
      <c r="D996" s="10" t="inlineStr">
        <is>
          <t>GFI</t>
        </is>
      </c>
      <c r="E996" s="10" t="inlineStr">
        <is>
          <t>Gestión de Tesorería</t>
        </is>
      </c>
      <c r="F996" s="10" t="inlineStr">
        <is>
          <t>Procedimientos  complementarios de Tesorería</t>
        </is>
      </c>
      <c r="G996" s="10" t="inlineStr">
        <is>
          <t xml:space="preserve">Custodia de documentos de valor </t>
        </is>
      </c>
      <c r="H996" s="10" t="inlineStr">
        <is>
          <t>Registro de garantías recibidas</t>
        </is>
      </c>
      <c r="I996" s="10" t="inlineStr">
        <is>
          <t>Oficio con el detalle de las garantías que se reciben, pueden ser pólizas, o letras de cambio</t>
        </is>
      </c>
      <c r="J996" s="10" t="inlineStr">
        <is>
          <t xml:space="preserve">Tesorero </t>
        </is>
      </c>
      <c r="K996" s="10" t="inlineStr">
        <is>
          <t xml:space="preserve">Tesorero </t>
        </is>
      </c>
      <c r="L996" s="10" t="inlineStr">
        <is>
          <t>UBICACIÓN DIGITAL-EQUIPO DEL CUSTODIO</t>
        </is>
      </c>
      <c r="M996" s="10" t="inlineStr">
        <is>
          <t>DISCOS DUROS, SERVIDORES, DISCOS O MEDIOS PORTÁTILES, CINTAS O MEDIOS DE VIDEO Y AUDIO, ETC.</t>
        </is>
      </c>
      <c r="N996" s="10" t="inlineStr">
        <is>
          <t>PRIMARIOS</t>
        </is>
      </c>
      <c r="O996" s="10" t="inlineStr">
        <is>
          <t>DOCUMENTOS TÉCNICOS</t>
        </is>
      </c>
      <c r="P996" s="10" t="inlineStr">
        <is>
          <t>USO INTERNO(2)</t>
        </is>
      </c>
      <c r="Q996" s="10" t="inlineStr">
        <is>
          <t>MEDIA(2)</t>
        </is>
      </c>
      <c r="R996" s="10" t="inlineStr">
        <is>
          <t>MEDIA(2)</t>
        </is>
      </c>
      <c r="S996" s="10">
        <f>+(IF(P996="PUBLICA(1)",1,IF(P996="USO INTERNO(2)",2,IF(P996="RESTRINGIDO(3)",3,3))))+(IF(Q996="BAJA(1)",1,IF(Q996="MEDIA(2)",2,IF(Q996="ALTA(3)",3,3))))+(IF(R996="BAJA(1)",1,IF(R996="MEDIA(2)",2,IF(R996="ALTA(3)",3,3))))</f>
        <v/>
      </c>
      <c r="T996" s="10">
        <f>+IF(S996&lt;6,"BAJA",IF(S996&lt;8,"MEDIA","ALTA"))</f>
        <v/>
      </c>
      <c r="U996" s="10" t="inlineStr">
        <is>
          <t>-</t>
        </is>
      </c>
      <c r="V996" s="24" t="n">
        <v>45673</v>
      </c>
      <c r="W996" s="19" t="inlineStr">
        <is>
          <t>N/A</t>
        </is>
      </c>
      <c r="X996" s="10">
        <f>+IFERROR(IF(VLOOKUP(Tabla2[[#This Row],[ID]],'EVALUACION DE RIESGO'!A:A,1,FALSE)=Tabla2[[#This Row],[ID]],"SI","NO"),"NO")</f>
        <v/>
      </c>
      <c r="AD996">
        <f>IF(AND(Y996="",AA996=""),"",IF(OR(LEFT(AA996,2)="L0",LEFT(AA996,2)="L1",Y996="No Iniciado"),"CRÍTICO - Incumplimiento Normativo SEPS",IF(AND(OR(LEFT(AA996,2)="L4",LEFT(AA996,2)="L5"),AND(AC996&lt;&gt;"",AC996&lt;&gt;"N/A")),"CONFORME - Control Efectivo ISO 27001","OBSERVACIÓN - Revisar Controles")))</f>
        <v/>
      </c>
    </row>
    <row r="997">
      <c r="A997" s="99" t="inlineStr">
        <is>
          <t>75-GFI</t>
        </is>
      </c>
      <c r="B997" s="10" t="inlineStr">
        <is>
          <t>APOYO</t>
        </is>
      </c>
      <c r="C997" s="10" t="inlineStr">
        <is>
          <t>Gestión Financiera</t>
        </is>
      </c>
      <c r="D997" s="10" t="inlineStr">
        <is>
          <t>GFI</t>
        </is>
      </c>
      <c r="E997" s="10" t="inlineStr">
        <is>
          <t>Gestión de Tesorería</t>
        </is>
      </c>
      <c r="F997" s="10" t="inlineStr">
        <is>
          <t>Procedimientos  complementarios de Tesorería</t>
        </is>
      </c>
      <c r="G997" s="10" t="inlineStr">
        <is>
          <t xml:space="preserve">Custodia de documentos de valor </t>
        </is>
      </c>
      <c r="H997" s="10" t="inlineStr">
        <is>
          <t>Acta entrega recepción</t>
        </is>
      </c>
      <c r="I997" s="10" t="inlineStr">
        <is>
          <t>Acta de responsabilidad del recepción con firmas de responsabilidad</t>
        </is>
      </c>
      <c r="J997" s="10" t="inlineStr">
        <is>
          <t xml:space="preserve">Tesorero </t>
        </is>
      </c>
      <c r="K997" s="10" t="inlineStr">
        <is>
          <t xml:space="preserve">Tesorero </t>
        </is>
      </c>
      <c r="L997" s="10" t="inlineStr">
        <is>
          <t>DOCUMENTOS FISICOS-ARCHIVOS DE LA OFICINA</t>
        </is>
      </c>
      <c r="M997" s="10" t="inlineStr">
        <is>
          <t>DOCUMENTO DE ARCHIVO-FÍSICO</t>
        </is>
      </c>
      <c r="N997" s="10" t="inlineStr">
        <is>
          <t>PRIMARIOS</t>
        </is>
      </c>
      <c r="O997" s="10" t="inlineStr">
        <is>
          <t>DOCUMENTOS HABILITANTES</t>
        </is>
      </c>
      <c r="P997" s="10" t="inlineStr">
        <is>
          <t>USO INTERNO(2)</t>
        </is>
      </c>
      <c r="Q997" s="10" t="inlineStr">
        <is>
          <t>MEDIA(2)</t>
        </is>
      </c>
      <c r="R997" s="10" t="inlineStr">
        <is>
          <t>ALTA(3)</t>
        </is>
      </c>
      <c r="S997" s="10">
        <f>+(IF(P997="PUBLICA(1)",1,IF(P997="USO INTERNO(2)",2,IF(P997="RESTRINGIDO(3)",3,3))))+(IF(Q997="BAJA(1)",1,IF(Q997="MEDIA(2)",2,IF(Q997="ALTA(3)",3,3))))+(IF(R997="BAJA(1)",1,IF(R997="MEDIA(2)",2,IF(R997="ALTA(3)",3,3))))</f>
        <v/>
      </c>
      <c r="T997" s="10">
        <f>+IF(S997&lt;6,"BAJA",IF(S997&lt;8,"MEDIA","ALTA"))</f>
        <v/>
      </c>
      <c r="U997" s="10" t="inlineStr">
        <is>
          <t>-</t>
        </is>
      </c>
      <c r="V997" s="24" t="n">
        <v>45673</v>
      </c>
      <c r="W997" s="19" t="inlineStr">
        <is>
          <t>N/A</t>
        </is>
      </c>
      <c r="X997" s="10">
        <f>+IFERROR(IF(VLOOKUP(Tabla2[[#This Row],[ID]],'EVALUACION DE RIESGO'!A:A,1,FALSE)=Tabla2[[#This Row],[ID]],"SI","NO"),"NO")</f>
        <v/>
      </c>
      <c r="AD997">
        <f>IF(AND(Y997="",AA997=""),"",IF(OR(LEFT(AA997,2)="L0",LEFT(AA997,2)="L1",Y997="No Iniciado"),"CRÍTICO - Incumplimiento Normativo SEPS",IF(AND(OR(LEFT(AA997,2)="L4",LEFT(AA997,2)="L5"),AND(AC997&lt;&gt;"",AC997&lt;&gt;"N/A")),"CONFORME - Control Efectivo ISO 27001","OBSERVACIÓN - Revisar Controles")))</f>
        <v/>
      </c>
    </row>
    <row r="998">
      <c r="A998" s="99" t="inlineStr">
        <is>
          <t>76-GFI</t>
        </is>
      </c>
      <c r="B998" s="10" t="inlineStr">
        <is>
          <t>APOYO</t>
        </is>
      </c>
      <c r="C998" s="10" t="inlineStr">
        <is>
          <t>Gestión Financiera</t>
        </is>
      </c>
      <c r="D998" s="10" t="inlineStr">
        <is>
          <t>GFI</t>
        </is>
      </c>
      <c r="E998" s="10" t="inlineStr">
        <is>
          <t>Gestión de Tesorería</t>
        </is>
      </c>
      <c r="F998" s="10" t="inlineStr">
        <is>
          <t>Procedimientos  complementarios de Tesorería</t>
        </is>
      </c>
      <c r="G998" s="10" t="inlineStr">
        <is>
          <t>Estructuras</t>
        </is>
      </c>
      <c r="H998" s="10" t="inlineStr">
        <is>
          <t>Estructura RML. I01, I02</t>
        </is>
      </c>
      <c r="I998" s="10" t="inlineStr">
        <is>
          <t>Estructuras generadas del sistema que tiene el detalle diario de 14 días del portafolio de inversiones, Io1 detalle de inversiones nuevas que ingresaron al portafolio en el mes, Io2 es igual a la consolidación de las estructuras RML, Io1</t>
        </is>
      </c>
      <c r="J998" s="10" t="inlineStr">
        <is>
          <t xml:space="preserve">Tesorero </t>
        </is>
      </c>
      <c r="K998" s="10" t="inlineStr">
        <is>
          <t xml:space="preserve">Tesorero </t>
        </is>
      </c>
      <c r="L998" s="10" t="inlineStr">
        <is>
          <t>UBICACIÓN DIGITAL-EQUIPO DEL CUSTODIO</t>
        </is>
      </c>
      <c r="M998" s="10" t="inlineStr">
        <is>
          <t>DISCOS DUROS, SERVIDORES, DISCOS O MEDIOS PORTÁTILES, CINTAS O MEDIOS DE VIDEO Y AUDIO, ETC.</t>
        </is>
      </c>
      <c r="N998" s="10" t="inlineStr">
        <is>
          <t>PRIMARIOS</t>
        </is>
      </c>
      <c r="O998" s="10" t="inlineStr">
        <is>
          <t>DOCUMENTOS TÉCNICOS</t>
        </is>
      </c>
      <c r="P998" s="10" t="inlineStr">
        <is>
          <t>USO INTERNO(2)</t>
        </is>
      </c>
      <c r="Q998" s="10" t="inlineStr">
        <is>
          <t>MEDIA(2)</t>
        </is>
      </c>
      <c r="R998" s="10" t="inlineStr">
        <is>
          <t>MEDIA(2)</t>
        </is>
      </c>
      <c r="S998" s="10">
        <f>+(IF(P998="PUBLICA(1)",1,IF(P998="USO INTERNO(2)",2,IF(P998="RESTRINGIDO(3)",3,3))))+(IF(Q998="BAJA(1)",1,IF(Q998="MEDIA(2)",2,IF(Q998="ALTA(3)",3,3))))+(IF(R998="BAJA(1)",1,IF(R998="MEDIA(2)",2,IF(R998="ALTA(3)",3,3))))</f>
        <v/>
      </c>
      <c r="T998" s="10">
        <f>+IF(S998&lt;6,"BAJA",IF(S998&lt;8,"MEDIA","ALTA"))</f>
        <v/>
      </c>
      <c r="U998" s="10" t="inlineStr">
        <is>
          <t>-</t>
        </is>
      </c>
      <c r="V998" s="24" t="n">
        <v>45673</v>
      </c>
      <c r="W998" s="19" t="inlineStr">
        <is>
          <t>N/A</t>
        </is>
      </c>
      <c r="X998" s="10">
        <f>+IFERROR(IF(VLOOKUP(Tabla2[[#This Row],[ID]],'EVALUACION DE RIESGO'!A:A,1,FALSE)=Tabla2[[#This Row],[ID]],"SI","NO"),"NO")</f>
        <v/>
      </c>
      <c r="AD998">
        <f>IF(AND(Y998="",AA998=""),"",IF(OR(LEFT(AA998,2)="L0",LEFT(AA998,2)="L1",Y998="No Iniciado"),"CRÍTICO - Incumplimiento Normativo SEPS",IF(AND(OR(LEFT(AA998,2)="L4",LEFT(AA998,2)="L5"),AND(AC998&lt;&gt;"",AC998&lt;&gt;"N/A")),"CONFORME - Control Efectivo ISO 27001","OBSERVACIÓN - Revisar Controles")))</f>
        <v/>
      </c>
    </row>
    <row r="999">
      <c r="A999" s="99" t="inlineStr">
        <is>
          <t>77-GFI</t>
        </is>
      </c>
      <c r="B999" s="10" t="inlineStr">
        <is>
          <t>APOYO</t>
        </is>
      </c>
      <c r="C999" s="10" t="inlineStr">
        <is>
          <t>Gestión Financiera</t>
        </is>
      </c>
      <c r="D999" s="10" t="inlineStr">
        <is>
          <t>GFI</t>
        </is>
      </c>
      <c r="E999" s="10" t="inlineStr">
        <is>
          <t>Gestión de Tesorería</t>
        </is>
      </c>
      <c r="F999" s="10" t="inlineStr">
        <is>
          <t>-</t>
        </is>
      </c>
      <c r="G999" s="10" t="inlineStr">
        <is>
          <t>N/A</t>
        </is>
      </c>
      <c r="H999" s="10" t="inlineStr">
        <is>
          <t xml:space="preserve">Equipos de computación </t>
        </is>
      </c>
      <c r="I999" s="10" t="inlineStr">
        <is>
          <t>Equipos de computación donde se realiza la gestión del área</t>
        </is>
      </c>
      <c r="J999" s="10" t="inlineStr">
        <is>
          <t xml:space="preserve">Tesorero </t>
        </is>
      </c>
      <c r="K999" s="10" t="inlineStr">
        <is>
          <t xml:space="preserve">Tesorero </t>
        </is>
      </c>
      <c r="L999" s="10" t="inlineStr">
        <is>
          <t>UBICACIÓN FISICA-MATRIZ ATUNTAQUI</t>
        </is>
      </c>
      <c r="M999" s="10" t="inlineStr">
        <is>
          <t>DISCOS DUROS, SERVIDORES, DISCOS O MEDIOS PORTÁTILES, CINTAS O MEDIOS DE VIDEO Y AUDIO, ETC.</t>
        </is>
      </c>
      <c r="N999" s="10" t="inlineStr">
        <is>
          <t>APOYO</t>
        </is>
      </c>
      <c r="O999" s="10" t="inlineStr">
        <is>
          <t>HARDWARE</t>
        </is>
      </c>
      <c r="P999" s="10" t="inlineStr">
        <is>
          <t>RESTRINGIDO(3)</t>
        </is>
      </c>
      <c r="Q999" s="10" t="inlineStr">
        <is>
          <t>MEDIA(2)</t>
        </is>
      </c>
      <c r="R999" s="10" t="inlineStr">
        <is>
          <t>MEDIA(2)</t>
        </is>
      </c>
      <c r="S999" s="10">
        <f>+(IF(P999="PUBLICA(1)",1,IF(P999="USO INTERNO(2)",2,IF(P999="RESTRINGIDO(3)",3,3))))+(IF(Q999="BAJA(1)",1,IF(Q999="MEDIA(2)",2,IF(Q999="ALTA(3)",3,3))))+(IF(R999="BAJA(1)",1,IF(R999="MEDIA(2)",2,IF(R999="ALTA(3)",3,3))))</f>
        <v/>
      </c>
      <c r="T999" s="10">
        <f>+IF(S999&lt;6,"BAJA",IF(S999&lt;8,"MEDIA","ALTA"))</f>
        <v/>
      </c>
      <c r="U999" s="10" t="inlineStr">
        <is>
          <t>-</t>
        </is>
      </c>
      <c r="V999" s="24" t="n">
        <v>45673</v>
      </c>
      <c r="W999" s="19" t="inlineStr">
        <is>
          <t>N/A</t>
        </is>
      </c>
      <c r="X999" s="10">
        <f>+IFERROR(IF(VLOOKUP(Tabla2[[#This Row],[ID]],'EVALUACION DE RIESGO'!A:A,1,FALSE)=Tabla2[[#This Row],[ID]],"SI","NO"),"NO")</f>
        <v/>
      </c>
      <c r="AD999">
        <f>IF(AND(Y999="",AA999=""),"",IF(OR(LEFT(AA999,2)="L0",LEFT(AA999,2)="L1",Y999="No Iniciado"),"CRÍTICO - Incumplimiento Normativo SEPS",IF(AND(OR(LEFT(AA999,2)="L4",LEFT(AA999,2)="L5"),AND(AC999&lt;&gt;"",AC999&lt;&gt;"N/A")),"CONFORME - Control Efectivo ISO 27001","OBSERVACIÓN - Revisar Controles")))</f>
        <v/>
      </c>
    </row>
    <row r="1000">
      <c r="A1000" s="99" t="inlineStr">
        <is>
          <t>78-GFI</t>
        </is>
      </c>
      <c r="B1000" s="10" t="inlineStr">
        <is>
          <t>APOYO</t>
        </is>
      </c>
      <c r="C1000" s="10" t="inlineStr">
        <is>
          <t>Gestión Financiera</t>
        </is>
      </c>
      <c r="D1000" s="10" t="inlineStr">
        <is>
          <t>GFI</t>
        </is>
      </c>
      <c r="E1000" s="10" t="inlineStr">
        <is>
          <t>Gestión de Tesorería</t>
        </is>
      </c>
      <c r="F1000" s="10" t="inlineStr">
        <is>
          <t>-</t>
        </is>
      </c>
      <c r="G1000" s="10" t="inlineStr">
        <is>
          <t>N/A</t>
        </is>
      </c>
      <c r="H1000" s="10" t="inlineStr">
        <is>
          <t>Tesorero</t>
        </is>
      </c>
      <c r="I1000" s="10" t="inlineStr">
        <is>
          <t>N/A</t>
        </is>
      </c>
      <c r="J1000" s="10" t="inlineStr">
        <is>
          <t xml:space="preserve">Tesorero </t>
        </is>
      </c>
      <c r="K1000" s="10" t="inlineStr">
        <is>
          <t>N/A</t>
        </is>
      </c>
      <c r="L1000" s="10" t="inlineStr">
        <is>
          <t>N/A</t>
        </is>
      </c>
      <c r="M1000" s="10" t="inlineStr">
        <is>
          <t>N/A</t>
        </is>
      </c>
      <c r="N1000" s="10" t="inlineStr">
        <is>
          <t>APOYO</t>
        </is>
      </c>
      <c r="O1000" s="10" t="inlineStr">
        <is>
          <t>RECURSO HUMANO</t>
        </is>
      </c>
      <c r="P1000" s="10" t="inlineStr">
        <is>
          <t>USO INTERNO(2)</t>
        </is>
      </c>
      <c r="Q1000" s="10" t="inlineStr">
        <is>
          <t>MEDIA(2)</t>
        </is>
      </c>
      <c r="R1000" s="10" t="inlineStr">
        <is>
          <t>MEDIA(2)</t>
        </is>
      </c>
      <c r="S1000" s="10">
        <f>+(IF(P1000="PUBLICA(1)",1,IF(P1000="USO INTERNO(2)",2,IF(P1000="RESTRINGIDO(3)",3,3))))+(IF(Q1000="BAJA(1)",1,IF(Q1000="MEDIA(2)",2,IF(Q1000="ALTA(3)",3,3))))+(IF(R1000="BAJA(1)",1,IF(R1000="MEDIA(2)",2,IF(R1000="ALTA(3)",3,3))))</f>
        <v/>
      </c>
      <c r="T1000" s="10">
        <f>+IF(S1000&lt;6,"BAJA",IF(S1000&lt;8,"MEDIA","ALTA"))</f>
        <v/>
      </c>
      <c r="U1000" s="10" t="inlineStr">
        <is>
          <t>-</t>
        </is>
      </c>
      <c r="V1000" s="24" t="n">
        <v>45673</v>
      </c>
      <c r="W1000" s="19" t="inlineStr">
        <is>
          <t>N/A</t>
        </is>
      </c>
      <c r="X1000" s="10">
        <f>+IFERROR(IF(VLOOKUP(Tabla2[[#This Row],[ID]],'EVALUACION DE RIESGO'!A:A,1,FALSE)=Tabla2[[#This Row],[ID]],"SI","NO"),"NO")</f>
        <v/>
      </c>
      <c r="AD1000">
        <f>IF(AND(Y1000="",AA1000=""),"",IF(OR(LEFT(AA1000,2)="L0",LEFT(AA1000,2)="L1",Y1000="No Iniciado"),"CRÍTICO - Incumplimiento Normativo SEPS",IF(AND(OR(LEFT(AA1000,2)="L4",LEFT(AA1000,2)="L5"),AND(AC1000&lt;&gt;"",AC1000&lt;&gt;"N/A")),"CONFORME - Control Efectivo ISO 27001","OBSERVACIÓN - Revisar Controles")))</f>
        <v/>
      </c>
    </row>
    <row r="1001">
      <c r="A1001" s="99" t="inlineStr">
        <is>
          <t>1-GJU</t>
        </is>
      </c>
      <c r="B1001" s="10" t="inlineStr">
        <is>
          <t>APOYO</t>
        </is>
      </c>
      <c r="C1001" s="10" t="inlineStr">
        <is>
          <t xml:space="preserve">Gestión Jurídica </t>
        </is>
      </c>
      <c r="D1001" s="10" t="inlineStr">
        <is>
          <t>GJU</t>
        </is>
      </c>
      <c r="E1001" s="10" t="inlineStr">
        <is>
          <t xml:space="preserve"> Gestión Administración Legal</t>
        </is>
      </c>
      <c r="F1001" s="10" t="inlineStr">
        <is>
          <t>-</t>
        </is>
      </c>
      <c r="G1001" s="10" t="inlineStr">
        <is>
          <t>Elaboración de documentos contractuales con proveedores</t>
        </is>
      </c>
      <c r="H1001" s="10" t="inlineStr">
        <is>
          <t>Contrato</t>
        </is>
      </c>
      <c r="I1001" s="10" t="inlineStr">
        <is>
          <t>Documentación original del contrato.</t>
        </is>
      </c>
      <c r="J1001" s="10" t="inlineStr">
        <is>
          <t xml:space="preserve">Gerente Jurídico </t>
        </is>
      </c>
      <c r="K1001" s="10" t="inlineStr">
        <is>
          <t>Analista Juridico</t>
        </is>
      </c>
      <c r="L1001" s="10" t="inlineStr">
        <is>
          <t>DOCUMENTOS FISICOS-ARCHIVOS DE LA OFICINA</t>
        </is>
      </c>
      <c r="M1001" s="10" t="inlineStr">
        <is>
          <t>DOCUMENTO DE ARCHIVO-FÍSICO</t>
        </is>
      </c>
      <c r="N1001" s="10" t="inlineStr">
        <is>
          <t>PRIMARIOS</t>
        </is>
      </c>
      <c r="O1001" s="10" t="inlineStr">
        <is>
          <t>DOCUMENTOS TÉCNICOS</t>
        </is>
      </c>
      <c r="P1001" s="10" t="inlineStr">
        <is>
          <t>RESTRINGIDO(3)</t>
        </is>
      </c>
      <c r="Q1001" s="10" t="inlineStr">
        <is>
          <t>BAJA(1)</t>
        </is>
      </c>
      <c r="R1001" s="10" t="inlineStr">
        <is>
          <t>ALTA(3)</t>
        </is>
      </c>
      <c r="S1001" s="10">
        <f>+(IF(P1001="PUBLICA(1)",1,IF(P1001="USO INTERNO(2)",2,IF(P1001="RESTRINGIDO(3)",3,3))))+(IF(Q1001="BAJA(1)",1,IF(Q1001="MEDIA(2)",2,IF(Q1001="ALTA(3)",3,3))))+(IF(R1001="BAJA(1)",1,IF(R1001="MEDIA(2)",2,IF(R1001="ALTA(3)",3,3))))</f>
        <v/>
      </c>
      <c r="T1001" s="10">
        <f>+IF(S1001&lt;6,"BAJA",IF(S1001&lt;8,"MEDIA","ALTA"))</f>
        <v/>
      </c>
      <c r="U1001" s="10" t="inlineStr">
        <is>
          <t>-</t>
        </is>
      </c>
      <c r="V1001" s="24" t="n">
        <v>45697</v>
      </c>
      <c r="W1001" s="19" t="inlineStr">
        <is>
          <t>N/A</t>
        </is>
      </c>
      <c r="X1001" s="10">
        <f>+IFERROR(IF(VLOOKUP(Tabla2[[#This Row],[ID]],'EVALUACION DE RIESGO'!A:A,1,FALSE)=Tabla2[[#This Row],[ID]],"SI","NO"),"NO")</f>
        <v/>
      </c>
      <c r="AD1001">
        <f>IF(AND(Y1001="",AA1001=""),"",IF(OR(LEFT(AA1001,2)="L0",LEFT(AA1001,2)="L1",Y1001="No Iniciado"),"CRÍTICO - Incumplimiento Normativo SEPS",IF(AND(OR(LEFT(AA1001,2)="L4",LEFT(AA1001,2)="L5"),AND(AC1001&lt;&gt;"",AC1001&lt;&gt;"N/A")),"CONFORME - Control Efectivo ISO 27001","OBSERVACIÓN - Revisar Controles")))</f>
        <v/>
      </c>
    </row>
    <row r="1002">
      <c r="A1002" s="99" t="inlineStr">
        <is>
          <t>2-GJU</t>
        </is>
      </c>
      <c r="B1002" s="10" t="inlineStr">
        <is>
          <t>APOYO</t>
        </is>
      </c>
      <c r="C1002" s="10" t="inlineStr">
        <is>
          <t xml:space="preserve">Gestión Jurídica </t>
        </is>
      </c>
      <c r="D1002" s="10" t="inlineStr">
        <is>
          <t>GJU</t>
        </is>
      </c>
      <c r="E1002" s="10" t="inlineStr">
        <is>
          <t xml:space="preserve"> Gestión Administración Legal</t>
        </is>
      </c>
      <c r="F1002" s="10" t="inlineStr">
        <is>
          <t>-</t>
        </is>
      </c>
      <c r="G1002" s="10" t="inlineStr">
        <is>
          <t>Elaboración de documentos contractuales con proveedores</t>
        </is>
      </c>
      <c r="H1002" s="10" t="inlineStr">
        <is>
          <t>Inventario de contratos</t>
        </is>
      </c>
      <c r="I1002" s="10" t="inlineStr">
        <is>
          <t>Archivo digital del departamento donde se registran los contratos legalizados y recepción de documentos habilitantes originales</t>
        </is>
      </c>
      <c r="J1002" s="10" t="inlineStr">
        <is>
          <t xml:space="preserve">Gerente Jurídico </t>
        </is>
      </c>
      <c r="K1002" s="10" t="inlineStr">
        <is>
          <t>Analista Juridico</t>
        </is>
      </c>
      <c r="L1002" s="10" t="inlineStr">
        <is>
          <t>UBICACIÓN DIGITAL-EQUIPO DEL CUSTODIO</t>
        </is>
      </c>
      <c r="M1002" s="10" t="inlineStr">
        <is>
          <t>DOCUMENTO DE ARCHIVO-ELECTRÓNICO</t>
        </is>
      </c>
      <c r="N1002" s="10" t="inlineStr">
        <is>
          <t>PRIMARIOS</t>
        </is>
      </c>
      <c r="O1002" s="10" t="inlineStr">
        <is>
          <t>DOCUMENTOS TÉCNICOS</t>
        </is>
      </c>
      <c r="P1002" s="10" t="inlineStr">
        <is>
          <t>RESTRINGIDO(3)</t>
        </is>
      </c>
      <c r="Q1002" s="10" t="inlineStr">
        <is>
          <t>BAJA(1)</t>
        </is>
      </c>
      <c r="R1002" s="10" t="inlineStr">
        <is>
          <t>ALTA(3)</t>
        </is>
      </c>
      <c r="S1002" s="10">
        <f>+(IF(P1002="PUBLICA(1)",1,IF(P1002="USO INTERNO(2)",2,IF(P1002="RESTRINGIDO(3)",3,3))))+(IF(Q1002="BAJA(1)",1,IF(Q1002="MEDIA(2)",2,IF(Q1002="ALTA(3)",3,3))))+(IF(R1002="BAJA(1)",1,IF(R1002="MEDIA(2)",2,IF(R1002="ALTA(3)",3,3))))</f>
        <v/>
      </c>
      <c r="T1002" s="10">
        <f>+IF(S1002&lt;6,"BAJA",IF(S1002&lt;8,"MEDIA","ALTA"))</f>
        <v/>
      </c>
      <c r="U1002" s="10" t="inlineStr">
        <is>
          <t>-</t>
        </is>
      </c>
      <c r="V1002" s="24" t="n">
        <v>45697</v>
      </c>
      <c r="W1002" s="19" t="inlineStr">
        <is>
          <t>N/A</t>
        </is>
      </c>
      <c r="X1002" s="10">
        <f>+IFERROR(IF(VLOOKUP(Tabla2[[#This Row],[ID]],'EVALUACION DE RIESGO'!A:A,1,FALSE)=Tabla2[[#This Row],[ID]],"SI","NO"),"NO")</f>
        <v/>
      </c>
      <c r="AD1002">
        <f>IF(AND(Y1002="",AA1002=""),"",IF(OR(LEFT(AA1002,2)="L0",LEFT(AA1002,2)="L1",Y1002="No Iniciado"),"CRÍTICO - Incumplimiento Normativo SEPS",IF(AND(OR(LEFT(AA1002,2)="L4",LEFT(AA1002,2)="L5"),AND(AC1002&lt;&gt;"",AC1002&lt;&gt;"N/A")),"CONFORME - Control Efectivo ISO 27001","OBSERVACIÓN - Revisar Controles")))</f>
        <v/>
      </c>
    </row>
    <row r="1003">
      <c r="A1003" s="99" t="inlineStr">
        <is>
          <t>3-GJU</t>
        </is>
      </c>
      <c r="B1003" s="10" t="inlineStr">
        <is>
          <t>APOYO</t>
        </is>
      </c>
      <c r="C1003" s="10" t="inlineStr">
        <is>
          <t xml:space="preserve">Gestión Jurídica </t>
        </is>
      </c>
      <c r="D1003" s="10" t="inlineStr">
        <is>
          <t>GJU</t>
        </is>
      </c>
      <c r="E1003" s="10" t="inlineStr">
        <is>
          <t xml:space="preserve"> Gestión Administración Legal</t>
        </is>
      </c>
      <c r="F1003" s="10" t="inlineStr">
        <is>
          <t>-</t>
        </is>
      </c>
      <c r="G1003" s="10" t="inlineStr">
        <is>
          <t>Elaboración de documentos contractuales con proveedores</t>
        </is>
      </c>
      <c r="H1003" s="10" t="inlineStr">
        <is>
          <t>Control de entrega de documentos contractuales</t>
        </is>
      </c>
      <c r="I1003" s="10" t="inlineStr">
        <is>
          <t>Folleto que contiene el detalle de todos los docuemntos entregados, responsable del area, hora fecha, firma de recepción hora de ingreso, fecha de ingreso firma de ingreso</t>
        </is>
      </c>
      <c r="J1003" s="10" t="inlineStr">
        <is>
          <t xml:space="preserve">Gerente Jurídico </t>
        </is>
      </c>
      <c r="K1003" s="10" t="inlineStr">
        <is>
          <t>Analista Juridico</t>
        </is>
      </c>
      <c r="L1003" s="10" t="inlineStr">
        <is>
          <t>DOCUMENTOS FISICOS-ARCHIVOS DE LA OFICINA</t>
        </is>
      </c>
      <c r="M1003" s="10" t="inlineStr">
        <is>
          <t>DOCUMENTO DE ARCHIVO-FÍSICO</t>
        </is>
      </c>
      <c r="N1003" s="10" t="inlineStr">
        <is>
          <t>PRIMARIOS</t>
        </is>
      </c>
      <c r="O1003" s="10" t="inlineStr">
        <is>
          <t>COMUNICACIÓN INTERNA</t>
        </is>
      </c>
      <c r="P1003" s="10" t="inlineStr">
        <is>
          <t>USO INTERNO(2)</t>
        </is>
      </c>
      <c r="Q1003" s="10" t="inlineStr">
        <is>
          <t>BAJA(1)</t>
        </is>
      </c>
      <c r="R1003" s="10" t="inlineStr">
        <is>
          <t>MEDIA(2)</t>
        </is>
      </c>
      <c r="S1003" s="10">
        <f>+(IF(P1003="PUBLICA(1)",1,IF(P1003="USO INTERNO(2)",2,IF(P1003="RESTRINGIDO(3)",3,3))))+(IF(Q1003="BAJA(1)",1,IF(Q1003="MEDIA(2)",2,IF(Q1003="ALTA(3)",3,3))))+(IF(R1003="BAJA(1)",1,IF(R1003="MEDIA(2)",2,IF(R1003="ALTA(3)",3,3))))</f>
        <v/>
      </c>
      <c r="T1003" s="10">
        <f>+IF(S1003&lt;6,"BAJA",IF(S1003&lt;8,"MEDIA","ALTA"))</f>
        <v/>
      </c>
      <c r="U1003" s="10" t="inlineStr">
        <is>
          <t>-</t>
        </is>
      </c>
      <c r="V1003" s="24" t="n">
        <v>45697</v>
      </c>
      <c r="W1003" s="19" t="inlineStr">
        <is>
          <t>N/A</t>
        </is>
      </c>
      <c r="X1003" s="10">
        <f>+IFERROR(IF(VLOOKUP(Tabla2[[#This Row],[ID]],'EVALUACION DE RIESGO'!A:A,1,FALSE)=Tabla2[[#This Row],[ID]],"SI","NO"),"NO")</f>
        <v/>
      </c>
      <c r="AD1003">
        <f>IF(AND(Y1003="",AA1003=""),"",IF(OR(LEFT(AA1003,2)="L0",LEFT(AA1003,2)="L1",Y1003="No Iniciado"),"CRÍTICO - Incumplimiento Normativo SEPS",IF(AND(OR(LEFT(AA1003,2)="L4",LEFT(AA1003,2)="L5"),AND(AC1003&lt;&gt;"",AC1003&lt;&gt;"N/A")),"CONFORME - Control Efectivo ISO 27001","OBSERVACIÓN - Revisar Controles")))</f>
        <v/>
      </c>
    </row>
    <row r="1004">
      <c r="A1004" s="99" t="inlineStr">
        <is>
          <t>4-GJU</t>
        </is>
      </c>
      <c r="B1004" s="10" t="inlineStr">
        <is>
          <t>APOYO</t>
        </is>
      </c>
      <c r="C1004" s="10" t="inlineStr">
        <is>
          <t xml:space="preserve">Gestión Jurídica </t>
        </is>
      </c>
      <c r="D1004" s="10" t="inlineStr">
        <is>
          <t>GJU</t>
        </is>
      </c>
      <c r="E1004" s="10" t="inlineStr">
        <is>
          <t xml:space="preserve"> Gestión Administración Legal</t>
        </is>
      </c>
      <c r="F1004" s="10" t="inlineStr">
        <is>
          <t>-</t>
        </is>
      </c>
      <c r="G1004" s="10" t="inlineStr">
        <is>
          <t>Elaboración de adendum contractual</t>
        </is>
      </c>
      <c r="H1004" s="10" t="inlineStr">
        <is>
          <t>Adendum</t>
        </is>
      </c>
      <c r="I1004" s="10" t="inlineStr">
        <is>
          <t>Copia exacta del contrato donde se agrega un modificación o ampliación al contrato original</t>
        </is>
      </c>
      <c r="J1004" s="10" t="inlineStr">
        <is>
          <t xml:space="preserve">Gerente Jurídico </t>
        </is>
      </c>
      <c r="K1004" s="10" t="inlineStr">
        <is>
          <t>Analista Juridico</t>
        </is>
      </c>
      <c r="L1004" s="10" t="inlineStr">
        <is>
          <t>DOCUMENTOS FISICOS-ARCHIVOS DE LA OFICINA</t>
        </is>
      </c>
      <c r="M1004" s="10" t="inlineStr">
        <is>
          <t>DOCUMENTO DE ARCHIVO-FÍSICO</t>
        </is>
      </c>
      <c r="N1004" s="10" t="inlineStr">
        <is>
          <t>PRIMARIOS</t>
        </is>
      </c>
      <c r="O1004" s="10" t="inlineStr">
        <is>
          <t>DOCUMENTOS HABILITANTES</t>
        </is>
      </c>
      <c r="P1004" s="10" t="inlineStr">
        <is>
          <t>RESTRINGIDO(3)</t>
        </is>
      </c>
      <c r="Q1004" s="10" t="inlineStr">
        <is>
          <t>BAJA(1)</t>
        </is>
      </c>
      <c r="R1004" s="10" t="inlineStr">
        <is>
          <t>ALTA(3)</t>
        </is>
      </c>
      <c r="S1004" s="10">
        <f>+(IF(P1004="PUBLICA(1)",1,IF(P1004="USO INTERNO(2)",2,IF(P1004="RESTRINGIDO(3)",3,3))))+(IF(Q1004="BAJA(1)",1,IF(Q1004="MEDIA(2)",2,IF(Q1004="ALTA(3)",3,3))))+(IF(R1004="BAJA(1)",1,IF(R1004="MEDIA(2)",2,IF(R1004="ALTA(3)",3,3))))</f>
        <v/>
      </c>
      <c r="T1004" s="10">
        <f>+IF(S1004&lt;6,"BAJA",IF(S1004&lt;8,"MEDIA","ALTA"))</f>
        <v/>
      </c>
      <c r="U1004" s="10" t="inlineStr">
        <is>
          <t>-</t>
        </is>
      </c>
      <c r="V1004" s="24" t="n">
        <v>45698</v>
      </c>
      <c r="W1004" s="19" t="inlineStr">
        <is>
          <t>N/A</t>
        </is>
      </c>
      <c r="X1004" s="10">
        <f>+IFERROR(IF(VLOOKUP(Tabla2[[#This Row],[ID]],'EVALUACION DE RIESGO'!A:A,1,FALSE)=Tabla2[[#This Row],[ID]],"SI","NO"),"NO")</f>
        <v/>
      </c>
      <c r="AD1004">
        <f>IF(AND(Y1004="",AA1004=""),"",IF(OR(LEFT(AA1004,2)="L0",LEFT(AA1004,2)="L1",Y1004="No Iniciado"),"CRÍTICO - Incumplimiento Normativo SEPS",IF(AND(OR(LEFT(AA1004,2)="L4",LEFT(AA1004,2)="L5"),AND(AC1004&lt;&gt;"",AC1004&lt;&gt;"N/A")),"CONFORME - Control Efectivo ISO 27001","OBSERVACIÓN - Revisar Controles")))</f>
        <v/>
      </c>
    </row>
    <row r="1005">
      <c r="A1005" s="99" t="inlineStr">
        <is>
          <t>5-GJU</t>
        </is>
      </c>
      <c r="B1005" s="10" t="inlineStr">
        <is>
          <t>APOYO</t>
        </is>
      </c>
      <c r="C1005" s="10" t="inlineStr">
        <is>
          <t xml:space="preserve">Gestión Jurídica </t>
        </is>
      </c>
      <c r="D1005" s="10" t="inlineStr">
        <is>
          <t>GJU</t>
        </is>
      </c>
      <c r="E1005" s="10" t="inlineStr">
        <is>
          <t xml:space="preserve"> Gestión Administración Legal</t>
        </is>
      </c>
      <c r="F1005" s="10" t="inlineStr">
        <is>
          <t>-</t>
        </is>
      </c>
      <c r="G1005" s="10" t="inlineStr">
        <is>
          <t>Elaboración de convenios</t>
        </is>
      </c>
      <c r="H1005" s="10" t="inlineStr">
        <is>
          <t>Convenio</t>
        </is>
      </c>
      <c r="I1005" s="10" t="inlineStr">
        <is>
          <t>Establece relaciones comerciales que no implique intercambio de dinero, firmas de responsabilidad, objeto del convenio, y fechas del convenio</t>
        </is>
      </c>
      <c r="J1005" s="10" t="inlineStr">
        <is>
          <t xml:space="preserve">Gerente Jurídico </t>
        </is>
      </c>
      <c r="K1005" s="10" t="inlineStr">
        <is>
          <t>Analista Juridico</t>
        </is>
      </c>
      <c r="L1005" s="10" t="inlineStr">
        <is>
          <t>DOCUMENTOS FISICOS-ARCHIVOS DE LA OFICINA</t>
        </is>
      </c>
      <c r="M1005" s="10" t="inlineStr">
        <is>
          <t>DOCUMENTO DE ARCHIVO-FÍSICO</t>
        </is>
      </c>
      <c r="N1005" s="10" t="inlineStr">
        <is>
          <t>PRIMARIOS</t>
        </is>
      </c>
      <c r="O1005" s="10" t="inlineStr">
        <is>
          <t>DOCUMENTOS HABILITANTES</t>
        </is>
      </c>
      <c r="P1005" s="10" t="inlineStr">
        <is>
          <t>RESTRINGIDO(3)</t>
        </is>
      </c>
      <c r="Q1005" s="10" t="inlineStr">
        <is>
          <t>BAJA(1)</t>
        </is>
      </c>
      <c r="R1005" s="10" t="inlineStr">
        <is>
          <t>ALTA(3)</t>
        </is>
      </c>
      <c r="S1005" s="10">
        <f>+(IF(P1005="PUBLICA(1)",1,IF(P1005="USO INTERNO(2)",2,IF(P1005="RESTRINGIDO(3)",3,3))))+(IF(Q1005="BAJA(1)",1,IF(Q1005="MEDIA(2)",2,IF(Q1005="ALTA(3)",3,3))))+(IF(R1005="BAJA(1)",1,IF(R1005="MEDIA(2)",2,IF(R1005="ALTA(3)",3,3))))</f>
        <v/>
      </c>
      <c r="T1005" s="10">
        <f>+IF(S1005&lt;6,"BAJA",IF(S1005&lt;8,"MEDIA","ALTA"))</f>
        <v/>
      </c>
      <c r="U1005" s="10" t="inlineStr">
        <is>
          <t>-</t>
        </is>
      </c>
      <c r="V1005" s="24" t="n">
        <v>45700</v>
      </c>
      <c r="W1005" s="19" t="inlineStr">
        <is>
          <t>N/A</t>
        </is>
      </c>
      <c r="X1005" s="10">
        <f>+IFERROR(IF(VLOOKUP(Tabla2[[#This Row],[ID]],'EVALUACION DE RIESGO'!A:A,1,FALSE)=Tabla2[[#This Row],[ID]],"SI","NO"),"NO")</f>
        <v/>
      </c>
      <c r="AD1005">
        <f>IF(AND(Y1005="",AA1005=""),"",IF(OR(LEFT(AA1005,2)="L0",LEFT(AA1005,2)="L1",Y1005="No Iniciado"),"CRÍTICO - Incumplimiento Normativo SEPS",IF(AND(OR(LEFT(AA1005,2)="L4",LEFT(AA1005,2)="L5"),AND(AC1005&lt;&gt;"",AC1005&lt;&gt;"N/A")),"CONFORME - Control Efectivo ISO 27001","OBSERVACIÓN - Revisar Controles")))</f>
        <v/>
      </c>
    </row>
    <row r="1006">
      <c r="A1006" s="99" t="inlineStr">
        <is>
          <t>6-GJU</t>
        </is>
      </c>
      <c r="B1006" s="10" t="inlineStr">
        <is>
          <t>APOYO</t>
        </is>
      </c>
      <c r="C1006" s="10" t="inlineStr">
        <is>
          <t xml:space="preserve">Gestión Jurídica </t>
        </is>
      </c>
      <c r="D1006" s="10" t="inlineStr">
        <is>
          <t>GJU</t>
        </is>
      </c>
      <c r="E1006" s="10" t="inlineStr">
        <is>
          <t xml:space="preserve"> Gestión Administración Legal</t>
        </is>
      </c>
      <c r="F1006" s="10" t="inlineStr">
        <is>
          <t>-</t>
        </is>
      </c>
      <c r="G1006" s="10" t="inlineStr">
        <is>
          <t>Contratación de Abogados Externos</t>
        </is>
      </c>
      <c r="H1006" s="10" t="inlineStr">
        <is>
          <t>Requerimiento de contratación</t>
        </is>
      </c>
      <c r="I1006" s="10" t="inlineStr">
        <is>
          <t>Documento técnico que detalla las actividades, requisitos que debe cumplir un abogado externo</t>
        </is>
      </c>
      <c r="J1006" s="10" t="inlineStr">
        <is>
          <t xml:space="preserve">Gerente Jurídico </t>
        </is>
      </c>
      <c r="K1006" s="10" t="inlineStr">
        <is>
          <t>Analista Juridico</t>
        </is>
      </c>
      <c r="L1006" s="10" t="inlineStr">
        <is>
          <t>UBICACIÓN DIGITAL-EQUIPO DEL CUSTODIO</t>
        </is>
      </c>
      <c r="M1006" s="10" t="inlineStr">
        <is>
          <t>DOCUMENTO DE ARCHIVO-ELECTRÓNICO</t>
        </is>
      </c>
      <c r="N1006" s="10" t="inlineStr">
        <is>
          <t>PRIMARIOS</t>
        </is>
      </c>
      <c r="O1006" s="10" t="inlineStr">
        <is>
          <t>DOCUMENTOS TÉCNICOS</t>
        </is>
      </c>
      <c r="P1006" s="10" t="inlineStr">
        <is>
          <t>USO INTERNO(2)</t>
        </is>
      </c>
      <c r="Q1006" s="10" t="inlineStr">
        <is>
          <t>BAJA(1)</t>
        </is>
      </c>
      <c r="R1006" s="10" t="inlineStr">
        <is>
          <t>MEDIA(2)</t>
        </is>
      </c>
      <c r="S1006" s="10">
        <f>+(IF(P1006="PUBLICA(1)",1,IF(P1006="USO INTERNO(2)",2,IF(P1006="RESTRINGIDO(3)",3,3))))+(IF(Q1006="BAJA(1)",1,IF(Q1006="MEDIA(2)",2,IF(Q1006="ALTA(3)",3,3))))+(IF(R1006="BAJA(1)",1,IF(R1006="MEDIA(2)",2,IF(R1006="ALTA(3)",3,3))))</f>
        <v/>
      </c>
      <c r="T1006" s="10">
        <f>+IF(S1006&lt;6,"BAJA",IF(S1006&lt;8,"MEDIA","ALTA"))</f>
        <v/>
      </c>
      <c r="U1006" s="10" t="inlineStr">
        <is>
          <t>-</t>
        </is>
      </c>
      <c r="V1006" s="24" t="n">
        <v>45701</v>
      </c>
      <c r="W1006" s="19" t="inlineStr">
        <is>
          <t>N/A</t>
        </is>
      </c>
      <c r="X1006" s="10">
        <f>+IFERROR(IF(VLOOKUP(Tabla2[[#This Row],[ID]],'EVALUACION DE RIESGO'!A:A,1,FALSE)=Tabla2[[#This Row],[ID]],"SI","NO"),"NO")</f>
        <v/>
      </c>
      <c r="AD1006">
        <f>IF(AND(Y1006="",AA1006=""),"",IF(OR(LEFT(AA1006,2)="L0",LEFT(AA1006,2)="L1",Y1006="No Iniciado"),"CRÍTICO - Incumplimiento Normativo SEPS",IF(AND(OR(LEFT(AA1006,2)="L4",LEFT(AA1006,2)="L5"),AND(AC1006&lt;&gt;"",AC1006&lt;&gt;"N/A")),"CONFORME - Control Efectivo ISO 27001","OBSERVACIÓN - Revisar Controles")))</f>
        <v/>
      </c>
    </row>
    <row r="1007">
      <c r="A1007" s="99" t="inlineStr">
        <is>
          <t>7-GJU</t>
        </is>
      </c>
      <c r="B1007" s="10" t="inlineStr">
        <is>
          <t>APOYO</t>
        </is>
      </c>
      <c r="C1007" s="10" t="inlineStr">
        <is>
          <t xml:space="preserve">Gestión Jurídica </t>
        </is>
      </c>
      <c r="D1007" s="10" t="inlineStr">
        <is>
          <t>GJU</t>
        </is>
      </c>
      <c r="E1007" s="10" t="inlineStr">
        <is>
          <t xml:space="preserve"> Gestión Administración Legal</t>
        </is>
      </c>
      <c r="F1007" s="10" t="inlineStr">
        <is>
          <t>-</t>
        </is>
      </c>
      <c r="G1007" s="10" t="inlineStr">
        <is>
          <t>Otorgamiento de poderes especiales y procuraciones judiciales</t>
        </is>
      </c>
      <c r="H1007" s="10" t="inlineStr">
        <is>
          <t>Certificación de Consejo de Administración</t>
        </is>
      </c>
      <c r="I1007" s="10" t="inlineStr">
        <is>
          <t>Documento de certificación que contiene número de documento, certificación, resolución,empresa externa y firma de la secretaria delconsejo de administración.</t>
        </is>
      </c>
      <c r="J1007" s="10" t="inlineStr">
        <is>
          <t xml:space="preserve">Gerente Jurídico </t>
        </is>
      </c>
      <c r="K1007" s="10" t="inlineStr">
        <is>
          <t xml:space="preserve">Gerente Jurídico </t>
        </is>
      </c>
      <c r="L1007" s="10" t="inlineStr">
        <is>
          <t>UBICACIÓN DIGITAL-EQUIPO DEL CUSTODIO</t>
        </is>
      </c>
      <c r="M1007" s="10" t="inlineStr">
        <is>
          <t>DOCUMENTO DE ARCHIVO-ELECTRÓNICO</t>
        </is>
      </c>
      <c r="N1007" s="10" t="inlineStr">
        <is>
          <t>PRIMARIOS</t>
        </is>
      </c>
      <c r="O1007" s="10" t="inlineStr">
        <is>
          <t>COMUNICACIÓN INTERNA</t>
        </is>
      </c>
      <c r="P1007" s="10" t="inlineStr">
        <is>
          <t>USO INTERNO(2)</t>
        </is>
      </c>
      <c r="Q1007" s="10" t="inlineStr">
        <is>
          <t>BAJA(1)</t>
        </is>
      </c>
      <c r="R1007" s="10" t="inlineStr">
        <is>
          <t>MEDIA(2)</t>
        </is>
      </c>
      <c r="S1007" s="10">
        <f>+(IF(P1007="PUBLICA(1)",1,IF(P1007="USO INTERNO(2)",2,IF(P1007="RESTRINGIDO(3)",3,3))))+(IF(Q1007="BAJA(1)",1,IF(Q1007="MEDIA(2)",2,IF(Q1007="ALTA(3)",3,3))))+(IF(R1007="BAJA(1)",1,IF(R1007="MEDIA(2)",2,IF(R1007="ALTA(3)",3,3))))</f>
        <v/>
      </c>
      <c r="T1007" s="10">
        <f>+IF(S1007&lt;6,"BAJA",IF(S1007&lt;8,"MEDIA","ALTA"))</f>
        <v/>
      </c>
      <c r="U1007" s="10" t="inlineStr">
        <is>
          <t>-</t>
        </is>
      </c>
      <c r="V1007" s="24" t="n">
        <v>45701</v>
      </c>
      <c r="W1007" s="19" t="inlineStr">
        <is>
          <t>N/A</t>
        </is>
      </c>
      <c r="X1007" s="10">
        <f>+IFERROR(IF(VLOOKUP(Tabla2[[#This Row],[ID]],'EVALUACION DE RIESGO'!A:A,1,FALSE)=Tabla2[[#This Row],[ID]],"SI","NO"),"NO")</f>
        <v/>
      </c>
      <c r="AD1007">
        <f>IF(AND(Y1007="",AA1007=""),"",IF(OR(LEFT(AA1007,2)="L0",LEFT(AA1007,2)="L1",Y1007="No Iniciado"),"CRÍTICO - Incumplimiento Normativo SEPS",IF(AND(OR(LEFT(AA1007,2)="L4",LEFT(AA1007,2)="L5"),AND(AC1007&lt;&gt;"",AC1007&lt;&gt;"N/A")),"CONFORME - Control Efectivo ISO 27001","OBSERVACIÓN - Revisar Controles")))</f>
        <v/>
      </c>
    </row>
    <row r="1008">
      <c r="A1008" s="99" t="inlineStr">
        <is>
          <t>8-GJU</t>
        </is>
      </c>
      <c r="B1008" s="10" t="inlineStr">
        <is>
          <t>APOYO</t>
        </is>
      </c>
      <c r="C1008" s="10" t="inlineStr">
        <is>
          <t xml:space="preserve">Gestión Jurídica </t>
        </is>
      </c>
      <c r="D1008" s="10" t="inlineStr">
        <is>
          <t>GJU</t>
        </is>
      </c>
      <c r="E1008" s="10" t="inlineStr">
        <is>
          <t xml:space="preserve"> Gestión Administración Legal</t>
        </is>
      </c>
      <c r="F1008" s="10" t="inlineStr">
        <is>
          <t>-</t>
        </is>
      </c>
      <c r="G1008" s="10" t="inlineStr">
        <is>
          <t>Otorgamiento de poderes especiales y procuraciones judiciales</t>
        </is>
      </c>
      <c r="H1008" s="10" t="inlineStr">
        <is>
          <t>Escritura Notariada de Otorgamiento de Poderes o Procuración Judicial</t>
        </is>
      </c>
      <c r="I1008" s="10" t="inlineStr">
        <is>
          <t xml:space="preserve">Registro notariado de Poder Especial Persona Judicial, documentación de escritura </t>
        </is>
      </c>
      <c r="J1008" s="10" t="inlineStr">
        <is>
          <t xml:space="preserve">Gerente Jurídico </t>
        </is>
      </c>
      <c r="K1008" s="10" t="inlineStr">
        <is>
          <t>Analista Juridico</t>
        </is>
      </c>
      <c r="L1008" s="10" t="inlineStr">
        <is>
          <t>DOCUMENTOS FISICOS-ARCHIVOS DE LA OFICINA</t>
        </is>
      </c>
      <c r="M1008" s="10" t="inlineStr">
        <is>
          <t>DOCUMENTO DE ARCHIVO-FÍSICO</t>
        </is>
      </c>
      <c r="N1008" s="10" t="inlineStr">
        <is>
          <t>PRIMARIOS</t>
        </is>
      </c>
      <c r="O1008" s="10" t="inlineStr">
        <is>
          <t>DOCUMENTOS HABILITANTES</t>
        </is>
      </c>
      <c r="P1008" s="10" t="inlineStr">
        <is>
          <t>RESTRINGIDO(3)</t>
        </is>
      </c>
      <c r="Q1008" s="10" t="inlineStr">
        <is>
          <t>BAJA(1)</t>
        </is>
      </c>
      <c r="R1008" s="10" t="inlineStr">
        <is>
          <t>ALTA(3)</t>
        </is>
      </c>
      <c r="S1008" s="10">
        <f>+(IF(P1008="PUBLICA(1)",1,IF(P1008="USO INTERNO(2)",2,IF(P1008="RESTRINGIDO(3)",3,3))))+(IF(Q1008="BAJA(1)",1,IF(Q1008="MEDIA(2)",2,IF(Q1008="ALTA(3)",3,3))))+(IF(R1008="BAJA(1)",1,IF(R1008="MEDIA(2)",2,IF(R1008="ALTA(3)",3,3))))</f>
        <v/>
      </c>
      <c r="T1008" s="10">
        <f>+IF(S1008&lt;6,"BAJA",IF(S1008&lt;8,"MEDIA","ALTA"))</f>
        <v/>
      </c>
      <c r="U1008" s="10" t="inlineStr">
        <is>
          <t>-</t>
        </is>
      </c>
      <c r="V1008" s="24" t="n">
        <v>45702</v>
      </c>
      <c r="W1008" s="19" t="inlineStr">
        <is>
          <t>N/A</t>
        </is>
      </c>
      <c r="X1008" s="10">
        <f>+IFERROR(IF(VLOOKUP(Tabla2[[#This Row],[ID]],'EVALUACION DE RIESGO'!A:A,1,FALSE)=Tabla2[[#This Row],[ID]],"SI","NO"),"NO")</f>
        <v/>
      </c>
      <c r="AD1008">
        <f>IF(AND(Y1008="",AA1008=""),"",IF(OR(LEFT(AA1008,2)="L0",LEFT(AA1008,2)="L1",Y1008="No Iniciado"),"CRÍTICO - Incumplimiento Normativo SEPS",IF(AND(OR(LEFT(AA1008,2)="L4",LEFT(AA1008,2)="L5"),AND(AC1008&lt;&gt;"",AC1008&lt;&gt;"N/A")),"CONFORME - Control Efectivo ISO 27001","OBSERVACIÓN - Revisar Controles")))</f>
        <v/>
      </c>
    </row>
    <row r="1009">
      <c r="A1009" s="99" t="inlineStr">
        <is>
          <t>9-GJU</t>
        </is>
      </c>
      <c r="B1009" s="10" t="inlineStr">
        <is>
          <t>APOYO</t>
        </is>
      </c>
      <c r="C1009" s="10" t="inlineStr">
        <is>
          <t xml:space="preserve">Gestión Jurídica </t>
        </is>
      </c>
      <c r="D1009" s="10" t="inlineStr">
        <is>
          <t>GJU</t>
        </is>
      </c>
      <c r="E1009" s="10" t="inlineStr">
        <is>
          <t xml:space="preserve"> Gestión Administración Legal</t>
        </is>
      </c>
      <c r="F1009" s="10" t="inlineStr">
        <is>
          <t>-</t>
        </is>
      </c>
      <c r="G1009" s="10" t="inlineStr">
        <is>
          <t>Revocatoria de Poderes Especiales y Procuración Judicial</t>
        </is>
      </c>
      <c r="H1009" s="10" t="inlineStr">
        <is>
          <t>Escritura Notariada de Revocatoria de Poderes</t>
        </is>
      </c>
      <c r="I1009" s="10" t="inlineStr">
        <is>
          <t>Registro notariado de Poder Especial Persona Judicial, documentación de escritura</t>
        </is>
      </c>
      <c r="J1009" s="10" t="inlineStr">
        <is>
          <t xml:space="preserve">Gerente Jurídico </t>
        </is>
      </c>
      <c r="K1009" s="10" t="inlineStr">
        <is>
          <t>Analista Juridico</t>
        </is>
      </c>
      <c r="L1009" s="10" t="inlineStr">
        <is>
          <t>DOCUMENTOS FISICOS-ARCHIVOS DE LA OFICINA</t>
        </is>
      </c>
      <c r="M1009" s="10" t="inlineStr">
        <is>
          <t>DOCUMENTO DE ARCHIVO-FÍSICO</t>
        </is>
      </c>
      <c r="N1009" s="10" t="inlineStr">
        <is>
          <t>PRIMARIOS</t>
        </is>
      </c>
      <c r="O1009" s="10" t="inlineStr">
        <is>
          <t>DOCUMENTOS HABILITANTES</t>
        </is>
      </c>
      <c r="P1009" s="10" t="inlineStr">
        <is>
          <t>RESTRINGIDO(3)</t>
        </is>
      </c>
      <c r="Q1009" s="10" t="inlineStr">
        <is>
          <t>BAJA(1)</t>
        </is>
      </c>
      <c r="R1009" s="10" t="inlineStr">
        <is>
          <t>ALTA(3)</t>
        </is>
      </c>
      <c r="S1009" s="10">
        <f>+(IF(P1009="PUBLICA(1)",1,IF(P1009="USO INTERNO(2)",2,IF(P1009="RESTRINGIDO(3)",3,3))))+(IF(Q1009="BAJA(1)",1,IF(Q1009="MEDIA(2)",2,IF(Q1009="ALTA(3)",3,3))))+(IF(R1009="BAJA(1)",1,IF(R1009="MEDIA(2)",2,IF(R1009="ALTA(3)",3,3))))</f>
        <v/>
      </c>
      <c r="T1009" s="10">
        <f>+IF(S1009&lt;6,"BAJA",IF(S1009&lt;8,"MEDIA","ALTA"))</f>
        <v/>
      </c>
      <c r="U1009" s="10" t="inlineStr">
        <is>
          <t>-</t>
        </is>
      </c>
      <c r="V1009" s="24" t="n">
        <v>45703</v>
      </c>
      <c r="W1009" s="19" t="inlineStr">
        <is>
          <t>N/A</t>
        </is>
      </c>
      <c r="X1009" s="10">
        <f>+IFERROR(IF(VLOOKUP(Tabla2[[#This Row],[ID]],'EVALUACION DE RIESGO'!A:A,1,FALSE)=Tabla2[[#This Row],[ID]],"SI","NO"),"NO")</f>
        <v/>
      </c>
      <c r="AD1009">
        <f>IF(AND(Y1009="",AA1009=""),"",IF(OR(LEFT(AA1009,2)="L0",LEFT(AA1009,2)="L1",Y1009="No Iniciado"),"CRÍTICO - Incumplimiento Normativo SEPS",IF(AND(OR(LEFT(AA1009,2)="L4",LEFT(AA1009,2)="L5"),AND(AC1009&lt;&gt;"",AC1009&lt;&gt;"N/A")),"CONFORME - Control Efectivo ISO 27001","OBSERVACIÓN - Revisar Controles")))</f>
        <v/>
      </c>
    </row>
    <row r="1010">
      <c r="A1010" s="99" t="inlineStr">
        <is>
          <t>10-GJU</t>
        </is>
      </c>
      <c r="B1010" s="10" t="inlineStr">
        <is>
          <t>APOYO</t>
        </is>
      </c>
      <c r="C1010" s="10" t="inlineStr">
        <is>
          <t xml:space="preserve">Gestión Jurídica </t>
        </is>
      </c>
      <c r="D1010" s="10" t="inlineStr">
        <is>
          <t>GJU</t>
        </is>
      </c>
      <c r="E1010" s="10" t="inlineStr">
        <is>
          <t xml:space="preserve"> Gestión Administración Legal</t>
        </is>
      </c>
      <c r="F1010" s="10" t="inlineStr">
        <is>
          <t>-</t>
        </is>
      </c>
      <c r="G1010" s="10" t="inlineStr">
        <is>
          <t>Ingreso de oficios o requerimientos de entidades públicas, privadas o personas naturales</t>
        </is>
      </c>
      <c r="H1010" s="10" t="inlineStr">
        <is>
          <t>Oficio de respuesta</t>
        </is>
      </c>
      <c r="I1010" s="10" t="inlineStr">
        <is>
          <t>Oficio que se contiene la información de la entidad, dondo contestación al requerimiento realizado mismo que es firmado por el Gerente Jurídico</t>
        </is>
      </c>
      <c r="J1010" s="10" t="inlineStr">
        <is>
          <t xml:space="preserve">Gerente Jurídico </t>
        </is>
      </c>
      <c r="K1010" s="10" t="inlineStr">
        <is>
          <t>Analista Juridico</t>
        </is>
      </c>
      <c r="L1010" s="10" t="inlineStr">
        <is>
          <t>DOCUMENTOS FISICOS-ARCHIVOS DE LA OFICINA</t>
        </is>
      </c>
      <c r="M1010" s="10" t="inlineStr">
        <is>
          <t>DOCUMENTO DE ARCHIVO-FÍSICO</t>
        </is>
      </c>
      <c r="N1010" s="10" t="inlineStr">
        <is>
          <t>PRIMARIOS</t>
        </is>
      </c>
      <c r="O1010" s="10" t="inlineStr">
        <is>
          <t>DOCUMENTOS HABILITANTES</t>
        </is>
      </c>
      <c r="P1010" s="10" t="inlineStr">
        <is>
          <t>USO INTERNO(2)</t>
        </is>
      </c>
      <c r="Q1010" s="10" t="inlineStr">
        <is>
          <t>BAJA(1)</t>
        </is>
      </c>
      <c r="R1010" s="10" t="inlineStr">
        <is>
          <t>MEDIA(2)</t>
        </is>
      </c>
      <c r="S1010" s="10">
        <f>+(IF(P1010="PUBLICA(1)",1,IF(P1010="USO INTERNO(2)",2,IF(P1010="RESTRINGIDO(3)",3,3))))+(IF(Q1010="BAJA(1)",1,IF(Q1010="MEDIA(2)",2,IF(Q1010="ALTA(3)",3,3))))+(IF(R1010="BAJA(1)",1,IF(R1010="MEDIA(2)",2,IF(R1010="ALTA(3)",3,3))))</f>
        <v/>
      </c>
      <c r="T1010" s="10">
        <f>+IF(S1010&lt;6,"BAJA",IF(S1010&lt;8,"MEDIA","ALTA"))</f>
        <v/>
      </c>
      <c r="U1010" s="10" t="inlineStr">
        <is>
          <t>-</t>
        </is>
      </c>
      <c r="V1010" s="24" t="n">
        <v>45704</v>
      </c>
      <c r="W1010" s="19" t="inlineStr">
        <is>
          <t>N/A</t>
        </is>
      </c>
      <c r="X1010" s="10">
        <f>+IFERROR(IF(VLOOKUP(Tabla2[[#This Row],[ID]],'EVALUACION DE RIESGO'!A:A,1,FALSE)=Tabla2[[#This Row],[ID]],"SI","NO"),"NO")</f>
        <v/>
      </c>
      <c r="AD1010">
        <f>IF(AND(Y1010="",AA1010=""),"",IF(OR(LEFT(AA1010,2)="L0",LEFT(AA1010,2)="L1",Y1010="No Iniciado"),"CRÍTICO - Incumplimiento Normativo SEPS",IF(AND(OR(LEFT(AA1010,2)="L4",LEFT(AA1010,2)="L5"),AND(AC1010&lt;&gt;"",AC1010&lt;&gt;"N/A")),"CONFORME - Control Efectivo ISO 27001","OBSERVACIÓN - Revisar Controles")))</f>
        <v/>
      </c>
    </row>
    <row r="1011">
      <c r="A1011" s="99" t="inlineStr">
        <is>
          <t>11-GJU</t>
        </is>
      </c>
      <c r="B1011" s="10" t="inlineStr">
        <is>
          <t>APOYO</t>
        </is>
      </c>
      <c r="C1011" s="10" t="inlineStr">
        <is>
          <t xml:space="preserve">Gestión Jurídica </t>
        </is>
      </c>
      <c r="D1011" s="10" t="inlineStr">
        <is>
          <t>GJU</t>
        </is>
      </c>
      <c r="E1011" s="10" t="inlineStr">
        <is>
          <t xml:space="preserve"> Gestión Administración Legal</t>
        </is>
      </c>
      <c r="F1011" s="10" t="inlineStr">
        <is>
          <t>-</t>
        </is>
      </c>
      <c r="G1011" s="10" t="inlineStr">
        <is>
          <t>Revisión y validación de Instrumentos legales</t>
        </is>
      </c>
      <c r="H1011" s="10" t="inlineStr">
        <is>
          <t>Sumilla de viabilidad legal</t>
        </is>
      </c>
      <c r="I1011" s="10" t="inlineStr">
        <is>
          <t>Respuesta de validación enviada por correo electrónico al requerimiento recibido.</t>
        </is>
      </c>
      <c r="J1011" s="10" t="inlineStr">
        <is>
          <t xml:space="preserve">Gerente Jurídico </t>
        </is>
      </c>
      <c r="K1011" s="10" t="inlineStr">
        <is>
          <t>Asistente Juridico</t>
        </is>
      </c>
      <c r="L1011" s="10" t="inlineStr">
        <is>
          <t>UBICACIÓN DIGITAL-EQUIPO DEL CUSTODIO</t>
        </is>
      </c>
      <c r="M1011" s="10" t="inlineStr">
        <is>
          <t>DOCUMENTO DE ARCHIVO-ELECTRÓNICO</t>
        </is>
      </c>
      <c r="N1011" s="10" t="inlineStr">
        <is>
          <t>PRIMARIOS</t>
        </is>
      </c>
      <c r="O1011" s="10" t="inlineStr">
        <is>
          <t>DOCUMENTOS HABILITANTES</t>
        </is>
      </c>
      <c r="P1011" s="10" t="inlineStr">
        <is>
          <t>USO INTERNO(2)</t>
        </is>
      </c>
      <c r="Q1011" s="10" t="inlineStr">
        <is>
          <t>BAJA(1)</t>
        </is>
      </c>
      <c r="R1011" s="10" t="inlineStr">
        <is>
          <t>MEDIA(2)</t>
        </is>
      </c>
      <c r="S1011" s="10">
        <f>+(IF(P1011="PUBLICA(1)",1,IF(P1011="USO INTERNO(2)",2,IF(P1011="RESTRINGIDO(3)",3,3))))+(IF(Q1011="BAJA(1)",1,IF(Q1011="MEDIA(2)",2,IF(Q1011="ALTA(3)",3,3))))+(IF(R1011="BAJA(1)",1,IF(R1011="MEDIA(2)",2,IF(R1011="ALTA(3)",3,3))))</f>
        <v/>
      </c>
      <c r="T1011" s="10">
        <f>+IF(S1011&lt;6,"BAJA",IF(S1011&lt;8,"MEDIA","ALTA"))</f>
        <v/>
      </c>
      <c r="U1011" s="10" t="inlineStr">
        <is>
          <t>-</t>
        </is>
      </c>
      <c r="V1011" s="24" t="n">
        <v>45705</v>
      </c>
      <c r="W1011" s="19" t="inlineStr">
        <is>
          <t>N/A</t>
        </is>
      </c>
      <c r="X1011" s="10">
        <f>+IFERROR(IF(VLOOKUP(Tabla2[[#This Row],[ID]],'EVALUACION DE RIESGO'!A:A,1,FALSE)=Tabla2[[#This Row],[ID]],"SI","NO"),"NO")</f>
        <v/>
      </c>
      <c r="AD1011">
        <f>IF(AND(Y1011="",AA1011=""),"",IF(OR(LEFT(AA1011,2)="L0",LEFT(AA1011,2)="L1",Y1011="No Iniciado"),"CRÍTICO - Incumplimiento Normativo SEPS",IF(AND(OR(LEFT(AA1011,2)="L4",LEFT(AA1011,2)="L5"),AND(AC1011&lt;&gt;"",AC1011&lt;&gt;"N/A")),"CONFORME - Control Efectivo ISO 27001","OBSERVACIÓN - Revisar Controles")))</f>
        <v/>
      </c>
    </row>
    <row r="1012">
      <c r="A1012" s="99" t="inlineStr">
        <is>
          <t>12-GJU</t>
        </is>
      </c>
      <c r="B1012" s="10" t="inlineStr">
        <is>
          <t>APOYO</t>
        </is>
      </c>
      <c r="C1012" s="10" t="inlineStr">
        <is>
          <t xml:space="preserve">Gestión Jurídica </t>
        </is>
      </c>
      <c r="D1012" s="10" t="inlineStr">
        <is>
          <t>GJU</t>
        </is>
      </c>
      <c r="E1012" s="10" t="inlineStr">
        <is>
          <t xml:space="preserve"> Gestión Administración Legal</t>
        </is>
      </c>
      <c r="F1012" s="10" t="inlineStr">
        <is>
          <t>-</t>
        </is>
      </c>
      <c r="G1012" s="10" t="inlineStr">
        <is>
          <t>Control y Gestión de Providencias Judiciales y Coactivas</t>
        </is>
      </c>
      <c r="H1012" s="10" t="inlineStr">
        <is>
          <t>Informe de control de providencias judiciales y coactivas</t>
        </is>
      </c>
      <c r="I1012" s="10" t="inlineStr">
        <is>
          <t>Anexo de control de providencias que se agrega al informe mensual, contiene numero de circular de la SEPS, expediente, fecha oficio, tiempo de respuesta, ente emisor, ciudad, remitente, juicio, nombre del cliente, valor, saldo de la cuenta.</t>
        </is>
      </c>
      <c r="J1012" s="10" t="inlineStr">
        <is>
          <t xml:space="preserve">Gerente Jurídico </t>
        </is>
      </c>
      <c r="K1012" s="10" t="inlineStr">
        <is>
          <t>Asistente Juridico</t>
        </is>
      </c>
      <c r="L1012" s="10" t="inlineStr">
        <is>
          <t>UBICACIÓN DIGITAL-EQUIPO DEL CUSTODIO</t>
        </is>
      </c>
      <c r="M1012" s="10" t="inlineStr">
        <is>
          <t>DOCUMENTO DE ARCHIVO-ELECTRÓNICO</t>
        </is>
      </c>
      <c r="N1012" s="10" t="inlineStr">
        <is>
          <t>PRIMARIOS</t>
        </is>
      </c>
      <c r="O1012" s="10" t="inlineStr">
        <is>
          <t>DOCUMENTOS TÉCNICOS</t>
        </is>
      </c>
      <c r="P1012" s="10" t="inlineStr">
        <is>
          <t>RESTRINGIDO(3)</t>
        </is>
      </c>
      <c r="Q1012" s="10" t="inlineStr">
        <is>
          <t>MEDIA(2)</t>
        </is>
      </c>
      <c r="R1012" s="10" t="inlineStr">
        <is>
          <t>MEDIA(2)</t>
        </is>
      </c>
      <c r="S1012" s="10">
        <f>+(IF(P1012="PUBLICA(1)",1,IF(P1012="USO INTERNO(2)",2,IF(P1012="RESTRINGIDO(3)",3,3))))+(IF(Q1012="BAJA(1)",1,IF(Q1012="MEDIA(2)",2,IF(Q1012="ALTA(3)",3,3))))+(IF(R1012="BAJA(1)",1,IF(R1012="MEDIA(2)",2,IF(R1012="ALTA(3)",3,3))))</f>
        <v/>
      </c>
      <c r="T1012" s="10">
        <f>+IF(S1012&lt;6,"BAJA",IF(S1012&lt;8,"MEDIA","ALTA"))</f>
        <v/>
      </c>
      <c r="U1012" s="10" t="inlineStr">
        <is>
          <t>-</t>
        </is>
      </c>
      <c r="V1012" s="24" t="n">
        <v>45706</v>
      </c>
      <c r="W1012" s="19" t="inlineStr">
        <is>
          <t>N/A</t>
        </is>
      </c>
      <c r="X1012" s="10">
        <f>+IFERROR(IF(VLOOKUP(Tabla2[[#This Row],[ID]],'EVALUACION DE RIESGO'!A:A,1,FALSE)=Tabla2[[#This Row],[ID]],"SI","NO"),"NO")</f>
        <v/>
      </c>
      <c r="AD1012">
        <f>IF(AND(Y1012="",AA1012=""),"",IF(OR(LEFT(AA1012,2)="L0",LEFT(AA1012,2)="L1",Y1012="No Iniciado"),"CRÍTICO - Incumplimiento Normativo SEPS",IF(AND(OR(LEFT(AA1012,2)="L4",LEFT(AA1012,2)="L5"),AND(AC1012&lt;&gt;"",AC1012&lt;&gt;"N/A")),"CONFORME - Control Efectivo ISO 27001","OBSERVACIÓN - Revisar Controles")))</f>
        <v/>
      </c>
    </row>
    <row r="1013">
      <c r="A1013" s="99" t="inlineStr">
        <is>
          <t>13-GJU</t>
        </is>
      </c>
      <c r="B1013" s="10" t="inlineStr">
        <is>
          <t>APOYO</t>
        </is>
      </c>
      <c r="C1013" s="10" t="inlineStr">
        <is>
          <t xml:space="preserve">Gestión Jurídica </t>
        </is>
      </c>
      <c r="D1013" s="10" t="inlineStr">
        <is>
          <t>GJU</t>
        </is>
      </c>
      <c r="E1013" s="10" t="inlineStr">
        <is>
          <t xml:space="preserve"> Gestión Administración Legal</t>
        </is>
      </c>
      <c r="F1013" s="10" t="inlineStr">
        <is>
          <t>-</t>
        </is>
      </c>
      <c r="G1013" s="10" t="inlineStr">
        <is>
          <t>Reporte de Bitácora Normativa</t>
        </is>
      </c>
      <c r="H1013" s="10" t="inlineStr">
        <is>
          <t>Bitácora de normativa</t>
        </is>
      </c>
      <c r="I1013" s="10" t="inlineStr">
        <is>
          <t>Correo enviado de normas actualizadas donde se detalla la normativa se adjunta el documento de la SEPS</t>
        </is>
      </c>
      <c r="J1013" s="10" t="inlineStr">
        <is>
          <t xml:space="preserve">Gerente Jurídico </t>
        </is>
      </c>
      <c r="K1013" s="10" t="inlineStr">
        <is>
          <t>Asistente Juridico</t>
        </is>
      </c>
      <c r="L1013" s="10" t="inlineStr">
        <is>
          <t>UBICACIÓN DIGITAL-EQUIPO DEL CUSTODIO</t>
        </is>
      </c>
      <c r="M1013" s="10" t="inlineStr">
        <is>
          <t>DOCUMENTO DE ARCHIVO-ELECTRÓNICO</t>
        </is>
      </c>
      <c r="N1013" s="10" t="inlineStr">
        <is>
          <t>PRIMARIOS</t>
        </is>
      </c>
      <c r="O1013" s="10" t="inlineStr">
        <is>
          <t>DOCUMENTOS TÉCNICOS</t>
        </is>
      </c>
      <c r="P1013" s="10" t="inlineStr">
        <is>
          <t>USO INTERNO(2)</t>
        </is>
      </c>
      <c r="Q1013" s="10" t="inlineStr">
        <is>
          <t>BAJA(1)</t>
        </is>
      </c>
      <c r="R1013" s="10" t="inlineStr">
        <is>
          <t>MEDIA(2)</t>
        </is>
      </c>
      <c r="S1013" s="10">
        <f>+(IF(P1013="PUBLICA(1)",1,IF(P1013="USO INTERNO(2)",2,IF(P1013="RESTRINGIDO(3)",3,3))))+(IF(Q1013="BAJA(1)",1,IF(Q1013="MEDIA(2)",2,IF(Q1013="ALTA(3)",3,3))))+(IF(R1013="BAJA(1)",1,IF(R1013="MEDIA(2)",2,IF(R1013="ALTA(3)",3,3))))</f>
        <v/>
      </c>
      <c r="T1013" s="10">
        <f>+IF(S1013&lt;6,"BAJA",IF(S1013&lt;8,"MEDIA","ALTA"))</f>
        <v/>
      </c>
      <c r="U1013" s="10" t="inlineStr">
        <is>
          <t>-</t>
        </is>
      </c>
      <c r="V1013" s="24" t="n">
        <v>45708</v>
      </c>
      <c r="W1013" s="19" t="inlineStr">
        <is>
          <t>N/A</t>
        </is>
      </c>
      <c r="X1013" s="10">
        <f>+IFERROR(IF(VLOOKUP(Tabla2[[#This Row],[ID]],'EVALUACION DE RIESGO'!A:A,1,FALSE)=Tabla2[[#This Row],[ID]],"SI","NO"),"NO")</f>
        <v/>
      </c>
      <c r="AD1013">
        <f>IF(AND(Y1013="",AA1013=""),"",IF(OR(LEFT(AA1013,2)="L0",LEFT(AA1013,2)="L1",Y1013="No Iniciado"),"CRÍTICO - Incumplimiento Normativo SEPS",IF(AND(OR(LEFT(AA1013,2)="L4",LEFT(AA1013,2)="L5"),AND(AC1013&lt;&gt;"",AC1013&lt;&gt;"N/A")),"CONFORME - Control Efectivo ISO 27001","OBSERVACIÓN - Revisar Controles")))</f>
        <v/>
      </c>
    </row>
    <row r="1014">
      <c r="A1014" s="99" t="inlineStr">
        <is>
          <t>14-GJU</t>
        </is>
      </c>
      <c r="B1014" s="10" t="inlineStr">
        <is>
          <t>APOYO</t>
        </is>
      </c>
      <c r="C1014" s="10" t="inlineStr">
        <is>
          <t xml:space="preserve">Gestión Jurídica </t>
        </is>
      </c>
      <c r="D1014" s="10" t="inlineStr">
        <is>
          <t>GJU</t>
        </is>
      </c>
      <c r="E1014" s="10" t="inlineStr">
        <is>
          <t xml:space="preserve"> Gestión Administración Legal</t>
        </is>
      </c>
      <c r="F1014" s="10" t="inlineStr">
        <is>
          <t>-</t>
        </is>
      </c>
      <c r="G1014" s="10" t="inlineStr">
        <is>
          <t>Legalización de Cesión de Derechos</t>
        </is>
      </c>
      <c r="H1014" s="10" t="inlineStr">
        <is>
          <t>Cesión de derechos</t>
        </is>
      </c>
      <c r="I1014" s="10" t="inlineStr">
        <is>
          <t>Anexo a una escritura donde se dictamina la sesion del derecho.</t>
        </is>
      </c>
      <c r="J1014" s="10" t="inlineStr">
        <is>
          <t xml:space="preserve">Gerente Jurídico </t>
        </is>
      </c>
      <c r="K1014" s="10" t="inlineStr">
        <is>
          <t>Asistente Juridico</t>
        </is>
      </c>
      <c r="L1014" s="10" t="inlineStr">
        <is>
          <t>DOCUMENTOS FISICOS-ARCHIVOS DE LA OFICINA</t>
        </is>
      </c>
      <c r="M1014" s="10" t="inlineStr">
        <is>
          <t>DOCUMENTO DE ARCHIVO-FÍSICO</t>
        </is>
      </c>
      <c r="N1014" s="10" t="inlineStr">
        <is>
          <t>PRIMARIOS</t>
        </is>
      </c>
      <c r="O1014" s="10" t="inlineStr">
        <is>
          <t>DOCUMENTOS HABILITANTES</t>
        </is>
      </c>
      <c r="P1014" s="10" t="inlineStr">
        <is>
          <t>RESTRINGIDO(3)</t>
        </is>
      </c>
      <c r="Q1014" s="10" t="inlineStr">
        <is>
          <t>BAJA(1)</t>
        </is>
      </c>
      <c r="R1014" s="10" t="inlineStr">
        <is>
          <t>ALTA(3)</t>
        </is>
      </c>
      <c r="S1014" s="10">
        <f>+(IF(P1014="PUBLICA(1)",1,IF(P1014="USO INTERNO(2)",2,IF(P1014="RESTRINGIDO(3)",3,3))))+(IF(Q1014="BAJA(1)",1,IF(Q1014="MEDIA(2)",2,IF(Q1014="ALTA(3)",3,3))))+(IF(R1014="BAJA(1)",1,IF(R1014="MEDIA(2)",2,IF(R1014="ALTA(3)",3,3))))</f>
        <v/>
      </c>
      <c r="T1014" s="10">
        <f>+IF(S1014&lt;6,"BAJA",IF(S1014&lt;8,"MEDIA","ALTA"))</f>
        <v/>
      </c>
      <c r="U1014" s="10" t="inlineStr">
        <is>
          <t>-</t>
        </is>
      </c>
      <c r="V1014" s="24" t="n">
        <v>45709</v>
      </c>
      <c r="W1014" s="19" t="inlineStr">
        <is>
          <t>N/A</t>
        </is>
      </c>
      <c r="X1014" s="10">
        <f>+IFERROR(IF(VLOOKUP(Tabla2[[#This Row],[ID]],'EVALUACION DE RIESGO'!A:A,1,FALSE)=Tabla2[[#This Row],[ID]],"SI","NO"),"NO")</f>
        <v/>
      </c>
      <c r="AD1014">
        <f>IF(AND(Y1014="",AA1014=""),"",IF(OR(LEFT(AA1014,2)="L0",LEFT(AA1014,2)="L1",Y1014="No Iniciado"),"CRÍTICO - Incumplimiento Normativo SEPS",IF(AND(OR(LEFT(AA1014,2)="L4",LEFT(AA1014,2)="L5"),AND(AC1014&lt;&gt;"",AC1014&lt;&gt;"N/A")),"CONFORME - Control Efectivo ISO 27001","OBSERVACIÓN - Revisar Controles")))</f>
        <v/>
      </c>
    </row>
    <row r="1015">
      <c r="A1015" s="99" t="inlineStr">
        <is>
          <t>15-GJU</t>
        </is>
      </c>
      <c r="B1015" s="10" t="inlineStr">
        <is>
          <t>APOYO</t>
        </is>
      </c>
      <c r="C1015" s="10" t="inlineStr">
        <is>
          <t xml:space="preserve">Gestión Jurídica </t>
        </is>
      </c>
      <c r="D1015" s="10" t="inlineStr">
        <is>
          <t>GJU</t>
        </is>
      </c>
      <c r="E1015" s="10" t="inlineStr">
        <is>
          <t xml:space="preserve"> Gestión Administración Legal</t>
        </is>
      </c>
      <c r="F1015" s="10" t="inlineStr">
        <is>
          <t>-</t>
        </is>
      </c>
      <c r="G1015" s="10" t="inlineStr">
        <is>
          <t xml:space="preserve">Elaboración de informes mensuales        </t>
        </is>
      </c>
      <c r="H1015" s="10" t="inlineStr">
        <is>
          <t>Informes mensuales</t>
        </is>
      </c>
      <c r="I1015" s="10" t="inlineStr">
        <is>
          <t>Documentación de gestión del area, alcance, gestion del dep jurdico, gestion de cartera, creditos vinculados, creditos condonados, gestion administartiva, procesos judiciales de riesgo elgal y coactivas de la SEPS y anexos</t>
        </is>
      </c>
      <c r="J1015" s="10" t="inlineStr">
        <is>
          <t xml:space="preserve">Gerente Jurídico </t>
        </is>
      </c>
      <c r="K1015" s="10" t="inlineStr">
        <is>
          <t>Asistente Juridico</t>
        </is>
      </c>
      <c r="L1015" s="10" t="inlineStr">
        <is>
          <t>UBICACIÓN DIGITAL-EQUIPO DEL CUSTODIO</t>
        </is>
      </c>
      <c r="M1015" s="10" t="inlineStr">
        <is>
          <t>DOCUMENTO DE ARCHIVO-ELECTRÓNICO</t>
        </is>
      </c>
      <c r="N1015" s="10" t="inlineStr">
        <is>
          <t>PRIMARIOS</t>
        </is>
      </c>
      <c r="O1015" s="10" t="inlineStr">
        <is>
          <t>DOCUMENTOS TÉCNICOS</t>
        </is>
      </c>
      <c r="P1015" s="10" t="inlineStr">
        <is>
          <t>USO INTERNO(2)</t>
        </is>
      </c>
      <c r="Q1015" s="10" t="inlineStr">
        <is>
          <t>BAJA(1)</t>
        </is>
      </c>
      <c r="R1015" s="10" t="inlineStr">
        <is>
          <t>MEDIA(2)</t>
        </is>
      </c>
      <c r="S1015" s="10">
        <f>+(IF(P1015="PUBLICA(1)",1,IF(P1015="USO INTERNO(2)",2,IF(P1015="RESTRINGIDO(3)",3,3))))+(IF(Q1015="BAJA(1)",1,IF(Q1015="MEDIA(2)",2,IF(Q1015="ALTA(3)",3,3))))+(IF(R1015="BAJA(1)",1,IF(R1015="MEDIA(2)",2,IF(R1015="ALTA(3)",3,3))))</f>
        <v/>
      </c>
      <c r="T1015" s="10">
        <f>+IF(S1015&lt;6,"BAJA",IF(S1015&lt;8,"MEDIA","ALTA"))</f>
        <v/>
      </c>
      <c r="U1015" s="10" t="inlineStr">
        <is>
          <t>-</t>
        </is>
      </c>
      <c r="V1015" s="24" t="n">
        <v>45710</v>
      </c>
      <c r="W1015" s="19" t="inlineStr">
        <is>
          <t>N/A</t>
        </is>
      </c>
      <c r="X1015" s="10">
        <f>+IFERROR(IF(VLOOKUP(Tabla2[[#This Row],[ID]],'EVALUACION DE RIESGO'!A:A,1,FALSE)=Tabla2[[#This Row],[ID]],"SI","NO"),"NO")</f>
        <v/>
      </c>
      <c r="AD1015">
        <f>IF(AND(Y1015="",AA1015=""),"",IF(OR(LEFT(AA1015,2)="L0",LEFT(AA1015,2)="L1",Y1015="No Iniciado"),"CRÍTICO - Incumplimiento Normativo SEPS",IF(AND(OR(LEFT(AA1015,2)="L4",LEFT(AA1015,2)="L5"),AND(AC1015&lt;&gt;"",AC1015&lt;&gt;"N/A")),"CONFORME - Control Efectivo ISO 27001","OBSERVACIÓN - Revisar Controles")))</f>
        <v/>
      </c>
    </row>
    <row r="1016">
      <c r="A1016" s="99" t="inlineStr">
        <is>
          <t>16-GJU</t>
        </is>
      </c>
      <c r="B1016" s="10" t="inlineStr">
        <is>
          <t>APOYO</t>
        </is>
      </c>
      <c r="C1016" s="10" t="inlineStr">
        <is>
          <t xml:space="preserve">Gestión Jurídica </t>
        </is>
      </c>
      <c r="D1016" s="10" t="inlineStr">
        <is>
          <t>GJU</t>
        </is>
      </c>
      <c r="E1016" s="10" t="inlineStr">
        <is>
          <t xml:space="preserve"> Gestión Administración Legal</t>
        </is>
      </c>
      <c r="F1016" s="10" t="inlineStr">
        <is>
          <t>-</t>
        </is>
      </c>
      <c r="G1016" s="10" t="inlineStr">
        <is>
          <t>Solicitudes, autorizaciones y consultas a los organismos de control</t>
        </is>
      </c>
      <c r="H1016" s="10" t="inlineStr">
        <is>
          <t>Oficio de contestación</t>
        </is>
      </c>
      <c r="I1016" s="10" t="inlineStr">
        <is>
          <t>Oficio de requerimiento gestionado con los entes externos donde se indica la resolución y las consultas realizadas de acuerdo a la norma establecida, en el caso que sea una queja se desarrolla todo el detalle de la queja y respaldos necesarios</t>
        </is>
      </c>
      <c r="J1016" s="10" t="inlineStr">
        <is>
          <t xml:space="preserve">Gerente Jurídico </t>
        </is>
      </c>
      <c r="K1016" s="10" t="inlineStr">
        <is>
          <t>Asistente Juridico</t>
        </is>
      </c>
      <c r="L1016" s="10" t="inlineStr">
        <is>
          <t>UBICACIÓN DIGITAL-EQUIPO DEL CUSTODIO</t>
        </is>
      </c>
      <c r="M1016" s="10" t="inlineStr">
        <is>
          <t>DOCUMENTO DE ARCHIVO-ELECTRÓNICO</t>
        </is>
      </c>
      <c r="N1016" s="10" t="inlineStr">
        <is>
          <t>PRIMARIOS</t>
        </is>
      </c>
      <c r="O1016" s="10" t="inlineStr">
        <is>
          <t>DOCUMENTOS HABILITANTES</t>
        </is>
      </c>
      <c r="P1016" s="10" t="inlineStr">
        <is>
          <t>USO INTERNO(2)</t>
        </is>
      </c>
      <c r="Q1016" s="10" t="inlineStr">
        <is>
          <t>BAJA(1)</t>
        </is>
      </c>
      <c r="R1016" s="10" t="inlineStr">
        <is>
          <t>MEDIA(2)</t>
        </is>
      </c>
      <c r="S1016" s="10">
        <f>+(IF(P1016="PUBLICA(1)",1,IF(P1016="USO INTERNO(2)",2,IF(P1016="RESTRINGIDO(3)",3,3))))+(IF(Q1016="BAJA(1)",1,IF(Q1016="MEDIA(2)",2,IF(Q1016="ALTA(3)",3,3))))+(IF(R1016="BAJA(1)",1,IF(R1016="MEDIA(2)",2,IF(R1016="ALTA(3)",3,3))))</f>
        <v/>
      </c>
      <c r="T1016" s="10">
        <f>+IF(S1016&lt;6,"BAJA",IF(S1016&lt;8,"MEDIA","ALTA"))</f>
        <v/>
      </c>
      <c r="U1016" s="10" t="inlineStr">
        <is>
          <t>-</t>
        </is>
      </c>
      <c r="V1016" s="24" t="n">
        <v>45711</v>
      </c>
      <c r="W1016" s="19" t="inlineStr">
        <is>
          <t>N/A</t>
        </is>
      </c>
      <c r="X1016" s="10">
        <f>+IFERROR(IF(VLOOKUP(Tabla2[[#This Row],[ID]],'EVALUACION DE RIESGO'!A:A,1,FALSE)=Tabla2[[#This Row],[ID]],"SI","NO"),"NO")</f>
        <v/>
      </c>
      <c r="AD1016">
        <f>IF(AND(Y1016="",AA1016=""),"",IF(OR(LEFT(AA1016,2)="L0",LEFT(AA1016,2)="L1",Y1016="No Iniciado"),"CRÍTICO - Incumplimiento Normativo SEPS",IF(AND(OR(LEFT(AA1016,2)="L4",LEFT(AA1016,2)="L5"),AND(AC1016&lt;&gt;"",AC1016&lt;&gt;"N/A")),"CONFORME - Control Efectivo ISO 27001","OBSERVACIÓN - Revisar Controles")))</f>
        <v/>
      </c>
    </row>
    <row r="1017">
      <c r="A1017" s="99" t="inlineStr">
        <is>
          <t>17-GJU</t>
        </is>
      </c>
      <c r="B1017" s="10" t="inlineStr">
        <is>
          <t>APOYO</t>
        </is>
      </c>
      <c r="C1017" s="10" t="inlineStr">
        <is>
          <t xml:space="preserve">Gestión Jurídica </t>
        </is>
      </c>
      <c r="D1017" s="10" t="inlineStr">
        <is>
          <t>GJU</t>
        </is>
      </c>
      <c r="E1017" s="10" t="inlineStr">
        <is>
          <t xml:space="preserve"> Gestión Administración Legal</t>
        </is>
      </c>
      <c r="F1017" s="10" t="inlineStr">
        <is>
          <t>-</t>
        </is>
      </c>
      <c r="G1017" s="10" t="inlineStr">
        <is>
          <t>Revisión de polizas de seguros</t>
        </is>
      </c>
      <c r="H1017" s="10" t="inlineStr">
        <is>
          <t>Póliza de Seguros revisada</t>
        </is>
      </c>
      <c r="I1017" s="10" t="inlineStr">
        <is>
          <t>Documento validado de las contrataciones de seguros, valores de las primas, bien al que cubre, comparación de TDR propuesta del proveedor y las condiciones no hayan variado</t>
        </is>
      </c>
      <c r="J1017" s="10" t="inlineStr">
        <is>
          <t xml:space="preserve">Gerente Jurídico </t>
        </is>
      </c>
      <c r="K1017" s="10" t="inlineStr">
        <is>
          <t>Asistente Juridico</t>
        </is>
      </c>
      <c r="L1017" s="10" t="inlineStr">
        <is>
          <t>DOCUMENTOS FISICOS-ARCHIVOS DE LA OFICINA</t>
        </is>
      </c>
      <c r="M1017" s="10" t="inlineStr">
        <is>
          <t>DOCUMENTO DE ARCHIVO-FÍSICO</t>
        </is>
      </c>
      <c r="N1017" s="10" t="inlineStr">
        <is>
          <t>PRIMARIOS</t>
        </is>
      </c>
      <c r="O1017" s="10" t="inlineStr">
        <is>
          <t>DOCUMENTOS HABILITANTES</t>
        </is>
      </c>
      <c r="P1017" s="10" t="inlineStr">
        <is>
          <t>USO INTERNO(2)</t>
        </is>
      </c>
      <c r="Q1017" s="10" t="inlineStr">
        <is>
          <t>BAJA(1)</t>
        </is>
      </c>
      <c r="R1017" s="10" t="inlineStr">
        <is>
          <t>ALTA(3)</t>
        </is>
      </c>
      <c r="S1017" s="10">
        <f>+(IF(P1017="PUBLICA(1)",1,IF(P1017="USO INTERNO(2)",2,IF(P1017="RESTRINGIDO(3)",3,3))))+(IF(Q1017="BAJA(1)",1,IF(Q1017="MEDIA(2)",2,IF(Q1017="ALTA(3)",3,3))))+(IF(R1017="BAJA(1)",1,IF(R1017="MEDIA(2)",2,IF(R1017="ALTA(3)",3,3))))</f>
        <v/>
      </c>
      <c r="T1017" s="10">
        <f>+IF(S1017&lt;6,"BAJA",IF(S1017&lt;8,"MEDIA","ALTA"))</f>
        <v/>
      </c>
      <c r="U1017" s="10" t="inlineStr">
        <is>
          <t>-</t>
        </is>
      </c>
      <c r="V1017" s="24" t="n">
        <v>45712</v>
      </c>
      <c r="W1017" s="19" t="inlineStr">
        <is>
          <t>N/A</t>
        </is>
      </c>
      <c r="X1017" s="10">
        <f>+IFERROR(IF(VLOOKUP(Tabla2[[#This Row],[ID]],'EVALUACION DE RIESGO'!A:A,1,FALSE)=Tabla2[[#This Row],[ID]],"SI","NO"),"NO")</f>
        <v/>
      </c>
      <c r="AD1017">
        <f>IF(AND(Y1017="",AA1017=""),"",IF(OR(LEFT(AA1017,2)="L0",LEFT(AA1017,2)="L1",Y1017="No Iniciado"),"CRÍTICO - Incumplimiento Normativo SEPS",IF(AND(OR(LEFT(AA1017,2)="L4",LEFT(AA1017,2)="L5"),AND(AC1017&lt;&gt;"",AC1017&lt;&gt;"N/A")),"CONFORME - Control Efectivo ISO 27001","OBSERVACIÓN - Revisar Controles")))</f>
        <v/>
      </c>
    </row>
    <row r="1018">
      <c r="A1018" s="99" t="inlineStr">
        <is>
          <t>18-GJU</t>
        </is>
      </c>
      <c r="B1018" s="10" t="inlineStr">
        <is>
          <t>APOYO</t>
        </is>
      </c>
      <c r="C1018" s="10" t="inlineStr">
        <is>
          <t xml:space="preserve">Gestión Jurídica </t>
        </is>
      </c>
      <c r="D1018" s="10" t="inlineStr">
        <is>
          <t>GJU</t>
        </is>
      </c>
      <c r="E1018" s="10" t="inlineStr">
        <is>
          <t xml:space="preserve"> Gestión Administración Legal</t>
        </is>
      </c>
      <c r="F1018" s="10" t="inlineStr">
        <is>
          <t>-</t>
        </is>
      </c>
      <c r="G1018" s="10" t="inlineStr">
        <is>
          <t>Elaboración de contratos y adendas laborales</t>
        </is>
      </c>
      <c r="H1018" s="10" t="inlineStr">
        <is>
          <t>Contrato o adenda</t>
        </is>
      </c>
      <c r="I1018" s="10" t="inlineStr">
        <is>
          <t>Documento de contrato realizo por el área Juridica con el detalle del empleado y tipo de contrato, el documento se entrega al área de Talento Humano</t>
        </is>
      </c>
      <c r="J1018" s="10" t="inlineStr">
        <is>
          <t xml:space="preserve">Gerente Jurídico </t>
        </is>
      </c>
      <c r="K1018" s="10" t="inlineStr">
        <is>
          <t>Talento Humano</t>
        </is>
      </c>
      <c r="L1018" s="10" t="inlineStr">
        <is>
          <t>DOCUMENTOS FISICOS-ARCHIVOS DE LA OFICINA</t>
        </is>
      </c>
      <c r="M1018" s="10" t="inlineStr">
        <is>
          <t>DOCUMENTO DE ARCHIVO-FÍSICO</t>
        </is>
      </c>
      <c r="N1018" s="10" t="inlineStr">
        <is>
          <t>PRIMARIOS</t>
        </is>
      </c>
      <c r="O1018" s="10" t="inlineStr">
        <is>
          <t>DOCUMENTOS HABILITANTES</t>
        </is>
      </c>
      <c r="P1018" s="10" t="inlineStr">
        <is>
          <t>RESTRINGIDO(3)</t>
        </is>
      </c>
      <c r="Q1018" s="10" t="inlineStr">
        <is>
          <t>BAJA(1)</t>
        </is>
      </c>
      <c r="R1018" s="10" t="inlineStr">
        <is>
          <t>ALTA(3)</t>
        </is>
      </c>
      <c r="S1018" s="10">
        <f>+(IF(P1018="PUBLICA(1)",1,IF(P1018="USO INTERNO(2)",2,IF(P1018="RESTRINGIDO(3)",3,3))))+(IF(Q1018="BAJA(1)",1,IF(Q1018="MEDIA(2)",2,IF(Q1018="ALTA(3)",3,3))))+(IF(R1018="BAJA(1)",1,IF(R1018="MEDIA(2)",2,IF(R1018="ALTA(3)",3,3))))</f>
        <v/>
      </c>
      <c r="T1018" s="10">
        <f>+IF(S1018&lt;6,"BAJA",IF(S1018&lt;8,"MEDIA","ALTA"))</f>
        <v/>
      </c>
      <c r="U1018" s="10" t="inlineStr">
        <is>
          <t>-</t>
        </is>
      </c>
      <c r="V1018" s="24" t="n">
        <v>45713</v>
      </c>
      <c r="W1018" s="19" t="inlineStr">
        <is>
          <t>N/A</t>
        </is>
      </c>
      <c r="X1018" s="10">
        <f>+IFERROR(IF(VLOOKUP(Tabla2[[#This Row],[ID]],'EVALUACION DE RIESGO'!A:A,1,FALSE)=Tabla2[[#This Row],[ID]],"SI","NO"),"NO")</f>
        <v/>
      </c>
      <c r="AD1018">
        <f>IF(AND(Y1018="",AA1018=""),"",IF(OR(LEFT(AA1018,2)="L0",LEFT(AA1018,2)="L1",Y1018="No Iniciado"),"CRÍTICO - Incumplimiento Normativo SEPS",IF(AND(OR(LEFT(AA1018,2)="L4",LEFT(AA1018,2)="L5"),AND(AC1018&lt;&gt;"",AC1018&lt;&gt;"N/A")),"CONFORME - Control Efectivo ISO 27001","OBSERVACIÓN - Revisar Controles")))</f>
        <v/>
      </c>
    </row>
    <row r="1019">
      <c r="A1019" s="99" t="inlineStr">
        <is>
          <t>19-GJU</t>
        </is>
      </c>
      <c r="B1019" s="10" t="inlineStr">
        <is>
          <t>APOYO</t>
        </is>
      </c>
      <c r="C1019" s="10" t="inlineStr">
        <is>
          <t xml:space="preserve">Gestión Jurídica </t>
        </is>
      </c>
      <c r="D1019" s="10" t="inlineStr">
        <is>
          <t>GJU</t>
        </is>
      </c>
      <c r="E1019" s="10" t="inlineStr">
        <is>
          <t>Administración del Fondo Judicial</t>
        </is>
      </c>
      <c r="F1019" s="10" t="inlineStr">
        <is>
          <t>-</t>
        </is>
      </c>
      <c r="G1019" s="10" t="inlineStr">
        <is>
          <t>Designación de responsables del fondo judicial</t>
        </is>
      </c>
      <c r="H1019" s="10" t="inlineStr">
        <is>
          <t>Solicitud de acreditación del fondo judicial/registro contrable</t>
        </is>
      </c>
      <c r="I1019" s="10" t="inlineStr">
        <is>
          <t>Solcitud del fondo judicial realizada por correo electrónico indicando el valor de la acreditación</t>
        </is>
      </c>
      <c r="J1019" s="10" t="inlineStr">
        <is>
          <t xml:space="preserve">Gerente Jurídico </t>
        </is>
      </c>
      <c r="K1019" s="10" t="inlineStr">
        <is>
          <t>Analista Juridico</t>
        </is>
      </c>
      <c r="L1019" s="10" t="inlineStr">
        <is>
          <t>UBICACIÓN DIGITAL-EQUIPO DEL CUSTODIO</t>
        </is>
      </c>
      <c r="M1019" s="10" t="inlineStr">
        <is>
          <t>DOCUMENTO DE ARCHIVO-ELECTRÓNICO</t>
        </is>
      </c>
      <c r="N1019" s="10" t="inlineStr">
        <is>
          <t>PRIMARIOS</t>
        </is>
      </c>
      <c r="O1019" s="10" t="inlineStr">
        <is>
          <t>COMUNICACIÓN INTERNA</t>
        </is>
      </c>
      <c r="P1019" s="10" t="inlineStr">
        <is>
          <t>USO INTERNO(2)</t>
        </is>
      </c>
      <c r="Q1019" s="10" t="inlineStr">
        <is>
          <t>BAJA(1)</t>
        </is>
      </c>
      <c r="R1019" s="10" t="inlineStr">
        <is>
          <t>MEDIA(2)</t>
        </is>
      </c>
      <c r="S1019" s="10">
        <f>+(IF(P1019="PUBLICA(1)",1,IF(P1019="USO INTERNO(2)",2,IF(P1019="RESTRINGIDO(3)",3,3))))+(IF(Q1019="BAJA(1)",1,IF(Q1019="MEDIA(2)",2,IF(Q1019="ALTA(3)",3,3))))+(IF(R1019="BAJA(1)",1,IF(R1019="MEDIA(2)",2,IF(R1019="ALTA(3)",3,3))))</f>
        <v/>
      </c>
      <c r="T1019" s="10">
        <f>+IF(S1019&lt;6,"BAJA",IF(S1019&lt;8,"MEDIA","ALTA"))</f>
        <v/>
      </c>
      <c r="U1019" s="10" t="inlineStr">
        <is>
          <t>-</t>
        </is>
      </c>
      <c r="V1019" s="24" t="n">
        <v>45714</v>
      </c>
      <c r="W1019" s="19" t="inlineStr">
        <is>
          <t>N/A</t>
        </is>
      </c>
      <c r="X1019" s="10">
        <f>+IFERROR(IF(VLOOKUP(Tabla2[[#This Row],[ID]],'EVALUACION DE RIESGO'!A:A,1,FALSE)=Tabla2[[#This Row],[ID]],"SI","NO"),"NO")</f>
        <v/>
      </c>
      <c r="AD1019">
        <f>IF(AND(Y1019="",AA1019=""),"",IF(OR(LEFT(AA1019,2)="L0",LEFT(AA1019,2)="L1",Y1019="No Iniciado"),"CRÍTICO - Incumplimiento Normativo SEPS",IF(AND(OR(LEFT(AA1019,2)="L4",LEFT(AA1019,2)="L5"),AND(AC1019&lt;&gt;"",AC1019&lt;&gt;"N/A")),"CONFORME - Control Efectivo ISO 27001","OBSERVACIÓN - Revisar Controles")))</f>
        <v/>
      </c>
    </row>
    <row r="1020">
      <c r="A1020" s="99" t="inlineStr">
        <is>
          <t>20-GJU</t>
        </is>
      </c>
      <c r="B1020" s="10" t="inlineStr">
        <is>
          <t>APOYO</t>
        </is>
      </c>
      <c r="C1020" s="10" t="inlineStr">
        <is>
          <t xml:space="preserve">Gestión Jurídica </t>
        </is>
      </c>
      <c r="D1020" s="10" t="inlineStr">
        <is>
          <t>GJU</t>
        </is>
      </c>
      <c r="E1020" s="10" t="inlineStr">
        <is>
          <t>Administración del Fondo Judicial</t>
        </is>
      </c>
      <c r="F1020" s="10" t="inlineStr">
        <is>
          <t>-</t>
        </is>
      </c>
      <c r="G1020" s="10" t="inlineStr">
        <is>
          <t>Salida de dinero del fondo judicial</t>
        </is>
      </c>
      <c r="H1020" s="10" t="inlineStr">
        <is>
          <t>Recibos del fondo judicial / Facturas de diligencias judiciales</t>
        </is>
      </c>
      <c r="I1020" s="10" t="inlineStr">
        <is>
          <t>Documentos de recibidos y facturas que respaldan los valores de salida</t>
        </is>
      </c>
      <c r="J1020" s="10" t="inlineStr">
        <is>
          <t xml:space="preserve">Gerente Jurídico </t>
        </is>
      </c>
      <c r="K1020" s="10" t="inlineStr">
        <is>
          <t>Analista Juridico</t>
        </is>
      </c>
      <c r="L1020" s="10" t="inlineStr">
        <is>
          <t>DOCUMENTOS FISICOS-ARCHIVOS DE LA OFICINA</t>
        </is>
      </c>
      <c r="M1020" s="10" t="inlineStr">
        <is>
          <t>DOCUMENTO DE ARCHIVO-FÍSICO</t>
        </is>
      </c>
      <c r="N1020" s="10" t="inlineStr">
        <is>
          <t>PRIMARIOS</t>
        </is>
      </c>
      <c r="O1020" s="10" t="inlineStr">
        <is>
          <t>DOCUMENTOS HABILITANTES</t>
        </is>
      </c>
      <c r="P1020" s="10" t="inlineStr">
        <is>
          <t>USO INTERNO(2)</t>
        </is>
      </c>
      <c r="Q1020" s="10" t="inlineStr">
        <is>
          <t>BAJA(1)</t>
        </is>
      </c>
      <c r="R1020" s="10" t="inlineStr">
        <is>
          <t>MEDIA(2)</t>
        </is>
      </c>
      <c r="S1020" s="10">
        <f>+(IF(P1020="PUBLICA(1)",1,IF(P1020="USO INTERNO(2)",2,IF(P1020="RESTRINGIDO(3)",3,3))))+(IF(Q1020="BAJA(1)",1,IF(Q1020="MEDIA(2)",2,IF(Q1020="ALTA(3)",3,3))))+(IF(R1020="BAJA(1)",1,IF(R1020="MEDIA(2)",2,IF(R1020="ALTA(3)",3,3))))</f>
        <v/>
      </c>
      <c r="T1020" s="10">
        <f>+IF(S1020&lt;6,"BAJA",IF(S1020&lt;8,"MEDIA","ALTA"))</f>
        <v/>
      </c>
      <c r="U1020" s="10" t="inlineStr">
        <is>
          <t>-</t>
        </is>
      </c>
      <c r="V1020" s="24" t="n">
        <v>45714</v>
      </c>
      <c r="W1020" s="19" t="inlineStr">
        <is>
          <t>N/A</t>
        </is>
      </c>
      <c r="X1020" s="10">
        <f>+IFERROR(IF(VLOOKUP(Tabla2[[#This Row],[ID]],'EVALUACION DE RIESGO'!A:A,1,FALSE)=Tabla2[[#This Row],[ID]],"SI","NO"),"NO")</f>
        <v/>
      </c>
      <c r="AD1020">
        <f>IF(AND(Y1020="",AA1020=""),"",IF(OR(LEFT(AA1020,2)="L0",LEFT(AA1020,2)="L1",Y1020="No Iniciado"),"CRÍTICO - Incumplimiento Normativo SEPS",IF(AND(OR(LEFT(AA1020,2)="L4",LEFT(AA1020,2)="L5"),AND(AC1020&lt;&gt;"",AC1020&lt;&gt;"N/A")),"CONFORME - Control Efectivo ISO 27001","OBSERVACIÓN - Revisar Controles")))</f>
        <v/>
      </c>
    </row>
    <row r="1021">
      <c r="A1021" s="99" t="inlineStr">
        <is>
          <t>21-GJU</t>
        </is>
      </c>
      <c r="B1021" s="10" t="inlineStr">
        <is>
          <t>APOYO</t>
        </is>
      </c>
      <c r="C1021" s="10" t="inlineStr">
        <is>
          <t xml:space="preserve">Gestión Jurídica </t>
        </is>
      </c>
      <c r="D1021" s="10" t="inlineStr">
        <is>
          <t>GJU</t>
        </is>
      </c>
      <c r="E1021" s="10" t="inlineStr">
        <is>
          <t>Administración del Fondo Judicial</t>
        </is>
      </c>
      <c r="F1021" s="10" t="inlineStr">
        <is>
          <t>-</t>
        </is>
      </c>
      <c r="G1021" s="10" t="inlineStr">
        <is>
          <t>Reposición del fondo judicial</t>
        </is>
      </c>
      <c r="H1021" s="10" t="inlineStr">
        <is>
          <t>Reporte de ingreso de cuentas por cobrar</t>
        </is>
      </c>
      <c r="I1021" s="10" t="inlineStr">
        <is>
          <t>Reporte del sistema donde se indica a que socio, valor y concepto de carga el recargo</t>
        </is>
      </c>
      <c r="J1021" s="10" t="inlineStr">
        <is>
          <t xml:space="preserve">Gerente Jurídico </t>
        </is>
      </c>
      <c r="K1021" s="10" t="inlineStr">
        <is>
          <t>Analista Juridico</t>
        </is>
      </c>
      <c r="L1021" s="10" t="inlineStr">
        <is>
          <t>UBICACIÓN DIGITAL-EQUIPO DEL CUSTODIO</t>
        </is>
      </c>
      <c r="M1021" s="10" t="inlineStr">
        <is>
          <t>DOCUMENTO DE ARCHIVO-ELECTRÓNICO</t>
        </is>
      </c>
      <c r="N1021" s="10" t="inlineStr">
        <is>
          <t>PRIMARIOS</t>
        </is>
      </c>
      <c r="O1021" s="10" t="inlineStr">
        <is>
          <t>DOCUMENTOS TÉCNICOS</t>
        </is>
      </c>
      <c r="P1021" s="10" t="inlineStr">
        <is>
          <t>USO INTERNO(2)</t>
        </is>
      </c>
      <c r="Q1021" s="10" t="inlineStr">
        <is>
          <t>MEDIA(2)</t>
        </is>
      </c>
      <c r="R1021" s="10" t="inlineStr">
        <is>
          <t>MEDIA(2)</t>
        </is>
      </c>
      <c r="S1021" s="10">
        <f>+(IF(P1021="PUBLICA(1)",1,IF(P1021="USO INTERNO(2)",2,IF(P1021="RESTRINGIDO(3)",3,3))))+(IF(Q1021="BAJA(1)",1,IF(Q1021="MEDIA(2)",2,IF(Q1021="ALTA(3)",3,3))))+(IF(R1021="BAJA(1)",1,IF(R1021="MEDIA(2)",2,IF(R1021="ALTA(3)",3,3))))</f>
        <v/>
      </c>
      <c r="T1021" s="10">
        <f>+IF(S1021&lt;6,"BAJA",IF(S1021&lt;8,"MEDIA","ALTA"))</f>
        <v/>
      </c>
      <c r="U1021" s="10" t="inlineStr">
        <is>
          <t>-</t>
        </is>
      </c>
      <c r="V1021" s="24" t="n">
        <v>45714</v>
      </c>
      <c r="W1021" s="19" t="inlineStr">
        <is>
          <t>N/A</t>
        </is>
      </c>
      <c r="X1021" s="10">
        <f>+IFERROR(IF(VLOOKUP(Tabla2[[#This Row],[ID]],'EVALUACION DE RIESGO'!A:A,1,FALSE)=Tabla2[[#This Row],[ID]],"SI","NO"),"NO")</f>
        <v/>
      </c>
      <c r="AD1021">
        <f>IF(AND(Y1021="",AA1021=""),"",IF(OR(LEFT(AA1021,2)="L0",LEFT(AA1021,2)="L1",Y1021="No Iniciado"),"CRÍTICO - Incumplimiento Normativo SEPS",IF(AND(OR(LEFT(AA1021,2)="L4",LEFT(AA1021,2)="L5"),AND(AC1021&lt;&gt;"",AC1021&lt;&gt;"N/A")),"CONFORME - Control Efectivo ISO 27001","OBSERVACIÓN - Revisar Controles")))</f>
        <v/>
      </c>
    </row>
    <row r="1022">
      <c r="A1022" s="99" t="inlineStr">
        <is>
          <t>22-GJU</t>
        </is>
      </c>
      <c r="B1022" s="10" t="inlineStr">
        <is>
          <t>APOYO</t>
        </is>
      </c>
      <c r="C1022" s="10" t="inlineStr">
        <is>
          <t xml:space="preserve">Gestión Jurídica </t>
        </is>
      </c>
      <c r="D1022" s="10" t="inlineStr">
        <is>
          <t>GJU</t>
        </is>
      </c>
      <c r="E1022" s="10" t="inlineStr">
        <is>
          <t>Administración del Fondo Judicial</t>
        </is>
      </c>
      <c r="F1022" s="10" t="inlineStr">
        <is>
          <t>-</t>
        </is>
      </c>
      <c r="G1022" s="10" t="inlineStr">
        <is>
          <t>Reposición del fondo judicial</t>
        </is>
      </c>
      <c r="H1022" s="10" t="inlineStr">
        <is>
          <t>Cuadre del fondo judicial /Solicitud de reposición del fondo / Registro contable de reposición del fondo</t>
        </is>
      </c>
      <c r="I1022" s="10" t="inlineStr">
        <is>
          <t>Adjunto y detalle de gastos judiciales, con facturas y recibos realizados, se carga y valida con Cantabilidad</t>
        </is>
      </c>
      <c r="J1022" s="10" t="inlineStr">
        <is>
          <t xml:space="preserve">Gerente Jurídico </t>
        </is>
      </c>
      <c r="K1022" s="10" t="inlineStr">
        <is>
          <t>Analista Juridico</t>
        </is>
      </c>
      <c r="L1022" s="10" t="inlineStr">
        <is>
          <t>DOCUMENTOS FISICOS-ARCHIVOS DE LA OFICINA</t>
        </is>
      </c>
      <c r="M1022" s="10" t="inlineStr">
        <is>
          <t>DOCUMENTO DE ARCHIVO-FÍSICO</t>
        </is>
      </c>
      <c r="N1022" s="10" t="inlineStr">
        <is>
          <t>PRIMARIOS</t>
        </is>
      </c>
      <c r="O1022" s="10" t="inlineStr">
        <is>
          <t>DOCUMENTOS TÉCNICOS</t>
        </is>
      </c>
      <c r="P1022" s="10" t="inlineStr">
        <is>
          <t>USO INTERNO(2)</t>
        </is>
      </c>
      <c r="Q1022" s="10" t="inlineStr">
        <is>
          <t>BAJA(1)</t>
        </is>
      </c>
      <c r="R1022" s="10" t="inlineStr">
        <is>
          <t>MEDIA(2)</t>
        </is>
      </c>
      <c r="S1022" s="10">
        <f>+(IF(P1022="PUBLICA(1)",1,IF(P1022="USO INTERNO(2)",2,IF(P1022="RESTRINGIDO(3)",3,3))))+(IF(Q1022="BAJA(1)",1,IF(Q1022="MEDIA(2)",2,IF(Q1022="ALTA(3)",3,3))))+(IF(R1022="BAJA(1)",1,IF(R1022="MEDIA(2)",2,IF(R1022="ALTA(3)",3,3))))</f>
        <v/>
      </c>
      <c r="T1022" s="10">
        <f>+IF(S1022&lt;6,"BAJA",IF(S1022&lt;8,"MEDIA","ALTA"))</f>
        <v/>
      </c>
      <c r="U1022" s="10" t="inlineStr">
        <is>
          <t>-</t>
        </is>
      </c>
      <c r="V1022" s="24" t="n">
        <v>45714</v>
      </c>
      <c r="W1022" s="19" t="inlineStr">
        <is>
          <t>N/A</t>
        </is>
      </c>
      <c r="X1022" s="10">
        <f>+IFERROR(IF(VLOOKUP(Tabla2[[#This Row],[ID]],'EVALUACION DE RIESGO'!A:A,1,FALSE)=Tabla2[[#This Row],[ID]],"SI","NO"),"NO")</f>
        <v/>
      </c>
      <c r="AD1022">
        <f>IF(AND(Y1022="",AA1022=""),"",IF(OR(LEFT(AA1022,2)="L0",LEFT(AA1022,2)="L1",Y1022="No Iniciado"),"CRÍTICO - Incumplimiento Normativo SEPS",IF(AND(OR(LEFT(AA1022,2)="L4",LEFT(AA1022,2)="L5"),AND(AC1022&lt;&gt;"",AC1022&lt;&gt;"N/A")),"CONFORME - Control Efectivo ISO 27001","OBSERVACIÓN - Revisar Controles")))</f>
        <v/>
      </c>
    </row>
    <row r="1023">
      <c r="A1023" s="99" t="inlineStr">
        <is>
          <t>23-GJU</t>
        </is>
      </c>
      <c r="B1023" s="10" t="inlineStr">
        <is>
          <t>APOYO</t>
        </is>
      </c>
      <c r="C1023" s="10" t="inlineStr">
        <is>
          <t xml:space="preserve">Gestión Jurídica </t>
        </is>
      </c>
      <c r="D1023" s="10" t="inlineStr">
        <is>
          <t>GJU</t>
        </is>
      </c>
      <c r="E1023" s="10" t="inlineStr">
        <is>
          <t>Administración del Fondo Judicial</t>
        </is>
      </c>
      <c r="F1023" s="10" t="inlineStr">
        <is>
          <t>-</t>
        </is>
      </c>
      <c r="G1023" s="10" t="inlineStr">
        <is>
          <t>N/A</t>
        </is>
      </c>
      <c r="H1023" s="10" t="inlineStr">
        <is>
          <t xml:space="preserve">Equipos de computación </t>
        </is>
      </c>
      <c r="I1023" s="10" t="inlineStr">
        <is>
          <t>Equipos de computación donde se realiza la gestión del área</t>
        </is>
      </c>
      <c r="J1023" s="10" t="inlineStr">
        <is>
          <t xml:space="preserve">Gerente Jurídico </t>
        </is>
      </c>
      <c r="K1023" s="10" t="inlineStr">
        <is>
          <t xml:space="preserve">Gerente Jurídico </t>
        </is>
      </c>
      <c r="L1023" s="10" t="inlineStr">
        <is>
          <t>UBICACIÓN FISICA-MATRIZ ATUNTAQUI</t>
        </is>
      </c>
      <c r="M1023" s="10" t="inlineStr">
        <is>
          <t>DISCOS DUROS, SERVIDORES, DISCOS O MEDIOS PORTÁTILES, CINTAS O MEDIOS DE VIDEO Y AUDIO, ETC.</t>
        </is>
      </c>
      <c r="N1023" s="10" t="inlineStr">
        <is>
          <t>APOYO</t>
        </is>
      </c>
      <c r="O1023" s="10" t="inlineStr">
        <is>
          <t>HARDWARE</t>
        </is>
      </c>
      <c r="P1023" s="10" t="inlineStr">
        <is>
          <t>USO INTERNO(2)</t>
        </is>
      </c>
      <c r="Q1023" s="10" t="inlineStr">
        <is>
          <t>MEDIA(2)</t>
        </is>
      </c>
      <c r="R1023" s="10" t="inlineStr">
        <is>
          <t>MEDIA(2)</t>
        </is>
      </c>
      <c r="S1023" s="10">
        <f>+(IF(P1023="PUBLICA(1)",1,IF(P1023="USO INTERNO(2)",2,IF(P1023="RESTRINGIDO(3)",3,3))))+(IF(Q1023="BAJA(1)",1,IF(Q1023="MEDIA(2)",2,IF(Q1023="ALTA(3)",3,3))))+(IF(R1023="BAJA(1)",1,IF(R1023="MEDIA(2)",2,IF(R1023="ALTA(3)",3,3))))</f>
        <v/>
      </c>
      <c r="T1023" s="10">
        <f>+IF(S1023&lt;6,"BAJA",IF(S1023&lt;8,"MEDIA","ALTA"))</f>
        <v/>
      </c>
      <c r="U1023" s="10" t="inlineStr">
        <is>
          <t>-</t>
        </is>
      </c>
      <c r="V1023" s="24" t="n">
        <v>45714</v>
      </c>
      <c r="W1023" s="19" t="inlineStr">
        <is>
          <t>N/A</t>
        </is>
      </c>
      <c r="X1023" s="10">
        <f>+IFERROR(IF(VLOOKUP(Tabla2[[#This Row],[ID]],'EVALUACION DE RIESGO'!A:A,1,FALSE)=Tabla2[[#This Row],[ID]],"SI","NO"),"NO")</f>
        <v/>
      </c>
      <c r="AD1023">
        <f>IF(AND(Y1023="",AA1023=""),"",IF(OR(LEFT(AA1023,2)="L0",LEFT(AA1023,2)="L1",Y1023="No Iniciado"),"CRÍTICO - Incumplimiento Normativo SEPS",IF(AND(OR(LEFT(AA1023,2)="L4",LEFT(AA1023,2)="L5"),AND(AC1023&lt;&gt;"",AC1023&lt;&gt;"N/A")),"CONFORME - Control Efectivo ISO 27001","OBSERVACIÓN - Revisar Controles")))</f>
        <v/>
      </c>
    </row>
    <row r="1024">
      <c r="A1024" s="99" t="inlineStr">
        <is>
          <t>24-GJU</t>
        </is>
      </c>
      <c r="B1024" s="10" t="inlineStr">
        <is>
          <t>APOYO</t>
        </is>
      </c>
      <c r="C1024" s="10" t="inlineStr">
        <is>
          <t xml:space="preserve">Gestión Jurídica </t>
        </is>
      </c>
      <c r="D1024" s="10" t="inlineStr">
        <is>
          <t>GJU</t>
        </is>
      </c>
      <c r="E1024" s="10" t="inlineStr">
        <is>
          <t>Administración del Fondo Judicial</t>
        </is>
      </c>
      <c r="F1024" s="10" t="inlineStr">
        <is>
          <t>-</t>
        </is>
      </c>
      <c r="G1024" s="10" t="inlineStr">
        <is>
          <t>N/A</t>
        </is>
      </c>
      <c r="H1024" s="10" t="inlineStr">
        <is>
          <t>Gerente Jurídico</t>
        </is>
      </c>
      <c r="I1024" s="10" t="inlineStr">
        <is>
          <t>N/A</t>
        </is>
      </c>
      <c r="J1024" s="10" t="inlineStr">
        <is>
          <t xml:space="preserve">Gerente Jurídico </t>
        </is>
      </c>
      <c r="K1024" s="10" t="inlineStr">
        <is>
          <t>N/A</t>
        </is>
      </c>
      <c r="L1024" s="10" t="inlineStr">
        <is>
          <t>N/A</t>
        </is>
      </c>
      <c r="M1024" s="10" t="inlineStr">
        <is>
          <t>N/A</t>
        </is>
      </c>
      <c r="N1024" s="10" t="inlineStr">
        <is>
          <t>APOYO</t>
        </is>
      </c>
      <c r="O1024" s="10" t="inlineStr">
        <is>
          <t>RECURSO HUMANO</t>
        </is>
      </c>
      <c r="P1024" s="10" t="inlineStr">
        <is>
          <t>USO INTERNO(2)</t>
        </is>
      </c>
      <c r="Q1024" s="10" t="inlineStr">
        <is>
          <t>BAJA(1)</t>
        </is>
      </c>
      <c r="R1024" s="10" t="inlineStr">
        <is>
          <t>MEDIA(2)</t>
        </is>
      </c>
      <c r="S1024" s="10">
        <f>+(IF(P1024="PUBLICA(1)",1,IF(P1024="USO INTERNO(2)",2,IF(P1024="RESTRINGIDO(3)",3,3))))+(IF(Q1024="BAJA(1)",1,IF(Q1024="MEDIA(2)",2,IF(Q1024="ALTA(3)",3,3))))+(IF(R1024="BAJA(1)",1,IF(R1024="MEDIA(2)",2,IF(R1024="ALTA(3)",3,3))))</f>
        <v/>
      </c>
      <c r="T1024" s="10">
        <f>+IF(S1024&lt;6,"BAJA",IF(S1024&lt;8,"MEDIA","ALTA"))</f>
        <v/>
      </c>
      <c r="U1024" s="10" t="inlineStr">
        <is>
          <t>-</t>
        </is>
      </c>
      <c r="V1024" s="24" t="n">
        <v>45714</v>
      </c>
      <c r="W1024" s="19" t="inlineStr">
        <is>
          <t>N/A</t>
        </is>
      </c>
      <c r="X1024" s="10">
        <f>+IFERROR(IF(VLOOKUP(Tabla2[[#This Row],[ID]],'EVALUACION DE RIESGO'!A:A,1,FALSE)=Tabla2[[#This Row],[ID]],"SI","NO"),"NO")</f>
        <v/>
      </c>
      <c r="AD1024">
        <f>IF(AND(Y1024="",AA1024=""),"",IF(OR(LEFT(AA1024,2)="L0",LEFT(AA1024,2)="L1",Y1024="No Iniciado"),"CRÍTICO - Incumplimiento Normativo SEPS",IF(AND(OR(LEFT(AA1024,2)="L4",LEFT(AA1024,2)="L5"),AND(AC1024&lt;&gt;"",AC1024&lt;&gt;"N/A")),"CONFORME - Control Efectivo ISO 27001","OBSERVACIÓN - Revisar Controles")))</f>
        <v/>
      </c>
    </row>
    <row r="1025">
      <c r="A1025" s="99" t="inlineStr">
        <is>
          <t>1-GRI</t>
        </is>
      </c>
      <c r="B1025" s="10" t="inlineStr">
        <is>
          <t>ESTRATÉGICO</t>
        </is>
      </c>
      <c r="C1025" s="10" t="inlineStr">
        <is>
          <t>Gestión de Riesgos</t>
        </is>
      </c>
      <c r="D1025" s="10" t="inlineStr">
        <is>
          <t>GRI</t>
        </is>
      </c>
      <c r="E1025" s="10" t="inlineStr">
        <is>
          <t>Gestión de Riesgo de Liquidez</t>
        </is>
      </c>
      <c r="F1025" s="10" t="inlineStr">
        <is>
          <t>-</t>
        </is>
      </c>
      <c r="G1025" s="10" t="inlineStr">
        <is>
          <t>Análisis de la liquidez estructural</t>
        </is>
      </c>
      <c r="H1025" s="10" t="inlineStr">
        <is>
          <t>Normas para Administración Integral de Riesgos.</t>
        </is>
      </c>
      <c r="I1025" s="10" t="inlineStr">
        <is>
          <t>Normativa de Riesgos de Liquidez</t>
        </is>
      </c>
      <c r="J1025" s="10" t="inlineStr">
        <is>
          <t>GERENTE DE RIESGOS</t>
        </is>
      </c>
      <c r="K1025" s="10" t="inlineStr">
        <is>
          <t>ANALISTA DE RIESGO DE LIQUIDEZ Y MERCADO</t>
        </is>
      </c>
      <c r="L1025" s="10" t="inlineStr">
        <is>
          <t>UBICACIÓN DIGITAL-EQUIPO DEL RESPONSABLE</t>
        </is>
      </c>
      <c r="M1025" s="10" t="inlineStr">
        <is>
          <t>DOCUMENTO DE ARCHIVO-ELECTRÓNICO</t>
        </is>
      </c>
      <c r="N1025" s="10" t="inlineStr">
        <is>
          <t>PRIMARIOS</t>
        </is>
      </c>
      <c r="O1025" s="10" t="inlineStr">
        <is>
          <t>OTROS</t>
        </is>
      </c>
      <c r="P1025" s="10" t="inlineStr">
        <is>
          <t>PUBLICA(1)</t>
        </is>
      </c>
      <c r="Q1025" s="10" t="inlineStr">
        <is>
          <t>BAJA(1)</t>
        </is>
      </c>
      <c r="R1025" s="10" t="inlineStr">
        <is>
          <t>BAJA(1)</t>
        </is>
      </c>
      <c r="S1025" s="10">
        <f>+(IF(P1025="PUBLICA(1)",1,IF(P1025="USO INTERNO(2)",2,IF(P1025="RESTRINGIDO(3)",3,3))))+(IF(Q1025="BAJA(1)",1,IF(Q1025="MEDIA(2)",2,IF(Q1025="ALTA(3)",3,3))))+(IF(R1025="BAJA(1)",1,IF(R1025="MEDIA(2)",2,IF(R1025="ALTA(3)",3,3))))</f>
        <v/>
      </c>
      <c r="T1025" s="10">
        <f>+IF(S1025&lt;6,"BAJA",IF(S1025&lt;8,"MEDIA","ALTA"))</f>
        <v/>
      </c>
      <c r="U1025" s="10" t="inlineStr">
        <is>
          <t>-</t>
        </is>
      </c>
      <c r="V1025" s="24" t="n">
        <v>45567</v>
      </c>
      <c r="W1025" s="19" t="inlineStr">
        <is>
          <t>N/A</t>
        </is>
      </c>
      <c r="X1025" s="10">
        <f>+IFERROR(IF(VLOOKUP(Tabla2[[#This Row],[ID]],'EVALUACION DE RIESGO'!A:A,1,FALSE)=Tabla2[[#This Row],[ID]],"SI","NO"),"NO")</f>
        <v/>
      </c>
      <c r="AD1025">
        <f>IF(AND(Y1025="",AA1025=""),"",IF(OR(LEFT(AA1025,2)="L0",LEFT(AA1025,2)="L1",Y1025="No Iniciado"),"CRÍTICO - Incumplimiento Normativo SEPS",IF(AND(OR(LEFT(AA1025,2)="L4",LEFT(AA1025,2)="L5"),AND(AC1025&lt;&gt;"",AC1025&lt;&gt;"N/A")),"CONFORME - Control Efectivo ISO 27001","OBSERVACIÓN - Revisar Controles")))</f>
        <v/>
      </c>
    </row>
    <row r="1026">
      <c r="A1026" s="99" t="inlineStr">
        <is>
          <t>2-GRI</t>
        </is>
      </c>
      <c r="B1026" s="10" t="inlineStr">
        <is>
          <t>ESTRATÉGICO</t>
        </is>
      </c>
      <c r="C1026" s="10" t="inlineStr">
        <is>
          <t>Gestión de Riesgos</t>
        </is>
      </c>
      <c r="D1026" s="10" t="inlineStr">
        <is>
          <t>GRI</t>
        </is>
      </c>
      <c r="E1026" s="10" t="inlineStr">
        <is>
          <t>Gestión de Riesgo de Liquidez</t>
        </is>
      </c>
      <c r="F1026" s="10" t="inlineStr">
        <is>
          <t>-</t>
        </is>
      </c>
      <c r="G1026" s="10" t="inlineStr">
        <is>
          <t>Análisis de la liquidez estructural</t>
        </is>
      </c>
      <c r="H1026" s="10" t="inlineStr">
        <is>
          <t>Balances diarios</t>
        </is>
      </c>
      <c r="I1026" s="10" t="inlineStr">
        <is>
          <t>Obtengo el balance del sistema</t>
        </is>
      </c>
      <c r="J1026" s="10" t="inlineStr">
        <is>
          <t>GERENTE DE RIESGOS</t>
        </is>
      </c>
      <c r="K1026" s="10" t="inlineStr">
        <is>
          <t>ANALISTA DE RIESGO DE LIQUIDEZ Y MERCADO</t>
        </is>
      </c>
      <c r="L1026" s="10" t="inlineStr">
        <is>
          <t>UBICACIÓN DIGITAL-EQUIPO DEL RESPONSABLE</t>
        </is>
      </c>
      <c r="M1026" s="10" t="inlineStr">
        <is>
          <t>DOCUMENTO DE ARCHIVO-ELECTRÓNICO</t>
        </is>
      </c>
      <c r="N1026" s="10" t="inlineStr">
        <is>
          <t>PRIMARIOS</t>
        </is>
      </c>
      <c r="O1026" s="10" t="inlineStr">
        <is>
          <t>DOCUMENTOS TÉCNICOS</t>
        </is>
      </c>
      <c r="P1026" s="10" t="inlineStr">
        <is>
          <t>USO INTERNO(2)</t>
        </is>
      </c>
      <c r="Q1026" s="10" t="inlineStr">
        <is>
          <t>ALTA(3)</t>
        </is>
      </c>
      <c r="R1026" s="10" t="inlineStr">
        <is>
          <t>MEDIA(2)</t>
        </is>
      </c>
      <c r="S1026" s="10">
        <f>+(IF(P1026="PUBLICA(1)",1,IF(P1026="USO INTERNO(2)",2,IF(P1026="RESTRINGIDO(3)",3,3))))+(IF(Q1026="BAJA(1)",1,IF(Q1026="MEDIA(2)",2,IF(Q1026="ALTA(3)",3,3))))+(IF(R1026="BAJA(1)",1,IF(R1026="MEDIA(2)",2,IF(R1026="ALTA(3)",3,3))))</f>
        <v/>
      </c>
      <c r="T1026" s="10">
        <f>+IF(S1026&lt;6,"BAJA",IF(S1026&lt;8,"MEDIA","ALTA"))</f>
        <v/>
      </c>
      <c r="U1026" s="10" t="inlineStr">
        <is>
          <t>-</t>
        </is>
      </c>
      <c r="V1026" s="24" t="n">
        <v>45567</v>
      </c>
      <c r="W1026" s="19" t="inlineStr">
        <is>
          <t>N/A</t>
        </is>
      </c>
      <c r="X1026" s="10">
        <f>+IFERROR(IF(VLOOKUP(Tabla2[[#This Row],[ID]],'EVALUACION DE RIESGO'!A:A,1,FALSE)=Tabla2[[#This Row],[ID]],"SI","NO"),"NO")</f>
        <v/>
      </c>
      <c r="AD1026">
        <f>IF(AND(Y1026="",AA1026=""),"",IF(OR(LEFT(AA1026,2)="L0",LEFT(AA1026,2)="L1",Y1026="No Iniciado"),"CRÍTICO - Incumplimiento Normativo SEPS",IF(AND(OR(LEFT(AA1026,2)="L4",LEFT(AA1026,2)="L5"),AND(AC1026&lt;&gt;"",AC1026&lt;&gt;"N/A")),"CONFORME - Control Efectivo ISO 27001","OBSERVACIÓN - Revisar Controles")))</f>
        <v/>
      </c>
    </row>
    <row r="1027">
      <c r="A1027" s="99" t="inlineStr">
        <is>
          <t>3-GRI</t>
        </is>
      </c>
      <c r="B1027" s="10" t="inlineStr">
        <is>
          <t>ESTRATÉGICO</t>
        </is>
      </c>
      <c r="C1027" s="10" t="inlineStr">
        <is>
          <t>Gestión de Riesgos</t>
        </is>
      </c>
      <c r="D1027" s="10" t="inlineStr">
        <is>
          <t>GRI</t>
        </is>
      </c>
      <c r="E1027" s="10" t="inlineStr">
        <is>
          <t>Gestión de Riesgo de Liquidez</t>
        </is>
      </c>
      <c r="F1027" s="10" t="inlineStr">
        <is>
          <t>-</t>
        </is>
      </c>
      <c r="G1027" s="10" t="inlineStr">
        <is>
          <t>Análisis de la liquidez estructural</t>
        </is>
      </c>
      <c r="H1027" s="10" t="inlineStr">
        <is>
          <t>Registros de información de la liquidez</t>
        </is>
      </c>
      <c r="I1027" s="10" t="inlineStr">
        <is>
          <t>Software de Liquidez y Mercado</t>
        </is>
      </c>
      <c r="J1027" s="10" t="inlineStr">
        <is>
          <t>GERENTE DE RIESGOS</t>
        </is>
      </c>
      <c r="K1027" s="10" t="inlineStr">
        <is>
          <t>ANALISTA DE RIESGO DE LIQUIDEZ Y MERCADO</t>
        </is>
      </c>
      <c r="L1027" s="10" t="inlineStr">
        <is>
          <t>UBICACIÓN DIGITAL-WEBCOOP</t>
        </is>
      </c>
      <c r="M1027" s="10" t="inlineStr">
        <is>
          <t>SISTEMA DE ADMINISTRACIÓN DE DOCUMENTOS</t>
        </is>
      </c>
      <c r="N1027" s="10" t="inlineStr">
        <is>
          <t>APOYO</t>
        </is>
      </c>
      <c r="O1027" s="10" t="inlineStr">
        <is>
          <t>SOFTWARE</t>
        </is>
      </c>
      <c r="P1027" s="10" t="inlineStr">
        <is>
          <t>PUBLICA(1)</t>
        </is>
      </c>
      <c r="Q1027" s="10" t="inlineStr">
        <is>
          <t>ALTA(3)</t>
        </is>
      </c>
      <c r="R1027" s="10" t="inlineStr">
        <is>
          <t>MEDIA(2)</t>
        </is>
      </c>
      <c r="S1027" s="10">
        <f>+(IF(P1027="PUBLICA(1)",1,IF(P1027="USO INTERNO(2)",2,IF(P1027="RESTRINGIDO(3)",3,3))))+(IF(Q1027="BAJA(1)",1,IF(Q1027="MEDIA(2)",2,IF(Q1027="ALTA(3)",3,3))))+(IF(R1027="BAJA(1)",1,IF(R1027="MEDIA(2)",2,IF(R1027="ALTA(3)",3,3))))</f>
        <v/>
      </c>
      <c r="T1027" s="10">
        <f>+IF(S1027&lt;6,"BAJA",IF(S1027&lt;8,"MEDIA","ALTA"))</f>
        <v/>
      </c>
      <c r="U1027" s="10" t="inlineStr">
        <is>
          <t>-</t>
        </is>
      </c>
      <c r="V1027" s="24" t="n">
        <v>45567</v>
      </c>
      <c r="W1027" s="19" t="inlineStr">
        <is>
          <t>N/A</t>
        </is>
      </c>
      <c r="X1027" s="10">
        <f>+IFERROR(IF(VLOOKUP(Tabla2[[#This Row],[ID]],'EVALUACION DE RIESGO'!A:A,1,FALSE)=Tabla2[[#This Row],[ID]],"SI","NO"),"NO")</f>
        <v/>
      </c>
      <c r="AD1027">
        <f>IF(AND(Y1027="",AA1027=""),"",IF(OR(LEFT(AA1027,2)="L0",LEFT(AA1027,2)="L1",Y1027="No Iniciado"),"CRÍTICO - Incumplimiento Normativo SEPS",IF(AND(OR(LEFT(AA1027,2)="L4",LEFT(AA1027,2)="L5"),AND(AC1027&lt;&gt;"",AC1027&lt;&gt;"N/A")),"CONFORME - Control Efectivo ISO 27001","OBSERVACIÓN - Revisar Controles")))</f>
        <v/>
      </c>
    </row>
    <row r="1028">
      <c r="A1028" s="99" t="inlineStr">
        <is>
          <t>4-GRI</t>
        </is>
      </c>
      <c r="B1028" s="10" t="inlineStr">
        <is>
          <t>ESTRATÉGICO</t>
        </is>
      </c>
      <c r="C1028" s="10" t="inlineStr">
        <is>
          <t>Gestión de Riesgos</t>
        </is>
      </c>
      <c r="D1028" s="10" t="inlineStr">
        <is>
          <t>GRI</t>
        </is>
      </c>
      <c r="E1028" s="10" t="inlineStr">
        <is>
          <t>Gestión de Riesgo de Liquidez</t>
        </is>
      </c>
      <c r="F1028" s="10" t="inlineStr">
        <is>
          <t>-</t>
        </is>
      </c>
      <c r="G1028" s="10" t="inlineStr">
        <is>
          <t>Análisis de la liquidez estructural</t>
        </is>
      </c>
      <c r="H1028" s="10" t="inlineStr">
        <is>
          <t>Herramienta de Liquidez Estructural</t>
        </is>
      </c>
      <c r="I1028" s="10" t="inlineStr">
        <is>
          <t>Salida de hoja de trabajo</t>
        </is>
      </c>
      <c r="J1028" s="10" t="inlineStr">
        <is>
          <t>GERENTE DE RIESGOS</t>
        </is>
      </c>
      <c r="K1028" s="10" t="inlineStr">
        <is>
          <t>ANALISTA DE RIESGO DE LIQUIDEZ Y MERCADO</t>
        </is>
      </c>
      <c r="L1028" s="10" t="inlineStr">
        <is>
          <t>UBICACIÓN DIGITAL-EQUIPO DEL RESPONSABLE</t>
        </is>
      </c>
      <c r="M1028" s="10" t="inlineStr">
        <is>
          <t>SISTEMA DE ADMINISTRACIÓN DE DOCUMENTOS</t>
        </is>
      </c>
      <c r="N1028" s="10" t="inlineStr">
        <is>
          <t>PRIMARIOS</t>
        </is>
      </c>
      <c r="O1028" s="10" t="inlineStr">
        <is>
          <t>DOCUMENTOS TÉCNICOS</t>
        </is>
      </c>
      <c r="P1028" s="10" t="inlineStr">
        <is>
          <t>PUBLICA(1)</t>
        </is>
      </c>
      <c r="Q1028" s="10" t="inlineStr">
        <is>
          <t>ALTA(3)</t>
        </is>
      </c>
      <c r="R1028" s="10" t="inlineStr">
        <is>
          <t>MEDIA(2)</t>
        </is>
      </c>
      <c r="S1028" s="10">
        <f>+(IF(P1028="PUBLICA(1)",1,IF(P1028="USO INTERNO(2)",2,IF(P1028="RESTRINGIDO(3)",3,3))))+(IF(Q1028="BAJA(1)",1,IF(Q1028="MEDIA(2)",2,IF(Q1028="ALTA(3)",3,3))))+(IF(R1028="BAJA(1)",1,IF(R1028="MEDIA(2)",2,IF(R1028="ALTA(3)",3,3))))</f>
        <v/>
      </c>
      <c r="T1028" s="10">
        <f>+IF(S1028&lt;6,"BAJA",IF(S1028&lt;8,"MEDIA","ALTA"))</f>
        <v/>
      </c>
      <c r="U1028" s="10" t="inlineStr">
        <is>
          <t>-</t>
        </is>
      </c>
      <c r="V1028" s="24" t="n">
        <v>45567</v>
      </c>
      <c r="W1028" s="19" t="inlineStr">
        <is>
          <t>N/A</t>
        </is>
      </c>
      <c r="X1028" s="10">
        <f>+IFERROR(IF(VLOOKUP(Tabla2[[#This Row],[ID]],'EVALUACION DE RIESGO'!A:A,1,FALSE)=Tabla2[[#This Row],[ID]],"SI","NO"),"NO")</f>
        <v/>
      </c>
      <c r="AD1028">
        <f>IF(AND(Y1028="",AA1028=""),"",IF(OR(LEFT(AA1028,2)="L0",LEFT(AA1028,2)="L1",Y1028="No Iniciado"),"CRÍTICO - Incumplimiento Normativo SEPS",IF(AND(OR(LEFT(AA1028,2)="L4",LEFT(AA1028,2)="L5"),AND(AC1028&lt;&gt;"",AC1028&lt;&gt;"N/A")),"CONFORME - Control Efectivo ISO 27001","OBSERVACIÓN - Revisar Controles")))</f>
        <v/>
      </c>
    </row>
    <row r="1029">
      <c r="A1029" s="99" t="inlineStr">
        <is>
          <t>5-GRI</t>
        </is>
      </c>
      <c r="B1029" s="10" t="inlineStr">
        <is>
          <t>ESTRATÉGICO</t>
        </is>
      </c>
      <c r="C1029" s="10" t="inlineStr">
        <is>
          <t>Gestión de Riesgos</t>
        </is>
      </c>
      <c r="D1029" s="10" t="inlineStr">
        <is>
          <t>GRI</t>
        </is>
      </c>
      <c r="E1029" s="10" t="inlineStr">
        <is>
          <t>Gestión de Riesgo de Liquidez</t>
        </is>
      </c>
      <c r="F1029" s="10" t="inlineStr">
        <is>
          <t>-</t>
        </is>
      </c>
      <c r="G1029" s="10" t="inlineStr">
        <is>
          <t>Análisis de la liquidez estructural</t>
        </is>
      </c>
      <c r="H1029" s="10" t="inlineStr">
        <is>
          <t xml:space="preserve">Reporte de Liquidez Estructural </t>
        </is>
      </c>
      <c r="I1029" s="10" t="inlineStr">
        <is>
          <t xml:space="preserve">Consolidación de la información </t>
        </is>
      </c>
      <c r="J1029" s="10" t="inlineStr">
        <is>
          <t>GERENTE DE RIESGOS</t>
        </is>
      </c>
      <c r="K1029" s="10" t="inlineStr">
        <is>
          <t>ANALISTA DE RIESGO DE LIQUIDEZ Y MERCADO</t>
        </is>
      </c>
      <c r="L1029" s="10" t="inlineStr">
        <is>
          <t>UBICACIÓN DIGITAL-EQUIPO DEL RESPONSABLE</t>
        </is>
      </c>
      <c r="M1029" s="10" t="inlineStr">
        <is>
          <t>DOCUMENTO DE ARCHIVO-ELECTRÓNICO</t>
        </is>
      </c>
      <c r="N1029" s="10" t="inlineStr">
        <is>
          <t>PRIMARIOS</t>
        </is>
      </c>
      <c r="O1029" s="10" t="inlineStr">
        <is>
          <t>DOCUMENTOS TÉCNICOS</t>
        </is>
      </c>
      <c r="P1029" s="10" t="inlineStr">
        <is>
          <t>PUBLICA(1)</t>
        </is>
      </c>
      <c r="Q1029" s="10" t="inlineStr">
        <is>
          <t>ALTA(3)</t>
        </is>
      </c>
      <c r="R1029" s="10" t="inlineStr">
        <is>
          <t>MEDIA(2)</t>
        </is>
      </c>
      <c r="S1029" s="10">
        <f>+(IF(P1029="PUBLICA(1)",1,IF(P1029="USO INTERNO(2)",2,IF(P1029="RESTRINGIDO(3)",3,3))))+(IF(Q1029="BAJA(1)",1,IF(Q1029="MEDIA(2)",2,IF(Q1029="ALTA(3)",3,3))))+(IF(R1029="BAJA(1)",1,IF(R1029="MEDIA(2)",2,IF(R1029="ALTA(3)",3,3))))</f>
        <v/>
      </c>
      <c r="T1029" s="10">
        <f>+IF(S1029&lt;6,"BAJA",IF(S1029&lt;8,"MEDIA","ALTA"))</f>
        <v/>
      </c>
      <c r="U1029" s="10" t="inlineStr">
        <is>
          <t>-</t>
        </is>
      </c>
      <c r="V1029" s="24" t="n">
        <v>45567</v>
      </c>
      <c r="W1029" s="19" t="inlineStr">
        <is>
          <t>N/A</t>
        </is>
      </c>
      <c r="X1029" s="10">
        <f>+IFERROR(IF(VLOOKUP(Tabla2[[#This Row],[ID]],'EVALUACION DE RIESGO'!A:A,1,FALSE)=Tabla2[[#This Row],[ID]],"SI","NO"),"NO")</f>
        <v/>
      </c>
      <c r="AD1029">
        <f>IF(AND(Y1029="",AA1029=""),"",IF(OR(LEFT(AA1029,2)="L0",LEFT(AA1029,2)="L1",Y1029="No Iniciado"),"CRÍTICO - Incumplimiento Normativo SEPS",IF(AND(OR(LEFT(AA1029,2)="L4",LEFT(AA1029,2)="L5"),AND(AC1029&lt;&gt;"",AC1029&lt;&gt;"N/A")),"CONFORME - Control Efectivo ISO 27001","OBSERVACIÓN - Revisar Controles")))</f>
        <v/>
      </c>
    </row>
    <row r="1030">
      <c r="A1030" s="99" t="inlineStr">
        <is>
          <t>7-GRI</t>
        </is>
      </c>
      <c r="B1030" s="10" t="inlineStr">
        <is>
          <t>ESTRATÉGICO</t>
        </is>
      </c>
      <c r="C1030" s="10" t="inlineStr">
        <is>
          <t>Gestión de Riesgos</t>
        </is>
      </c>
      <c r="D1030" s="10" t="inlineStr">
        <is>
          <t>GRI</t>
        </is>
      </c>
      <c r="E1030" s="10" t="inlineStr">
        <is>
          <t>Gestión de Riesgo de Liquidez</t>
        </is>
      </c>
      <c r="F1030" s="10" t="inlineStr">
        <is>
          <t>-</t>
        </is>
      </c>
      <c r="G1030" s="10" t="inlineStr">
        <is>
          <t>Monitoreo de liquidez y volatilidad diaria</t>
        </is>
      </c>
      <c r="H1030" s="10" t="inlineStr">
        <is>
          <t>Registro de definición indicadores y límites de riesgos.</t>
        </is>
      </c>
      <c r="I1030" s="10" t="inlineStr">
        <is>
          <t>Actualización de niveles de riesgo de alertas tempranas de liquidez</t>
        </is>
      </c>
      <c r="J1030" s="10" t="inlineStr">
        <is>
          <t>GERENTE DE RIESGOS</t>
        </is>
      </c>
      <c r="K1030" s="10" t="inlineStr">
        <is>
          <t>ANALISTA DE RIESGO DE LIQUIDEZ Y MERCADO</t>
        </is>
      </c>
      <c r="L1030" s="10" t="inlineStr">
        <is>
          <t>UBICACIÓN DIGITAL-EQUIPO DEL RESPONSABLE</t>
        </is>
      </c>
      <c r="M1030" s="10" t="inlineStr">
        <is>
          <t>DOCUMENTO DE ARCHIVO-ELECTRÓNICO</t>
        </is>
      </c>
      <c r="N1030" s="10" t="inlineStr">
        <is>
          <t>PRIMARIOS</t>
        </is>
      </c>
      <c r="O1030" s="10" t="inlineStr">
        <is>
          <t>DOCUMENTOS TÉCNICOS</t>
        </is>
      </c>
      <c r="P1030" s="10" t="inlineStr">
        <is>
          <t>PUBLICA(1)</t>
        </is>
      </c>
      <c r="Q1030" s="10" t="inlineStr">
        <is>
          <t>ALTA(3)</t>
        </is>
      </c>
      <c r="R1030" s="10" t="inlineStr">
        <is>
          <t>MEDIA(2)</t>
        </is>
      </c>
      <c r="S1030" s="10">
        <f>+(IF(P1030="PUBLICA(1)",1,IF(P1030="USO INTERNO(2)",2,IF(P1030="RESTRINGIDO(3)",3,3))))+(IF(Q1030="BAJA(1)",1,IF(Q1030="MEDIA(2)",2,IF(Q1030="ALTA(3)",3,3))))+(IF(R1030="BAJA(1)",1,IF(R1030="MEDIA(2)",2,IF(R1030="ALTA(3)",3,3))))</f>
        <v/>
      </c>
      <c r="T1030" s="10">
        <f>+IF(S1030&lt;6,"BAJA",IF(S1030&lt;8,"MEDIA","ALTA"))</f>
        <v/>
      </c>
      <c r="U1030" s="10" t="inlineStr">
        <is>
          <t>-</t>
        </is>
      </c>
      <c r="V1030" s="24" t="n">
        <v>45567</v>
      </c>
      <c r="W1030" s="19" t="inlineStr">
        <is>
          <t>N/A</t>
        </is>
      </c>
      <c r="X1030" s="10">
        <f>+IFERROR(IF(VLOOKUP(Tabla2[[#This Row],[ID]],'EVALUACION DE RIESGO'!A:A,1,FALSE)=Tabla2[[#This Row],[ID]],"SI","NO"),"NO")</f>
        <v/>
      </c>
      <c r="AD1030">
        <f>IF(AND(Y1030="",AA1030=""),"",IF(OR(LEFT(AA1030,2)="L0",LEFT(AA1030,2)="L1",Y1030="No Iniciado"),"CRÍTICO - Incumplimiento Normativo SEPS",IF(AND(OR(LEFT(AA1030,2)="L4",LEFT(AA1030,2)="L5"),AND(AC1030&lt;&gt;"",AC1030&lt;&gt;"N/A")),"CONFORME - Control Efectivo ISO 27001","OBSERVACIÓN - Revisar Controles")))</f>
        <v/>
      </c>
    </row>
    <row r="1031">
      <c r="A1031" s="99" t="inlineStr">
        <is>
          <t>8-GRI</t>
        </is>
      </c>
      <c r="B1031" s="10" t="inlineStr">
        <is>
          <t>ESTRATÉGICO</t>
        </is>
      </c>
      <c r="C1031" s="10" t="inlineStr">
        <is>
          <t>Gestión de Riesgos</t>
        </is>
      </c>
      <c r="D1031" s="10" t="inlineStr">
        <is>
          <t>GRI</t>
        </is>
      </c>
      <c r="E1031" s="10" t="inlineStr">
        <is>
          <t>Gestión de Riesgo de Liquidez</t>
        </is>
      </c>
      <c r="F1031" s="10" t="inlineStr">
        <is>
          <t>-</t>
        </is>
      </c>
      <c r="G1031" s="10" t="inlineStr">
        <is>
          <t>Monitoreo de liquidez y volatilidad diaria</t>
        </is>
      </c>
      <c r="H1031" s="10" t="inlineStr">
        <is>
          <t xml:space="preserve">Balances diarios </t>
        </is>
      </c>
      <c r="I1031" s="10" t="inlineStr">
        <is>
          <t>Generación de balance</t>
        </is>
      </c>
      <c r="J1031" s="10" t="inlineStr">
        <is>
          <t>GERENTE DE RIESGOS</t>
        </is>
      </c>
      <c r="K1031" s="10" t="inlineStr">
        <is>
          <t>ANALISTA DE RIESGO DE LIQUIDEZ Y MERCADO</t>
        </is>
      </c>
      <c r="L1031" s="10" t="inlineStr">
        <is>
          <t>UBICACIÓN DIGITAL-EQUIPO DEL RESPONSABLE</t>
        </is>
      </c>
      <c r="M1031" s="10" t="inlineStr">
        <is>
          <t>DOCUMENTO DE ARCHIVO-ELECTRÓNICO</t>
        </is>
      </c>
      <c r="N1031" s="10" t="inlineStr">
        <is>
          <t>PRIMARIOS</t>
        </is>
      </c>
      <c r="O1031" s="10" t="inlineStr">
        <is>
          <t>DOCUMENTOS TÉCNICOS</t>
        </is>
      </c>
      <c r="P1031" s="10" t="inlineStr">
        <is>
          <t>PUBLICA(1)</t>
        </is>
      </c>
      <c r="Q1031" s="10" t="inlineStr">
        <is>
          <t>ALTA(3)</t>
        </is>
      </c>
      <c r="R1031" s="10" t="inlineStr">
        <is>
          <t>MEDIA(2)</t>
        </is>
      </c>
      <c r="S1031" s="10">
        <f>+(IF(P1031="PUBLICA(1)",1,IF(P1031="USO INTERNO(2)",2,IF(P1031="RESTRINGIDO(3)",3,3))))+(IF(Q1031="BAJA(1)",1,IF(Q1031="MEDIA(2)",2,IF(Q1031="ALTA(3)",3,3))))+(IF(R1031="BAJA(1)",1,IF(R1031="MEDIA(2)",2,IF(R1031="ALTA(3)",3,3))))</f>
        <v/>
      </c>
      <c r="T1031" s="10">
        <f>+IF(S1031&lt;6,"BAJA",IF(S1031&lt;8,"MEDIA","ALTA"))</f>
        <v/>
      </c>
      <c r="U1031" s="10" t="inlineStr">
        <is>
          <t>-</t>
        </is>
      </c>
      <c r="V1031" s="24" t="n">
        <v>45567</v>
      </c>
      <c r="W1031" s="19" t="inlineStr">
        <is>
          <t>N/A</t>
        </is>
      </c>
      <c r="X1031" s="10">
        <f>+IFERROR(IF(VLOOKUP(Tabla2[[#This Row],[ID]],'EVALUACION DE RIESGO'!A:A,1,FALSE)=Tabla2[[#This Row],[ID]],"SI","NO"),"NO")</f>
        <v/>
      </c>
      <c r="AD1031">
        <f>IF(AND(Y1031="",AA1031=""),"",IF(OR(LEFT(AA1031,2)="L0",LEFT(AA1031,2)="L1",Y1031="No Iniciado"),"CRÍTICO - Incumplimiento Normativo SEPS",IF(AND(OR(LEFT(AA1031,2)="L4",LEFT(AA1031,2)="L5"),AND(AC1031&lt;&gt;"",AC1031&lt;&gt;"N/A")),"CONFORME - Control Efectivo ISO 27001","OBSERVACIÓN - Revisar Controles")))</f>
        <v/>
      </c>
    </row>
    <row r="1032">
      <c r="A1032" s="99" t="inlineStr">
        <is>
          <t>9-GRI</t>
        </is>
      </c>
      <c r="B1032" s="10" t="inlineStr">
        <is>
          <t>ESTRATÉGICO</t>
        </is>
      </c>
      <c r="C1032" s="10" t="inlineStr">
        <is>
          <t>Gestión de Riesgos</t>
        </is>
      </c>
      <c r="D1032" s="10" t="inlineStr">
        <is>
          <t>GRI</t>
        </is>
      </c>
      <c r="E1032" s="10" t="inlineStr">
        <is>
          <t>Gestión de Riesgo de Liquidez</t>
        </is>
      </c>
      <c r="F1032" s="10" t="inlineStr">
        <is>
          <t>-</t>
        </is>
      </c>
      <c r="G1032" s="10" t="inlineStr">
        <is>
          <t>Monitoreo de liquidez y volatilidad diaria</t>
        </is>
      </c>
      <c r="H1032" s="10" t="inlineStr">
        <is>
          <t>Herramienta de Liquidez Diaria</t>
        </is>
      </c>
      <c r="I1032" s="10" t="inlineStr">
        <is>
          <t>Hoja de trabajo</t>
        </is>
      </c>
      <c r="J1032" s="10" t="inlineStr">
        <is>
          <t>GERENTE DE RIESGOS</t>
        </is>
      </c>
      <c r="K1032" s="10" t="inlineStr">
        <is>
          <t>ANALISTA DE RIESGO DE LIQUIDEZ Y MERCADO</t>
        </is>
      </c>
      <c r="L1032" s="10" t="inlineStr">
        <is>
          <t>UBICACIÓN DIGITAL-EQUIPO DEL RESPONSABLE</t>
        </is>
      </c>
      <c r="M1032" s="10" t="inlineStr">
        <is>
          <t>DOCUMENTO DE ARCHIVO-ELECTRÓNICO</t>
        </is>
      </c>
      <c r="N1032" s="10" t="inlineStr">
        <is>
          <t>PRIMARIOS</t>
        </is>
      </c>
      <c r="O1032" s="10" t="inlineStr">
        <is>
          <t>DOCUMENTOS TÉCNICOS</t>
        </is>
      </c>
      <c r="P1032" s="10" t="inlineStr">
        <is>
          <t>PUBLICA(1)</t>
        </is>
      </c>
      <c r="Q1032" s="10" t="inlineStr">
        <is>
          <t>ALTA(3)</t>
        </is>
      </c>
      <c r="R1032" s="10" t="inlineStr">
        <is>
          <t>MEDIA(2)</t>
        </is>
      </c>
      <c r="S1032" s="10">
        <f>+(IF(P1032="PUBLICA(1)",1,IF(P1032="USO INTERNO(2)",2,IF(P1032="RESTRINGIDO(3)",3,3))))+(IF(Q1032="BAJA(1)",1,IF(Q1032="MEDIA(2)",2,IF(Q1032="ALTA(3)",3,3))))+(IF(R1032="BAJA(1)",1,IF(R1032="MEDIA(2)",2,IF(R1032="ALTA(3)",3,3))))</f>
        <v/>
      </c>
      <c r="T1032" s="10">
        <f>+IF(S1032&lt;6,"BAJA",IF(S1032&lt;8,"MEDIA","ALTA"))</f>
        <v/>
      </c>
      <c r="U1032" s="10" t="inlineStr">
        <is>
          <t>-</t>
        </is>
      </c>
      <c r="V1032" s="24" t="n">
        <v>45567</v>
      </c>
      <c r="W1032" s="19" t="inlineStr">
        <is>
          <t>N/A</t>
        </is>
      </c>
      <c r="X1032" s="10">
        <f>+IFERROR(IF(VLOOKUP(Tabla2[[#This Row],[ID]],'EVALUACION DE RIESGO'!A:A,1,FALSE)=Tabla2[[#This Row],[ID]],"SI","NO"),"NO")</f>
        <v/>
      </c>
      <c r="AD1032">
        <f>IF(AND(Y1032="",AA1032=""),"",IF(OR(LEFT(AA1032,2)="L0",LEFT(AA1032,2)="L1",Y1032="No Iniciado"),"CRÍTICO - Incumplimiento Normativo SEPS",IF(AND(OR(LEFT(AA1032,2)="L4",LEFT(AA1032,2)="L5"),AND(AC1032&lt;&gt;"",AC1032&lt;&gt;"N/A")),"CONFORME - Control Efectivo ISO 27001","OBSERVACIÓN - Revisar Controles")))</f>
        <v/>
      </c>
    </row>
    <row r="1033">
      <c r="A1033" s="99" t="inlineStr">
        <is>
          <t>10-GRI</t>
        </is>
      </c>
      <c r="B1033" s="10" t="inlineStr">
        <is>
          <t>ESTRATÉGICO</t>
        </is>
      </c>
      <c r="C1033" s="10" t="inlineStr">
        <is>
          <t>Gestión de Riesgos</t>
        </is>
      </c>
      <c r="D1033" s="10" t="inlineStr">
        <is>
          <t>GRI</t>
        </is>
      </c>
      <c r="E1033" s="10" t="inlineStr">
        <is>
          <t>Gestión de Riesgo de Liquidez</t>
        </is>
      </c>
      <c r="F1033" s="10" t="inlineStr">
        <is>
          <t>-</t>
        </is>
      </c>
      <c r="G1033" s="10" t="inlineStr">
        <is>
          <t>Monitoreo de liquidez y volatilidad diaria</t>
        </is>
      </c>
      <c r="H1033" s="10" t="inlineStr">
        <is>
          <t>Reporte de liquidez y volatilidad diaria</t>
        </is>
      </c>
      <c r="I1033" s="10" t="inlineStr">
        <is>
          <t>Actualización de niveles de riesgo de alertas tempranas de liquidez / Consolidación de la información</t>
        </is>
      </c>
      <c r="J1033" s="10" t="inlineStr">
        <is>
          <t>GERENTE DE RIESGOS</t>
        </is>
      </c>
      <c r="K1033" s="10" t="inlineStr">
        <is>
          <t>ANALISTA DE RIESGO DE LIQUIDEZ Y MERCADO</t>
        </is>
      </c>
      <c r="L1033" s="10" t="inlineStr">
        <is>
          <t>UBICACIÓN DIGITAL-EQUIPO DEL RESPONSABLE</t>
        </is>
      </c>
      <c r="M1033" s="10" t="inlineStr">
        <is>
          <t>DOCUMENTO DE ARCHIVO-ELECTRÓNICO</t>
        </is>
      </c>
      <c r="N1033" s="10" t="inlineStr">
        <is>
          <t>PRIMARIOS</t>
        </is>
      </c>
      <c r="O1033" s="10" t="inlineStr">
        <is>
          <t>DOCUMENTOS TÉCNICOS</t>
        </is>
      </c>
      <c r="P1033" s="10" t="inlineStr">
        <is>
          <t>PUBLICA(1)</t>
        </is>
      </c>
      <c r="Q1033" s="10" t="inlineStr">
        <is>
          <t>ALTA(3)</t>
        </is>
      </c>
      <c r="R1033" s="10" t="inlineStr">
        <is>
          <t>MEDIA(2)</t>
        </is>
      </c>
      <c r="S1033" s="10">
        <f>+(IF(P1033="PUBLICA(1)",1,IF(P1033="USO INTERNO(2)",2,IF(P1033="RESTRINGIDO(3)",3,3))))+(IF(Q1033="BAJA(1)",1,IF(Q1033="MEDIA(2)",2,IF(Q1033="ALTA(3)",3,3))))+(IF(R1033="BAJA(1)",1,IF(R1033="MEDIA(2)",2,IF(R1033="ALTA(3)",3,3))))</f>
        <v/>
      </c>
      <c r="T1033" s="10">
        <f>+IF(S1033&lt;6,"BAJA",IF(S1033&lt;8,"MEDIA","ALTA"))</f>
        <v/>
      </c>
      <c r="U1033" s="10" t="inlineStr">
        <is>
          <t>-</t>
        </is>
      </c>
      <c r="V1033" s="24" t="n">
        <v>45567</v>
      </c>
      <c r="W1033" s="19" t="inlineStr">
        <is>
          <t>N/A</t>
        </is>
      </c>
      <c r="X1033" s="10">
        <f>+IFERROR(IF(VLOOKUP(Tabla2[[#This Row],[ID]],'EVALUACION DE RIESGO'!A:A,1,FALSE)=Tabla2[[#This Row],[ID]],"SI","NO"),"NO")</f>
        <v/>
      </c>
      <c r="AD1033">
        <f>IF(AND(Y1033="",AA1033=""),"",IF(OR(LEFT(AA1033,2)="L0",LEFT(AA1033,2)="L1",Y1033="No Iniciado"),"CRÍTICO - Incumplimiento Normativo SEPS",IF(AND(OR(LEFT(AA1033,2)="L4",LEFT(AA1033,2)="L5"),AND(AC1033&lt;&gt;"",AC1033&lt;&gt;"N/A")),"CONFORME - Control Efectivo ISO 27001","OBSERVACIÓN - Revisar Controles")))</f>
        <v/>
      </c>
    </row>
    <row r="1034">
      <c r="A1034" s="99" t="inlineStr">
        <is>
          <t>11-GRI</t>
        </is>
      </c>
      <c r="B1034" s="10" t="inlineStr">
        <is>
          <t>ESTRATÉGICO</t>
        </is>
      </c>
      <c r="C1034" s="10" t="inlineStr">
        <is>
          <t>Gestión de Riesgos</t>
        </is>
      </c>
      <c r="D1034" s="10" t="inlineStr">
        <is>
          <t>GRI</t>
        </is>
      </c>
      <c r="E1034" s="10" t="inlineStr">
        <is>
          <t>Gestión de Riesgo de Liquidez</t>
        </is>
      </c>
      <c r="F1034" s="10" t="inlineStr">
        <is>
          <t>-</t>
        </is>
      </c>
      <c r="G1034" s="10" t="inlineStr">
        <is>
          <t>Análisis de Brechas de Liquidez</t>
        </is>
      </c>
      <c r="H1034" s="10" t="inlineStr">
        <is>
          <t>Registros de información de liquidez</t>
        </is>
      </c>
      <c r="I1034" s="10" t="inlineStr">
        <is>
          <t>Software de Liquidez y Mercado</t>
        </is>
      </c>
      <c r="J1034" s="10" t="inlineStr">
        <is>
          <t>GERENTE DE RIESGOS</t>
        </is>
      </c>
      <c r="K1034" s="10" t="inlineStr">
        <is>
          <t>ANALISTA DE RIESGO DE LIQUIDEZ Y MERCADO</t>
        </is>
      </c>
      <c r="L1034" s="10" t="inlineStr">
        <is>
          <t>UBICACIÓN DIGITAL-WEBCOOP</t>
        </is>
      </c>
      <c r="M1034" s="10" t="inlineStr">
        <is>
          <t>SISTEMA DE ADMINISTRACIÓN DE DOCUMENTOS</t>
        </is>
      </c>
      <c r="N1034" s="10" t="inlineStr">
        <is>
          <t>APOYO</t>
        </is>
      </c>
      <c r="O1034" s="10" t="inlineStr">
        <is>
          <t>SOFTWARE</t>
        </is>
      </c>
      <c r="P1034" s="10" t="inlineStr">
        <is>
          <t>PUBLICA(1)</t>
        </is>
      </c>
      <c r="Q1034" s="10" t="inlineStr">
        <is>
          <t>ALTA(3)</t>
        </is>
      </c>
      <c r="R1034" s="10" t="inlineStr">
        <is>
          <t>MEDIA(2)</t>
        </is>
      </c>
      <c r="S1034" s="10">
        <f>+(IF(P1034="PUBLICA(1)",1,IF(P1034="USO INTERNO(2)",2,IF(P1034="RESTRINGIDO(3)",3,3))))+(IF(Q1034="BAJA(1)",1,IF(Q1034="MEDIA(2)",2,IF(Q1034="ALTA(3)",3,3))))+(IF(R1034="BAJA(1)",1,IF(R1034="MEDIA(2)",2,IF(R1034="ALTA(3)",3,3))))</f>
        <v/>
      </c>
      <c r="T1034" s="10">
        <f>+IF(S1034&lt;6,"BAJA",IF(S1034&lt;8,"MEDIA","ALTA"))</f>
        <v/>
      </c>
      <c r="U1034" s="10" t="inlineStr">
        <is>
          <t>-</t>
        </is>
      </c>
      <c r="V1034" s="24" t="n">
        <v>45567</v>
      </c>
      <c r="W1034" s="19" t="inlineStr">
        <is>
          <t>N/A</t>
        </is>
      </c>
      <c r="X1034" s="10">
        <f>+IFERROR(IF(VLOOKUP(Tabla2[[#This Row],[ID]],'EVALUACION DE RIESGO'!A:A,1,FALSE)=Tabla2[[#This Row],[ID]],"SI","NO"),"NO")</f>
        <v/>
      </c>
      <c r="AD1034">
        <f>IF(AND(Y1034="",AA1034=""),"",IF(OR(LEFT(AA1034,2)="L0",LEFT(AA1034,2)="L1",Y1034="No Iniciado"),"CRÍTICO - Incumplimiento Normativo SEPS",IF(AND(OR(LEFT(AA1034,2)="L4",LEFT(AA1034,2)="L5"),AND(AC1034&lt;&gt;"",AC1034&lt;&gt;"N/A")),"CONFORME - Control Efectivo ISO 27001","OBSERVACIÓN - Revisar Controles")))</f>
        <v/>
      </c>
    </row>
    <row r="1035">
      <c r="A1035" s="99" t="inlineStr">
        <is>
          <t>12-GRI</t>
        </is>
      </c>
      <c r="B1035" s="10" t="inlineStr">
        <is>
          <t>ESTRATÉGICO</t>
        </is>
      </c>
      <c r="C1035" s="10" t="inlineStr">
        <is>
          <t>Gestión de Riesgos</t>
        </is>
      </c>
      <c r="D1035" s="10" t="inlineStr">
        <is>
          <t>GRI</t>
        </is>
      </c>
      <c r="E1035" s="10" t="inlineStr">
        <is>
          <t>Gestión de Riesgo de Liquidez</t>
        </is>
      </c>
      <c r="F1035" s="10" t="inlineStr">
        <is>
          <t>-</t>
        </is>
      </c>
      <c r="G1035" s="10" t="inlineStr">
        <is>
          <t>Análisis de Brechas de Liquidez</t>
        </is>
      </c>
      <c r="H1035" s="10" t="inlineStr">
        <is>
          <t>Herramienta de Brechas de Liquidez</t>
        </is>
      </c>
      <c r="I1035" s="10" t="inlineStr">
        <is>
          <t>Hoja de trabajo</t>
        </is>
      </c>
      <c r="J1035" s="10" t="inlineStr">
        <is>
          <t>GERENTE DE RIESGOS</t>
        </is>
      </c>
      <c r="K1035" s="10" t="inlineStr">
        <is>
          <t>ANALISTA DE RIESGO DE LIQUIDEZ Y MERCADO</t>
        </is>
      </c>
      <c r="L1035" s="10" t="inlineStr">
        <is>
          <t>UBICACIÓN DIGITAL-EQUIPO DEL RESPONSABLE</t>
        </is>
      </c>
      <c r="M1035" s="10" t="inlineStr">
        <is>
          <t>DOCUMENTO DE ARCHIVO-ELECTRÓNICO</t>
        </is>
      </c>
      <c r="N1035" s="10" t="inlineStr">
        <is>
          <t>APOYO</t>
        </is>
      </c>
      <c r="O1035" s="10" t="inlineStr">
        <is>
          <t>SOFTWARE</t>
        </is>
      </c>
      <c r="P1035" s="10" t="inlineStr">
        <is>
          <t>PUBLICA(1)</t>
        </is>
      </c>
      <c r="Q1035" s="10" t="inlineStr">
        <is>
          <t>ALTA(3)</t>
        </is>
      </c>
      <c r="R1035" s="10" t="inlineStr">
        <is>
          <t>MEDIA(2)</t>
        </is>
      </c>
      <c r="S1035" s="10">
        <f>+(IF(P1035="PUBLICA(1)",1,IF(P1035="USO INTERNO(2)",2,IF(P1035="RESTRINGIDO(3)",3,3))))+(IF(Q1035="BAJA(1)",1,IF(Q1035="MEDIA(2)",2,IF(Q1035="ALTA(3)",3,3))))+(IF(R1035="BAJA(1)",1,IF(R1035="MEDIA(2)",2,IF(R1035="ALTA(3)",3,3))))</f>
        <v/>
      </c>
      <c r="T1035" s="10">
        <f>+IF(S1035&lt;6,"BAJA",IF(S1035&lt;8,"MEDIA","ALTA"))</f>
        <v/>
      </c>
      <c r="U1035" s="10" t="inlineStr">
        <is>
          <t>-</t>
        </is>
      </c>
      <c r="V1035" s="24" t="n">
        <v>45567</v>
      </c>
      <c r="W1035" s="19" t="inlineStr">
        <is>
          <t>N/A</t>
        </is>
      </c>
      <c r="X1035" s="10">
        <f>+IFERROR(IF(VLOOKUP(Tabla2[[#This Row],[ID]],'EVALUACION DE RIESGO'!A:A,1,FALSE)=Tabla2[[#This Row],[ID]],"SI","NO"),"NO")</f>
        <v/>
      </c>
      <c r="AD1035">
        <f>IF(AND(Y1035="",AA1035=""),"",IF(OR(LEFT(AA1035,2)="L0",LEFT(AA1035,2)="L1",Y1035="No Iniciado"),"CRÍTICO - Incumplimiento Normativo SEPS",IF(AND(OR(LEFT(AA1035,2)="L4",LEFT(AA1035,2)="L5"),AND(AC1035&lt;&gt;"",AC1035&lt;&gt;"N/A")),"CONFORME - Control Efectivo ISO 27001","OBSERVACIÓN - Revisar Controles")))</f>
        <v/>
      </c>
    </row>
    <row r="1036">
      <c r="A1036" s="99" t="inlineStr">
        <is>
          <t>13-GRI</t>
        </is>
      </c>
      <c r="B1036" s="10" t="inlineStr">
        <is>
          <t>ESTRATÉGICO</t>
        </is>
      </c>
      <c r="C1036" s="10" t="inlineStr">
        <is>
          <t>Gestión de Riesgos</t>
        </is>
      </c>
      <c r="D1036" s="10" t="inlineStr">
        <is>
          <t>GRI</t>
        </is>
      </c>
      <c r="E1036" s="10" t="inlineStr">
        <is>
          <t>Gestión de Riesgo de Liquidez</t>
        </is>
      </c>
      <c r="F1036" s="10" t="inlineStr">
        <is>
          <t>-</t>
        </is>
      </c>
      <c r="G1036" s="10" t="inlineStr">
        <is>
          <t>Análisis de Brechas de Liquidez</t>
        </is>
      </c>
      <c r="H1036" s="10" t="inlineStr">
        <is>
          <t>Reporte de Brechas de Liquidez Contractual, Esperado y Dinámico</t>
        </is>
      </c>
      <c r="I1036" s="10" t="inlineStr">
        <is>
          <t>Consolidación de la información</t>
        </is>
      </c>
      <c r="J1036" s="10" t="inlineStr">
        <is>
          <t>GERENTE DE RIESGOS</t>
        </is>
      </c>
      <c r="K1036" s="10" t="inlineStr">
        <is>
          <t>ANALISTA DE RIESGO DE LIQUIDEZ Y MERCADO</t>
        </is>
      </c>
      <c r="L1036" s="10" t="inlineStr">
        <is>
          <t>UBICACIÓN DIGITAL-EQUIPO DEL RESPONSABLE</t>
        </is>
      </c>
      <c r="M1036" s="10" t="inlineStr">
        <is>
          <t>DOCUMENTO DE ARCHIVO-ELECTRÓNICO</t>
        </is>
      </c>
      <c r="N1036" s="10" t="inlineStr">
        <is>
          <t>PRIMARIOS</t>
        </is>
      </c>
      <c r="O1036" s="10" t="inlineStr">
        <is>
          <t>DOCUMENTOS TÉCNICOS</t>
        </is>
      </c>
      <c r="P1036" s="10" t="inlineStr">
        <is>
          <t>PUBLICA(1)</t>
        </is>
      </c>
      <c r="Q1036" s="10" t="inlineStr">
        <is>
          <t>ALTA(3)</t>
        </is>
      </c>
      <c r="R1036" s="10" t="inlineStr">
        <is>
          <t>MEDIA(2)</t>
        </is>
      </c>
      <c r="S1036" s="10">
        <f>+(IF(P1036="PUBLICA(1)",1,IF(P1036="USO INTERNO(2)",2,IF(P1036="RESTRINGIDO(3)",3,3))))+(IF(Q1036="BAJA(1)",1,IF(Q1036="MEDIA(2)",2,IF(Q1036="ALTA(3)",3,3))))+(IF(R1036="BAJA(1)",1,IF(R1036="MEDIA(2)",2,IF(R1036="ALTA(3)",3,3))))</f>
        <v/>
      </c>
      <c r="T1036" s="10">
        <f>+IF(S1036&lt;6,"BAJA",IF(S1036&lt;8,"MEDIA","ALTA"))</f>
        <v/>
      </c>
      <c r="U1036" s="10" t="inlineStr">
        <is>
          <t>-</t>
        </is>
      </c>
      <c r="V1036" s="24" t="n">
        <v>45567</v>
      </c>
      <c r="W1036" s="19" t="inlineStr">
        <is>
          <t>N/A</t>
        </is>
      </c>
      <c r="X1036" s="10">
        <f>+IFERROR(IF(VLOOKUP(Tabla2[[#This Row],[ID]],'EVALUACION DE RIESGO'!A:A,1,FALSE)=Tabla2[[#This Row],[ID]],"SI","NO"),"NO")</f>
        <v/>
      </c>
      <c r="AD1036">
        <f>IF(AND(Y1036="",AA1036=""),"",IF(OR(LEFT(AA1036,2)="L0",LEFT(AA1036,2)="L1",Y1036="No Iniciado"),"CRÍTICO - Incumplimiento Normativo SEPS",IF(AND(OR(LEFT(AA1036,2)="L4",LEFT(AA1036,2)="L5"),AND(AC1036&lt;&gt;"",AC1036&lt;&gt;"N/A")),"CONFORME - Control Efectivo ISO 27001","OBSERVACIÓN - Revisar Controles")))</f>
        <v/>
      </c>
    </row>
    <row r="1037">
      <c r="A1037" s="99" t="inlineStr">
        <is>
          <t>14-GRI</t>
        </is>
      </c>
      <c r="B1037" s="10" t="inlineStr">
        <is>
          <t>ESTRATÉGICO</t>
        </is>
      </c>
      <c r="C1037" s="10" t="inlineStr">
        <is>
          <t>Gestión de Riesgos</t>
        </is>
      </c>
      <c r="D1037" s="10" t="inlineStr">
        <is>
          <t>GRI</t>
        </is>
      </c>
      <c r="E1037" s="10" t="inlineStr">
        <is>
          <t>Gestión de Riesgo de Liquidez</t>
        </is>
      </c>
      <c r="F1037" s="10" t="inlineStr">
        <is>
          <t>-</t>
        </is>
      </c>
      <c r="G1037" s="10" t="inlineStr">
        <is>
          <t>Análisis de Brechas de Liquidez</t>
        </is>
      </c>
      <c r="H1037" s="10" t="inlineStr">
        <is>
          <t>Estructura de Información L02</t>
        </is>
      </c>
      <c r="I1037" s="10" t="inlineStr">
        <is>
          <t>Indicadores de liquidez estructural</t>
        </is>
      </c>
      <c r="J1037" s="10" t="inlineStr">
        <is>
          <t>GERENTE DE RIESGOS</t>
        </is>
      </c>
      <c r="K1037" s="10" t="inlineStr">
        <is>
          <t>ANALISTA DE RIESGO DE LIQUIDEZ Y MERCADO</t>
        </is>
      </c>
      <c r="L1037" s="10" t="inlineStr">
        <is>
          <t>UBICACIÓN DIGITAL-EQUIPO DEL RESPONSABLE</t>
        </is>
      </c>
      <c r="M1037" s="10" t="inlineStr">
        <is>
          <t>DOCUMENTO DE ARCHIVO-ELECTRÓNICO</t>
        </is>
      </c>
      <c r="N1037" s="10" t="inlineStr">
        <is>
          <t>PRIMARIOS</t>
        </is>
      </c>
      <c r="O1037" s="10" t="inlineStr">
        <is>
          <t>DOCUMENTOS TÉCNICOS</t>
        </is>
      </c>
      <c r="P1037" s="10" t="inlineStr">
        <is>
          <t>PUBLICA(1)</t>
        </is>
      </c>
      <c r="Q1037" s="10" t="inlineStr">
        <is>
          <t>ALTA(3)</t>
        </is>
      </c>
      <c r="R1037" s="10" t="inlineStr">
        <is>
          <t>MEDIA(2)</t>
        </is>
      </c>
      <c r="S1037" s="10">
        <f>+(IF(P1037="PUBLICA(1)",1,IF(P1037="USO INTERNO(2)",2,IF(P1037="RESTRINGIDO(3)",3,3))))+(IF(Q1037="BAJA(1)",1,IF(Q1037="MEDIA(2)",2,IF(Q1037="ALTA(3)",3,3))))+(IF(R1037="BAJA(1)",1,IF(R1037="MEDIA(2)",2,IF(R1037="ALTA(3)",3,3))))</f>
        <v/>
      </c>
      <c r="T1037" s="10">
        <f>+IF(S1037&lt;6,"BAJA",IF(S1037&lt;8,"MEDIA","ALTA"))</f>
        <v/>
      </c>
      <c r="U1037" s="10" t="inlineStr">
        <is>
          <t>-</t>
        </is>
      </c>
      <c r="V1037" s="24" t="n">
        <v>45567</v>
      </c>
      <c r="W1037" s="19" t="inlineStr">
        <is>
          <t>N/A</t>
        </is>
      </c>
      <c r="X1037" s="10">
        <f>+IFERROR(IF(VLOOKUP(Tabla2[[#This Row],[ID]],'EVALUACION DE RIESGO'!A:A,1,FALSE)=Tabla2[[#This Row],[ID]],"SI","NO"),"NO")</f>
        <v/>
      </c>
      <c r="AD1037">
        <f>IF(AND(Y1037="",AA1037=""),"",IF(OR(LEFT(AA1037,2)="L0",LEFT(AA1037,2)="L1",Y1037="No Iniciado"),"CRÍTICO - Incumplimiento Normativo SEPS",IF(AND(OR(LEFT(AA1037,2)="L4",LEFT(AA1037,2)="L5"),AND(AC1037&lt;&gt;"",AC1037&lt;&gt;"N/A")),"CONFORME - Control Efectivo ISO 27001","OBSERVACIÓN - Revisar Controles")))</f>
        <v/>
      </c>
    </row>
    <row r="1038">
      <c r="A1038" s="99" t="inlineStr">
        <is>
          <t>15-GRI</t>
        </is>
      </c>
      <c r="B1038" s="10" t="inlineStr">
        <is>
          <t>ESTRATÉGICO</t>
        </is>
      </c>
      <c r="C1038" s="10" t="inlineStr">
        <is>
          <t>Gestión de Riesgos</t>
        </is>
      </c>
      <c r="D1038" s="10" t="inlineStr">
        <is>
          <t>GRI</t>
        </is>
      </c>
      <c r="E1038" s="10" t="inlineStr">
        <is>
          <t>Gestión de Riesgo de Liquidez</t>
        </is>
      </c>
      <c r="F1038" s="10" t="inlineStr">
        <is>
          <t>-</t>
        </is>
      </c>
      <c r="G1038" s="10" t="inlineStr">
        <is>
          <t>Análisis de Brechas de Liquidez</t>
        </is>
      </c>
      <c r="H1038" s="10" t="inlineStr">
        <is>
          <t>Reporte de Supuestos</t>
        </is>
      </c>
      <c r="I1038" s="10" t="inlineStr">
        <is>
          <t>Consolidación de la información</t>
        </is>
      </c>
      <c r="J1038" s="10" t="inlineStr">
        <is>
          <t>GERENTE DE RIESGOS</t>
        </is>
      </c>
      <c r="K1038" s="10" t="inlineStr">
        <is>
          <t>ANALISTA DE RIESGO DE LIQUIDEZ Y MERCADO</t>
        </is>
      </c>
      <c r="L1038" s="10" t="inlineStr">
        <is>
          <t>UBICACIÓN DIGITAL-EQUIPO DEL RESPONSABLE</t>
        </is>
      </c>
      <c r="M1038" s="10" t="inlineStr">
        <is>
          <t>DOCUMENTO DE ARCHIVO-ELECTRÓNICO</t>
        </is>
      </c>
      <c r="N1038" s="10" t="inlineStr">
        <is>
          <t>PRIMARIOS</t>
        </is>
      </c>
      <c r="O1038" s="10" t="inlineStr">
        <is>
          <t>DOCUMENTOS TÉCNICOS</t>
        </is>
      </c>
      <c r="P1038" s="10" t="inlineStr">
        <is>
          <t>PUBLICA(1)</t>
        </is>
      </c>
      <c r="Q1038" s="10" t="inlineStr">
        <is>
          <t>ALTA(3)</t>
        </is>
      </c>
      <c r="R1038" s="10" t="inlineStr">
        <is>
          <t>MEDIA(2)</t>
        </is>
      </c>
      <c r="S1038" s="10">
        <f>+(IF(P1038="PUBLICA(1)",1,IF(P1038="USO INTERNO(2)",2,IF(P1038="RESTRINGIDO(3)",3,3))))+(IF(Q1038="BAJA(1)",1,IF(Q1038="MEDIA(2)",2,IF(Q1038="ALTA(3)",3,3))))+(IF(R1038="BAJA(1)",1,IF(R1038="MEDIA(2)",2,IF(R1038="ALTA(3)",3,3))))</f>
        <v/>
      </c>
      <c r="T1038" s="10">
        <f>+IF(S1038&lt;6,"BAJA",IF(S1038&lt;8,"MEDIA","ALTA"))</f>
        <v/>
      </c>
      <c r="U1038" s="10" t="inlineStr">
        <is>
          <t>-</t>
        </is>
      </c>
      <c r="V1038" s="24" t="n">
        <v>45567</v>
      </c>
      <c r="W1038" s="19" t="inlineStr">
        <is>
          <t>N/A</t>
        </is>
      </c>
      <c r="X1038" s="10">
        <f>+IFERROR(IF(VLOOKUP(Tabla2[[#This Row],[ID]],'EVALUACION DE RIESGO'!A:A,1,FALSE)=Tabla2[[#This Row],[ID]],"SI","NO"),"NO")</f>
        <v/>
      </c>
      <c r="AD1038">
        <f>IF(AND(Y1038="",AA1038=""),"",IF(OR(LEFT(AA1038,2)="L0",LEFT(AA1038,2)="L1",Y1038="No Iniciado"),"CRÍTICO - Incumplimiento Normativo SEPS",IF(AND(OR(LEFT(AA1038,2)="L4",LEFT(AA1038,2)="L5"),AND(AC1038&lt;&gt;"",AC1038&lt;&gt;"N/A")),"CONFORME - Control Efectivo ISO 27001","OBSERVACIÓN - Revisar Controles")))</f>
        <v/>
      </c>
    </row>
    <row r="1039">
      <c r="A1039" s="99" t="inlineStr">
        <is>
          <t>16-GRI</t>
        </is>
      </c>
      <c r="B1039" s="10" t="inlineStr">
        <is>
          <t>ESTRATÉGICO</t>
        </is>
      </c>
      <c r="C1039" s="10" t="inlineStr">
        <is>
          <t>Gestión de Riesgos</t>
        </is>
      </c>
      <c r="D1039" s="10" t="inlineStr">
        <is>
          <t>GRI</t>
        </is>
      </c>
      <c r="E1039" s="10" t="inlineStr">
        <is>
          <t>Gestión de Riesgo de Liquidez</t>
        </is>
      </c>
      <c r="F1039" s="10" t="inlineStr">
        <is>
          <t>-</t>
        </is>
      </c>
      <c r="G1039" s="10" t="inlineStr">
        <is>
          <t>Análisis de los 100 mayores depositantes</t>
        </is>
      </c>
      <c r="H1039" s="10" t="inlineStr">
        <is>
          <t>Reporte de obligaciones con el público (cuentas de ahorros y DPF)</t>
        </is>
      </c>
      <c r="I1039" s="10" t="inlineStr">
        <is>
          <t>Consolidacion de la información</t>
        </is>
      </c>
      <c r="J1039" s="10" t="inlineStr">
        <is>
          <t>GERENTE DE RIESGOS</t>
        </is>
      </c>
      <c r="K1039" s="10" t="inlineStr">
        <is>
          <t>ANALISTA DE RIESGO DE LIQUIDEZ Y MERCADO</t>
        </is>
      </c>
      <c r="L1039" s="10" t="inlineStr">
        <is>
          <t>UBICACIÓN DIGITAL-EQUIPO DEL RESPONSABLE</t>
        </is>
      </c>
      <c r="M1039" s="10" t="inlineStr">
        <is>
          <t>DOCUMENTO DE ARCHIVO-ELECTRÓNICO</t>
        </is>
      </c>
      <c r="N1039" s="10" t="inlineStr">
        <is>
          <t>PRIMARIOS</t>
        </is>
      </c>
      <c r="O1039" s="10" t="inlineStr">
        <is>
          <t>DOCUMENTOS TÉCNICOS</t>
        </is>
      </c>
      <c r="P1039" s="10" t="inlineStr">
        <is>
          <t>PUBLICA(1)</t>
        </is>
      </c>
      <c r="Q1039" s="10" t="inlineStr">
        <is>
          <t>ALTA(3)</t>
        </is>
      </c>
      <c r="R1039" s="10" t="inlineStr">
        <is>
          <t>MEDIA(2)</t>
        </is>
      </c>
      <c r="S1039" s="10">
        <f>+(IF(P1039="PUBLICA(1)",1,IF(P1039="USO INTERNO(2)",2,IF(P1039="RESTRINGIDO(3)",3,3))))+(IF(Q1039="BAJA(1)",1,IF(Q1039="MEDIA(2)",2,IF(Q1039="ALTA(3)",3,3))))+(IF(R1039="BAJA(1)",1,IF(R1039="MEDIA(2)",2,IF(R1039="ALTA(3)",3,3))))</f>
        <v/>
      </c>
      <c r="T1039" s="10">
        <f>+IF(S1039&lt;6,"BAJA",IF(S1039&lt;8,"MEDIA","ALTA"))</f>
        <v/>
      </c>
      <c r="U1039" s="10" t="inlineStr">
        <is>
          <t>-</t>
        </is>
      </c>
      <c r="V1039" s="24" t="n">
        <v>45567</v>
      </c>
      <c r="W1039" s="19" t="inlineStr">
        <is>
          <t>N/A</t>
        </is>
      </c>
      <c r="X1039" s="10">
        <f>+IFERROR(IF(VLOOKUP(Tabla2[[#This Row],[ID]],'EVALUACION DE RIESGO'!A:A,1,FALSE)=Tabla2[[#This Row],[ID]],"SI","NO"),"NO")</f>
        <v/>
      </c>
      <c r="AD1039">
        <f>IF(AND(Y1039="",AA1039=""),"",IF(OR(LEFT(AA1039,2)="L0",LEFT(AA1039,2)="L1",Y1039="No Iniciado"),"CRÍTICO - Incumplimiento Normativo SEPS",IF(AND(OR(LEFT(AA1039,2)="L4",LEFT(AA1039,2)="L5"),AND(AC1039&lt;&gt;"",AC1039&lt;&gt;"N/A")),"CONFORME - Control Efectivo ISO 27001","OBSERVACIÓN - Revisar Controles")))</f>
        <v/>
      </c>
    </row>
    <row r="1040">
      <c r="A1040" s="99" t="inlineStr">
        <is>
          <t>17-GRI</t>
        </is>
      </c>
      <c r="B1040" s="10" t="inlineStr">
        <is>
          <t>ESTRATÉGICO</t>
        </is>
      </c>
      <c r="C1040" s="10" t="inlineStr">
        <is>
          <t>Gestión de Riesgos</t>
        </is>
      </c>
      <c r="D1040" s="10" t="inlineStr">
        <is>
          <t>GRI</t>
        </is>
      </c>
      <c r="E1040" s="10" t="inlineStr">
        <is>
          <t>Gestión de Riesgo de Liquidez</t>
        </is>
      </c>
      <c r="F1040" s="10" t="inlineStr">
        <is>
          <t>-</t>
        </is>
      </c>
      <c r="G1040" s="10" t="inlineStr">
        <is>
          <t>Análisis de los 100 mayores depositantes</t>
        </is>
      </c>
      <c r="H1040" s="10" t="inlineStr">
        <is>
          <t>Registros de información de liquidez</t>
        </is>
      </c>
      <c r="I1040" s="10" t="inlineStr">
        <is>
          <t>Consolidacion de la información</t>
        </is>
      </c>
      <c r="J1040" s="10" t="inlineStr">
        <is>
          <t>GERENTE DE RIESGOS</t>
        </is>
      </c>
      <c r="K1040" s="10" t="inlineStr">
        <is>
          <t>ANALISTA DE RIESGO DE LIQUIDEZ Y MERCADO</t>
        </is>
      </c>
      <c r="L1040" s="10" t="inlineStr">
        <is>
          <t>UBICACIÓN DIGITAL-EQUIPO DEL RESPONSABLE</t>
        </is>
      </c>
      <c r="M1040" s="10" t="inlineStr">
        <is>
          <t>DOCUMENTO DE ARCHIVO-ELECTRÓNICO</t>
        </is>
      </c>
      <c r="N1040" s="10" t="inlineStr">
        <is>
          <t>PRIMARIOS</t>
        </is>
      </c>
      <c r="O1040" s="10" t="inlineStr">
        <is>
          <t>DOCUMENTOS TÉCNICOS</t>
        </is>
      </c>
      <c r="P1040" s="10" t="inlineStr">
        <is>
          <t>PUBLICA(1)</t>
        </is>
      </c>
      <c r="Q1040" s="10" t="inlineStr">
        <is>
          <t>ALTA(3)</t>
        </is>
      </c>
      <c r="R1040" s="10" t="inlineStr">
        <is>
          <t>MEDIA(2)</t>
        </is>
      </c>
      <c r="S1040" s="10">
        <f>+(IF(P1040="PUBLICA(1)",1,IF(P1040="USO INTERNO(2)",2,IF(P1040="RESTRINGIDO(3)",3,3))))+(IF(Q1040="BAJA(1)",1,IF(Q1040="MEDIA(2)",2,IF(Q1040="ALTA(3)",3,3))))+(IF(R1040="BAJA(1)",1,IF(R1040="MEDIA(2)",2,IF(R1040="ALTA(3)",3,3))))</f>
        <v/>
      </c>
      <c r="T1040" s="10">
        <f>+IF(S1040&lt;6,"BAJA",IF(S1040&lt;8,"MEDIA","ALTA"))</f>
        <v/>
      </c>
      <c r="U1040" s="10" t="inlineStr">
        <is>
          <t>-</t>
        </is>
      </c>
      <c r="V1040" s="24" t="n">
        <v>45567</v>
      </c>
      <c r="W1040" s="19" t="inlineStr">
        <is>
          <t>N/A</t>
        </is>
      </c>
      <c r="X1040" s="10">
        <f>+IFERROR(IF(VLOOKUP(Tabla2[[#This Row],[ID]],'EVALUACION DE RIESGO'!A:A,1,FALSE)=Tabla2[[#This Row],[ID]],"SI","NO"),"NO")</f>
        <v/>
      </c>
      <c r="AD1040">
        <f>IF(AND(Y1040="",AA1040=""),"",IF(OR(LEFT(AA1040,2)="L0",LEFT(AA1040,2)="L1",Y1040="No Iniciado"),"CRÍTICO - Incumplimiento Normativo SEPS",IF(AND(OR(LEFT(AA1040,2)="L4",LEFT(AA1040,2)="L5"),AND(AC1040&lt;&gt;"",AC1040&lt;&gt;"N/A")),"CONFORME - Control Efectivo ISO 27001","OBSERVACIÓN - Revisar Controles")))</f>
        <v/>
      </c>
    </row>
    <row r="1041">
      <c r="A1041" s="99" t="inlineStr">
        <is>
          <t>19-GRI</t>
        </is>
      </c>
      <c r="B1041" s="10" t="inlineStr">
        <is>
          <t>ESTRATÉGICO</t>
        </is>
      </c>
      <c r="C1041" s="10" t="inlineStr">
        <is>
          <t>Gestión de Riesgos</t>
        </is>
      </c>
      <c r="D1041" s="10" t="inlineStr">
        <is>
          <t>GRI</t>
        </is>
      </c>
      <c r="E1041" s="10" t="inlineStr">
        <is>
          <t>Gestión de Riesgo de Liquidez</t>
        </is>
      </c>
      <c r="F1041" s="10" t="inlineStr">
        <is>
          <t>-</t>
        </is>
      </c>
      <c r="G1041" s="10" t="inlineStr">
        <is>
          <t>Análisis de las Captaciones por monto</t>
        </is>
      </c>
      <c r="H1041" s="10" t="inlineStr">
        <is>
          <t>Balance mensual</t>
        </is>
      </c>
      <c r="I1041" s="10" t="inlineStr">
        <is>
          <t>Generación de balance</t>
        </is>
      </c>
      <c r="J1041" s="10" t="inlineStr">
        <is>
          <t>GERENTE DE RIESGOS</t>
        </is>
      </c>
      <c r="K1041" s="10" t="inlineStr">
        <is>
          <t>ANALISTA DE RIESGO DE LIQUIDEZ Y MERCADO</t>
        </is>
      </c>
      <c r="L1041" s="10" t="inlineStr">
        <is>
          <t>UBICACIÓN DIGITAL-EQUIPO DEL RESPONSABLE</t>
        </is>
      </c>
      <c r="M1041" s="10" t="inlineStr">
        <is>
          <t>DOCUMENTO DE ARCHIVO-ELECTRÓNICO</t>
        </is>
      </c>
      <c r="N1041" s="10" t="inlineStr">
        <is>
          <t>PRIMARIOS</t>
        </is>
      </c>
      <c r="O1041" s="10" t="inlineStr">
        <is>
          <t>DOCUMENTOS TÉCNICOS</t>
        </is>
      </c>
      <c r="P1041" s="10" t="inlineStr">
        <is>
          <t>PUBLICA(1)</t>
        </is>
      </c>
      <c r="Q1041" s="10" t="inlineStr">
        <is>
          <t>ALTA(3)</t>
        </is>
      </c>
      <c r="R1041" s="10" t="inlineStr">
        <is>
          <t>MEDIA(2)</t>
        </is>
      </c>
      <c r="S1041" s="10">
        <f>+(IF(P1041="PUBLICA(1)",1,IF(P1041="USO INTERNO(2)",2,IF(P1041="RESTRINGIDO(3)",3,3))))+(IF(Q1041="BAJA(1)",1,IF(Q1041="MEDIA(2)",2,IF(Q1041="ALTA(3)",3,3))))+(IF(R1041="BAJA(1)",1,IF(R1041="MEDIA(2)",2,IF(R1041="ALTA(3)",3,3))))</f>
        <v/>
      </c>
      <c r="T1041" s="10">
        <f>+IF(S1041&lt;6,"BAJA",IF(S1041&lt;8,"MEDIA","ALTA"))</f>
        <v/>
      </c>
      <c r="U1041" s="10" t="inlineStr">
        <is>
          <t>-</t>
        </is>
      </c>
      <c r="V1041" s="24" t="n">
        <v>45567</v>
      </c>
      <c r="W1041" s="19" t="inlineStr">
        <is>
          <t>N/A</t>
        </is>
      </c>
      <c r="X1041" s="10">
        <f>+IFERROR(IF(VLOOKUP(Tabla2[[#This Row],[ID]],'EVALUACION DE RIESGO'!A:A,1,FALSE)=Tabla2[[#This Row],[ID]],"SI","NO"),"NO")</f>
        <v/>
      </c>
      <c r="AD1041">
        <f>IF(AND(Y1041="",AA1041=""),"",IF(OR(LEFT(AA1041,2)="L0",LEFT(AA1041,2)="L1",Y1041="No Iniciado"),"CRÍTICO - Incumplimiento Normativo SEPS",IF(AND(OR(LEFT(AA1041,2)="L4",LEFT(AA1041,2)="L5"),AND(AC1041&lt;&gt;"",AC1041&lt;&gt;"N/A")),"CONFORME - Control Efectivo ISO 27001","OBSERVACIÓN - Revisar Controles")))</f>
        <v/>
      </c>
    </row>
    <row r="1042">
      <c r="A1042" s="99" t="inlineStr">
        <is>
          <t>20-GRI</t>
        </is>
      </c>
      <c r="B1042" s="10" t="inlineStr">
        <is>
          <t>ESTRATÉGICO</t>
        </is>
      </c>
      <c r="C1042" s="10" t="inlineStr">
        <is>
          <t>Gestión de Riesgos</t>
        </is>
      </c>
      <c r="D1042" s="10" t="inlineStr">
        <is>
          <t>GRI</t>
        </is>
      </c>
      <c r="E1042" s="10" t="inlineStr">
        <is>
          <t>Gestión de Riesgo de Liquidez</t>
        </is>
      </c>
      <c r="F1042" s="10" t="inlineStr">
        <is>
          <t>-</t>
        </is>
      </c>
      <c r="G1042" s="10" t="inlineStr">
        <is>
          <t>Análisis de las Captaciones por monto</t>
        </is>
      </c>
      <c r="H1042" s="10" t="inlineStr">
        <is>
          <t>Registros de información de liquidez</t>
        </is>
      </c>
      <c r="I1042" s="10" t="inlineStr">
        <is>
          <t>Se ingresa en el Software de Liquidez y Mercado</t>
        </is>
      </c>
      <c r="J1042" s="10" t="inlineStr">
        <is>
          <t>GERENTE DE RIESGOS</t>
        </is>
      </c>
      <c r="K1042" s="10" t="inlineStr">
        <is>
          <t>ANALISTA DE RIESGO DE LIQUIDEZ Y MERCADO</t>
        </is>
      </c>
      <c r="L1042" s="10" t="inlineStr">
        <is>
          <t>UBICACIÓN DIGITAL-EQUIPO DEL RESPONSABLE</t>
        </is>
      </c>
      <c r="M1042" s="10" t="inlineStr">
        <is>
          <t>DOCUMENTO DE ARCHIVO-ELECTRÓNICO</t>
        </is>
      </c>
      <c r="N1042" s="10" t="inlineStr">
        <is>
          <t>PRIMARIOS</t>
        </is>
      </c>
      <c r="O1042" s="10" t="inlineStr">
        <is>
          <t>DOCUMENTOS TÉCNICOS</t>
        </is>
      </c>
      <c r="P1042" s="10" t="inlineStr">
        <is>
          <t>PUBLICA(1)</t>
        </is>
      </c>
      <c r="Q1042" s="10" t="inlineStr">
        <is>
          <t>ALTA(3)</t>
        </is>
      </c>
      <c r="R1042" s="10" t="inlineStr">
        <is>
          <t>MEDIA(2)</t>
        </is>
      </c>
      <c r="S1042" s="10">
        <f>+(IF(P1042="PUBLICA(1)",1,IF(P1042="USO INTERNO(2)",2,IF(P1042="RESTRINGIDO(3)",3,3))))+(IF(Q1042="BAJA(1)",1,IF(Q1042="MEDIA(2)",2,IF(Q1042="ALTA(3)",3,3))))+(IF(R1042="BAJA(1)",1,IF(R1042="MEDIA(2)",2,IF(R1042="ALTA(3)",3,3))))</f>
        <v/>
      </c>
      <c r="T1042" s="10">
        <f>+IF(S1042&lt;6,"BAJA",IF(S1042&lt;8,"MEDIA","ALTA"))</f>
        <v/>
      </c>
      <c r="U1042" s="10" t="inlineStr">
        <is>
          <t>-</t>
        </is>
      </c>
      <c r="V1042" s="24" t="n">
        <v>45567</v>
      </c>
      <c r="W1042" s="19" t="inlineStr">
        <is>
          <t>N/A</t>
        </is>
      </c>
      <c r="X1042" s="10">
        <f>+IFERROR(IF(VLOOKUP(Tabla2[[#This Row],[ID]],'EVALUACION DE RIESGO'!A:A,1,FALSE)=Tabla2[[#This Row],[ID]],"SI","NO"),"NO")</f>
        <v/>
      </c>
      <c r="AD1042">
        <f>IF(AND(Y1042="",AA1042=""),"",IF(OR(LEFT(AA1042,2)="L0",LEFT(AA1042,2)="L1",Y1042="No Iniciado"),"CRÍTICO - Incumplimiento Normativo SEPS",IF(AND(OR(LEFT(AA1042,2)="L4",LEFT(AA1042,2)="L5"),AND(AC1042&lt;&gt;"",AC1042&lt;&gt;"N/A")),"CONFORME - Control Efectivo ISO 27001","OBSERVACIÓN - Revisar Controles")))</f>
        <v/>
      </c>
    </row>
    <row r="1043">
      <c r="A1043" s="99" t="inlineStr">
        <is>
          <t>21-GRI</t>
        </is>
      </c>
      <c r="B1043" s="10" t="inlineStr">
        <is>
          <t>ESTRATÉGICO</t>
        </is>
      </c>
      <c r="C1043" s="10" t="inlineStr">
        <is>
          <t>Gestión de Riesgos</t>
        </is>
      </c>
      <c r="D1043" s="10" t="inlineStr">
        <is>
          <t>GRI</t>
        </is>
      </c>
      <c r="E1043" s="10" t="inlineStr">
        <is>
          <t>Gestión de Riesgo de Liquidez</t>
        </is>
      </c>
      <c r="F1043" s="10" t="inlineStr">
        <is>
          <t>-</t>
        </is>
      </c>
      <c r="G1043" s="10" t="inlineStr">
        <is>
          <t>Análisis de las Captaciones por monto</t>
        </is>
      </c>
      <c r="H1043" s="10" t="inlineStr">
        <is>
          <t>Reporte de obligaciones con el público (cuentas de ahorros y DPF  )</t>
        </is>
      </c>
      <c r="I1043" s="10" t="inlineStr">
        <is>
          <t>Ejecución de proceso batch</t>
        </is>
      </c>
      <c r="J1043" s="10" t="inlineStr">
        <is>
          <t>GERENTE DE RIESGOS</t>
        </is>
      </c>
      <c r="K1043" s="10" t="inlineStr">
        <is>
          <t>ANALISTA DE RIESGO DE LIQUIDEZ Y MERCADO</t>
        </is>
      </c>
      <c r="L1043" s="10" t="inlineStr">
        <is>
          <t>UBICACIÓN DIGITAL-EQUIPO DEL RESPONSABLE</t>
        </is>
      </c>
      <c r="M1043" s="10" t="inlineStr">
        <is>
          <t>DOCUMENTO DE ARCHIVO-ELECTRÓNICO</t>
        </is>
      </c>
      <c r="N1043" s="10" t="inlineStr">
        <is>
          <t>PRIMARIOS</t>
        </is>
      </c>
      <c r="O1043" s="10" t="inlineStr">
        <is>
          <t>DOCUMENTOS TÉCNICOS</t>
        </is>
      </c>
      <c r="P1043" s="10" t="inlineStr">
        <is>
          <t>PUBLICA(1)</t>
        </is>
      </c>
      <c r="Q1043" s="10" t="inlineStr">
        <is>
          <t>ALTA(3)</t>
        </is>
      </c>
      <c r="R1043" s="10" t="inlineStr">
        <is>
          <t>MEDIA(2)</t>
        </is>
      </c>
      <c r="S1043" s="10">
        <f>+(IF(P1043="PUBLICA(1)",1,IF(P1043="USO INTERNO(2)",2,IF(P1043="RESTRINGIDO(3)",3,3))))+(IF(Q1043="BAJA(1)",1,IF(Q1043="MEDIA(2)",2,IF(Q1043="ALTA(3)",3,3))))+(IF(R1043="BAJA(1)",1,IF(R1043="MEDIA(2)",2,IF(R1043="ALTA(3)",3,3))))</f>
        <v/>
      </c>
      <c r="T1043" s="10">
        <f>+IF(S1043&lt;6,"BAJA",IF(S1043&lt;8,"MEDIA","ALTA"))</f>
        <v/>
      </c>
      <c r="U1043" s="10" t="inlineStr">
        <is>
          <t>-</t>
        </is>
      </c>
      <c r="V1043" s="24" t="n">
        <v>45567</v>
      </c>
      <c r="W1043" s="19" t="inlineStr">
        <is>
          <t>N/A</t>
        </is>
      </c>
      <c r="X1043" s="10">
        <f>+IFERROR(IF(VLOOKUP(Tabla2[[#This Row],[ID]],'EVALUACION DE RIESGO'!A:A,1,FALSE)=Tabla2[[#This Row],[ID]],"SI","NO"),"NO")</f>
        <v/>
      </c>
      <c r="AD1043">
        <f>IF(AND(Y1043="",AA1043=""),"",IF(OR(LEFT(AA1043,2)="L0",LEFT(AA1043,2)="L1",Y1043="No Iniciado"),"CRÍTICO - Incumplimiento Normativo SEPS",IF(AND(OR(LEFT(AA1043,2)="L4",LEFT(AA1043,2)="L5"),AND(AC1043&lt;&gt;"",AC1043&lt;&gt;"N/A")),"CONFORME - Control Efectivo ISO 27001","OBSERVACIÓN - Revisar Controles")))</f>
        <v/>
      </c>
    </row>
    <row r="1044">
      <c r="A1044" s="99" t="inlineStr">
        <is>
          <t>22-GRI</t>
        </is>
      </c>
      <c r="B1044" s="10" t="inlineStr">
        <is>
          <t>ESTRATÉGICO</t>
        </is>
      </c>
      <c r="C1044" s="10" t="inlineStr">
        <is>
          <t>Gestión de Riesgos</t>
        </is>
      </c>
      <c r="D1044" s="10" t="inlineStr">
        <is>
          <t>GRI</t>
        </is>
      </c>
      <c r="E1044" s="10" t="inlineStr">
        <is>
          <t>Gestión de Riesgo de Liquidez</t>
        </is>
      </c>
      <c r="F1044" s="10" t="inlineStr">
        <is>
          <t>-</t>
        </is>
      </c>
      <c r="G1044" s="10" t="inlineStr">
        <is>
          <t>Análisis de las Captaciones por monto</t>
        </is>
      </c>
      <c r="H1044" s="10" t="inlineStr">
        <is>
          <t>Reporte de Anexos B1, B2 y restringidos de las captaciones por monto de las cuentas 2101, 2103 y 2105.</t>
        </is>
      </c>
      <c r="I1044" s="10" t="inlineStr">
        <is>
          <t>Consolidación de la información</t>
        </is>
      </c>
      <c r="J1044" s="10" t="inlineStr">
        <is>
          <t>GERENTE DE RIESGOS</t>
        </is>
      </c>
      <c r="K1044" s="10" t="inlineStr">
        <is>
          <t>ANALISTA DE RIESGO DE LIQUIDEZ Y MERCADO</t>
        </is>
      </c>
      <c r="L1044" s="10" t="inlineStr">
        <is>
          <t>UBICACIÓN DIGITAL-EQUIPO DEL RESPONSABLE</t>
        </is>
      </c>
      <c r="M1044" s="10" t="inlineStr">
        <is>
          <t>DOCUMENTO DE ARCHIVO-ELECTRÓNICO</t>
        </is>
      </c>
      <c r="N1044" s="10" t="inlineStr">
        <is>
          <t>PRIMARIOS</t>
        </is>
      </c>
      <c r="O1044" s="10" t="inlineStr">
        <is>
          <t>DOCUMENTOS TÉCNICOS</t>
        </is>
      </c>
      <c r="P1044" s="10" t="inlineStr">
        <is>
          <t>PUBLICA(1)</t>
        </is>
      </c>
      <c r="Q1044" s="10" t="inlineStr">
        <is>
          <t>ALTA(3)</t>
        </is>
      </c>
      <c r="R1044" s="10" t="inlineStr">
        <is>
          <t>MEDIA(2)</t>
        </is>
      </c>
      <c r="S1044" s="10">
        <f>+(IF(P1044="PUBLICA(1)",1,IF(P1044="USO INTERNO(2)",2,IF(P1044="RESTRINGIDO(3)",3,3))))+(IF(Q1044="BAJA(1)",1,IF(Q1044="MEDIA(2)",2,IF(Q1044="ALTA(3)",3,3))))+(IF(R1044="BAJA(1)",1,IF(R1044="MEDIA(2)",2,IF(R1044="ALTA(3)",3,3))))</f>
        <v/>
      </c>
      <c r="T1044" s="10">
        <f>+IF(S1044&lt;6,"BAJA",IF(S1044&lt;8,"MEDIA","ALTA"))</f>
        <v/>
      </c>
      <c r="U1044" s="10" t="inlineStr">
        <is>
          <t>-</t>
        </is>
      </c>
      <c r="V1044" s="24" t="n">
        <v>45567</v>
      </c>
      <c r="W1044" s="19" t="inlineStr">
        <is>
          <t>N/A</t>
        </is>
      </c>
      <c r="X1044" s="10">
        <f>+IFERROR(IF(VLOOKUP(Tabla2[[#This Row],[ID]],'EVALUACION DE RIESGO'!A:A,1,FALSE)=Tabla2[[#This Row],[ID]],"SI","NO"),"NO")</f>
        <v/>
      </c>
      <c r="AD1044">
        <f>IF(AND(Y1044="",AA1044=""),"",IF(OR(LEFT(AA1044,2)="L0",LEFT(AA1044,2)="L1",Y1044="No Iniciado"),"CRÍTICO - Incumplimiento Normativo SEPS",IF(AND(OR(LEFT(AA1044,2)="L4",LEFT(AA1044,2)="L5"),AND(AC1044&lt;&gt;"",AC1044&lt;&gt;"N/A")),"CONFORME - Control Efectivo ISO 27001","OBSERVACIÓN - Revisar Controles")))</f>
        <v/>
      </c>
    </row>
    <row r="1045">
      <c r="A1045" s="99" t="inlineStr">
        <is>
          <t>23-GRI</t>
        </is>
      </c>
      <c r="B1045" s="10" t="inlineStr">
        <is>
          <t>ESTRATÉGICO</t>
        </is>
      </c>
      <c r="C1045" s="10" t="inlineStr">
        <is>
          <t>Gestión de Riesgos</t>
        </is>
      </c>
      <c r="D1045" s="10" t="inlineStr">
        <is>
          <t>GRI</t>
        </is>
      </c>
      <c r="E1045" s="10" t="inlineStr">
        <is>
          <t>Gestión de Riesgo de Liquidez</t>
        </is>
      </c>
      <c r="F1045" s="10" t="inlineStr">
        <is>
          <t>-</t>
        </is>
      </c>
      <c r="G1045" s="10" t="inlineStr">
        <is>
          <t xml:space="preserve">Monitoreo de las Obligaciones Financieras    </t>
        </is>
      </c>
      <c r="H1045" s="10" t="inlineStr">
        <is>
          <t>Balance mensual</t>
        </is>
      </c>
      <c r="I1045" s="10" t="inlineStr">
        <is>
          <t>Generación de balance</t>
        </is>
      </c>
      <c r="J1045" s="10" t="inlineStr">
        <is>
          <t>GERENTE DE RIESGOS</t>
        </is>
      </c>
      <c r="K1045" s="10" t="inlineStr">
        <is>
          <t>ANALISTA DE RIESGO DE LIQUIDEZ Y MERCADO</t>
        </is>
      </c>
      <c r="L1045" s="10" t="inlineStr">
        <is>
          <t>UBICACIÓN DIGITAL-EQUIPO DEL RESPONSABLE</t>
        </is>
      </c>
      <c r="M1045" s="10" t="inlineStr">
        <is>
          <t>DOCUMENTO DE ARCHIVO-ELECTRÓNICO</t>
        </is>
      </c>
      <c r="N1045" s="10" t="inlineStr">
        <is>
          <t>PRIMARIOS</t>
        </is>
      </c>
      <c r="O1045" s="10" t="inlineStr">
        <is>
          <t>DOCUMENTOS TÉCNICOS</t>
        </is>
      </c>
      <c r="P1045" s="10" t="inlineStr">
        <is>
          <t>PUBLICA(1)</t>
        </is>
      </c>
      <c r="Q1045" s="10" t="inlineStr">
        <is>
          <t>ALTA(3)</t>
        </is>
      </c>
      <c r="R1045" s="10" t="inlineStr">
        <is>
          <t>MEDIA(2)</t>
        </is>
      </c>
      <c r="S1045" s="10">
        <f>+(IF(P1045="PUBLICA(1)",1,IF(P1045="USO INTERNO(2)",2,IF(P1045="RESTRINGIDO(3)",3,3))))+(IF(Q1045="BAJA(1)",1,IF(Q1045="MEDIA(2)",2,IF(Q1045="ALTA(3)",3,3))))+(IF(R1045="BAJA(1)",1,IF(R1045="MEDIA(2)",2,IF(R1045="ALTA(3)",3,3))))</f>
        <v/>
      </c>
      <c r="T1045" s="10">
        <f>+IF(S1045&lt;6,"BAJA",IF(S1045&lt;8,"MEDIA","ALTA"))</f>
        <v/>
      </c>
      <c r="U1045" s="10" t="inlineStr">
        <is>
          <t>-</t>
        </is>
      </c>
      <c r="V1045" s="24" t="n">
        <v>45567</v>
      </c>
      <c r="W1045" s="19" t="inlineStr">
        <is>
          <t>N/A</t>
        </is>
      </c>
      <c r="X1045" s="10">
        <f>+IFERROR(IF(VLOOKUP(Tabla2[[#This Row],[ID]],'EVALUACION DE RIESGO'!A:A,1,FALSE)=Tabla2[[#This Row],[ID]],"SI","NO"),"NO")</f>
        <v/>
      </c>
      <c r="AD1045">
        <f>IF(AND(Y1045="",AA1045=""),"",IF(OR(LEFT(AA1045,2)="L0",LEFT(AA1045,2)="L1",Y1045="No Iniciado"),"CRÍTICO - Incumplimiento Normativo SEPS",IF(AND(OR(LEFT(AA1045,2)="L4",LEFT(AA1045,2)="L5"),AND(AC1045&lt;&gt;"",AC1045&lt;&gt;"N/A")),"CONFORME - Control Efectivo ISO 27001","OBSERVACIÓN - Revisar Controles")))</f>
        <v/>
      </c>
    </row>
    <row r="1046">
      <c r="A1046" s="99" t="inlineStr">
        <is>
          <t>24-GRI</t>
        </is>
      </c>
      <c r="B1046" s="10" t="inlineStr">
        <is>
          <t>ESTRATÉGICO</t>
        </is>
      </c>
      <c r="C1046" s="10" t="inlineStr">
        <is>
          <t>Gestión de Riesgos</t>
        </is>
      </c>
      <c r="D1046" s="10" t="inlineStr">
        <is>
          <t>GRI</t>
        </is>
      </c>
      <c r="E1046" s="10" t="inlineStr">
        <is>
          <t>Gestión de Riesgo de Liquidez</t>
        </is>
      </c>
      <c r="F1046" s="10" t="inlineStr">
        <is>
          <t>-</t>
        </is>
      </c>
      <c r="G1046" s="10" t="inlineStr">
        <is>
          <t xml:space="preserve">Monitoreo de las Obligaciones Financieras    </t>
        </is>
      </c>
      <c r="H1046" s="10" t="inlineStr">
        <is>
          <t>Reporte de Obligaciones Financieras</t>
        </is>
      </c>
      <c r="I1046" s="10" t="inlineStr">
        <is>
          <t>Consolidación de Información</t>
        </is>
      </c>
      <c r="J1046" s="10" t="inlineStr">
        <is>
          <t>GERENTE DE RIESGOS</t>
        </is>
      </c>
      <c r="K1046" s="10" t="inlineStr">
        <is>
          <t>ANALISTA DE RIESGO DE LIQUIDEZ Y MERCADO</t>
        </is>
      </c>
      <c r="L1046" s="10" t="inlineStr">
        <is>
          <t>UBICACIÓN DIGITAL-EQUIPO DEL RESPONSABLE</t>
        </is>
      </c>
      <c r="M1046" s="10" t="inlineStr">
        <is>
          <t>DOCUMENTO DE ARCHIVO-ELECTRÓNICO</t>
        </is>
      </c>
      <c r="N1046" s="10" t="inlineStr">
        <is>
          <t>PRIMARIOS</t>
        </is>
      </c>
      <c r="O1046" s="10" t="inlineStr">
        <is>
          <t>DOCUMENTOS TÉCNICOS</t>
        </is>
      </c>
      <c r="P1046" s="10" t="inlineStr">
        <is>
          <t>PUBLICA(1)</t>
        </is>
      </c>
      <c r="Q1046" s="10" t="inlineStr">
        <is>
          <t>ALTA(3)</t>
        </is>
      </c>
      <c r="R1046" s="10" t="inlineStr">
        <is>
          <t>MEDIA(2)</t>
        </is>
      </c>
      <c r="S1046" s="10">
        <f>+(IF(P1046="PUBLICA(1)",1,IF(P1046="USO INTERNO(2)",2,IF(P1046="RESTRINGIDO(3)",3,3))))+(IF(Q1046="BAJA(1)",1,IF(Q1046="MEDIA(2)",2,IF(Q1046="ALTA(3)",3,3))))+(IF(R1046="BAJA(1)",1,IF(R1046="MEDIA(2)",2,IF(R1046="ALTA(3)",3,3))))</f>
        <v/>
      </c>
      <c r="T1046" s="10">
        <f>+IF(S1046&lt;6,"BAJA",IF(S1046&lt;8,"MEDIA","ALTA"))</f>
        <v/>
      </c>
      <c r="U1046" s="10" t="inlineStr">
        <is>
          <t>-</t>
        </is>
      </c>
      <c r="V1046" s="24" t="n">
        <v>45567</v>
      </c>
      <c r="W1046" s="19" t="inlineStr">
        <is>
          <t>N/A</t>
        </is>
      </c>
      <c r="X1046" s="10">
        <f>+IFERROR(IF(VLOOKUP(Tabla2[[#This Row],[ID]],'EVALUACION DE RIESGO'!A:A,1,FALSE)=Tabla2[[#This Row],[ID]],"SI","NO"),"NO")</f>
        <v/>
      </c>
      <c r="AD1046">
        <f>IF(AND(Y1046="",AA1046=""),"",IF(OR(LEFT(AA1046,2)="L0",LEFT(AA1046,2)="L1",Y1046="No Iniciado"),"CRÍTICO - Incumplimiento Normativo SEPS",IF(AND(OR(LEFT(AA1046,2)="L4",LEFT(AA1046,2)="L5"),AND(AC1046&lt;&gt;"",AC1046&lt;&gt;"N/A")),"CONFORME - Control Efectivo ISO 27001","OBSERVACIÓN - Revisar Controles")))</f>
        <v/>
      </c>
    </row>
    <row r="1047">
      <c r="A1047" s="99" t="inlineStr">
        <is>
          <t>25-GRI</t>
        </is>
      </c>
      <c r="B1047" s="10" t="inlineStr">
        <is>
          <t>ESTRATÉGICO</t>
        </is>
      </c>
      <c r="C1047" s="10" t="inlineStr">
        <is>
          <t>Gestión de Riesgos</t>
        </is>
      </c>
      <c r="D1047" s="10" t="inlineStr">
        <is>
          <t>GRI</t>
        </is>
      </c>
      <c r="E1047" s="10" t="inlineStr">
        <is>
          <t>Gestión de Riesgo de Liquidez</t>
        </is>
      </c>
      <c r="F1047" s="10" t="inlineStr">
        <is>
          <t>-</t>
        </is>
      </c>
      <c r="G1047" s="10" t="inlineStr">
        <is>
          <t xml:space="preserve">Monitoreo de las Obligaciones Financieras    </t>
        </is>
      </c>
      <c r="H1047" s="10" t="inlineStr">
        <is>
          <t>Reporte Anexo B3 Obligaciones Financieras</t>
        </is>
      </c>
      <c r="I1047" s="10" t="inlineStr">
        <is>
          <t>Consolidación de la información</t>
        </is>
      </c>
      <c r="J1047" s="10" t="inlineStr">
        <is>
          <t>GERENTE DE RIESGOS</t>
        </is>
      </c>
      <c r="K1047" s="10" t="inlineStr">
        <is>
          <t>ANALISTA DE RIESGO DE LIQUIDEZ Y MERCADO</t>
        </is>
      </c>
      <c r="L1047" s="10" t="inlineStr">
        <is>
          <t>UBICACIÓN DIGITAL-EQUIPO DEL RESPONSABLE</t>
        </is>
      </c>
      <c r="M1047" s="10" t="inlineStr">
        <is>
          <t>DOCUMENTO DE ARCHIVO-ELECTRÓNICO</t>
        </is>
      </c>
      <c r="N1047" s="10" t="inlineStr">
        <is>
          <t>PRIMARIOS</t>
        </is>
      </c>
      <c r="O1047" s="10" t="inlineStr">
        <is>
          <t>DOCUMENTOS TÉCNICOS</t>
        </is>
      </c>
      <c r="P1047" s="10" t="inlineStr">
        <is>
          <t>PUBLICA(1)</t>
        </is>
      </c>
      <c r="Q1047" s="10" t="inlineStr">
        <is>
          <t>ALTA(3)</t>
        </is>
      </c>
      <c r="R1047" s="10" t="inlineStr">
        <is>
          <t>MEDIA(2)</t>
        </is>
      </c>
      <c r="S1047" s="10">
        <f>+(IF(P1047="PUBLICA(1)",1,IF(P1047="USO INTERNO(2)",2,IF(P1047="RESTRINGIDO(3)",3,3))))+(IF(Q1047="BAJA(1)",1,IF(Q1047="MEDIA(2)",2,IF(Q1047="ALTA(3)",3,3))))+(IF(R1047="BAJA(1)",1,IF(R1047="MEDIA(2)",2,IF(R1047="ALTA(3)",3,3))))</f>
        <v/>
      </c>
      <c r="T1047" s="10">
        <f>+IF(S1047&lt;6,"BAJA",IF(S1047&lt;8,"MEDIA","ALTA"))</f>
        <v/>
      </c>
      <c r="U1047" s="10" t="inlineStr">
        <is>
          <t>-</t>
        </is>
      </c>
      <c r="V1047" s="24" t="n">
        <v>45567</v>
      </c>
      <c r="W1047" s="19" t="inlineStr">
        <is>
          <t>N/A</t>
        </is>
      </c>
      <c r="X1047" s="10">
        <f>+IFERROR(IF(VLOOKUP(Tabla2[[#This Row],[ID]],'EVALUACION DE RIESGO'!A:A,1,FALSE)=Tabla2[[#This Row],[ID]],"SI","NO"),"NO")</f>
        <v/>
      </c>
      <c r="AD1047">
        <f>IF(AND(Y1047="",AA1047=""),"",IF(OR(LEFT(AA1047,2)="L0",LEFT(AA1047,2)="L1",Y1047="No Iniciado"),"CRÍTICO - Incumplimiento Normativo SEPS",IF(AND(OR(LEFT(AA1047,2)="L4",LEFT(AA1047,2)="L5"),AND(AC1047&lt;&gt;"",AC1047&lt;&gt;"N/A")),"CONFORME - Control Efectivo ISO 27001","OBSERVACIÓN - Revisar Controles")))</f>
        <v/>
      </c>
    </row>
    <row r="1048">
      <c r="A1048" s="99" t="inlineStr">
        <is>
          <t>26-GRI</t>
        </is>
      </c>
      <c r="B1048" s="10" t="inlineStr">
        <is>
          <t>ESTRATÉGICO</t>
        </is>
      </c>
      <c r="C1048" s="10" t="inlineStr">
        <is>
          <t>Gestión de Riesgos</t>
        </is>
      </c>
      <c r="D1048" s="10" t="inlineStr">
        <is>
          <t>GRI</t>
        </is>
      </c>
      <c r="E1048" s="10" t="inlineStr">
        <is>
          <t>Gestión de Riesgo de Liquidez</t>
        </is>
      </c>
      <c r="F1048" s="10" t="inlineStr">
        <is>
          <t>-</t>
        </is>
      </c>
      <c r="G1048" s="10" t="inlineStr">
        <is>
          <t>Revisión al portafolio de inversiones</t>
        </is>
      </c>
      <c r="H1048" s="10" t="inlineStr">
        <is>
          <t>Boletines Mensuales de la SEPS y SB</t>
        </is>
      </c>
      <c r="I1048" s="10" t="inlineStr">
        <is>
          <t>Informaciones que publican</t>
        </is>
      </c>
      <c r="J1048" s="10" t="inlineStr">
        <is>
          <t>GERENTE DE RIESGOS</t>
        </is>
      </c>
      <c r="K1048" s="10" t="inlineStr">
        <is>
          <t>ANALISTA DE RIESGO DE LIQUIDEZ Y MERCADO</t>
        </is>
      </c>
      <c r="L1048" s="10" t="inlineStr">
        <is>
          <t>UBICACIÓN DIGITAL-EQUIPO DEL RESPONSABLE</t>
        </is>
      </c>
      <c r="M1048" s="10" t="inlineStr">
        <is>
          <t>DOCUMENTO DE ARCHIVO-ELECTRÓNICO</t>
        </is>
      </c>
      <c r="N1048" s="10" t="inlineStr">
        <is>
          <t>PRIMARIOS</t>
        </is>
      </c>
      <c r="O1048" s="10" t="inlineStr">
        <is>
          <t>INFORMACIÓN DE TERCEROS</t>
        </is>
      </c>
      <c r="P1048" s="10" t="inlineStr">
        <is>
          <t>PUBLICA(1)</t>
        </is>
      </c>
      <c r="Q1048" s="10" t="inlineStr">
        <is>
          <t>ALTA(3)</t>
        </is>
      </c>
      <c r="R1048" s="10" t="inlineStr">
        <is>
          <t>MEDIA(2)</t>
        </is>
      </c>
      <c r="S1048" s="10">
        <f>+(IF(P1048="PUBLICA(1)",1,IF(P1048="USO INTERNO(2)",2,IF(P1048="RESTRINGIDO(3)",3,3))))+(IF(Q1048="BAJA(1)",1,IF(Q1048="MEDIA(2)",2,IF(Q1048="ALTA(3)",3,3))))+(IF(R1048="BAJA(1)",1,IF(R1048="MEDIA(2)",2,IF(R1048="ALTA(3)",3,3))))</f>
        <v/>
      </c>
      <c r="T1048" s="10">
        <f>+IF(S1048&lt;6,"BAJA",IF(S1048&lt;8,"MEDIA","ALTA"))</f>
        <v/>
      </c>
      <c r="U1048" s="10" t="inlineStr">
        <is>
          <t>-</t>
        </is>
      </c>
      <c r="V1048" s="24" t="n">
        <v>45567</v>
      </c>
      <c r="W1048" s="19" t="inlineStr">
        <is>
          <t>N/A</t>
        </is>
      </c>
      <c r="X1048" s="10">
        <f>+IFERROR(IF(VLOOKUP(Tabla2[[#This Row],[ID]],'EVALUACION DE RIESGO'!A:A,1,FALSE)=Tabla2[[#This Row],[ID]],"SI","NO"),"NO")</f>
        <v/>
      </c>
      <c r="AD1048">
        <f>IF(AND(Y1048="",AA1048=""),"",IF(OR(LEFT(AA1048,2)="L0",LEFT(AA1048,2)="L1",Y1048="No Iniciado"),"CRÍTICO - Incumplimiento Normativo SEPS",IF(AND(OR(LEFT(AA1048,2)="L4",LEFT(AA1048,2)="L5"),AND(AC1048&lt;&gt;"",AC1048&lt;&gt;"N/A")),"CONFORME - Control Efectivo ISO 27001","OBSERVACIÓN - Revisar Controles")))</f>
        <v/>
      </c>
    </row>
    <row r="1049">
      <c r="A1049" s="99" t="inlineStr">
        <is>
          <t>27-GRI</t>
        </is>
      </c>
      <c r="B1049" s="10" t="inlineStr">
        <is>
          <t>ESTRATÉGICO</t>
        </is>
      </c>
      <c r="C1049" s="10" t="inlineStr">
        <is>
          <t>Gestión de Riesgos</t>
        </is>
      </c>
      <c r="D1049" s="10" t="inlineStr">
        <is>
          <t>GRI</t>
        </is>
      </c>
      <c r="E1049" s="10" t="inlineStr">
        <is>
          <t>Gestión de Riesgo de Liquidez</t>
        </is>
      </c>
      <c r="F1049" s="10" t="inlineStr">
        <is>
          <t>-</t>
        </is>
      </c>
      <c r="G1049" s="10" t="inlineStr">
        <is>
          <t>Revisión al portafolio de inversiones</t>
        </is>
      </c>
      <c r="H1049" s="10" t="inlineStr">
        <is>
          <t>Herramienta de Análisis de indicadores de tesorería.</t>
        </is>
      </c>
      <c r="I1049" s="10" t="inlineStr">
        <is>
          <t>Consolidacion de la informacion</t>
        </is>
      </c>
      <c r="J1049" s="10" t="inlineStr">
        <is>
          <t>GERENTE DE RIESGOS</t>
        </is>
      </c>
      <c r="K1049" s="10" t="inlineStr">
        <is>
          <t>ANALISTA DE RIESGO DE LIQUIDEZ Y MERCADO</t>
        </is>
      </c>
      <c r="L1049" s="10" t="inlineStr">
        <is>
          <t>UBICACIÓN DIGITAL-EQUIPO DEL RESPONSABLE</t>
        </is>
      </c>
      <c r="M1049" s="10" t="inlineStr">
        <is>
          <t>DOCUMENTO DE ARCHIVO-ELECTRÓNICO</t>
        </is>
      </c>
      <c r="N1049" s="10" t="inlineStr">
        <is>
          <t>PRIMARIOS</t>
        </is>
      </c>
      <c r="O1049" s="10" t="inlineStr">
        <is>
          <t>DOCUMENTOS TÉCNICOS</t>
        </is>
      </c>
      <c r="P1049" s="10" t="inlineStr">
        <is>
          <t>PUBLICA(1)</t>
        </is>
      </c>
      <c r="Q1049" s="10" t="inlineStr">
        <is>
          <t>ALTA(3)</t>
        </is>
      </c>
      <c r="R1049" s="10" t="inlineStr">
        <is>
          <t>MEDIA(2)</t>
        </is>
      </c>
      <c r="S1049" s="10">
        <f>+(IF(P1049="PUBLICA(1)",1,IF(P1049="USO INTERNO(2)",2,IF(P1049="RESTRINGIDO(3)",3,3))))+(IF(Q1049="BAJA(1)",1,IF(Q1049="MEDIA(2)",2,IF(Q1049="ALTA(3)",3,3))))+(IF(R1049="BAJA(1)",1,IF(R1049="MEDIA(2)",2,IF(R1049="ALTA(3)",3,3))))</f>
        <v/>
      </c>
      <c r="T1049" s="10">
        <f>+IF(S1049&lt;6,"BAJA",IF(S1049&lt;8,"MEDIA","ALTA"))</f>
        <v/>
      </c>
      <c r="U1049" s="10" t="inlineStr">
        <is>
          <t>-</t>
        </is>
      </c>
      <c r="V1049" s="24" t="n">
        <v>45567</v>
      </c>
      <c r="W1049" s="19" t="inlineStr">
        <is>
          <t>N/A</t>
        </is>
      </c>
      <c r="X1049" s="10">
        <f>+IFERROR(IF(VLOOKUP(Tabla2[[#This Row],[ID]],'EVALUACION DE RIESGO'!A:A,1,FALSE)=Tabla2[[#This Row],[ID]],"SI","NO"),"NO")</f>
        <v/>
      </c>
      <c r="AD1049">
        <f>IF(AND(Y1049="",AA1049=""),"",IF(OR(LEFT(AA1049,2)="L0",LEFT(AA1049,2)="L1",Y1049="No Iniciado"),"CRÍTICO - Incumplimiento Normativo SEPS",IF(AND(OR(LEFT(AA1049,2)="L4",LEFT(AA1049,2)="L5"),AND(AC1049&lt;&gt;"",AC1049&lt;&gt;"N/A")),"CONFORME - Control Efectivo ISO 27001","OBSERVACIÓN - Revisar Controles")))</f>
        <v/>
      </c>
    </row>
    <row r="1050">
      <c r="A1050" s="99" t="inlineStr">
        <is>
          <t>28-GRI</t>
        </is>
      </c>
      <c r="B1050" s="10" t="inlineStr">
        <is>
          <t>ESTRATÉGICO</t>
        </is>
      </c>
      <c r="C1050" s="10" t="inlineStr">
        <is>
          <t>Gestión de Riesgos</t>
        </is>
      </c>
      <c r="D1050" s="10" t="inlineStr">
        <is>
          <t>GRI</t>
        </is>
      </c>
      <c r="E1050" s="10" t="inlineStr">
        <is>
          <t>Gestión de Riesgo de Liquidez</t>
        </is>
      </c>
      <c r="F1050" s="10" t="inlineStr">
        <is>
          <t>-</t>
        </is>
      </c>
      <c r="G1050" s="10" t="inlineStr">
        <is>
          <t>Revisión al portafolio de inversiones</t>
        </is>
      </c>
      <c r="H1050" s="10" t="inlineStr">
        <is>
          <t xml:space="preserve">Hojas de trabajo </t>
        </is>
      </c>
      <c r="I1050" s="10" t="inlineStr">
        <is>
          <t>Portafolio de inversiones</t>
        </is>
      </c>
      <c r="J1050" s="10" t="inlineStr">
        <is>
          <t>GERENTE DE RIESGOS</t>
        </is>
      </c>
      <c r="K1050" s="10" t="inlineStr">
        <is>
          <t>ANALISTA DE RIESGO DE LIQUIDEZ Y MERCADO</t>
        </is>
      </c>
      <c r="L1050" s="10" t="inlineStr">
        <is>
          <t>UBICACIÓN DIGITAL-EQUIPO DEL RESPONSABLE</t>
        </is>
      </c>
      <c r="M1050" s="10" t="inlineStr">
        <is>
          <t>DOCUMENTO DE ARCHIVO-ELECTRÓNICO</t>
        </is>
      </c>
      <c r="N1050" s="10" t="inlineStr">
        <is>
          <t>PRIMARIOS</t>
        </is>
      </c>
      <c r="O1050" s="10" t="inlineStr">
        <is>
          <t>DOCUMENTOS TÉCNICOS</t>
        </is>
      </c>
      <c r="P1050" s="10" t="inlineStr">
        <is>
          <t>PUBLICA(1)</t>
        </is>
      </c>
      <c r="Q1050" s="10" t="inlineStr">
        <is>
          <t>ALTA(3)</t>
        </is>
      </c>
      <c r="R1050" s="10" t="inlineStr">
        <is>
          <t>MEDIA(2)</t>
        </is>
      </c>
      <c r="S1050" s="10">
        <f>+(IF(P1050="PUBLICA(1)",1,IF(P1050="USO INTERNO(2)",2,IF(P1050="RESTRINGIDO(3)",3,3))))+(IF(Q1050="BAJA(1)",1,IF(Q1050="MEDIA(2)",2,IF(Q1050="ALTA(3)",3,3))))+(IF(R1050="BAJA(1)",1,IF(R1050="MEDIA(2)",2,IF(R1050="ALTA(3)",3,3))))</f>
        <v/>
      </c>
      <c r="T1050" s="10">
        <f>+IF(S1050&lt;6,"BAJA",IF(S1050&lt;8,"MEDIA","ALTA"))</f>
        <v/>
      </c>
      <c r="U1050" s="10" t="inlineStr">
        <is>
          <t>-</t>
        </is>
      </c>
      <c r="V1050" s="24" t="n">
        <v>45567</v>
      </c>
      <c r="W1050" s="19" t="inlineStr">
        <is>
          <t>N/A</t>
        </is>
      </c>
      <c r="X1050" s="10">
        <f>+IFERROR(IF(VLOOKUP(Tabla2[[#This Row],[ID]],'EVALUACION DE RIESGO'!A:A,1,FALSE)=Tabla2[[#This Row],[ID]],"SI","NO"),"NO")</f>
        <v/>
      </c>
      <c r="AD1050">
        <f>IF(AND(Y1050="",AA1050=""),"",IF(OR(LEFT(AA1050,2)="L0",LEFT(AA1050,2)="L1",Y1050="No Iniciado"),"CRÍTICO - Incumplimiento Normativo SEPS",IF(AND(OR(LEFT(AA1050,2)="L4",LEFT(AA1050,2)="L5"),AND(AC1050&lt;&gt;"",AC1050&lt;&gt;"N/A")),"CONFORME - Control Efectivo ISO 27001","OBSERVACIÓN - Revisar Controles")))</f>
        <v/>
      </c>
    </row>
    <row r="1051">
      <c r="A1051" s="99" t="inlineStr">
        <is>
          <t>29-GRI</t>
        </is>
      </c>
      <c r="B1051" s="10" t="inlineStr">
        <is>
          <t>ESTRATÉGICO</t>
        </is>
      </c>
      <c r="C1051" s="10" t="inlineStr">
        <is>
          <t>Gestión de Riesgos</t>
        </is>
      </c>
      <c r="D1051" s="10" t="inlineStr">
        <is>
          <t>GRI</t>
        </is>
      </c>
      <c r="E1051" s="10" t="inlineStr">
        <is>
          <t>Gestión de Riesgo de Liquidez</t>
        </is>
      </c>
      <c r="F1051" s="10" t="inlineStr">
        <is>
          <t>-</t>
        </is>
      </c>
      <c r="G1051" s="10" t="inlineStr">
        <is>
          <t>Revisión al portafolio de inversiones</t>
        </is>
      </c>
      <c r="H1051" s="10" t="inlineStr">
        <is>
          <t>Reporte de niveles de riesgo de entidades financieras</t>
        </is>
      </c>
      <c r="I1051" s="10" t="inlineStr">
        <is>
          <t>Negociación de inversiones recursos propios / Cancelación de inversiones recursos propios</t>
        </is>
      </c>
      <c r="J1051" s="10" t="inlineStr">
        <is>
          <t>GERENTE DE RIESGOS</t>
        </is>
      </c>
      <c r="K1051" s="10" t="inlineStr">
        <is>
          <t>ANALISTA DE RIESGO DE LIQUIDEZ Y MERCADO</t>
        </is>
      </c>
      <c r="L1051" s="10" t="inlineStr">
        <is>
          <t>UBICACIÓN DIGITAL-EQUIPO DEL RESPONSABLE</t>
        </is>
      </c>
      <c r="M1051" s="10" t="inlineStr">
        <is>
          <t>DOCUMENTO DE ARCHIVO-ELECTRÓNICO</t>
        </is>
      </c>
      <c r="N1051" s="10" t="inlineStr">
        <is>
          <t>PRIMARIOS</t>
        </is>
      </c>
      <c r="O1051" s="10" t="inlineStr">
        <is>
          <t>DOCUMENTOS TÉCNICOS</t>
        </is>
      </c>
      <c r="P1051" s="10" t="inlineStr">
        <is>
          <t>PUBLICA(1)</t>
        </is>
      </c>
      <c r="Q1051" s="10" t="inlineStr">
        <is>
          <t>ALTA(3)</t>
        </is>
      </c>
      <c r="R1051" s="10" t="inlineStr">
        <is>
          <t>MEDIA(2)</t>
        </is>
      </c>
      <c r="S1051" s="10">
        <f>+(IF(P1051="PUBLICA(1)",1,IF(P1051="USO INTERNO(2)",2,IF(P1051="RESTRINGIDO(3)",3,3))))+(IF(Q1051="BAJA(1)",1,IF(Q1051="MEDIA(2)",2,IF(Q1051="ALTA(3)",3,3))))+(IF(R1051="BAJA(1)",1,IF(R1051="MEDIA(2)",2,IF(R1051="ALTA(3)",3,3))))</f>
        <v/>
      </c>
      <c r="T1051" s="10">
        <f>+IF(S1051&lt;6,"BAJA",IF(S1051&lt;8,"MEDIA","ALTA"))</f>
        <v/>
      </c>
      <c r="U1051" s="10" t="inlineStr">
        <is>
          <t>-</t>
        </is>
      </c>
      <c r="V1051" s="24" t="n">
        <v>45567</v>
      </c>
      <c r="W1051" s="19" t="inlineStr">
        <is>
          <t>N/A</t>
        </is>
      </c>
      <c r="X1051" s="10">
        <f>+IFERROR(IF(VLOOKUP(Tabla2[[#This Row],[ID]],'EVALUACION DE RIESGO'!A:A,1,FALSE)=Tabla2[[#This Row],[ID]],"SI","NO"),"NO")</f>
        <v/>
      </c>
      <c r="AD1051">
        <f>IF(AND(Y1051="",AA1051=""),"",IF(OR(LEFT(AA1051,2)="L0",LEFT(AA1051,2)="L1",Y1051="No Iniciado"),"CRÍTICO - Incumplimiento Normativo SEPS",IF(AND(OR(LEFT(AA1051,2)="L4",LEFT(AA1051,2)="L5"),AND(AC1051&lt;&gt;"",AC1051&lt;&gt;"N/A")),"CONFORME - Control Efectivo ISO 27001","OBSERVACIÓN - Revisar Controles")))</f>
        <v/>
      </c>
    </row>
    <row r="1052">
      <c r="A1052" s="99" t="inlineStr">
        <is>
          <t>30-GRI</t>
        </is>
      </c>
      <c r="B1052" s="10" t="inlineStr">
        <is>
          <t>ESTRATÉGICO</t>
        </is>
      </c>
      <c r="C1052" s="10" t="inlineStr">
        <is>
          <t>Gestión de Riesgos</t>
        </is>
      </c>
      <c r="D1052" s="10" t="inlineStr">
        <is>
          <t>GRI</t>
        </is>
      </c>
      <c r="E1052" s="10" t="inlineStr">
        <is>
          <t>Gestión de Riesgo de Liquidez</t>
        </is>
      </c>
      <c r="F1052" s="10" t="inlineStr">
        <is>
          <t>-</t>
        </is>
      </c>
      <c r="G1052" s="10" t="inlineStr">
        <is>
          <t>Revisión al portafolio de inversiones</t>
        </is>
      </c>
      <c r="H1052" s="10" t="inlineStr">
        <is>
          <t>Reporte de concentración de inversiones</t>
        </is>
      </c>
      <c r="I1052" s="10" t="inlineStr">
        <is>
          <t>Consolidación de la información</t>
        </is>
      </c>
      <c r="J1052" s="10" t="inlineStr">
        <is>
          <t>GERENTE DE RIESGOS</t>
        </is>
      </c>
      <c r="K1052" s="10" t="inlineStr">
        <is>
          <t>ANALISTA DE RIESGO DE LIQUIDEZ Y MERCADO</t>
        </is>
      </c>
      <c r="L1052" s="10" t="inlineStr">
        <is>
          <t>UBICACIÓN DIGITAL-EQUIPO DEL RESPONSABLE</t>
        </is>
      </c>
      <c r="M1052" s="10" t="inlineStr">
        <is>
          <t>DOCUMENTO DE ARCHIVO-ELECTRÓNICO</t>
        </is>
      </c>
      <c r="N1052" s="10" t="inlineStr">
        <is>
          <t>PRIMARIOS</t>
        </is>
      </c>
      <c r="O1052" s="10" t="inlineStr">
        <is>
          <t>COMUNICACIÓN INTERNA</t>
        </is>
      </c>
      <c r="P1052" s="10" t="inlineStr">
        <is>
          <t>PUBLICA(1)</t>
        </is>
      </c>
      <c r="Q1052" s="10" t="inlineStr">
        <is>
          <t>ALTA(3)</t>
        </is>
      </c>
      <c r="R1052" s="10" t="inlineStr">
        <is>
          <t>MEDIA(2)</t>
        </is>
      </c>
      <c r="S1052" s="10">
        <f>+(IF(P1052="PUBLICA(1)",1,IF(P1052="USO INTERNO(2)",2,IF(P1052="RESTRINGIDO(3)",3,3))))+(IF(Q1052="BAJA(1)",1,IF(Q1052="MEDIA(2)",2,IF(Q1052="ALTA(3)",3,3))))+(IF(R1052="BAJA(1)",1,IF(R1052="MEDIA(2)",2,IF(R1052="ALTA(3)",3,3))))</f>
        <v/>
      </c>
      <c r="T1052" s="10">
        <f>+IF(S1052&lt;6,"BAJA",IF(S1052&lt;8,"MEDIA","ALTA"))</f>
        <v/>
      </c>
      <c r="U1052" s="10" t="inlineStr">
        <is>
          <t>-</t>
        </is>
      </c>
      <c r="V1052" s="24" t="n">
        <v>45567</v>
      </c>
      <c r="W1052" s="19" t="inlineStr">
        <is>
          <t>N/A</t>
        </is>
      </c>
      <c r="X1052" s="10">
        <f>+IFERROR(IF(VLOOKUP(Tabla2[[#This Row],[ID]],'EVALUACION DE RIESGO'!A:A,1,FALSE)=Tabla2[[#This Row],[ID]],"SI","NO"),"NO")</f>
        <v/>
      </c>
      <c r="AD1052">
        <f>IF(AND(Y1052="",AA1052=""),"",IF(OR(LEFT(AA1052,2)="L0",LEFT(AA1052,2)="L1",Y1052="No Iniciado"),"CRÍTICO - Incumplimiento Normativo SEPS",IF(AND(OR(LEFT(AA1052,2)="L4",LEFT(AA1052,2)="L5"),AND(AC1052&lt;&gt;"",AC1052&lt;&gt;"N/A")),"CONFORME - Control Efectivo ISO 27001","OBSERVACIÓN - Revisar Controles")))</f>
        <v/>
      </c>
    </row>
    <row r="1053">
      <c r="A1053" s="99" t="inlineStr">
        <is>
          <t>31-GRI</t>
        </is>
      </c>
      <c r="B1053" s="10" t="inlineStr">
        <is>
          <t>ESTRATÉGICO</t>
        </is>
      </c>
      <c r="C1053" s="10" t="inlineStr">
        <is>
          <t>Gestión de Riesgos</t>
        </is>
      </c>
      <c r="D1053" s="10" t="inlineStr">
        <is>
          <t>GRI</t>
        </is>
      </c>
      <c r="E1053" s="10" t="inlineStr">
        <is>
          <t>Gestión de Riesgo de Liquidez</t>
        </is>
      </c>
      <c r="F1053" s="10" t="inlineStr">
        <is>
          <t>-</t>
        </is>
      </c>
      <c r="G1053" s="10" t="inlineStr">
        <is>
          <t xml:space="preserve">Valoración del portafolio de inversiones      </t>
        </is>
      </c>
      <c r="H1053" s="10" t="inlineStr">
        <is>
          <t>Herramienta para valoración del portafolio de inversiones</t>
        </is>
      </c>
      <c r="I1053" s="10" t="inlineStr">
        <is>
          <t>Valoracion de portafolio</t>
        </is>
      </c>
      <c r="J1053" s="10" t="inlineStr">
        <is>
          <t>GERENTE DE RIESGOS</t>
        </is>
      </c>
      <c r="K1053" s="10" t="inlineStr">
        <is>
          <t>ANALISTA DE RIESGO DE LIQUIDEZ Y MERCADO</t>
        </is>
      </c>
      <c r="L1053" s="10" t="inlineStr">
        <is>
          <t>UBICACIÓN DIGITAL-EQUIPO DEL RESPONSABLE</t>
        </is>
      </c>
      <c r="M1053" s="10" t="inlineStr">
        <is>
          <t>DOCUMENTO DE ARCHIVO-ELECTRÓNICO</t>
        </is>
      </c>
      <c r="N1053" s="10" t="inlineStr">
        <is>
          <t>PRIMARIOS</t>
        </is>
      </c>
      <c r="O1053" s="10" t="inlineStr">
        <is>
          <t>DOCUMENTOS TÉCNICOS</t>
        </is>
      </c>
      <c r="P1053" s="10" t="inlineStr">
        <is>
          <t>PUBLICA(1)</t>
        </is>
      </c>
      <c r="Q1053" s="10" t="inlineStr">
        <is>
          <t>ALTA(3)</t>
        </is>
      </c>
      <c r="R1053" s="10" t="inlineStr">
        <is>
          <t>MEDIA(2)</t>
        </is>
      </c>
      <c r="S1053" s="10">
        <f>+(IF(P1053="PUBLICA(1)",1,IF(P1053="USO INTERNO(2)",2,IF(P1053="RESTRINGIDO(3)",3,3))))+(IF(Q1053="BAJA(1)",1,IF(Q1053="MEDIA(2)",2,IF(Q1053="ALTA(3)",3,3))))+(IF(R1053="BAJA(1)",1,IF(R1053="MEDIA(2)",2,IF(R1053="ALTA(3)",3,3))))</f>
        <v/>
      </c>
      <c r="T1053" s="10">
        <f>+IF(S1053&lt;6,"BAJA",IF(S1053&lt;8,"MEDIA","ALTA"))</f>
        <v/>
      </c>
      <c r="U1053" s="10" t="inlineStr">
        <is>
          <t>-</t>
        </is>
      </c>
      <c r="V1053" s="24" t="n">
        <v>45567</v>
      </c>
      <c r="W1053" s="19" t="inlineStr">
        <is>
          <t>N/A</t>
        </is>
      </c>
      <c r="X1053" s="10">
        <f>+IFERROR(IF(VLOOKUP(Tabla2[[#This Row],[ID]],'EVALUACION DE RIESGO'!A:A,1,FALSE)=Tabla2[[#This Row],[ID]],"SI","NO"),"NO")</f>
        <v/>
      </c>
      <c r="AD1053">
        <f>IF(AND(Y1053="",AA1053=""),"",IF(OR(LEFT(AA1053,2)="L0",LEFT(AA1053,2)="L1",Y1053="No Iniciado"),"CRÍTICO - Incumplimiento Normativo SEPS",IF(AND(OR(LEFT(AA1053,2)="L4",LEFT(AA1053,2)="L5"),AND(AC1053&lt;&gt;"",AC1053&lt;&gt;"N/A")),"CONFORME - Control Efectivo ISO 27001","OBSERVACIÓN - Revisar Controles")))</f>
        <v/>
      </c>
    </row>
    <row r="1054">
      <c r="A1054" s="99" t="inlineStr">
        <is>
          <t>32-GRI</t>
        </is>
      </c>
      <c r="B1054" s="10" t="inlineStr">
        <is>
          <t>ESTRATÉGICO</t>
        </is>
      </c>
      <c r="C1054" s="10" t="inlineStr">
        <is>
          <t>Gestión de Riesgos</t>
        </is>
      </c>
      <c r="D1054" s="10" t="inlineStr">
        <is>
          <t>GRI</t>
        </is>
      </c>
      <c r="E1054" s="10" t="inlineStr">
        <is>
          <t>Gestión de Riesgo de Liquidez</t>
        </is>
      </c>
      <c r="F1054" s="10" t="inlineStr">
        <is>
          <t>-</t>
        </is>
      </c>
      <c r="G1054" s="10" t="inlineStr">
        <is>
          <t xml:space="preserve">Valoración del portafolio de inversiones      </t>
        </is>
      </c>
      <c r="H1054" s="10" t="inlineStr">
        <is>
          <t xml:space="preserve">Reporte Valoración de Inversiones </t>
        </is>
      </c>
      <c r="I1054" s="10" t="inlineStr">
        <is>
          <t>Registro Contable Diario</t>
        </is>
      </c>
      <c r="J1054" s="10" t="inlineStr">
        <is>
          <t>GERENTE DE RIESGOS</t>
        </is>
      </c>
      <c r="K1054" s="10" t="inlineStr">
        <is>
          <t>ANALISTA DE RIESGO DE LIQUIDEZ Y MERCADO</t>
        </is>
      </c>
      <c r="L1054" s="10" t="inlineStr">
        <is>
          <t>UBICACIÓN DIGITAL-EQUIPO DEL RESPONSABLE</t>
        </is>
      </c>
      <c r="M1054" s="10" t="inlineStr">
        <is>
          <t>DOCUMENTO DE ARCHIVO-ELECTRÓNICO</t>
        </is>
      </c>
      <c r="N1054" s="10" t="inlineStr">
        <is>
          <t>PRIMARIOS</t>
        </is>
      </c>
      <c r="O1054" s="10" t="inlineStr">
        <is>
          <t>DOCUMENTOS TÉCNICOS</t>
        </is>
      </c>
      <c r="P1054" s="10" t="inlineStr">
        <is>
          <t>PUBLICA(1)</t>
        </is>
      </c>
      <c r="Q1054" s="10" t="inlineStr">
        <is>
          <t>ALTA(3)</t>
        </is>
      </c>
      <c r="R1054" s="10" t="inlineStr">
        <is>
          <t>MEDIA(2)</t>
        </is>
      </c>
      <c r="S1054" s="10">
        <f>+(IF(P1054="PUBLICA(1)",1,IF(P1054="USO INTERNO(2)",2,IF(P1054="RESTRINGIDO(3)",3,3))))+(IF(Q1054="BAJA(1)",1,IF(Q1054="MEDIA(2)",2,IF(Q1054="ALTA(3)",3,3))))+(IF(R1054="BAJA(1)",1,IF(R1054="MEDIA(2)",2,IF(R1054="ALTA(3)",3,3))))</f>
        <v/>
      </c>
      <c r="T1054" s="10">
        <f>+IF(S1054&lt;6,"BAJA",IF(S1054&lt;8,"MEDIA","ALTA"))</f>
        <v/>
      </c>
      <c r="U1054" s="10" t="inlineStr">
        <is>
          <t>-</t>
        </is>
      </c>
      <c r="V1054" s="24" t="n">
        <v>45567</v>
      </c>
      <c r="W1054" s="19" t="inlineStr">
        <is>
          <t>N/A</t>
        </is>
      </c>
      <c r="X1054" s="10">
        <f>+IFERROR(IF(VLOOKUP(Tabla2[[#This Row],[ID]],'EVALUACION DE RIESGO'!A:A,1,FALSE)=Tabla2[[#This Row],[ID]],"SI","NO"),"NO")</f>
        <v/>
      </c>
      <c r="AD1054">
        <f>IF(AND(Y1054="",AA1054=""),"",IF(OR(LEFT(AA1054,2)="L0",LEFT(AA1054,2)="L1",Y1054="No Iniciado"),"CRÍTICO - Incumplimiento Normativo SEPS",IF(AND(OR(LEFT(AA1054,2)="L4",LEFT(AA1054,2)="L5"),AND(AC1054&lt;&gt;"",AC1054&lt;&gt;"N/A")),"CONFORME - Control Efectivo ISO 27001","OBSERVACIÓN - Revisar Controles")))</f>
        <v/>
      </c>
    </row>
    <row r="1055">
      <c r="A1055" s="99" t="inlineStr">
        <is>
          <t>33-GRI</t>
        </is>
      </c>
      <c r="B1055" s="10" t="inlineStr">
        <is>
          <t>ESTRATÉGICO</t>
        </is>
      </c>
      <c r="C1055" s="10" t="inlineStr">
        <is>
          <t>Gestión de Riesgos</t>
        </is>
      </c>
      <c r="D1055" s="10" t="inlineStr">
        <is>
          <t>GRI</t>
        </is>
      </c>
      <c r="E1055" s="10" t="inlineStr">
        <is>
          <t>Gestión de Riesgo de Liquidez</t>
        </is>
      </c>
      <c r="F1055" s="10" t="inlineStr">
        <is>
          <t>-</t>
        </is>
      </c>
      <c r="G1055" s="10" t="inlineStr">
        <is>
          <t xml:space="preserve">Cálculo de pérdidas esperadas del portafolio de inversiones  </t>
        </is>
      </c>
      <c r="H1055" s="10" t="inlineStr">
        <is>
          <t>Herramienta para el cálculo de la perdida esperada del portafolio de inversiones</t>
        </is>
      </c>
      <c r="I1055" s="10" t="inlineStr">
        <is>
          <t>Valor de perdida esperada de inversiones</t>
        </is>
      </c>
      <c r="J1055" s="10" t="inlineStr">
        <is>
          <t>GERENTE DE RIESGOS</t>
        </is>
      </c>
      <c r="K1055" s="10" t="inlineStr">
        <is>
          <t>ANALISTA DE RIESGO DE LIQUIDEZ Y MERCADO</t>
        </is>
      </c>
      <c r="L1055" s="10" t="inlineStr">
        <is>
          <t>UBICACIÓN DIGITAL-EQUIPO DEL RESPONSABLE</t>
        </is>
      </c>
      <c r="M1055" s="10" t="inlineStr">
        <is>
          <t>DOCUMENTO DE ARCHIVO-ELECTRÓNICO</t>
        </is>
      </c>
      <c r="N1055" s="10" t="inlineStr">
        <is>
          <t>PRIMARIOS</t>
        </is>
      </c>
      <c r="O1055" s="10" t="inlineStr">
        <is>
          <t>DOCUMENTOS TÉCNICOS</t>
        </is>
      </c>
      <c r="P1055" s="10" t="inlineStr">
        <is>
          <t>PUBLICA(1)</t>
        </is>
      </c>
      <c r="Q1055" s="10" t="inlineStr">
        <is>
          <t>ALTA(3)</t>
        </is>
      </c>
      <c r="R1055" s="10" t="inlineStr">
        <is>
          <t>MEDIA(2)</t>
        </is>
      </c>
      <c r="S1055" s="10">
        <f>+(IF(P1055="PUBLICA(1)",1,IF(P1055="USO INTERNO(2)",2,IF(P1055="RESTRINGIDO(3)",3,3))))+(IF(Q1055="BAJA(1)",1,IF(Q1055="MEDIA(2)",2,IF(Q1055="ALTA(3)",3,3))))+(IF(R1055="BAJA(1)",1,IF(R1055="MEDIA(2)",2,IF(R1055="ALTA(3)",3,3))))</f>
        <v/>
      </c>
      <c r="T1055" s="10">
        <f>+IF(S1055&lt;6,"BAJA",IF(S1055&lt;8,"MEDIA","ALTA"))</f>
        <v/>
      </c>
      <c r="U1055" s="10" t="inlineStr">
        <is>
          <t>-</t>
        </is>
      </c>
      <c r="V1055" s="24" t="n">
        <v>45567</v>
      </c>
      <c r="W1055" s="19" t="inlineStr">
        <is>
          <t>N/A</t>
        </is>
      </c>
      <c r="X1055" s="10">
        <f>+IFERROR(IF(VLOOKUP(Tabla2[[#This Row],[ID]],'EVALUACION DE RIESGO'!A:A,1,FALSE)=Tabla2[[#This Row],[ID]],"SI","NO"),"NO")</f>
        <v/>
      </c>
      <c r="AD1055">
        <f>IF(AND(Y1055="",AA1055=""),"",IF(OR(LEFT(AA1055,2)="L0",LEFT(AA1055,2)="L1",Y1055="No Iniciado"),"CRÍTICO - Incumplimiento Normativo SEPS",IF(AND(OR(LEFT(AA1055,2)="L4",LEFT(AA1055,2)="L5"),AND(AC1055&lt;&gt;"",AC1055&lt;&gt;"N/A")),"CONFORME - Control Efectivo ISO 27001","OBSERVACIÓN - Revisar Controles")))</f>
        <v/>
      </c>
    </row>
    <row r="1056">
      <c r="A1056" s="99" t="inlineStr">
        <is>
          <t>34-GRI</t>
        </is>
      </c>
      <c r="B1056" s="10" t="inlineStr">
        <is>
          <t>ESTRATÉGICO</t>
        </is>
      </c>
      <c r="C1056" s="10" t="inlineStr">
        <is>
          <t>Gestión de Riesgos</t>
        </is>
      </c>
      <c r="D1056" s="10" t="inlineStr">
        <is>
          <t>GRI</t>
        </is>
      </c>
      <c r="E1056" s="10" t="inlineStr">
        <is>
          <t>Gestión de Riesgo de Liquidez</t>
        </is>
      </c>
      <c r="F1056" s="10" t="inlineStr">
        <is>
          <t>-</t>
        </is>
      </c>
      <c r="G1056" s="10" t="inlineStr">
        <is>
          <t xml:space="preserve">Cálculo de pérdidas esperadas del portafolio de inversiones  </t>
        </is>
      </c>
      <c r="H1056" s="10" t="inlineStr">
        <is>
          <t>Base histórica de calificaciones de riesgo (SEPS y SB)</t>
        </is>
      </c>
      <c r="I1056" s="10" t="inlineStr">
        <is>
          <t>Archivos externos</t>
        </is>
      </c>
      <c r="J1056" s="10" t="inlineStr">
        <is>
          <t>GERENTE DE RIESGOS</t>
        </is>
      </c>
      <c r="K1056" s="10" t="inlineStr">
        <is>
          <t>ANALISTA DE RIESGO DE LIQUIDEZ Y MERCADO</t>
        </is>
      </c>
      <c r="L1056" s="10" t="inlineStr">
        <is>
          <t>UBICACIÓN DIGITAL-EQUIPO DEL RESPONSABLE</t>
        </is>
      </c>
      <c r="M1056" s="10" t="inlineStr">
        <is>
          <t>DOCUMENTO DE ARCHIVO-ELECTRÓNICO</t>
        </is>
      </c>
      <c r="N1056" s="10" t="inlineStr">
        <is>
          <t>PRIMARIOS</t>
        </is>
      </c>
      <c r="O1056" s="10" t="inlineStr">
        <is>
          <t>DOCUMENTOS TÉCNICOS</t>
        </is>
      </c>
      <c r="P1056" s="10" t="inlineStr">
        <is>
          <t>PUBLICA(1)</t>
        </is>
      </c>
      <c r="Q1056" s="10" t="inlineStr">
        <is>
          <t>ALTA(3)</t>
        </is>
      </c>
      <c r="R1056" s="10" t="inlineStr">
        <is>
          <t>MEDIA(2)</t>
        </is>
      </c>
      <c r="S1056" s="10">
        <f>+(IF(P1056="PUBLICA(1)",1,IF(P1056="USO INTERNO(2)",2,IF(P1056="RESTRINGIDO(3)",3,3))))+(IF(Q1056="BAJA(1)",1,IF(Q1056="MEDIA(2)",2,IF(Q1056="ALTA(3)",3,3))))+(IF(R1056="BAJA(1)",1,IF(R1056="MEDIA(2)",2,IF(R1056="ALTA(3)",3,3))))</f>
        <v/>
      </c>
      <c r="T1056" s="10">
        <f>+IF(S1056&lt;6,"BAJA",IF(S1056&lt;8,"MEDIA","ALTA"))</f>
        <v/>
      </c>
      <c r="U1056" s="10" t="inlineStr">
        <is>
          <t>-</t>
        </is>
      </c>
      <c r="V1056" s="24" t="n">
        <v>45567</v>
      </c>
      <c r="W1056" s="19" t="inlineStr">
        <is>
          <t>N/A</t>
        </is>
      </c>
      <c r="X1056" s="10">
        <f>+IFERROR(IF(VLOOKUP(Tabla2[[#This Row],[ID]],'EVALUACION DE RIESGO'!A:A,1,FALSE)=Tabla2[[#This Row],[ID]],"SI","NO"),"NO")</f>
        <v/>
      </c>
      <c r="AD1056">
        <f>IF(AND(Y1056="",AA1056=""),"",IF(OR(LEFT(AA1056,2)="L0",LEFT(AA1056,2)="L1",Y1056="No Iniciado"),"CRÍTICO - Incumplimiento Normativo SEPS",IF(AND(OR(LEFT(AA1056,2)="L4",LEFT(AA1056,2)="L5"),AND(AC1056&lt;&gt;"",AC1056&lt;&gt;"N/A")),"CONFORME - Control Efectivo ISO 27001","OBSERVACIÓN - Revisar Controles")))</f>
        <v/>
      </c>
    </row>
    <row r="1057">
      <c r="A1057" s="99" t="inlineStr">
        <is>
          <t>35-GRI</t>
        </is>
      </c>
      <c r="B1057" s="10" t="inlineStr">
        <is>
          <t>ESTRATÉGICO</t>
        </is>
      </c>
      <c r="C1057" s="10" t="inlineStr">
        <is>
          <t>Gestión de Riesgos</t>
        </is>
      </c>
      <c r="D1057" s="10" t="inlineStr">
        <is>
          <t>GRI</t>
        </is>
      </c>
      <c r="E1057" s="10" t="inlineStr">
        <is>
          <t>Gestión de Riesgo de Liquidez</t>
        </is>
      </c>
      <c r="F1057" s="10" t="inlineStr">
        <is>
          <t>-</t>
        </is>
      </c>
      <c r="G1057" s="10" t="inlineStr">
        <is>
          <t xml:space="preserve">Cálculo de pérdidas esperadas del portafolio de inversiones  </t>
        </is>
      </c>
      <c r="H1057" s="10" t="inlineStr">
        <is>
          <t xml:space="preserve">Reporte de pérdidas esperadas del portafolio de inversiones. </t>
        </is>
      </c>
      <c r="I1057" s="10" t="inlineStr">
        <is>
          <t>Consolidación de la información</t>
        </is>
      </c>
      <c r="J1057" s="10" t="inlineStr">
        <is>
          <t>GERENTE DE RIESGOS</t>
        </is>
      </c>
      <c r="K1057" s="10" t="inlineStr">
        <is>
          <t>ANALISTA DE RIESGO DE LIQUIDEZ Y MERCADO</t>
        </is>
      </c>
      <c r="L1057" s="10" t="inlineStr">
        <is>
          <t>UBICACIÓN DIGITAL-EQUIPO DEL RESPONSABLE</t>
        </is>
      </c>
      <c r="M1057" s="10" t="inlineStr">
        <is>
          <t>DOCUMENTO DE ARCHIVO-ELECTRÓNICO</t>
        </is>
      </c>
      <c r="N1057" s="10" t="inlineStr">
        <is>
          <t>PRIMARIOS</t>
        </is>
      </c>
      <c r="O1057" s="10" t="inlineStr">
        <is>
          <t>DOCUMENTOS TÉCNICOS</t>
        </is>
      </c>
      <c r="P1057" s="10" t="inlineStr">
        <is>
          <t>PUBLICA(1)</t>
        </is>
      </c>
      <c r="Q1057" s="10" t="inlineStr">
        <is>
          <t>ALTA(3)</t>
        </is>
      </c>
      <c r="R1057" s="10" t="inlineStr">
        <is>
          <t>MEDIA(2)</t>
        </is>
      </c>
      <c r="S1057" s="10">
        <f>+(IF(P1057="PUBLICA(1)",1,IF(P1057="USO INTERNO(2)",2,IF(P1057="RESTRINGIDO(3)",3,3))))+(IF(Q1057="BAJA(1)",1,IF(Q1057="MEDIA(2)",2,IF(Q1057="ALTA(3)",3,3))))+(IF(R1057="BAJA(1)",1,IF(R1057="MEDIA(2)",2,IF(R1057="ALTA(3)",3,3))))</f>
        <v/>
      </c>
      <c r="T1057" s="10">
        <f>+IF(S1057&lt;6,"BAJA",IF(S1057&lt;8,"MEDIA","ALTA"))</f>
        <v/>
      </c>
      <c r="U1057" s="10" t="inlineStr">
        <is>
          <t>-</t>
        </is>
      </c>
      <c r="V1057" s="24" t="n">
        <v>45567</v>
      </c>
      <c r="W1057" s="19" t="inlineStr">
        <is>
          <t>N/A</t>
        </is>
      </c>
      <c r="X1057" s="10">
        <f>+IFERROR(IF(VLOOKUP(Tabla2[[#This Row],[ID]],'EVALUACION DE RIESGO'!A:A,1,FALSE)=Tabla2[[#This Row],[ID]],"SI","NO"),"NO")</f>
        <v/>
      </c>
      <c r="AD1057">
        <f>IF(AND(Y1057="",AA1057=""),"",IF(OR(LEFT(AA1057,2)="L0",LEFT(AA1057,2)="L1",Y1057="No Iniciado"),"CRÍTICO - Incumplimiento Normativo SEPS",IF(AND(OR(LEFT(AA1057,2)="L4",LEFT(AA1057,2)="L5"),AND(AC1057&lt;&gt;"",AC1057&lt;&gt;"N/A")),"CONFORME - Control Efectivo ISO 27001","OBSERVACIÓN - Revisar Controles")))</f>
        <v/>
      </c>
    </row>
    <row r="1058">
      <c r="A1058" s="99" t="inlineStr">
        <is>
          <t>36-GRI</t>
        </is>
      </c>
      <c r="B1058" s="10" t="inlineStr">
        <is>
          <t>ESTRATÉGICO</t>
        </is>
      </c>
      <c r="C1058" s="10" t="inlineStr">
        <is>
          <t>Gestión de Riesgos</t>
        </is>
      </c>
      <c r="D1058" s="10" t="inlineStr">
        <is>
          <t>GRI</t>
        </is>
      </c>
      <c r="E1058" s="10" t="inlineStr">
        <is>
          <t>Gestión de Riesgo de Liquidez</t>
        </is>
      </c>
      <c r="F1058" s="10" t="inlineStr">
        <is>
          <t>-</t>
        </is>
      </c>
      <c r="G1058" s="10" t="inlineStr">
        <is>
          <t xml:space="preserve">Revisión concentración fondos disponibles    </t>
        </is>
      </c>
      <c r="H1058" s="10" t="inlineStr">
        <is>
          <t>Balance mensual</t>
        </is>
      </c>
      <c r="I1058" s="10" t="inlineStr">
        <is>
          <t>Generación de balance</t>
        </is>
      </c>
      <c r="J1058" s="10" t="inlineStr">
        <is>
          <t>GERENTE DE RIESGOS</t>
        </is>
      </c>
      <c r="K1058" s="10" t="inlineStr">
        <is>
          <t>ANALISTA DE RIESGO DE LIQUIDEZ Y MERCADO</t>
        </is>
      </c>
      <c r="L1058" s="10" t="inlineStr">
        <is>
          <t>UBICACIÓN DIGITAL-EQUIPO DEL RESPONSABLE</t>
        </is>
      </c>
      <c r="M1058" s="10" t="inlineStr">
        <is>
          <t>DOCUMENTO DE ARCHIVO-ELECTRÓNICO</t>
        </is>
      </c>
      <c r="N1058" s="10" t="inlineStr">
        <is>
          <t>PRIMARIOS</t>
        </is>
      </c>
      <c r="O1058" s="10" t="inlineStr">
        <is>
          <t>DOCUMENTOS TÉCNICOS</t>
        </is>
      </c>
      <c r="P1058" s="10" t="inlineStr">
        <is>
          <t>PUBLICA(1)</t>
        </is>
      </c>
      <c r="Q1058" s="10" t="inlineStr">
        <is>
          <t>ALTA(3)</t>
        </is>
      </c>
      <c r="R1058" s="10" t="inlineStr">
        <is>
          <t>MEDIA(2)</t>
        </is>
      </c>
      <c r="S1058" s="10">
        <f>+(IF(P1058="PUBLICA(1)",1,IF(P1058="USO INTERNO(2)",2,IF(P1058="RESTRINGIDO(3)",3,3))))+(IF(Q1058="BAJA(1)",1,IF(Q1058="MEDIA(2)",2,IF(Q1058="ALTA(3)",3,3))))+(IF(R1058="BAJA(1)",1,IF(R1058="MEDIA(2)",2,IF(R1058="ALTA(3)",3,3))))</f>
        <v/>
      </c>
      <c r="T1058" s="10">
        <f>+IF(S1058&lt;6,"BAJA",IF(S1058&lt;8,"MEDIA","ALTA"))</f>
        <v/>
      </c>
      <c r="U1058" s="10" t="inlineStr">
        <is>
          <t>-</t>
        </is>
      </c>
      <c r="V1058" s="24" t="n">
        <v>45567</v>
      </c>
      <c r="W1058" s="19" t="inlineStr">
        <is>
          <t>N/A</t>
        </is>
      </c>
      <c r="X1058" s="10">
        <f>+IFERROR(IF(VLOOKUP(Tabla2[[#This Row],[ID]],'EVALUACION DE RIESGO'!A:A,1,FALSE)=Tabla2[[#This Row],[ID]],"SI","NO"),"NO")</f>
        <v/>
      </c>
      <c r="AD1058">
        <f>IF(AND(Y1058="",AA1058=""),"",IF(OR(LEFT(AA1058,2)="L0",LEFT(AA1058,2)="L1",Y1058="No Iniciado"),"CRÍTICO - Incumplimiento Normativo SEPS",IF(AND(OR(LEFT(AA1058,2)="L4",LEFT(AA1058,2)="L5"),AND(AC1058&lt;&gt;"",AC1058&lt;&gt;"N/A")),"CONFORME - Control Efectivo ISO 27001","OBSERVACIÓN - Revisar Controles")))</f>
        <v/>
      </c>
    </row>
    <row r="1059">
      <c r="A1059" s="99" t="inlineStr">
        <is>
          <t>37-GRI</t>
        </is>
      </c>
      <c r="B1059" s="10" t="inlineStr">
        <is>
          <t>ESTRATÉGICO</t>
        </is>
      </c>
      <c r="C1059" s="10" t="inlineStr">
        <is>
          <t>Gestión de Riesgos</t>
        </is>
      </c>
      <c r="D1059" s="10" t="inlineStr">
        <is>
          <t>GRI</t>
        </is>
      </c>
      <c r="E1059" s="10" t="inlineStr">
        <is>
          <t>Gestión de Riesgo de Liquidez</t>
        </is>
      </c>
      <c r="F1059" s="10" t="inlineStr">
        <is>
          <t>-</t>
        </is>
      </c>
      <c r="G1059" s="10" t="inlineStr">
        <is>
          <t xml:space="preserve">Revisión concentración fondos disponibles    </t>
        </is>
      </c>
      <c r="H1059" s="10" t="inlineStr">
        <is>
          <t>Herramienta de Liquidez Estructural</t>
        </is>
      </c>
      <c r="I1059" s="10" t="inlineStr">
        <is>
          <t>Consolidacion de la informacion</t>
        </is>
      </c>
      <c r="J1059" s="10" t="inlineStr">
        <is>
          <t>GERENTE DE RIESGOS</t>
        </is>
      </c>
      <c r="K1059" s="10" t="inlineStr">
        <is>
          <t>ANALISTA DE RIESGO DE LIQUIDEZ Y MERCADO</t>
        </is>
      </c>
      <c r="L1059" s="10" t="inlineStr">
        <is>
          <t>UBICACIÓN DIGITAL-EQUIPO DEL RESPONSABLE</t>
        </is>
      </c>
      <c r="M1059" s="10" t="inlineStr">
        <is>
          <t>DOCUMENTO DE ARCHIVO-ELECTRÓNICO</t>
        </is>
      </c>
      <c r="N1059" s="10" t="inlineStr">
        <is>
          <t>PRIMARIOS</t>
        </is>
      </c>
      <c r="O1059" s="10" t="inlineStr">
        <is>
          <t>DOCUMENTOS TÉCNICOS</t>
        </is>
      </c>
      <c r="P1059" s="10" t="inlineStr">
        <is>
          <t>PUBLICA(1)</t>
        </is>
      </c>
      <c r="Q1059" s="10" t="inlineStr">
        <is>
          <t>ALTA(3)</t>
        </is>
      </c>
      <c r="R1059" s="10" t="inlineStr">
        <is>
          <t>MEDIA(2)</t>
        </is>
      </c>
      <c r="S1059" s="10">
        <f>+(IF(P1059="PUBLICA(1)",1,IF(P1059="USO INTERNO(2)",2,IF(P1059="RESTRINGIDO(3)",3,3))))+(IF(Q1059="BAJA(1)",1,IF(Q1059="MEDIA(2)",2,IF(Q1059="ALTA(3)",3,3))))+(IF(R1059="BAJA(1)",1,IF(R1059="MEDIA(2)",2,IF(R1059="ALTA(3)",3,3))))</f>
        <v/>
      </c>
      <c r="T1059" s="10">
        <f>+IF(S1059&lt;6,"BAJA",IF(S1059&lt;8,"MEDIA","ALTA"))</f>
        <v/>
      </c>
      <c r="U1059" s="10" t="inlineStr">
        <is>
          <t>-</t>
        </is>
      </c>
      <c r="V1059" s="24" t="n">
        <v>45567</v>
      </c>
      <c r="W1059" s="19" t="inlineStr">
        <is>
          <t>N/A</t>
        </is>
      </c>
      <c r="X1059" s="10">
        <f>+IFERROR(IF(VLOOKUP(Tabla2[[#This Row],[ID]],'EVALUACION DE RIESGO'!A:A,1,FALSE)=Tabla2[[#This Row],[ID]],"SI","NO"),"NO")</f>
        <v/>
      </c>
      <c r="AD1059">
        <f>IF(AND(Y1059="",AA1059=""),"",IF(OR(LEFT(AA1059,2)="L0",LEFT(AA1059,2)="L1",Y1059="No Iniciado"),"CRÍTICO - Incumplimiento Normativo SEPS",IF(AND(OR(LEFT(AA1059,2)="L4",LEFT(AA1059,2)="L5"),AND(AC1059&lt;&gt;"",AC1059&lt;&gt;"N/A")),"CONFORME - Control Efectivo ISO 27001","OBSERVACIÓN - Revisar Controles")))</f>
        <v/>
      </c>
    </row>
    <row r="1060">
      <c r="A1060" s="99" t="inlineStr">
        <is>
          <t>38-GRI</t>
        </is>
      </c>
      <c r="B1060" s="10" t="inlineStr">
        <is>
          <t>ESTRATÉGICO</t>
        </is>
      </c>
      <c r="C1060" s="10" t="inlineStr">
        <is>
          <t>Gestión de Riesgos</t>
        </is>
      </c>
      <c r="D1060" s="10" t="inlineStr">
        <is>
          <t>GRI</t>
        </is>
      </c>
      <c r="E1060" s="10" t="inlineStr">
        <is>
          <t>Gestión de Riesgo de Liquidez</t>
        </is>
      </c>
      <c r="F1060" s="10" t="inlineStr">
        <is>
          <t>-</t>
        </is>
      </c>
      <c r="G1060" s="10" t="inlineStr">
        <is>
          <t xml:space="preserve">Revisión concentración fondos disponibles    </t>
        </is>
      </c>
      <c r="H1060" s="10" t="inlineStr">
        <is>
          <t>Reporte concentración fondos disponibles</t>
        </is>
      </c>
      <c r="I1060" s="10" t="inlineStr">
        <is>
          <t>Consolidación de la información</t>
        </is>
      </c>
      <c r="J1060" s="10" t="inlineStr">
        <is>
          <t>GERENTE DE RIESGOS</t>
        </is>
      </c>
      <c r="K1060" s="10" t="inlineStr">
        <is>
          <t>ANALISTA DE RIESGO DE LIQUIDEZ Y MERCADO</t>
        </is>
      </c>
      <c r="L1060" s="10" t="inlineStr">
        <is>
          <t>UBICACIÓN DIGITAL-EQUIPO DEL RESPONSABLE</t>
        </is>
      </c>
      <c r="M1060" s="10" t="inlineStr">
        <is>
          <t>DOCUMENTO DE ARCHIVO-ELECTRÓNICO</t>
        </is>
      </c>
      <c r="N1060" s="10" t="inlineStr">
        <is>
          <t>PRIMARIOS</t>
        </is>
      </c>
      <c r="O1060" s="10" t="inlineStr">
        <is>
          <t>DOCUMENTOS TÉCNICOS</t>
        </is>
      </c>
      <c r="P1060" s="10" t="inlineStr">
        <is>
          <t>PUBLICA(1)</t>
        </is>
      </c>
      <c r="Q1060" s="10" t="inlineStr">
        <is>
          <t>ALTA(3)</t>
        </is>
      </c>
      <c r="R1060" s="10" t="inlineStr">
        <is>
          <t>MEDIA(2)</t>
        </is>
      </c>
      <c r="S1060" s="10">
        <f>+(IF(P1060="PUBLICA(1)",1,IF(P1060="USO INTERNO(2)",2,IF(P1060="RESTRINGIDO(3)",3,3))))+(IF(Q1060="BAJA(1)",1,IF(Q1060="MEDIA(2)",2,IF(Q1060="ALTA(3)",3,3))))+(IF(R1060="BAJA(1)",1,IF(R1060="MEDIA(2)",2,IF(R1060="ALTA(3)",3,3))))</f>
        <v/>
      </c>
      <c r="T1060" s="10">
        <f>+IF(S1060&lt;6,"BAJA",IF(S1060&lt;8,"MEDIA","ALTA"))</f>
        <v/>
      </c>
      <c r="U1060" s="10" t="inlineStr">
        <is>
          <t>-</t>
        </is>
      </c>
      <c r="V1060" s="24" t="n">
        <v>45567</v>
      </c>
      <c r="W1060" s="19" t="inlineStr">
        <is>
          <t>N/A</t>
        </is>
      </c>
      <c r="X1060" s="10">
        <f>+IFERROR(IF(VLOOKUP(Tabla2[[#This Row],[ID]],'EVALUACION DE RIESGO'!A:A,1,FALSE)=Tabla2[[#This Row],[ID]],"SI","NO"),"NO")</f>
        <v/>
      </c>
      <c r="AD1060">
        <f>IF(AND(Y1060="",AA1060=""),"",IF(OR(LEFT(AA1060,2)="L0",LEFT(AA1060,2)="L1",Y1060="No Iniciado"),"CRÍTICO - Incumplimiento Normativo SEPS",IF(AND(OR(LEFT(AA1060,2)="L4",LEFT(AA1060,2)="L5"),AND(AC1060&lt;&gt;"",AC1060&lt;&gt;"N/A")),"CONFORME - Control Efectivo ISO 27001","OBSERVACIÓN - Revisar Controles")))</f>
        <v/>
      </c>
    </row>
    <row r="1061">
      <c r="A1061" s="99" t="inlineStr">
        <is>
          <t>39-GRI</t>
        </is>
      </c>
      <c r="B1061" s="10" t="inlineStr">
        <is>
          <t>ESTRATÉGICO</t>
        </is>
      </c>
      <c r="C1061" s="10" t="inlineStr">
        <is>
          <t>Gestión de Riesgos</t>
        </is>
      </c>
      <c r="D1061" s="10" t="inlineStr">
        <is>
          <t>GRI</t>
        </is>
      </c>
      <c r="E1061" s="10" t="inlineStr">
        <is>
          <t>Gestión de Riesgo de Liquidez</t>
        </is>
      </c>
      <c r="F1061" s="10" t="inlineStr">
        <is>
          <t>-</t>
        </is>
      </c>
      <c r="G1061" s="10" t="inlineStr">
        <is>
          <t xml:space="preserve">Actualización de niveles de riesgo de alertas tempranas de liquidez </t>
        </is>
      </c>
      <c r="H1061" s="10" t="inlineStr">
        <is>
          <t>Base de indicadores históricos del Reporte de liquidez y volatilidad diaria</t>
        </is>
      </c>
      <c r="I1061" s="10" t="inlineStr">
        <is>
          <t>Consolidación de la información</t>
        </is>
      </c>
      <c r="J1061" s="10" t="inlineStr">
        <is>
          <t>GERENTE DE RIESGOS</t>
        </is>
      </c>
      <c r="K1061" s="10" t="inlineStr">
        <is>
          <t>ANALISTA DE RIESGO DE LIQUIDEZ Y MERCADO</t>
        </is>
      </c>
      <c r="L1061" s="10" t="inlineStr">
        <is>
          <t>UBICACIÓN DIGITAL-EQUIPO DEL RESPONSABLE</t>
        </is>
      </c>
      <c r="M1061" s="10" t="inlineStr">
        <is>
          <t>DOCUMENTO DE ARCHIVO-ELECTRÓNICO</t>
        </is>
      </c>
      <c r="N1061" s="10" t="inlineStr">
        <is>
          <t>PRIMARIOS</t>
        </is>
      </c>
      <c r="O1061" s="10" t="inlineStr">
        <is>
          <t>DOCUMENTOS TÉCNICOS</t>
        </is>
      </c>
      <c r="P1061" s="10" t="inlineStr">
        <is>
          <t>PUBLICA(1)</t>
        </is>
      </c>
      <c r="Q1061" s="10" t="inlineStr">
        <is>
          <t>ALTA(3)</t>
        </is>
      </c>
      <c r="R1061" s="10" t="inlineStr">
        <is>
          <t>MEDIA(2)</t>
        </is>
      </c>
      <c r="S1061" s="10">
        <f>+(IF(P1061="PUBLICA(1)",1,IF(P1061="USO INTERNO(2)",2,IF(P1061="RESTRINGIDO(3)",3,3))))+(IF(Q1061="BAJA(1)",1,IF(Q1061="MEDIA(2)",2,IF(Q1061="ALTA(3)",3,3))))+(IF(R1061="BAJA(1)",1,IF(R1061="MEDIA(2)",2,IF(R1061="ALTA(3)",3,3))))</f>
        <v/>
      </c>
      <c r="T1061" s="10">
        <f>+IF(S1061&lt;6,"BAJA",IF(S1061&lt;8,"MEDIA","ALTA"))</f>
        <v/>
      </c>
      <c r="U1061" s="10" t="inlineStr">
        <is>
          <t>-</t>
        </is>
      </c>
      <c r="V1061" s="24" t="n">
        <v>45567</v>
      </c>
      <c r="W1061" s="19" t="inlineStr">
        <is>
          <t>N/A</t>
        </is>
      </c>
      <c r="X1061" s="10">
        <f>+IFERROR(IF(VLOOKUP(Tabla2[[#This Row],[ID]],'EVALUACION DE RIESGO'!A:A,1,FALSE)=Tabla2[[#This Row],[ID]],"SI","NO"),"NO")</f>
        <v/>
      </c>
      <c r="AD1061">
        <f>IF(AND(Y1061="",AA1061=""),"",IF(OR(LEFT(AA1061,2)="L0",LEFT(AA1061,2)="L1",Y1061="No Iniciado"),"CRÍTICO - Incumplimiento Normativo SEPS",IF(AND(OR(LEFT(AA1061,2)="L4",LEFT(AA1061,2)="L5"),AND(AC1061&lt;&gt;"",AC1061&lt;&gt;"N/A")),"CONFORME - Control Efectivo ISO 27001","OBSERVACIÓN - Revisar Controles")))</f>
        <v/>
      </c>
    </row>
    <row r="1062">
      <c r="A1062" s="99" t="inlineStr">
        <is>
          <t>40-GRI</t>
        </is>
      </c>
      <c r="B1062" s="10" t="inlineStr">
        <is>
          <t>ESTRATÉGICO</t>
        </is>
      </c>
      <c r="C1062" s="10" t="inlineStr">
        <is>
          <t>Gestión de Riesgos</t>
        </is>
      </c>
      <c r="D1062" s="10" t="inlineStr">
        <is>
          <t>GRI</t>
        </is>
      </c>
      <c r="E1062" s="10" t="inlineStr">
        <is>
          <t>Gestión de Riesgo de Liquidez</t>
        </is>
      </c>
      <c r="F1062" s="10" t="inlineStr">
        <is>
          <t>-</t>
        </is>
      </c>
      <c r="G1062" s="10" t="inlineStr">
        <is>
          <t xml:space="preserve">Actualización de niveles de riesgo de alertas tempranas de liquidez </t>
        </is>
      </c>
      <c r="H1062" s="10" t="inlineStr">
        <is>
          <t>Base de indicadores históricos del Reporte de Alertas Tempranas de Liquidez</t>
        </is>
      </c>
      <c r="I1062" s="10" t="inlineStr">
        <is>
          <t>Consolidación de la información</t>
        </is>
      </c>
      <c r="J1062" s="10" t="inlineStr">
        <is>
          <t>GERENTE DE RIESGOS</t>
        </is>
      </c>
      <c r="K1062" s="10" t="inlineStr">
        <is>
          <t>ANALISTA DE RIESGO DE LIQUIDEZ Y MERCADO</t>
        </is>
      </c>
      <c r="L1062" s="10" t="inlineStr">
        <is>
          <t>UBICACIÓN DIGITAL-EQUIPO DEL RESPONSABLE</t>
        </is>
      </c>
      <c r="M1062" s="10" t="inlineStr">
        <is>
          <t>DOCUMENTO DE ARCHIVO-ELECTRÓNICO</t>
        </is>
      </c>
      <c r="N1062" s="10" t="inlineStr">
        <is>
          <t>PRIMARIOS</t>
        </is>
      </c>
      <c r="O1062" s="10" t="inlineStr">
        <is>
          <t>DOCUMENTOS TÉCNICOS</t>
        </is>
      </c>
      <c r="P1062" s="10" t="inlineStr">
        <is>
          <t>PUBLICA(1)</t>
        </is>
      </c>
      <c r="Q1062" s="10" t="inlineStr">
        <is>
          <t>ALTA(3)</t>
        </is>
      </c>
      <c r="R1062" s="10" t="inlineStr">
        <is>
          <t>MEDIA(2)</t>
        </is>
      </c>
      <c r="S1062" s="10">
        <f>+(IF(P1062="PUBLICA(1)",1,IF(P1062="USO INTERNO(2)",2,IF(P1062="RESTRINGIDO(3)",3,3))))+(IF(Q1062="BAJA(1)",1,IF(Q1062="MEDIA(2)",2,IF(Q1062="ALTA(3)",3,3))))+(IF(R1062="BAJA(1)",1,IF(R1062="MEDIA(2)",2,IF(R1062="ALTA(3)",3,3))))</f>
        <v/>
      </c>
      <c r="T1062" s="10">
        <f>+IF(S1062&lt;6,"BAJA",IF(S1062&lt;8,"MEDIA","ALTA"))</f>
        <v/>
      </c>
      <c r="U1062" s="10" t="inlineStr">
        <is>
          <t>-</t>
        </is>
      </c>
      <c r="V1062" s="24" t="n">
        <v>45567</v>
      </c>
      <c r="W1062" s="19" t="inlineStr">
        <is>
          <t>N/A</t>
        </is>
      </c>
      <c r="X1062" s="10">
        <f>+IFERROR(IF(VLOOKUP(Tabla2[[#This Row],[ID]],'EVALUACION DE RIESGO'!A:A,1,FALSE)=Tabla2[[#This Row],[ID]],"SI","NO"),"NO")</f>
        <v/>
      </c>
      <c r="AD1062">
        <f>IF(AND(Y1062="",AA1062=""),"",IF(OR(LEFT(AA1062,2)="L0",LEFT(AA1062,2)="L1",Y1062="No Iniciado"),"CRÍTICO - Incumplimiento Normativo SEPS",IF(AND(OR(LEFT(AA1062,2)="L4",LEFT(AA1062,2)="L5"),AND(AC1062&lt;&gt;"",AC1062&lt;&gt;"N/A")),"CONFORME - Control Efectivo ISO 27001","OBSERVACIÓN - Revisar Controles")))</f>
        <v/>
      </c>
    </row>
    <row r="1063">
      <c r="A1063" s="99" t="inlineStr">
        <is>
          <t>41-GRI</t>
        </is>
      </c>
      <c r="B1063" s="10" t="inlineStr">
        <is>
          <t>ESTRATÉGICO</t>
        </is>
      </c>
      <c r="C1063" s="10" t="inlineStr">
        <is>
          <t>Gestión de Riesgos</t>
        </is>
      </c>
      <c r="D1063" s="10" t="inlineStr">
        <is>
          <t>GRI</t>
        </is>
      </c>
      <c r="E1063" s="10" t="inlineStr">
        <is>
          <t>Gestión de Riesgo de Liquidez</t>
        </is>
      </c>
      <c r="F1063" s="10" t="inlineStr">
        <is>
          <t>-</t>
        </is>
      </c>
      <c r="G1063" s="10" t="inlineStr">
        <is>
          <t xml:space="preserve">Actualización de niveles de riesgo de alertas tempranas de liquidez </t>
        </is>
      </c>
      <c r="H1063" s="10" t="inlineStr">
        <is>
          <t>Balance General Presupuestado</t>
        </is>
      </c>
      <c r="I1063" s="10" t="inlineStr">
        <is>
          <t>Elaboración de presupuesto anual</t>
        </is>
      </c>
      <c r="J1063" s="10" t="inlineStr">
        <is>
          <t>GERENTE DE RIESGOS</t>
        </is>
      </c>
      <c r="K1063" s="10" t="inlineStr">
        <is>
          <t>ANALISTA DE RIESGO DE LIQUIDEZ Y MERCADO</t>
        </is>
      </c>
      <c r="L1063" s="10" t="inlineStr">
        <is>
          <t>UBICACIÓN DIGITAL-EQUIPO DEL RESPONSABLE</t>
        </is>
      </c>
      <c r="M1063" s="10" t="inlineStr">
        <is>
          <t>DOCUMENTO DE ARCHIVO-ELECTRÓNICO</t>
        </is>
      </c>
      <c r="N1063" s="10" t="inlineStr">
        <is>
          <t>PRIMARIOS</t>
        </is>
      </c>
      <c r="O1063" s="10" t="inlineStr">
        <is>
          <t>DOCUMENTOS TÉCNICOS</t>
        </is>
      </c>
      <c r="P1063" s="10" t="inlineStr">
        <is>
          <t>PUBLICA(1)</t>
        </is>
      </c>
      <c r="Q1063" s="10" t="inlineStr">
        <is>
          <t>ALTA(3)</t>
        </is>
      </c>
      <c r="R1063" s="10" t="inlineStr">
        <is>
          <t>MEDIA(2)</t>
        </is>
      </c>
      <c r="S1063" s="10">
        <f>+(IF(P1063="PUBLICA(1)",1,IF(P1063="USO INTERNO(2)",2,IF(P1063="RESTRINGIDO(3)",3,3))))+(IF(Q1063="BAJA(1)",1,IF(Q1063="MEDIA(2)",2,IF(Q1063="ALTA(3)",3,3))))+(IF(R1063="BAJA(1)",1,IF(R1063="MEDIA(2)",2,IF(R1063="ALTA(3)",3,3))))</f>
        <v/>
      </c>
      <c r="T1063" s="10">
        <f>+IF(S1063&lt;6,"BAJA",IF(S1063&lt;8,"MEDIA","ALTA"))</f>
        <v/>
      </c>
      <c r="U1063" s="10" t="inlineStr">
        <is>
          <t>-</t>
        </is>
      </c>
      <c r="V1063" s="24" t="n">
        <v>45567</v>
      </c>
      <c r="W1063" s="19" t="inlineStr">
        <is>
          <t>N/A</t>
        </is>
      </c>
      <c r="X1063" s="10">
        <f>+IFERROR(IF(VLOOKUP(Tabla2[[#This Row],[ID]],'EVALUACION DE RIESGO'!A:A,1,FALSE)=Tabla2[[#This Row],[ID]],"SI","NO"),"NO")</f>
        <v/>
      </c>
      <c r="AD1063">
        <f>IF(AND(Y1063="",AA1063=""),"",IF(OR(LEFT(AA1063,2)="L0",LEFT(AA1063,2)="L1",Y1063="No Iniciado"),"CRÍTICO - Incumplimiento Normativo SEPS",IF(AND(OR(LEFT(AA1063,2)="L4",LEFT(AA1063,2)="L5"),AND(AC1063&lt;&gt;"",AC1063&lt;&gt;"N/A")),"CONFORME - Control Efectivo ISO 27001","OBSERVACIÓN - Revisar Controles")))</f>
        <v/>
      </c>
    </row>
    <row r="1064">
      <c r="A1064" s="99" t="inlineStr">
        <is>
          <t>42-GRI</t>
        </is>
      </c>
      <c r="B1064" s="10" t="inlineStr">
        <is>
          <t>ESTRATÉGICO</t>
        </is>
      </c>
      <c r="C1064" s="10" t="inlineStr">
        <is>
          <t>Gestión de Riesgos</t>
        </is>
      </c>
      <c r="D1064" s="10" t="inlineStr">
        <is>
          <t>GRI</t>
        </is>
      </c>
      <c r="E1064" s="10" t="inlineStr">
        <is>
          <t>Gestión de Riesgo de Liquidez</t>
        </is>
      </c>
      <c r="F1064" s="10" t="inlineStr">
        <is>
          <t>-</t>
        </is>
      </c>
      <c r="G1064" s="10" t="inlineStr">
        <is>
          <t xml:space="preserve">Actualización de niveles de riesgo de alertas tempranas de liquidez </t>
        </is>
      </c>
      <c r="H1064" s="10" t="inlineStr">
        <is>
          <t>Estado de Resultados Presupuestado</t>
        </is>
      </c>
      <c r="I1064" s="10" t="inlineStr">
        <is>
          <t>Elaboración de presupuesto anual</t>
        </is>
      </c>
      <c r="J1064" s="10" t="inlineStr">
        <is>
          <t>GERENTE DE RIESGOS</t>
        </is>
      </c>
      <c r="K1064" s="10" t="inlineStr">
        <is>
          <t>ANALISTA DE RIESGO DE LIQUIDEZ Y MERCADO</t>
        </is>
      </c>
      <c r="L1064" s="10" t="inlineStr">
        <is>
          <t>UBICACIÓN DIGITAL-EQUIPO DEL RESPONSABLE</t>
        </is>
      </c>
      <c r="M1064" s="10" t="inlineStr">
        <is>
          <t>DOCUMENTO DE ARCHIVO-ELECTRÓNICO</t>
        </is>
      </c>
      <c r="N1064" s="10" t="inlineStr">
        <is>
          <t>PRIMARIOS</t>
        </is>
      </c>
      <c r="O1064" s="10" t="inlineStr">
        <is>
          <t>DOCUMENTOS TÉCNICOS</t>
        </is>
      </c>
      <c r="P1064" s="10" t="inlineStr">
        <is>
          <t>PUBLICA(1)</t>
        </is>
      </c>
      <c r="Q1064" s="10" t="inlineStr">
        <is>
          <t>ALTA(3)</t>
        </is>
      </c>
      <c r="R1064" s="10" t="inlineStr">
        <is>
          <t>MEDIA(2)</t>
        </is>
      </c>
      <c r="S1064" s="10">
        <f>+(IF(P1064="PUBLICA(1)",1,IF(P1064="USO INTERNO(2)",2,IF(P1064="RESTRINGIDO(3)",3,3))))+(IF(Q1064="BAJA(1)",1,IF(Q1064="MEDIA(2)",2,IF(Q1064="ALTA(3)",3,3))))+(IF(R1064="BAJA(1)",1,IF(R1064="MEDIA(2)",2,IF(R1064="ALTA(3)",3,3))))</f>
        <v/>
      </c>
      <c r="T1064" s="10">
        <f>+IF(S1064&lt;6,"BAJA",IF(S1064&lt;8,"MEDIA","ALTA"))</f>
        <v/>
      </c>
      <c r="U1064" s="10" t="inlineStr">
        <is>
          <t>-</t>
        </is>
      </c>
      <c r="V1064" s="24" t="n">
        <v>45567</v>
      </c>
      <c r="W1064" s="19" t="inlineStr">
        <is>
          <t>N/A</t>
        </is>
      </c>
      <c r="X1064" s="10">
        <f>+IFERROR(IF(VLOOKUP(Tabla2[[#This Row],[ID]],'EVALUACION DE RIESGO'!A:A,1,FALSE)=Tabla2[[#This Row],[ID]],"SI","NO"),"NO")</f>
        <v/>
      </c>
      <c r="AD1064">
        <f>IF(AND(Y1064="",AA1064=""),"",IF(OR(LEFT(AA1064,2)="L0",LEFT(AA1064,2)="L1",Y1064="No Iniciado"),"CRÍTICO - Incumplimiento Normativo SEPS",IF(AND(OR(LEFT(AA1064,2)="L4",LEFT(AA1064,2)="L5"),AND(AC1064&lt;&gt;"",AC1064&lt;&gt;"N/A")),"CONFORME - Control Efectivo ISO 27001","OBSERVACIÓN - Revisar Controles")))</f>
        <v/>
      </c>
    </row>
    <row r="1065">
      <c r="A1065" s="99" t="inlineStr">
        <is>
          <t>43-GRI</t>
        </is>
      </c>
      <c r="B1065" s="10" t="inlineStr">
        <is>
          <t>ESTRATÉGICO</t>
        </is>
      </c>
      <c r="C1065" s="10" t="inlineStr">
        <is>
          <t>Gestión de Riesgos</t>
        </is>
      </c>
      <c r="D1065" s="10" t="inlineStr">
        <is>
          <t>GRI</t>
        </is>
      </c>
      <c r="E1065" s="10" t="inlineStr">
        <is>
          <t>Gestión de Riesgo de Liquidez</t>
        </is>
      </c>
      <c r="F1065" s="10" t="inlineStr">
        <is>
          <t>-</t>
        </is>
      </c>
      <c r="G1065" s="10" t="inlineStr">
        <is>
          <t xml:space="preserve">Actualización de niveles de riesgo de alertas tempranas de liquidez </t>
        </is>
      </c>
      <c r="H1065" s="10" t="inlineStr">
        <is>
          <t xml:space="preserve">Hojas de Trabajo </t>
        </is>
      </c>
      <c r="I1065" s="10" t="inlineStr">
        <is>
          <t>Consolidacion de la Información</t>
        </is>
      </c>
      <c r="J1065" s="10" t="inlineStr">
        <is>
          <t>GERENTE DE RIESGOS</t>
        </is>
      </c>
      <c r="K1065" s="10" t="inlineStr">
        <is>
          <t>ANALISTA DE RIESGO DE LIQUIDEZ Y MERCADO</t>
        </is>
      </c>
      <c r="L1065" s="10" t="inlineStr">
        <is>
          <t>UBICACIÓN DIGITAL-EQUIPO DEL RESPONSABLE</t>
        </is>
      </c>
      <c r="M1065" s="10" t="inlineStr">
        <is>
          <t>DOCUMENTO DE ARCHIVO-ELECTRÓNICO</t>
        </is>
      </c>
      <c r="N1065" s="10" t="inlineStr">
        <is>
          <t>PRIMARIOS</t>
        </is>
      </c>
      <c r="O1065" s="10" t="inlineStr">
        <is>
          <t>DOCUMENTOS TÉCNICOS</t>
        </is>
      </c>
      <c r="P1065" s="10" t="inlineStr">
        <is>
          <t>PUBLICA(1)</t>
        </is>
      </c>
      <c r="Q1065" s="10" t="inlineStr">
        <is>
          <t>ALTA(3)</t>
        </is>
      </c>
      <c r="R1065" s="10" t="inlineStr">
        <is>
          <t>MEDIA(2)</t>
        </is>
      </c>
      <c r="S1065" s="10">
        <f>+(IF(P1065="PUBLICA(1)",1,IF(P1065="USO INTERNO(2)",2,IF(P1065="RESTRINGIDO(3)",3,3))))+(IF(Q1065="BAJA(1)",1,IF(Q1065="MEDIA(2)",2,IF(Q1065="ALTA(3)",3,3))))+(IF(R1065="BAJA(1)",1,IF(R1065="MEDIA(2)",2,IF(R1065="ALTA(3)",3,3))))</f>
        <v/>
      </c>
      <c r="T1065" s="10">
        <f>+IF(S1065&lt;6,"BAJA",IF(S1065&lt;8,"MEDIA","ALTA"))</f>
        <v/>
      </c>
      <c r="U1065" s="10" t="inlineStr">
        <is>
          <t>-</t>
        </is>
      </c>
      <c r="V1065" s="24" t="n">
        <v>45567</v>
      </c>
      <c r="W1065" s="19" t="inlineStr">
        <is>
          <t>N/A</t>
        </is>
      </c>
      <c r="X1065" s="10">
        <f>+IFERROR(IF(VLOOKUP(Tabla2[[#This Row],[ID]],'EVALUACION DE RIESGO'!A:A,1,FALSE)=Tabla2[[#This Row],[ID]],"SI","NO"),"NO")</f>
        <v/>
      </c>
      <c r="AD1065">
        <f>IF(AND(Y1065="",AA1065=""),"",IF(OR(LEFT(AA1065,2)="L0",LEFT(AA1065,2)="L1",Y1065="No Iniciado"),"CRÍTICO - Incumplimiento Normativo SEPS",IF(AND(OR(LEFT(AA1065,2)="L4",LEFT(AA1065,2)="L5"),AND(AC1065&lt;&gt;"",AC1065&lt;&gt;"N/A")),"CONFORME - Control Efectivo ISO 27001","OBSERVACIÓN - Revisar Controles")))</f>
        <v/>
      </c>
    </row>
    <row r="1066">
      <c r="A1066" s="99" t="inlineStr">
        <is>
          <t>44-GRI</t>
        </is>
      </c>
      <c r="B1066" s="10" t="inlineStr">
        <is>
          <t>ESTRATÉGICO</t>
        </is>
      </c>
      <c r="C1066" s="10" t="inlineStr">
        <is>
          <t>Gestión de Riesgos</t>
        </is>
      </c>
      <c r="D1066" s="10" t="inlineStr">
        <is>
          <t>GRI</t>
        </is>
      </c>
      <c r="E1066" s="10" t="inlineStr">
        <is>
          <t>Gestión de Riesgo de Liquidez</t>
        </is>
      </c>
      <c r="F1066" s="10" t="inlineStr">
        <is>
          <t>-</t>
        </is>
      </c>
      <c r="G1066" s="10" t="inlineStr">
        <is>
          <t xml:space="preserve">Actualización de niveles de riesgo de alertas tempranas de liquidez </t>
        </is>
      </c>
      <c r="H1066" s="10" t="inlineStr">
        <is>
          <t>Registro de definición indicadores y límites de riesgos.</t>
        </is>
      </c>
      <c r="I1066" s="10" t="inlineStr">
        <is>
          <t>Monitoreo de limites de liquidez</t>
        </is>
      </c>
      <c r="J1066" s="10" t="inlineStr">
        <is>
          <t>GERENTE DE RIESGOS</t>
        </is>
      </c>
      <c r="K1066" s="10" t="inlineStr">
        <is>
          <t>ANALISTA DE RIESGO DE LIQUIDEZ Y MERCADO</t>
        </is>
      </c>
      <c r="L1066" s="10" t="inlineStr">
        <is>
          <t>UBICACIÓN DIGITAL-EQUIPO DEL RESPONSABLE</t>
        </is>
      </c>
      <c r="M1066" s="10" t="inlineStr">
        <is>
          <t>DOCUMENTO DE ARCHIVO-ELECTRÓNICO</t>
        </is>
      </c>
      <c r="N1066" s="10" t="inlineStr">
        <is>
          <t>PRIMARIOS</t>
        </is>
      </c>
      <c r="O1066" s="10" t="inlineStr">
        <is>
          <t>DOCUMENTOS TÉCNICOS</t>
        </is>
      </c>
      <c r="P1066" s="10" t="inlineStr">
        <is>
          <t>PUBLICA(1)</t>
        </is>
      </c>
      <c r="Q1066" s="10" t="inlineStr">
        <is>
          <t>ALTA(3)</t>
        </is>
      </c>
      <c r="R1066" s="10" t="inlineStr">
        <is>
          <t>MEDIA(2)</t>
        </is>
      </c>
      <c r="S1066" s="10">
        <f>+(IF(P1066="PUBLICA(1)",1,IF(P1066="USO INTERNO(2)",2,IF(P1066="RESTRINGIDO(3)",3,3))))+(IF(Q1066="BAJA(1)",1,IF(Q1066="MEDIA(2)",2,IF(Q1066="ALTA(3)",3,3))))+(IF(R1066="BAJA(1)",1,IF(R1066="MEDIA(2)",2,IF(R1066="ALTA(3)",3,3))))</f>
        <v/>
      </c>
      <c r="T1066" s="10">
        <f>+IF(S1066&lt;6,"BAJA",IF(S1066&lt;8,"MEDIA","ALTA"))</f>
        <v/>
      </c>
      <c r="U1066" s="10" t="inlineStr">
        <is>
          <t>-</t>
        </is>
      </c>
      <c r="V1066" s="24" t="n">
        <v>45567</v>
      </c>
      <c r="W1066" s="19" t="inlineStr">
        <is>
          <t>N/A</t>
        </is>
      </c>
      <c r="X1066" s="10">
        <f>+IFERROR(IF(VLOOKUP(Tabla2[[#This Row],[ID]],'EVALUACION DE RIESGO'!A:A,1,FALSE)=Tabla2[[#This Row],[ID]],"SI","NO"),"NO")</f>
        <v/>
      </c>
      <c r="AD1066">
        <f>IF(AND(Y1066="",AA1066=""),"",IF(OR(LEFT(AA1066,2)="L0",LEFT(AA1066,2)="L1",Y1066="No Iniciado"),"CRÍTICO - Incumplimiento Normativo SEPS",IF(AND(OR(LEFT(AA1066,2)="L4",LEFT(AA1066,2)="L5"),AND(AC1066&lt;&gt;"",AC1066&lt;&gt;"N/A")),"CONFORME - Control Efectivo ISO 27001","OBSERVACIÓN - Revisar Controles")))</f>
        <v/>
      </c>
    </row>
    <row r="1067">
      <c r="A1067" s="99" t="inlineStr">
        <is>
          <t>45-GRI</t>
        </is>
      </c>
      <c r="B1067" s="10" t="inlineStr">
        <is>
          <t>ESTRATÉGICO</t>
        </is>
      </c>
      <c r="C1067" s="10" t="inlineStr">
        <is>
          <t>Gestión de Riesgos</t>
        </is>
      </c>
      <c r="D1067" s="10" t="inlineStr">
        <is>
          <t>GRI</t>
        </is>
      </c>
      <c r="E1067" s="10" t="inlineStr">
        <is>
          <t>Gestión de Riesgo de Liquidez</t>
        </is>
      </c>
      <c r="F1067" s="10" t="inlineStr">
        <is>
          <t>-</t>
        </is>
      </c>
      <c r="G1067" s="10" t="inlineStr">
        <is>
          <t xml:space="preserve">Análisis de Alertas Tempranas de liquidez y seguimiento de tolerancia   </t>
        </is>
      </c>
      <c r="H1067" s="10" t="inlineStr">
        <is>
          <t>Balance mensual</t>
        </is>
      </c>
      <c r="I1067" s="10" t="inlineStr">
        <is>
          <t>Generación de balance</t>
        </is>
      </c>
      <c r="J1067" s="10" t="inlineStr">
        <is>
          <t>GERENTE DE RIESGOS</t>
        </is>
      </c>
      <c r="K1067" s="10" t="inlineStr">
        <is>
          <t>ANALISTA DE RIESGO DE LIQUIDEZ Y MERCADO</t>
        </is>
      </c>
      <c r="L1067" s="10" t="inlineStr">
        <is>
          <t>UBICACIÓN DIGITAL-EQUIPO DEL RESPONSABLE</t>
        </is>
      </c>
      <c r="M1067" s="10" t="inlineStr">
        <is>
          <t>DOCUMENTO DE ARCHIVO-ELECTRÓNICO</t>
        </is>
      </c>
      <c r="N1067" s="10" t="inlineStr">
        <is>
          <t>PRIMARIOS</t>
        </is>
      </c>
      <c r="O1067" s="10" t="inlineStr">
        <is>
          <t>DOCUMENTOS TÉCNICOS</t>
        </is>
      </c>
      <c r="P1067" s="10" t="inlineStr">
        <is>
          <t>PUBLICA(1)</t>
        </is>
      </c>
      <c r="Q1067" s="10" t="inlineStr">
        <is>
          <t>ALTA(3)</t>
        </is>
      </c>
      <c r="R1067" s="10" t="inlineStr">
        <is>
          <t>MEDIA(2)</t>
        </is>
      </c>
      <c r="S1067" s="10">
        <f>+(IF(P1067="PUBLICA(1)",1,IF(P1067="USO INTERNO(2)",2,IF(P1067="RESTRINGIDO(3)",3,3))))+(IF(Q1067="BAJA(1)",1,IF(Q1067="MEDIA(2)",2,IF(Q1067="ALTA(3)",3,3))))+(IF(R1067="BAJA(1)",1,IF(R1067="MEDIA(2)",2,IF(R1067="ALTA(3)",3,3))))</f>
        <v/>
      </c>
      <c r="T1067" s="10">
        <f>+IF(S1067&lt;6,"BAJA",IF(S1067&lt;8,"MEDIA","ALTA"))</f>
        <v/>
      </c>
      <c r="U1067" s="10" t="inlineStr">
        <is>
          <t>-</t>
        </is>
      </c>
      <c r="V1067" s="24" t="n">
        <v>45567</v>
      </c>
      <c r="W1067" s="19" t="inlineStr">
        <is>
          <t>N/A</t>
        </is>
      </c>
      <c r="X1067" s="10">
        <f>+IFERROR(IF(VLOOKUP(Tabla2[[#This Row],[ID]],'EVALUACION DE RIESGO'!A:A,1,FALSE)=Tabla2[[#This Row],[ID]],"SI","NO"),"NO")</f>
        <v/>
      </c>
      <c r="AD1067">
        <f>IF(AND(Y1067="",AA1067=""),"",IF(OR(LEFT(AA1067,2)="L0",LEFT(AA1067,2)="L1",Y1067="No Iniciado"),"CRÍTICO - Incumplimiento Normativo SEPS",IF(AND(OR(LEFT(AA1067,2)="L4",LEFT(AA1067,2)="L5"),AND(AC1067&lt;&gt;"",AC1067&lt;&gt;"N/A")),"CONFORME - Control Efectivo ISO 27001","OBSERVACIÓN - Revisar Controles")))</f>
        <v/>
      </c>
    </row>
    <row r="1068">
      <c r="A1068" s="99" t="inlineStr">
        <is>
          <t>46-GRI</t>
        </is>
      </c>
      <c r="B1068" s="10" t="inlineStr">
        <is>
          <t>ESTRATÉGICO</t>
        </is>
      </c>
      <c r="C1068" s="10" t="inlineStr">
        <is>
          <t>Gestión de Riesgos</t>
        </is>
      </c>
      <c r="D1068" s="10" t="inlineStr">
        <is>
          <t>GRI</t>
        </is>
      </c>
      <c r="E1068" s="10" t="inlineStr">
        <is>
          <t>Gestión de Riesgo de Liquidez</t>
        </is>
      </c>
      <c r="F1068" s="10" t="inlineStr">
        <is>
          <t>-</t>
        </is>
      </c>
      <c r="G1068" s="10" t="inlineStr">
        <is>
          <t xml:space="preserve">Análisis de Alertas Tempranas de liquidez y seguimiento de tolerancia   </t>
        </is>
      </c>
      <c r="H1068" s="10" t="inlineStr">
        <is>
          <t>Registro de definición indicadores y límites de riesgos.</t>
        </is>
      </c>
      <c r="I1068" s="10" t="inlineStr">
        <is>
          <t>Actualización de niveles de riesgo de alertas tempranas de liquidez</t>
        </is>
      </c>
      <c r="J1068" s="10" t="inlineStr">
        <is>
          <t>GERENTE DE RIESGOS</t>
        </is>
      </c>
      <c r="K1068" s="10" t="inlineStr">
        <is>
          <t>ANALISTA DE RIESGO DE LIQUIDEZ Y MERCADO</t>
        </is>
      </c>
      <c r="L1068" s="10" t="inlineStr">
        <is>
          <t>UBICACIÓN DIGITAL-EQUIPO DEL RESPONSABLE</t>
        </is>
      </c>
      <c r="M1068" s="10" t="inlineStr">
        <is>
          <t>DOCUMENTO DE ARCHIVO-ELECTRÓNICO</t>
        </is>
      </c>
      <c r="N1068" s="10" t="inlineStr">
        <is>
          <t>PRIMARIOS</t>
        </is>
      </c>
      <c r="O1068" s="10" t="inlineStr">
        <is>
          <t>DOCUMENTOS TÉCNICOS</t>
        </is>
      </c>
      <c r="P1068" s="10" t="inlineStr">
        <is>
          <t>PUBLICA(1)</t>
        </is>
      </c>
      <c r="Q1068" s="10" t="inlineStr">
        <is>
          <t>ALTA(3)</t>
        </is>
      </c>
      <c r="R1068" s="10" t="inlineStr">
        <is>
          <t>MEDIA(2)</t>
        </is>
      </c>
      <c r="S1068" s="10">
        <f>+(IF(P1068="PUBLICA(1)",1,IF(P1068="USO INTERNO(2)",2,IF(P1068="RESTRINGIDO(3)",3,3))))+(IF(Q1068="BAJA(1)",1,IF(Q1068="MEDIA(2)",2,IF(Q1068="ALTA(3)",3,3))))+(IF(R1068="BAJA(1)",1,IF(R1068="MEDIA(2)",2,IF(R1068="ALTA(3)",3,3))))</f>
        <v/>
      </c>
      <c r="T1068" s="10">
        <f>+IF(S1068&lt;6,"BAJA",IF(S1068&lt;8,"MEDIA","ALTA"))</f>
        <v/>
      </c>
      <c r="U1068" s="10" t="inlineStr">
        <is>
          <t>-</t>
        </is>
      </c>
      <c r="V1068" s="24" t="n">
        <v>45567</v>
      </c>
      <c r="W1068" s="19" t="inlineStr">
        <is>
          <t>N/A</t>
        </is>
      </c>
      <c r="X1068" s="10">
        <f>+IFERROR(IF(VLOOKUP(Tabla2[[#This Row],[ID]],'EVALUACION DE RIESGO'!A:A,1,FALSE)=Tabla2[[#This Row],[ID]],"SI","NO"),"NO")</f>
        <v/>
      </c>
      <c r="AD1068">
        <f>IF(AND(Y1068="",AA1068=""),"",IF(OR(LEFT(AA1068,2)="L0",LEFT(AA1068,2)="L1",Y1068="No Iniciado"),"CRÍTICO - Incumplimiento Normativo SEPS",IF(AND(OR(LEFT(AA1068,2)="L4",LEFT(AA1068,2)="L5"),AND(AC1068&lt;&gt;"",AC1068&lt;&gt;"N/A")),"CONFORME - Control Efectivo ISO 27001","OBSERVACIÓN - Revisar Controles")))</f>
        <v/>
      </c>
    </row>
    <row r="1069">
      <c r="A1069" s="99" t="inlineStr">
        <is>
          <t>47-GRI</t>
        </is>
      </c>
      <c r="B1069" s="10" t="inlineStr">
        <is>
          <t>ESTRATÉGICO</t>
        </is>
      </c>
      <c r="C1069" s="10" t="inlineStr">
        <is>
          <t>Gestión de Riesgos</t>
        </is>
      </c>
      <c r="D1069" s="10" t="inlineStr">
        <is>
          <t>GRI</t>
        </is>
      </c>
      <c r="E1069" s="10" t="inlineStr">
        <is>
          <t>Gestión de Riesgo de Liquidez</t>
        </is>
      </c>
      <c r="F1069" s="10" t="inlineStr">
        <is>
          <t>-</t>
        </is>
      </c>
      <c r="G1069" s="10" t="inlineStr">
        <is>
          <t xml:space="preserve">Análisis de Alertas Tempranas de liquidez y seguimiento de tolerancia   </t>
        </is>
      </c>
      <c r="H1069" s="10" t="inlineStr">
        <is>
          <t>Herramienta de Liquidez Diaria</t>
        </is>
      </c>
      <c r="I1069" s="10" t="inlineStr">
        <is>
          <t>Consolidacion de la Informacion</t>
        </is>
      </c>
      <c r="J1069" s="10" t="inlineStr">
        <is>
          <t>GERENTE DE RIESGOS</t>
        </is>
      </c>
      <c r="K1069" s="10" t="inlineStr">
        <is>
          <t>ANALISTA DE RIESGO DE LIQUIDEZ Y MERCADO</t>
        </is>
      </c>
      <c r="L1069" s="10" t="inlineStr">
        <is>
          <t>UBICACIÓN DIGITAL-EQUIPO DEL RESPONSABLE</t>
        </is>
      </c>
      <c r="M1069" s="10" t="inlineStr">
        <is>
          <t>DOCUMENTO DE ARCHIVO-ELECTRÓNICO</t>
        </is>
      </c>
      <c r="N1069" s="10" t="inlineStr">
        <is>
          <t>PRIMARIOS</t>
        </is>
      </c>
      <c r="O1069" s="10" t="inlineStr">
        <is>
          <t>DOCUMENTOS TÉCNICOS</t>
        </is>
      </c>
      <c r="P1069" s="10" t="inlineStr">
        <is>
          <t>PUBLICA(1)</t>
        </is>
      </c>
      <c r="Q1069" s="10" t="inlineStr">
        <is>
          <t>ALTA(3)</t>
        </is>
      </c>
      <c r="R1069" s="10" t="inlineStr">
        <is>
          <t>MEDIA(2)</t>
        </is>
      </c>
      <c r="S1069" s="10">
        <f>+(IF(P1069="PUBLICA(1)",1,IF(P1069="USO INTERNO(2)",2,IF(P1069="RESTRINGIDO(3)",3,3))))+(IF(Q1069="BAJA(1)",1,IF(Q1069="MEDIA(2)",2,IF(Q1069="ALTA(3)",3,3))))+(IF(R1069="BAJA(1)",1,IF(R1069="MEDIA(2)",2,IF(R1069="ALTA(3)",3,3))))</f>
        <v/>
      </c>
      <c r="T1069" s="10">
        <f>+IF(S1069&lt;6,"BAJA",IF(S1069&lt;8,"MEDIA","ALTA"))</f>
        <v/>
      </c>
      <c r="U1069" s="10" t="inlineStr">
        <is>
          <t>-</t>
        </is>
      </c>
      <c r="V1069" s="24" t="n">
        <v>45567</v>
      </c>
      <c r="W1069" s="19" t="inlineStr">
        <is>
          <t>N/A</t>
        </is>
      </c>
      <c r="X1069" s="10">
        <f>+IFERROR(IF(VLOOKUP(Tabla2[[#This Row],[ID]],'EVALUACION DE RIESGO'!A:A,1,FALSE)=Tabla2[[#This Row],[ID]],"SI","NO"),"NO")</f>
        <v/>
      </c>
      <c r="AD1069">
        <f>IF(AND(Y1069="",AA1069=""),"",IF(OR(LEFT(AA1069,2)="L0",LEFT(AA1069,2)="L1",Y1069="No Iniciado"),"CRÍTICO - Incumplimiento Normativo SEPS",IF(AND(OR(LEFT(AA1069,2)="L4",LEFT(AA1069,2)="L5"),AND(AC1069&lt;&gt;"",AC1069&lt;&gt;"N/A")),"CONFORME - Control Efectivo ISO 27001","OBSERVACIÓN - Revisar Controles")))</f>
        <v/>
      </c>
    </row>
    <row r="1070">
      <c r="A1070" s="99" t="inlineStr">
        <is>
          <t>48-GRI</t>
        </is>
      </c>
      <c r="B1070" s="10" t="inlineStr">
        <is>
          <t>ESTRATÉGICO</t>
        </is>
      </c>
      <c r="C1070" s="10" t="inlineStr">
        <is>
          <t>Gestión de Riesgos</t>
        </is>
      </c>
      <c r="D1070" s="10" t="inlineStr">
        <is>
          <t>GRI</t>
        </is>
      </c>
      <c r="E1070" s="10" t="inlineStr">
        <is>
          <t>Gestión de Riesgo de Liquidez</t>
        </is>
      </c>
      <c r="F1070" s="10" t="inlineStr">
        <is>
          <t>-</t>
        </is>
      </c>
      <c r="G1070" s="10" t="inlineStr">
        <is>
          <t xml:space="preserve">Análisis de Alertas Tempranas de liquidez y seguimiento de tolerancia   </t>
        </is>
      </c>
      <c r="H1070" s="10" t="inlineStr">
        <is>
          <t>Herramienta de Sistema de alertas temprana</t>
        </is>
      </c>
      <c r="I1070" s="10" t="inlineStr">
        <is>
          <t>Consolidacion de la Informacion</t>
        </is>
      </c>
      <c r="J1070" s="10" t="inlineStr">
        <is>
          <t>GERENTE DE RIESGOS</t>
        </is>
      </c>
      <c r="K1070" s="10" t="inlineStr">
        <is>
          <t>ANALISTA DE RIESGO DE LIQUIDEZ Y MERCADO</t>
        </is>
      </c>
      <c r="L1070" s="10" t="inlineStr">
        <is>
          <t>UBICACIÓN DIGITAL-EQUIPO DEL RESPONSABLE</t>
        </is>
      </c>
      <c r="M1070" s="10" t="inlineStr">
        <is>
          <t>DOCUMENTO DE ARCHIVO-ELECTRÓNICO</t>
        </is>
      </c>
      <c r="N1070" s="10" t="inlineStr">
        <is>
          <t>PRIMARIOS</t>
        </is>
      </c>
      <c r="O1070" s="10" t="inlineStr">
        <is>
          <t>DOCUMENTOS TÉCNICOS</t>
        </is>
      </c>
      <c r="P1070" s="10" t="inlineStr">
        <is>
          <t>PUBLICA(1)</t>
        </is>
      </c>
      <c r="Q1070" s="10" t="inlineStr">
        <is>
          <t>ALTA(3)</t>
        </is>
      </c>
      <c r="R1070" s="10" t="inlineStr">
        <is>
          <t>MEDIA(2)</t>
        </is>
      </c>
      <c r="S1070" s="10">
        <f>+(IF(P1070="PUBLICA(1)",1,IF(P1070="USO INTERNO(2)",2,IF(P1070="RESTRINGIDO(3)",3,3))))+(IF(Q1070="BAJA(1)",1,IF(Q1070="MEDIA(2)",2,IF(Q1070="ALTA(3)",3,3))))+(IF(R1070="BAJA(1)",1,IF(R1070="MEDIA(2)",2,IF(R1070="ALTA(3)",3,3))))</f>
        <v/>
      </c>
      <c r="T1070" s="10">
        <f>+IF(S1070&lt;6,"BAJA",IF(S1070&lt;8,"MEDIA","ALTA"))</f>
        <v/>
      </c>
      <c r="U1070" s="10" t="inlineStr">
        <is>
          <t>-</t>
        </is>
      </c>
      <c r="V1070" s="24" t="n">
        <v>45567</v>
      </c>
      <c r="W1070" s="19" t="inlineStr">
        <is>
          <t>N/A</t>
        </is>
      </c>
      <c r="X1070" s="10">
        <f>+IFERROR(IF(VLOOKUP(Tabla2[[#This Row],[ID]],'EVALUACION DE RIESGO'!A:A,1,FALSE)=Tabla2[[#This Row],[ID]],"SI","NO"),"NO")</f>
        <v/>
      </c>
      <c r="AD1070">
        <f>IF(AND(Y1070="",AA1070=""),"",IF(OR(LEFT(AA1070,2)="L0",LEFT(AA1070,2)="L1",Y1070="No Iniciado"),"CRÍTICO - Incumplimiento Normativo SEPS",IF(AND(OR(LEFT(AA1070,2)="L4",LEFT(AA1070,2)="L5"),AND(AC1070&lt;&gt;"",AC1070&lt;&gt;"N/A")),"CONFORME - Control Efectivo ISO 27001","OBSERVACIÓN - Revisar Controles")))</f>
        <v/>
      </c>
    </row>
    <row r="1071">
      <c r="A1071" s="99" t="inlineStr">
        <is>
          <t>49-GRI</t>
        </is>
      </c>
      <c r="B1071" s="10" t="inlineStr">
        <is>
          <t>ESTRATÉGICO</t>
        </is>
      </c>
      <c r="C1071" s="10" t="inlineStr">
        <is>
          <t>Gestión de Riesgos</t>
        </is>
      </c>
      <c r="D1071" s="10" t="inlineStr">
        <is>
          <t>GRI</t>
        </is>
      </c>
      <c r="E1071" s="10" t="inlineStr">
        <is>
          <t>Gestión de Riesgo de Liquidez</t>
        </is>
      </c>
      <c r="F1071" s="10" t="inlineStr">
        <is>
          <t>-</t>
        </is>
      </c>
      <c r="G1071" s="10" t="inlineStr">
        <is>
          <t xml:space="preserve">Análisis de Alertas Tempranas de liquidez y seguimiento de tolerancia   </t>
        </is>
      </c>
      <c r="H1071" s="10" t="inlineStr">
        <is>
          <t>Hojas de Trabajo</t>
        </is>
      </c>
      <c r="I1071" s="10" t="inlineStr">
        <is>
          <t>Consolidacion de la Informacion</t>
        </is>
      </c>
      <c r="J1071" s="10" t="inlineStr">
        <is>
          <t>GERENTE DE RIESGOS</t>
        </is>
      </c>
      <c r="K1071" s="10" t="inlineStr">
        <is>
          <t>ANALISTA DE RIESGO DE LIQUIDEZ Y MERCADO</t>
        </is>
      </c>
      <c r="L1071" s="10" t="inlineStr">
        <is>
          <t>UBICACIÓN DIGITAL-EQUIPO DEL RESPONSABLE</t>
        </is>
      </c>
      <c r="M1071" s="10" t="inlineStr">
        <is>
          <t>DOCUMENTO DE ARCHIVO-ELECTRÓNICO</t>
        </is>
      </c>
      <c r="N1071" s="10" t="inlineStr">
        <is>
          <t>PRIMARIOS</t>
        </is>
      </c>
      <c r="O1071" s="10" t="inlineStr">
        <is>
          <t>DOCUMENTOS TÉCNICOS</t>
        </is>
      </c>
      <c r="P1071" s="10" t="inlineStr">
        <is>
          <t>PUBLICA(1)</t>
        </is>
      </c>
      <c r="Q1071" s="10" t="inlineStr">
        <is>
          <t>ALTA(3)</t>
        </is>
      </c>
      <c r="R1071" s="10" t="inlineStr">
        <is>
          <t>MEDIA(2)</t>
        </is>
      </c>
      <c r="S1071" s="10">
        <f>+(IF(P1071="PUBLICA(1)",1,IF(P1071="USO INTERNO(2)",2,IF(P1071="RESTRINGIDO(3)",3,3))))+(IF(Q1071="BAJA(1)",1,IF(Q1071="MEDIA(2)",2,IF(Q1071="ALTA(3)",3,3))))+(IF(R1071="BAJA(1)",1,IF(R1071="MEDIA(2)",2,IF(R1071="ALTA(3)",3,3))))</f>
        <v/>
      </c>
      <c r="T1071" s="10">
        <f>+IF(S1071&lt;6,"BAJA",IF(S1071&lt;8,"MEDIA","ALTA"))</f>
        <v/>
      </c>
      <c r="U1071" s="10" t="inlineStr">
        <is>
          <t>-</t>
        </is>
      </c>
      <c r="V1071" s="24" t="n">
        <v>45567</v>
      </c>
      <c r="W1071" s="19" t="inlineStr">
        <is>
          <t>N/A</t>
        </is>
      </c>
      <c r="X1071" s="10">
        <f>+IFERROR(IF(VLOOKUP(Tabla2[[#This Row],[ID]],'EVALUACION DE RIESGO'!A:A,1,FALSE)=Tabla2[[#This Row],[ID]],"SI","NO"),"NO")</f>
        <v/>
      </c>
      <c r="AD1071">
        <f>IF(AND(Y1071="",AA1071=""),"",IF(OR(LEFT(AA1071,2)="L0",LEFT(AA1071,2)="L1",Y1071="No Iniciado"),"CRÍTICO - Incumplimiento Normativo SEPS",IF(AND(OR(LEFT(AA1071,2)="L4",LEFT(AA1071,2)="L5"),AND(AC1071&lt;&gt;"",AC1071&lt;&gt;"N/A")),"CONFORME - Control Efectivo ISO 27001","OBSERVACIÓN - Revisar Controles")))</f>
        <v/>
      </c>
    </row>
    <row r="1072">
      <c r="A1072" s="99" t="inlineStr">
        <is>
          <t>50-GRI</t>
        </is>
      </c>
      <c r="B1072" s="10" t="inlineStr">
        <is>
          <t>ESTRATÉGICO</t>
        </is>
      </c>
      <c r="C1072" s="10" t="inlineStr">
        <is>
          <t>Gestión de Riesgos</t>
        </is>
      </c>
      <c r="D1072" s="10" t="inlineStr">
        <is>
          <t>GRI</t>
        </is>
      </c>
      <c r="E1072" s="10" t="inlineStr">
        <is>
          <t>Gestión de Riesgo de Liquidez</t>
        </is>
      </c>
      <c r="F1072" s="10" t="inlineStr">
        <is>
          <t>-</t>
        </is>
      </c>
      <c r="G1072" s="10" t="inlineStr">
        <is>
          <t xml:space="preserve">Análisis de Alertas Tempranas de liquidez y seguimiento de tolerancia   </t>
        </is>
      </c>
      <c r="H1072" s="10" t="inlineStr">
        <is>
          <t>Reporte de Alertas Tempranas de Liquidez</t>
        </is>
      </c>
      <c r="I1072" s="10" t="inlineStr">
        <is>
          <t>Consolidacion de la Informacion</t>
        </is>
      </c>
      <c r="J1072" s="10" t="inlineStr">
        <is>
          <t>GERENTE DE RIESGOS</t>
        </is>
      </c>
      <c r="K1072" s="10" t="inlineStr">
        <is>
          <t>ANALISTA DE RIESGO DE LIQUIDEZ Y MERCADO</t>
        </is>
      </c>
      <c r="L1072" s="10" t="inlineStr">
        <is>
          <t>UBICACIÓN DIGITAL-EQUIPO DEL RESPONSABLE</t>
        </is>
      </c>
      <c r="M1072" s="10" t="inlineStr">
        <is>
          <t>DOCUMENTO DE ARCHIVO-ELECTRÓNICO</t>
        </is>
      </c>
      <c r="N1072" s="10" t="inlineStr">
        <is>
          <t>PRIMARIOS</t>
        </is>
      </c>
      <c r="O1072" s="10" t="inlineStr">
        <is>
          <t>DOCUMENTOS TÉCNICOS</t>
        </is>
      </c>
      <c r="P1072" s="10" t="inlineStr">
        <is>
          <t>PUBLICA(1)</t>
        </is>
      </c>
      <c r="Q1072" s="10" t="inlineStr">
        <is>
          <t>ALTA(3)</t>
        </is>
      </c>
      <c r="R1072" s="10" t="inlineStr">
        <is>
          <t>MEDIA(2)</t>
        </is>
      </c>
      <c r="S1072" s="10">
        <f>+(IF(P1072="PUBLICA(1)",1,IF(P1072="USO INTERNO(2)",2,IF(P1072="RESTRINGIDO(3)",3,3))))+(IF(Q1072="BAJA(1)",1,IF(Q1072="MEDIA(2)",2,IF(Q1072="ALTA(3)",3,3))))+(IF(R1072="BAJA(1)",1,IF(R1072="MEDIA(2)",2,IF(R1072="ALTA(3)",3,3))))</f>
        <v/>
      </c>
      <c r="T1072" s="10">
        <f>+IF(S1072&lt;6,"BAJA",IF(S1072&lt;8,"MEDIA","ALTA"))</f>
        <v/>
      </c>
      <c r="U1072" s="10" t="inlineStr">
        <is>
          <t>-</t>
        </is>
      </c>
      <c r="V1072" s="24" t="n">
        <v>45567</v>
      </c>
      <c r="W1072" s="19" t="inlineStr">
        <is>
          <t>N/A</t>
        </is>
      </c>
      <c r="X1072" s="10">
        <f>+IFERROR(IF(VLOOKUP(Tabla2[[#This Row],[ID]],'EVALUACION DE RIESGO'!A:A,1,FALSE)=Tabla2[[#This Row],[ID]],"SI","NO"),"NO")</f>
        <v/>
      </c>
      <c r="AD1072">
        <f>IF(AND(Y1072="",AA1072=""),"",IF(OR(LEFT(AA1072,2)="L0",LEFT(AA1072,2)="L1",Y1072="No Iniciado"),"CRÍTICO - Incumplimiento Normativo SEPS",IF(AND(OR(LEFT(AA1072,2)="L4",LEFT(AA1072,2)="L5"),AND(AC1072&lt;&gt;"",AC1072&lt;&gt;"N/A")),"CONFORME - Control Efectivo ISO 27001","OBSERVACIÓN - Revisar Controles")))</f>
        <v/>
      </c>
    </row>
    <row r="1073">
      <c r="A1073" s="99" t="inlineStr">
        <is>
          <t>51-GRI</t>
        </is>
      </c>
      <c r="B1073" s="10" t="inlineStr">
        <is>
          <t>ESTRATÉGICO</t>
        </is>
      </c>
      <c r="C1073" s="10" t="inlineStr">
        <is>
          <t>Gestión de Riesgos</t>
        </is>
      </c>
      <c r="D1073" s="10" t="inlineStr">
        <is>
          <t>GRI</t>
        </is>
      </c>
      <c r="E1073" s="10" t="inlineStr">
        <is>
          <t>Gestión de Riesgo de Liquidez</t>
        </is>
      </c>
      <c r="F1073" s="10" t="inlineStr">
        <is>
          <t>-</t>
        </is>
      </c>
      <c r="G1073" s="10" t="inlineStr">
        <is>
          <t xml:space="preserve">Análisis de Alertas Tempranas de liquidez y seguimiento de tolerancia   </t>
        </is>
      </c>
      <c r="H1073" s="10" t="inlineStr">
        <is>
          <t>Hojas de Trabajo</t>
        </is>
      </c>
      <c r="I1073" s="10" t="inlineStr">
        <is>
          <t>Consolidación de la información</t>
        </is>
      </c>
      <c r="J1073" s="10" t="inlineStr">
        <is>
          <t>GERENTE DE RIESGOS</t>
        </is>
      </c>
      <c r="K1073" s="10" t="inlineStr">
        <is>
          <t>ANALISTA DE RIESGO DE LIQUIDEZ Y MERCADO</t>
        </is>
      </c>
      <c r="L1073" s="10" t="inlineStr">
        <is>
          <t>UBICACIÓN DIGITAL-EQUIPO DEL RESPONSABLE</t>
        </is>
      </c>
      <c r="M1073" s="10" t="inlineStr">
        <is>
          <t>DOCUMENTO DE ARCHIVO-ELECTRÓNICO</t>
        </is>
      </c>
      <c r="N1073" s="10" t="inlineStr">
        <is>
          <t>PRIMARIOS</t>
        </is>
      </c>
      <c r="O1073" s="10" t="inlineStr">
        <is>
          <t>DOCUMENTOS TÉCNICOS</t>
        </is>
      </c>
      <c r="P1073" s="10" t="inlineStr">
        <is>
          <t>PUBLICA(1)</t>
        </is>
      </c>
      <c r="Q1073" s="10" t="inlineStr">
        <is>
          <t>ALTA(3)</t>
        </is>
      </c>
      <c r="R1073" s="10" t="inlineStr">
        <is>
          <t>MEDIA(2)</t>
        </is>
      </c>
      <c r="S1073" s="10">
        <f>+(IF(P1073="PUBLICA(1)",1,IF(P1073="USO INTERNO(2)",2,IF(P1073="RESTRINGIDO(3)",3,3))))+(IF(Q1073="BAJA(1)",1,IF(Q1073="MEDIA(2)",2,IF(Q1073="ALTA(3)",3,3))))+(IF(R1073="BAJA(1)",1,IF(R1073="MEDIA(2)",2,IF(R1073="ALTA(3)",3,3))))</f>
        <v/>
      </c>
      <c r="T1073" s="10">
        <f>+IF(S1073&lt;6,"BAJA",IF(S1073&lt;8,"MEDIA","ALTA"))</f>
        <v/>
      </c>
      <c r="U1073" s="10" t="inlineStr">
        <is>
          <t>-</t>
        </is>
      </c>
      <c r="V1073" s="24" t="n">
        <v>45567</v>
      </c>
      <c r="W1073" s="19" t="inlineStr">
        <is>
          <t>N/A</t>
        </is>
      </c>
      <c r="X1073" s="10">
        <f>+IFERROR(IF(VLOOKUP(Tabla2[[#This Row],[ID]],'EVALUACION DE RIESGO'!A:A,1,FALSE)=Tabla2[[#This Row],[ID]],"SI","NO"),"NO")</f>
        <v/>
      </c>
      <c r="AD1073">
        <f>IF(AND(Y1073="",AA1073=""),"",IF(OR(LEFT(AA1073,2)="L0",LEFT(AA1073,2)="L1",Y1073="No Iniciado"),"CRÍTICO - Incumplimiento Normativo SEPS",IF(AND(OR(LEFT(AA1073,2)="L4",LEFT(AA1073,2)="L5"),AND(AC1073&lt;&gt;"",AC1073&lt;&gt;"N/A")),"CONFORME - Control Efectivo ISO 27001","OBSERVACIÓN - Revisar Controles")))</f>
        <v/>
      </c>
    </row>
    <row r="1074">
      <c r="A1074" s="99" t="inlineStr">
        <is>
          <t>52-GRI</t>
        </is>
      </c>
      <c r="B1074" s="10" t="inlineStr">
        <is>
          <t>ESTRATÉGICO</t>
        </is>
      </c>
      <c r="C1074" s="10" t="inlineStr">
        <is>
          <t>Gestión de Riesgos</t>
        </is>
      </c>
      <c r="D1074" s="10" t="inlineStr">
        <is>
          <t>GRI</t>
        </is>
      </c>
      <c r="E1074" s="10" t="inlineStr">
        <is>
          <t>Gestión de Riesgo de Liquidez</t>
        </is>
      </c>
      <c r="F1074" s="10" t="inlineStr">
        <is>
          <t>-</t>
        </is>
      </c>
      <c r="G1074" s="10" t="inlineStr">
        <is>
          <t xml:space="preserve">Análisis y elaboración de stress testing de liquidez (pruebas de tensión)                                                                       </t>
        </is>
      </c>
      <c r="H1074" s="10" t="inlineStr">
        <is>
          <t xml:space="preserve">Balance mensual </t>
        </is>
      </c>
      <c r="I1074" s="10" t="inlineStr">
        <is>
          <t>Generación de balance</t>
        </is>
      </c>
      <c r="J1074" s="10" t="inlineStr">
        <is>
          <t>GERENTE DE RIESGOS</t>
        </is>
      </c>
      <c r="K1074" s="10" t="inlineStr">
        <is>
          <t>ANALISTA DE RIESGO DE LIQUIDEZ Y MERCADO</t>
        </is>
      </c>
      <c r="L1074" s="10" t="inlineStr">
        <is>
          <t>UBICACIÓN DIGITAL-EQUIPO DEL RESPONSABLE</t>
        </is>
      </c>
      <c r="M1074" s="10" t="inlineStr">
        <is>
          <t>DOCUMENTO DE ARCHIVO-ELECTRÓNICO</t>
        </is>
      </c>
      <c r="N1074" s="10" t="inlineStr">
        <is>
          <t>PRIMARIOS</t>
        </is>
      </c>
      <c r="O1074" s="10" t="inlineStr">
        <is>
          <t>DOCUMENTOS TÉCNICOS</t>
        </is>
      </c>
      <c r="P1074" s="10" t="inlineStr">
        <is>
          <t>PUBLICA(1)</t>
        </is>
      </c>
      <c r="Q1074" s="10" t="inlineStr">
        <is>
          <t>ALTA(3)</t>
        </is>
      </c>
      <c r="R1074" s="10" t="inlineStr">
        <is>
          <t>MEDIA(2)</t>
        </is>
      </c>
      <c r="S1074" s="10">
        <f>+(IF(P1074="PUBLICA(1)",1,IF(P1074="USO INTERNO(2)",2,IF(P1074="RESTRINGIDO(3)",3,3))))+(IF(Q1074="BAJA(1)",1,IF(Q1074="MEDIA(2)",2,IF(Q1074="ALTA(3)",3,3))))+(IF(R1074="BAJA(1)",1,IF(R1074="MEDIA(2)",2,IF(R1074="ALTA(3)",3,3))))</f>
        <v/>
      </c>
      <c r="T1074" s="10">
        <f>+IF(S1074&lt;6,"BAJA",IF(S1074&lt;8,"MEDIA","ALTA"))</f>
        <v/>
      </c>
      <c r="U1074" s="10" t="inlineStr">
        <is>
          <t>-</t>
        </is>
      </c>
      <c r="V1074" s="24" t="n">
        <v>45567</v>
      </c>
      <c r="W1074" s="19" t="inlineStr">
        <is>
          <t>N/A</t>
        </is>
      </c>
      <c r="X1074" s="10">
        <f>+IFERROR(IF(VLOOKUP(Tabla2[[#This Row],[ID]],'EVALUACION DE RIESGO'!A:A,1,FALSE)=Tabla2[[#This Row],[ID]],"SI","NO"),"NO")</f>
        <v/>
      </c>
      <c r="AD1074">
        <f>IF(AND(Y1074="",AA1074=""),"",IF(OR(LEFT(AA1074,2)="L0",LEFT(AA1074,2)="L1",Y1074="No Iniciado"),"CRÍTICO - Incumplimiento Normativo SEPS",IF(AND(OR(LEFT(AA1074,2)="L4",LEFT(AA1074,2)="L5"),AND(AC1074&lt;&gt;"",AC1074&lt;&gt;"N/A")),"CONFORME - Control Efectivo ISO 27001","OBSERVACIÓN - Revisar Controles")))</f>
        <v/>
      </c>
    </row>
    <row r="1075">
      <c r="A1075" s="99" t="inlineStr">
        <is>
          <t>53-GRI</t>
        </is>
      </c>
      <c r="B1075" s="10" t="inlineStr">
        <is>
          <t>ESTRATÉGICO</t>
        </is>
      </c>
      <c r="C1075" s="10" t="inlineStr">
        <is>
          <t>Gestión de Riesgos</t>
        </is>
      </c>
      <c r="D1075" s="10" t="inlineStr">
        <is>
          <t>GRI</t>
        </is>
      </c>
      <c r="E1075" s="10" t="inlineStr">
        <is>
          <t>Gestión de Riesgo de Liquidez</t>
        </is>
      </c>
      <c r="F1075" s="10" t="inlineStr">
        <is>
          <t>-</t>
        </is>
      </c>
      <c r="G1075" s="10" t="inlineStr">
        <is>
          <t xml:space="preserve">Análisis y elaboración de stress testing de liquidez (pruebas de tensión)                                                                       </t>
        </is>
      </c>
      <c r="H1075" s="10" t="inlineStr">
        <is>
          <t>Registros de información de liquidez</t>
        </is>
      </c>
      <c r="I1075" s="10" t="inlineStr">
        <is>
          <t>Software de Liquidez y Mercado</t>
        </is>
      </c>
      <c r="J1075" s="10" t="inlineStr">
        <is>
          <t>GERENTE DE RIESGOS</t>
        </is>
      </c>
      <c r="K1075" s="10" t="inlineStr">
        <is>
          <t>ANALISTA DE RIESGO DE LIQUIDEZ Y MERCADO</t>
        </is>
      </c>
      <c r="L1075" s="10" t="inlineStr">
        <is>
          <t>UBICACIÓN DIGITAL-EQUIPO DEL RESPONSABLE</t>
        </is>
      </c>
      <c r="M1075" s="10" t="inlineStr">
        <is>
          <t>DOCUMENTO DE ARCHIVO-ELECTRÓNICO</t>
        </is>
      </c>
      <c r="N1075" s="10" t="inlineStr">
        <is>
          <t>PRIMARIOS</t>
        </is>
      </c>
      <c r="O1075" s="10" t="inlineStr">
        <is>
          <t>DOCUMENTOS TÉCNICOS</t>
        </is>
      </c>
      <c r="P1075" s="10" t="inlineStr">
        <is>
          <t>PUBLICA(1)</t>
        </is>
      </c>
      <c r="Q1075" s="10" t="inlineStr">
        <is>
          <t>ALTA(3)</t>
        </is>
      </c>
      <c r="R1075" s="10" t="inlineStr">
        <is>
          <t>MEDIA(2)</t>
        </is>
      </c>
      <c r="S1075" s="10">
        <f>+(IF(P1075="PUBLICA(1)",1,IF(P1075="USO INTERNO(2)",2,IF(P1075="RESTRINGIDO(3)",3,3))))+(IF(Q1075="BAJA(1)",1,IF(Q1075="MEDIA(2)",2,IF(Q1075="ALTA(3)",3,3))))+(IF(R1075="BAJA(1)",1,IF(R1075="MEDIA(2)",2,IF(R1075="ALTA(3)",3,3))))</f>
        <v/>
      </c>
      <c r="T1075" s="10">
        <f>+IF(S1075&lt;6,"BAJA",IF(S1075&lt;8,"MEDIA","ALTA"))</f>
        <v/>
      </c>
      <c r="U1075" s="10" t="inlineStr">
        <is>
          <t>-</t>
        </is>
      </c>
      <c r="V1075" s="24" t="n">
        <v>45567</v>
      </c>
      <c r="W1075" s="19" t="inlineStr">
        <is>
          <t>N/A</t>
        </is>
      </c>
      <c r="X1075" s="10">
        <f>+IFERROR(IF(VLOOKUP(Tabla2[[#This Row],[ID]],'EVALUACION DE RIESGO'!A:A,1,FALSE)=Tabla2[[#This Row],[ID]],"SI","NO"),"NO")</f>
        <v/>
      </c>
      <c r="AD1075">
        <f>IF(AND(Y1075="",AA1075=""),"",IF(OR(LEFT(AA1075,2)="L0",LEFT(AA1075,2)="L1",Y1075="No Iniciado"),"CRÍTICO - Incumplimiento Normativo SEPS",IF(AND(OR(LEFT(AA1075,2)="L4",LEFT(AA1075,2)="L5"),AND(AC1075&lt;&gt;"",AC1075&lt;&gt;"N/A")),"CONFORME - Control Efectivo ISO 27001","OBSERVACIÓN - Revisar Controles")))</f>
        <v/>
      </c>
    </row>
    <row r="1076">
      <c r="A1076" s="99" t="inlineStr">
        <is>
          <t>54-GRI</t>
        </is>
      </c>
      <c r="B1076" s="10" t="inlineStr">
        <is>
          <t>ESTRATÉGICO</t>
        </is>
      </c>
      <c r="C1076" s="10" t="inlineStr">
        <is>
          <t>Gestión de Riesgos</t>
        </is>
      </c>
      <c r="D1076" s="10" t="inlineStr">
        <is>
          <t>GRI</t>
        </is>
      </c>
      <c r="E1076" s="10" t="inlineStr">
        <is>
          <t>Gestión de Riesgo de Liquidez</t>
        </is>
      </c>
      <c r="F1076" s="10" t="inlineStr">
        <is>
          <t>-</t>
        </is>
      </c>
      <c r="G1076" s="10" t="inlineStr">
        <is>
          <t xml:space="preserve">Análisis y elaboración de stress testing de liquidez (pruebas de tensión)                                                                       </t>
        </is>
      </c>
      <c r="H1076" s="10" t="inlineStr">
        <is>
          <t>Balances diarios históricos</t>
        </is>
      </c>
      <c r="I1076" s="10" t="inlineStr">
        <is>
          <t>Generación de balance</t>
        </is>
      </c>
      <c r="J1076" s="10" t="inlineStr">
        <is>
          <t>GERENTE DE RIESGOS</t>
        </is>
      </c>
      <c r="K1076" s="10" t="inlineStr">
        <is>
          <t>ANALISTA DE RIESGO DE LIQUIDEZ Y MERCADO</t>
        </is>
      </c>
      <c r="L1076" s="10" t="inlineStr">
        <is>
          <t>UBICACIÓN DIGITAL-EQUIPO DEL RESPONSABLE</t>
        </is>
      </c>
      <c r="M1076" s="10" t="inlineStr">
        <is>
          <t>DOCUMENTO DE ARCHIVO-ELECTRÓNICO</t>
        </is>
      </c>
      <c r="N1076" s="10" t="inlineStr">
        <is>
          <t>PRIMARIOS</t>
        </is>
      </c>
      <c r="O1076" s="10" t="inlineStr">
        <is>
          <t>DOCUMENTOS TÉCNICOS</t>
        </is>
      </c>
      <c r="P1076" s="10" t="inlineStr">
        <is>
          <t>PUBLICA(1)</t>
        </is>
      </c>
      <c r="Q1076" s="10" t="inlineStr">
        <is>
          <t>ALTA(3)</t>
        </is>
      </c>
      <c r="R1076" s="10" t="inlineStr">
        <is>
          <t>MEDIA(2)</t>
        </is>
      </c>
      <c r="S1076" s="10">
        <f>+(IF(P1076="PUBLICA(1)",1,IF(P1076="USO INTERNO(2)",2,IF(P1076="RESTRINGIDO(3)",3,3))))+(IF(Q1076="BAJA(1)",1,IF(Q1076="MEDIA(2)",2,IF(Q1076="ALTA(3)",3,3))))+(IF(R1076="BAJA(1)",1,IF(R1076="MEDIA(2)",2,IF(R1076="ALTA(3)",3,3))))</f>
        <v/>
      </c>
      <c r="T1076" s="10">
        <f>+IF(S1076&lt;6,"BAJA",IF(S1076&lt;8,"MEDIA","ALTA"))</f>
        <v/>
      </c>
      <c r="U1076" s="10" t="inlineStr">
        <is>
          <t>-</t>
        </is>
      </c>
      <c r="V1076" s="24" t="n">
        <v>45567</v>
      </c>
      <c r="W1076" s="19" t="inlineStr">
        <is>
          <t>N/A</t>
        </is>
      </c>
      <c r="X1076" s="10">
        <f>+IFERROR(IF(VLOOKUP(Tabla2[[#This Row],[ID]],'EVALUACION DE RIESGO'!A:A,1,FALSE)=Tabla2[[#This Row],[ID]],"SI","NO"),"NO")</f>
        <v/>
      </c>
      <c r="AD1076">
        <f>IF(AND(Y1076="",AA1076=""),"",IF(OR(LEFT(AA1076,2)="L0",LEFT(AA1076,2)="L1",Y1076="No Iniciado"),"CRÍTICO - Incumplimiento Normativo SEPS",IF(AND(OR(LEFT(AA1076,2)="L4",LEFT(AA1076,2)="L5"),AND(AC1076&lt;&gt;"",AC1076&lt;&gt;"N/A")),"CONFORME - Control Efectivo ISO 27001","OBSERVACIÓN - Revisar Controles")))</f>
        <v/>
      </c>
    </row>
    <row r="1077">
      <c r="A1077" s="99" t="inlineStr">
        <is>
          <t>55-GRI</t>
        </is>
      </c>
      <c r="B1077" s="10" t="inlineStr">
        <is>
          <t>ESTRATÉGICO</t>
        </is>
      </c>
      <c r="C1077" s="10" t="inlineStr">
        <is>
          <t>Gestión de Riesgos</t>
        </is>
      </c>
      <c r="D1077" s="10" t="inlineStr">
        <is>
          <t>GRI</t>
        </is>
      </c>
      <c r="E1077" s="10" t="inlineStr">
        <is>
          <t>Gestión de Riesgo de Liquidez</t>
        </is>
      </c>
      <c r="F1077" s="10" t="inlineStr">
        <is>
          <t>-</t>
        </is>
      </c>
      <c r="G1077" s="10" t="inlineStr">
        <is>
          <t xml:space="preserve">Análisis y elaboración de stress testing de liquidez (pruebas de tensión)                                                                       </t>
        </is>
      </c>
      <c r="H1077" s="10" t="inlineStr">
        <is>
          <t>Herramienta de Brechas de Liquidez</t>
        </is>
      </c>
      <c r="I1077" s="10" t="inlineStr">
        <is>
          <t>Consolidacion de la Informacion</t>
        </is>
      </c>
      <c r="J1077" s="10" t="inlineStr">
        <is>
          <t>GERENTE DE RIESGOS</t>
        </is>
      </c>
      <c r="K1077" s="10" t="inlineStr">
        <is>
          <t>ANALISTA DE RIESGO DE LIQUIDEZ Y MERCADO</t>
        </is>
      </c>
      <c r="L1077" s="10" t="inlineStr">
        <is>
          <t>UBICACIÓN DIGITAL-EQUIPO DEL RESPONSABLE</t>
        </is>
      </c>
      <c r="M1077" s="10" t="inlineStr">
        <is>
          <t>DOCUMENTO DE ARCHIVO-ELECTRÓNICO</t>
        </is>
      </c>
      <c r="N1077" s="10" t="inlineStr">
        <is>
          <t>PRIMARIOS</t>
        </is>
      </c>
      <c r="O1077" s="10" t="inlineStr">
        <is>
          <t>DOCUMENTOS TÉCNICOS</t>
        </is>
      </c>
      <c r="P1077" s="10" t="inlineStr">
        <is>
          <t>PUBLICA(1)</t>
        </is>
      </c>
      <c r="Q1077" s="10" t="inlineStr">
        <is>
          <t>ALTA(3)</t>
        </is>
      </c>
      <c r="R1077" s="10" t="inlineStr">
        <is>
          <t>MEDIA(2)</t>
        </is>
      </c>
      <c r="S1077" s="10">
        <f>+(IF(P1077="PUBLICA(1)",1,IF(P1077="USO INTERNO(2)",2,IF(P1077="RESTRINGIDO(3)",3,3))))+(IF(Q1077="BAJA(1)",1,IF(Q1077="MEDIA(2)",2,IF(Q1077="ALTA(3)",3,3))))+(IF(R1077="BAJA(1)",1,IF(R1077="MEDIA(2)",2,IF(R1077="ALTA(3)",3,3))))</f>
        <v/>
      </c>
      <c r="T1077" s="10">
        <f>+IF(S1077&lt;6,"BAJA",IF(S1077&lt;8,"MEDIA","ALTA"))</f>
        <v/>
      </c>
      <c r="U1077" s="10" t="inlineStr">
        <is>
          <t>-</t>
        </is>
      </c>
      <c r="V1077" s="24" t="n">
        <v>45567</v>
      </c>
      <c r="W1077" s="19" t="inlineStr">
        <is>
          <t>N/A</t>
        </is>
      </c>
      <c r="X1077" s="10">
        <f>+IFERROR(IF(VLOOKUP(Tabla2[[#This Row],[ID]],'EVALUACION DE RIESGO'!A:A,1,FALSE)=Tabla2[[#This Row],[ID]],"SI","NO"),"NO")</f>
        <v/>
      </c>
      <c r="AD1077">
        <f>IF(AND(Y1077="",AA1077=""),"",IF(OR(LEFT(AA1077,2)="L0",LEFT(AA1077,2)="L1",Y1077="No Iniciado"),"CRÍTICO - Incumplimiento Normativo SEPS",IF(AND(OR(LEFT(AA1077,2)="L4",LEFT(AA1077,2)="L5"),AND(AC1077&lt;&gt;"",AC1077&lt;&gt;"N/A")),"CONFORME - Control Efectivo ISO 27001","OBSERVACIÓN - Revisar Controles")))</f>
        <v/>
      </c>
    </row>
    <row r="1078">
      <c r="A1078" s="99" t="inlineStr">
        <is>
          <t>56-GRI</t>
        </is>
      </c>
      <c r="B1078" s="10" t="inlineStr">
        <is>
          <t>ESTRATÉGICO</t>
        </is>
      </c>
      <c r="C1078" s="10" t="inlineStr">
        <is>
          <t>Gestión de Riesgos</t>
        </is>
      </c>
      <c r="D1078" s="10" t="inlineStr">
        <is>
          <t>GRI</t>
        </is>
      </c>
      <c r="E1078" s="10" t="inlineStr">
        <is>
          <t>Gestión de Riesgo de Liquidez</t>
        </is>
      </c>
      <c r="F1078" s="10" t="inlineStr">
        <is>
          <t>-</t>
        </is>
      </c>
      <c r="G1078" s="10" t="inlineStr">
        <is>
          <t xml:space="preserve">Análisis y elaboración de stress testing de liquidez (pruebas de tensión)                                                                       </t>
        </is>
      </c>
      <c r="H1078" s="10" t="inlineStr">
        <is>
          <t xml:space="preserve">Reporte de Estrés de Liquidez </t>
        </is>
      </c>
      <c r="I1078" s="10" t="inlineStr">
        <is>
          <t>Consolidación de la información</t>
        </is>
      </c>
      <c r="J1078" s="10" t="inlineStr">
        <is>
          <t>GERENTE DE RIESGOS</t>
        </is>
      </c>
      <c r="K1078" s="10" t="inlineStr">
        <is>
          <t>ANALISTA DE RIESGO DE LIQUIDEZ Y MERCADO</t>
        </is>
      </c>
      <c r="L1078" s="10" t="inlineStr">
        <is>
          <t>UBICACIÓN DIGITAL-EQUIPO DEL RESPONSABLE</t>
        </is>
      </c>
      <c r="M1078" s="10" t="inlineStr">
        <is>
          <t>DOCUMENTO DE ARCHIVO-ELECTRÓNICO</t>
        </is>
      </c>
      <c r="N1078" s="10" t="inlineStr">
        <is>
          <t>PRIMARIOS</t>
        </is>
      </c>
      <c r="O1078" s="10" t="inlineStr">
        <is>
          <t>DOCUMENTOS TÉCNICOS</t>
        </is>
      </c>
      <c r="P1078" s="10" t="inlineStr">
        <is>
          <t>PUBLICA(1)</t>
        </is>
      </c>
      <c r="Q1078" s="10" t="inlineStr">
        <is>
          <t>ALTA(3)</t>
        </is>
      </c>
      <c r="R1078" s="10" t="inlineStr">
        <is>
          <t>MEDIA(2)</t>
        </is>
      </c>
      <c r="S1078" s="10">
        <f>+(IF(P1078="PUBLICA(1)",1,IF(P1078="USO INTERNO(2)",2,IF(P1078="RESTRINGIDO(3)",3,3))))+(IF(Q1078="BAJA(1)",1,IF(Q1078="MEDIA(2)",2,IF(Q1078="ALTA(3)",3,3))))+(IF(R1078="BAJA(1)",1,IF(R1078="MEDIA(2)",2,IF(R1078="ALTA(3)",3,3))))</f>
        <v/>
      </c>
      <c r="T1078" s="10">
        <f>+IF(S1078&lt;6,"BAJA",IF(S1078&lt;8,"MEDIA","ALTA"))</f>
        <v/>
      </c>
      <c r="U1078" s="10" t="inlineStr">
        <is>
          <t>-</t>
        </is>
      </c>
      <c r="V1078" s="24" t="n">
        <v>45567</v>
      </c>
      <c r="W1078" s="19" t="inlineStr">
        <is>
          <t>N/A</t>
        </is>
      </c>
      <c r="X1078" s="10">
        <f>+IFERROR(IF(VLOOKUP(Tabla2[[#This Row],[ID]],'EVALUACION DE RIESGO'!A:A,1,FALSE)=Tabla2[[#This Row],[ID]],"SI","NO"),"NO")</f>
        <v/>
      </c>
      <c r="AD1078">
        <f>IF(AND(Y1078="",AA1078=""),"",IF(OR(LEFT(AA1078,2)="L0",LEFT(AA1078,2)="L1",Y1078="No Iniciado"),"CRÍTICO - Incumplimiento Normativo SEPS",IF(AND(OR(LEFT(AA1078,2)="L4",LEFT(AA1078,2)="L5"),AND(AC1078&lt;&gt;"",AC1078&lt;&gt;"N/A")),"CONFORME - Control Efectivo ISO 27001","OBSERVACIÓN - Revisar Controles")))</f>
        <v/>
      </c>
    </row>
    <row r="1079">
      <c r="A1079" s="99" t="inlineStr">
        <is>
          <t>57-GRI</t>
        </is>
      </c>
      <c r="B1079" s="10" t="inlineStr">
        <is>
          <t>ESTRATÉGICO</t>
        </is>
      </c>
      <c r="C1079" s="10" t="inlineStr">
        <is>
          <t>Gestión de Riesgos</t>
        </is>
      </c>
      <c r="D1079" s="10" t="inlineStr">
        <is>
          <t>GRI</t>
        </is>
      </c>
      <c r="E1079" s="10" t="inlineStr">
        <is>
          <t>Gestión de Riesgo de Liquidez</t>
        </is>
      </c>
      <c r="F1079" s="10" t="inlineStr">
        <is>
          <t>-</t>
        </is>
      </c>
      <c r="G1079" s="10" t="inlineStr">
        <is>
          <t>Análisis y elaboración de backtesting de liquidez</t>
        </is>
      </c>
      <c r="H1079" s="10" t="inlineStr">
        <is>
          <t>Reporte de Brechas de liquidez dinámico</t>
        </is>
      </c>
      <c r="I1079" s="10" t="inlineStr">
        <is>
          <t>Análisis de Brechas de Liquidez</t>
        </is>
      </c>
      <c r="J1079" s="10" t="inlineStr">
        <is>
          <t>GERENTE DE RIESGOS</t>
        </is>
      </c>
      <c r="K1079" s="10" t="inlineStr">
        <is>
          <t>ANALISTA DE RIESGO DE LIQUIDEZ Y MERCADO</t>
        </is>
      </c>
      <c r="L1079" s="10" t="inlineStr">
        <is>
          <t>UBICACIÓN DIGITAL-EQUIPO DEL RESPONSABLE</t>
        </is>
      </c>
      <c r="M1079" s="10" t="inlineStr">
        <is>
          <t>DOCUMENTO DE ARCHIVO-ELECTRÓNICO</t>
        </is>
      </c>
      <c r="N1079" s="10" t="inlineStr">
        <is>
          <t>PRIMARIOS</t>
        </is>
      </c>
      <c r="O1079" s="10" t="inlineStr">
        <is>
          <t>DOCUMENTOS TÉCNICOS</t>
        </is>
      </c>
      <c r="P1079" s="10" t="inlineStr">
        <is>
          <t>PUBLICA(1)</t>
        </is>
      </c>
      <c r="Q1079" s="10" t="inlineStr">
        <is>
          <t>ALTA(3)</t>
        </is>
      </c>
      <c r="R1079" s="10" t="inlineStr">
        <is>
          <t>MEDIA(2)</t>
        </is>
      </c>
      <c r="S1079" s="10">
        <f>+(IF(P1079="PUBLICA(1)",1,IF(P1079="USO INTERNO(2)",2,IF(P1079="RESTRINGIDO(3)",3,3))))+(IF(Q1079="BAJA(1)",1,IF(Q1079="MEDIA(2)",2,IF(Q1079="ALTA(3)",3,3))))+(IF(R1079="BAJA(1)",1,IF(R1079="MEDIA(2)",2,IF(R1079="ALTA(3)",3,3))))</f>
        <v/>
      </c>
      <c r="T1079" s="10">
        <f>+IF(S1079&lt;6,"BAJA",IF(S1079&lt;8,"MEDIA","ALTA"))</f>
        <v/>
      </c>
      <c r="U1079" s="10" t="inlineStr">
        <is>
          <t>-</t>
        </is>
      </c>
      <c r="V1079" s="24" t="n">
        <v>45567</v>
      </c>
      <c r="W1079" s="19" t="inlineStr">
        <is>
          <t>N/A</t>
        </is>
      </c>
      <c r="X1079" s="10">
        <f>+IFERROR(IF(VLOOKUP(Tabla2[[#This Row],[ID]],'EVALUACION DE RIESGO'!A:A,1,FALSE)=Tabla2[[#This Row],[ID]],"SI","NO"),"NO")</f>
        <v/>
      </c>
      <c r="AD1079">
        <f>IF(AND(Y1079="",AA1079=""),"",IF(OR(LEFT(AA1079,2)="L0",LEFT(AA1079,2)="L1",Y1079="No Iniciado"),"CRÍTICO - Incumplimiento Normativo SEPS",IF(AND(OR(LEFT(AA1079,2)="L4",LEFT(AA1079,2)="L5"),AND(AC1079&lt;&gt;"",AC1079&lt;&gt;"N/A")),"CONFORME - Control Efectivo ISO 27001","OBSERVACIÓN - Revisar Controles")))</f>
        <v/>
      </c>
    </row>
    <row r="1080">
      <c r="A1080" s="99" t="inlineStr">
        <is>
          <t>58-GRI</t>
        </is>
      </c>
      <c r="B1080" s="10" t="inlineStr">
        <is>
          <t>ESTRATÉGICO</t>
        </is>
      </c>
      <c r="C1080" s="10" t="inlineStr">
        <is>
          <t>Gestión de Riesgos</t>
        </is>
      </c>
      <c r="D1080" s="10" t="inlineStr">
        <is>
          <t>GRI</t>
        </is>
      </c>
      <c r="E1080" s="10" t="inlineStr">
        <is>
          <t>Gestión de Riesgo de Liquidez</t>
        </is>
      </c>
      <c r="F1080" s="10" t="inlineStr">
        <is>
          <t>-</t>
        </is>
      </c>
      <c r="G1080" s="10" t="inlineStr">
        <is>
          <t>Análisis y elaboración de backtesting de liquidez</t>
        </is>
      </c>
      <c r="H1080" s="10" t="inlineStr">
        <is>
          <t>Registros de información de liquidez</t>
        </is>
      </c>
      <c r="I1080" s="10" t="inlineStr">
        <is>
          <t>Software de Liquidez y Mercado</t>
        </is>
      </c>
      <c r="J1080" s="10" t="inlineStr">
        <is>
          <t>GERENTE DE RIESGOS</t>
        </is>
      </c>
      <c r="K1080" s="10" t="inlineStr">
        <is>
          <t>ANALISTA DE RIESGO DE LIQUIDEZ Y MERCADO</t>
        </is>
      </c>
      <c r="L1080" s="10" t="inlineStr">
        <is>
          <t>UBICACIÓN DIGITAL-EQUIPO DEL RESPONSABLE</t>
        </is>
      </c>
      <c r="M1080" s="10" t="inlineStr">
        <is>
          <t>DOCUMENTO DE ARCHIVO-ELECTRÓNICO</t>
        </is>
      </c>
      <c r="N1080" s="10" t="inlineStr">
        <is>
          <t>PRIMARIOS</t>
        </is>
      </c>
      <c r="O1080" s="10" t="inlineStr">
        <is>
          <t>DOCUMENTOS TÉCNICOS</t>
        </is>
      </c>
      <c r="P1080" s="10" t="inlineStr">
        <is>
          <t>PUBLICA(1)</t>
        </is>
      </c>
      <c r="Q1080" s="10" t="inlineStr">
        <is>
          <t>ALTA(3)</t>
        </is>
      </c>
      <c r="R1080" s="10" t="inlineStr">
        <is>
          <t>MEDIA(2)</t>
        </is>
      </c>
      <c r="S1080" s="10">
        <f>+(IF(P1080="PUBLICA(1)",1,IF(P1080="USO INTERNO(2)",2,IF(P1080="RESTRINGIDO(3)",3,3))))+(IF(Q1080="BAJA(1)",1,IF(Q1080="MEDIA(2)",2,IF(Q1080="ALTA(3)",3,3))))+(IF(R1080="BAJA(1)",1,IF(R1080="MEDIA(2)",2,IF(R1080="ALTA(3)",3,3))))</f>
        <v/>
      </c>
      <c r="T1080" s="10">
        <f>+IF(S1080&lt;6,"BAJA",IF(S1080&lt;8,"MEDIA","ALTA"))</f>
        <v/>
      </c>
      <c r="U1080" s="10" t="inlineStr">
        <is>
          <t>-</t>
        </is>
      </c>
      <c r="V1080" s="24" t="n">
        <v>45567</v>
      </c>
      <c r="W1080" s="19" t="inlineStr">
        <is>
          <t>N/A</t>
        </is>
      </c>
      <c r="X1080" s="10">
        <f>+IFERROR(IF(VLOOKUP(Tabla2[[#This Row],[ID]],'EVALUACION DE RIESGO'!A:A,1,FALSE)=Tabla2[[#This Row],[ID]],"SI","NO"),"NO")</f>
        <v/>
      </c>
      <c r="AD1080">
        <f>IF(AND(Y1080="",AA1080=""),"",IF(OR(LEFT(AA1080,2)="L0",LEFT(AA1080,2)="L1",Y1080="No Iniciado"),"CRÍTICO - Incumplimiento Normativo SEPS",IF(AND(OR(LEFT(AA1080,2)="L4",LEFT(AA1080,2)="L5"),AND(AC1080&lt;&gt;"",AC1080&lt;&gt;"N/A")),"CONFORME - Control Efectivo ISO 27001","OBSERVACIÓN - Revisar Controles")))</f>
        <v/>
      </c>
    </row>
    <row r="1081">
      <c r="A1081" s="99" t="inlineStr">
        <is>
          <t>59-GRI</t>
        </is>
      </c>
      <c r="B1081" s="10" t="inlineStr">
        <is>
          <t>ESTRATÉGICO</t>
        </is>
      </c>
      <c r="C1081" s="10" t="inlineStr">
        <is>
          <t>Gestión de Riesgos</t>
        </is>
      </c>
      <c r="D1081" s="10" t="inlineStr">
        <is>
          <t>GRI</t>
        </is>
      </c>
      <c r="E1081" s="10" t="inlineStr">
        <is>
          <t>Gestión de Riesgo de Liquidez</t>
        </is>
      </c>
      <c r="F1081" s="10" t="inlineStr">
        <is>
          <t>-</t>
        </is>
      </c>
      <c r="G1081" s="10" t="inlineStr">
        <is>
          <t>Análisis y elaboración de backtesting de liquidez</t>
        </is>
      </c>
      <c r="H1081" s="10" t="inlineStr">
        <is>
          <t>Balance mensual</t>
        </is>
      </c>
      <c r="I1081" s="10" t="inlineStr">
        <is>
          <t xml:space="preserve">Generación de balance </t>
        </is>
      </c>
      <c r="J1081" s="10" t="inlineStr">
        <is>
          <t>GERENTE DE RIESGOS</t>
        </is>
      </c>
      <c r="K1081" s="10" t="inlineStr">
        <is>
          <t>ANALISTA DE RIESGO DE LIQUIDEZ Y MERCADO</t>
        </is>
      </c>
      <c r="L1081" s="10" t="inlineStr">
        <is>
          <t>UBICACIÓN DIGITAL-EQUIPO DEL RESPONSABLE</t>
        </is>
      </c>
      <c r="M1081" s="10" t="inlineStr">
        <is>
          <t>DOCUMENTO DE ARCHIVO-ELECTRÓNICO</t>
        </is>
      </c>
      <c r="N1081" s="10" t="inlineStr">
        <is>
          <t>PRIMARIOS</t>
        </is>
      </c>
      <c r="O1081" s="10" t="inlineStr">
        <is>
          <t>DOCUMENTOS TÉCNICOS</t>
        </is>
      </c>
      <c r="P1081" s="10" t="inlineStr">
        <is>
          <t>PUBLICA(1)</t>
        </is>
      </c>
      <c r="Q1081" s="10" t="inlineStr">
        <is>
          <t>ALTA(3)</t>
        </is>
      </c>
      <c r="R1081" s="10" t="inlineStr">
        <is>
          <t>MEDIA(2)</t>
        </is>
      </c>
      <c r="S1081" s="10">
        <f>+(IF(P1081="PUBLICA(1)",1,IF(P1081="USO INTERNO(2)",2,IF(P1081="RESTRINGIDO(3)",3,3))))+(IF(Q1081="BAJA(1)",1,IF(Q1081="MEDIA(2)",2,IF(Q1081="ALTA(3)",3,3))))+(IF(R1081="BAJA(1)",1,IF(R1081="MEDIA(2)",2,IF(R1081="ALTA(3)",3,3))))</f>
        <v/>
      </c>
      <c r="T1081" s="10">
        <f>+IF(S1081&lt;6,"BAJA",IF(S1081&lt;8,"MEDIA","ALTA"))</f>
        <v/>
      </c>
      <c r="U1081" s="10" t="inlineStr">
        <is>
          <t>-</t>
        </is>
      </c>
      <c r="V1081" s="24" t="n">
        <v>45567</v>
      </c>
      <c r="W1081" s="19" t="inlineStr">
        <is>
          <t>N/A</t>
        </is>
      </c>
      <c r="X1081" s="10">
        <f>+IFERROR(IF(VLOOKUP(Tabla2[[#This Row],[ID]],'EVALUACION DE RIESGO'!A:A,1,FALSE)=Tabla2[[#This Row],[ID]],"SI","NO"),"NO")</f>
        <v/>
      </c>
      <c r="AD1081">
        <f>IF(AND(Y1081="",AA1081=""),"",IF(OR(LEFT(AA1081,2)="L0",LEFT(AA1081,2)="L1",Y1081="No Iniciado"),"CRÍTICO - Incumplimiento Normativo SEPS",IF(AND(OR(LEFT(AA1081,2)="L4",LEFT(AA1081,2)="L5"),AND(AC1081&lt;&gt;"",AC1081&lt;&gt;"N/A")),"CONFORME - Control Efectivo ISO 27001","OBSERVACIÓN - Revisar Controles")))</f>
        <v/>
      </c>
    </row>
    <row r="1082">
      <c r="A1082" s="99" t="inlineStr">
        <is>
          <t>60-GRI</t>
        </is>
      </c>
      <c r="B1082" s="10" t="inlineStr">
        <is>
          <t>ESTRATÉGICO</t>
        </is>
      </c>
      <c r="C1082" s="10" t="inlineStr">
        <is>
          <t>Gestión de Riesgos</t>
        </is>
      </c>
      <c r="D1082" s="10" t="inlineStr">
        <is>
          <t>GRI</t>
        </is>
      </c>
      <c r="E1082" s="10" t="inlineStr">
        <is>
          <t>Gestión de Riesgo de Liquidez</t>
        </is>
      </c>
      <c r="F1082" s="10" t="inlineStr">
        <is>
          <t>-</t>
        </is>
      </c>
      <c r="G1082" s="10" t="inlineStr">
        <is>
          <t>Análisis y elaboración de backtesting de liquidez</t>
        </is>
      </c>
      <c r="H1082" s="10" t="inlineStr">
        <is>
          <t>Base de datos históricos</t>
        </is>
      </c>
      <c r="I1082" s="10" t="inlineStr">
        <is>
          <t>Ejecución de proceso batch</t>
        </is>
      </c>
      <c r="J1082" s="10" t="inlineStr">
        <is>
          <t>GERENTE DE RIESGOS</t>
        </is>
      </c>
      <c r="K1082" s="10" t="inlineStr">
        <is>
          <t>ANALISTA DE RIESGO DE LIQUIDEZ Y MERCADO</t>
        </is>
      </c>
      <c r="L1082" s="10" t="inlineStr">
        <is>
          <t>UBICACIÓN DIGITAL-EQUIPO DEL RESPONSABLE</t>
        </is>
      </c>
      <c r="M1082" s="10" t="inlineStr">
        <is>
          <t>DOCUMENTO DE ARCHIVO-ELECTRÓNICO</t>
        </is>
      </c>
      <c r="N1082" s="10" t="inlineStr">
        <is>
          <t>PRIMARIOS</t>
        </is>
      </c>
      <c r="O1082" s="10" t="inlineStr">
        <is>
          <t>DOCUMENTOS TÉCNICOS</t>
        </is>
      </c>
      <c r="P1082" s="10" t="inlineStr">
        <is>
          <t>PUBLICA(1)</t>
        </is>
      </c>
      <c r="Q1082" s="10" t="inlineStr">
        <is>
          <t>ALTA(3)</t>
        </is>
      </c>
      <c r="R1082" s="10" t="inlineStr">
        <is>
          <t>MEDIA(2)</t>
        </is>
      </c>
      <c r="S1082" s="10">
        <f>+(IF(P1082="PUBLICA(1)",1,IF(P1082="USO INTERNO(2)",2,IF(P1082="RESTRINGIDO(3)",3,3))))+(IF(Q1082="BAJA(1)",1,IF(Q1082="MEDIA(2)",2,IF(Q1082="ALTA(3)",3,3))))+(IF(R1082="BAJA(1)",1,IF(R1082="MEDIA(2)",2,IF(R1082="ALTA(3)",3,3))))</f>
        <v/>
      </c>
      <c r="T1082" s="10">
        <f>+IF(S1082&lt;6,"BAJA",IF(S1082&lt;8,"MEDIA","ALTA"))</f>
        <v/>
      </c>
      <c r="U1082" s="10" t="inlineStr">
        <is>
          <t>-</t>
        </is>
      </c>
      <c r="V1082" s="24" t="n">
        <v>45567</v>
      </c>
      <c r="W1082" s="19" t="inlineStr">
        <is>
          <t>N/A</t>
        </is>
      </c>
      <c r="X1082" s="10">
        <f>+IFERROR(IF(VLOOKUP(Tabla2[[#This Row],[ID]],'EVALUACION DE RIESGO'!A:A,1,FALSE)=Tabla2[[#This Row],[ID]],"SI","NO"),"NO")</f>
        <v/>
      </c>
      <c r="AD1082">
        <f>IF(AND(Y1082="",AA1082=""),"",IF(OR(LEFT(AA1082,2)="L0",LEFT(AA1082,2)="L1",Y1082="No Iniciado"),"CRÍTICO - Incumplimiento Normativo SEPS",IF(AND(OR(LEFT(AA1082,2)="L4",LEFT(AA1082,2)="L5"),AND(AC1082&lt;&gt;"",AC1082&lt;&gt;"N/A")),"CONFORME - Control Efectivo ISO 27001","OBSERVACIÓN - Revisar Controles")))</f>
        <v/>
      </c>
    </row>
    <row r="1083">
      <c r="A1083" s="99" t="inlineStr">
        <is>
          <t>61-GRI</t>
        </is>
      </c>
      <c r="B1083" s="10" t="inlineStr">
        <is>
          <t>ESTRATÉGICO</t>
        </is>
      </c>
      <c r="C1083" s="10" t="inlineStr">
        <is>
          <t>Gestión de Riesgos</t>
        </is>
      </c>
      <c r="D1083" s="10" t="inlineStr">
        <is>
          <t>GRI</t>
        </is>
      </c>
      <c r="E1083" s="10" t="inlineStr">
        <is>
          <t>Gestión de Riesgo de Liquidez</t>
        </is>
      </c>
      <c r="F1083" s="10" t="inlineStr">
        <is>
          <t>-</t>
        </is>
      </c>
      <c r="G1083" s="10" t="inlineStr">
        <is>
          <t>Análisis y elaboración de backtesting de liquidez</t>
        </is>
      </c>
      <c r="H1083" s="10" t="inlineStr">
        <is>
          <t>Herramienta de Brechas de Liquidez</t>
        </is>
      </c>
      <c r="I1083" s="10" t="inlineStr">
        <is>
          <t xml:space="preserve">Verificacion de cálculos </t>
        </is>
      </c>
      <c r="J1083" s="10" t="inlineStr">
        <is>
          <t>GERENTE DE RIESGOS</t>
        </is>
      </c>
      <c r="K1083" s="10" t="inlineStr">
        <is>
          <t>ANALISTA DE RIESGO DE LIQUIDEZ Y MERCADO</t>
        </is>
      </c>
      <c r="L1083" s="10" t="inlineStr">
        <is>
          <t>UBICACIÓN DIGITAL-WEBCOOP</t>
        </is>
      </c>
      <c r="M1083" s="10" t="inlineStr">
        <is>
          <t>SISTEMAS DE BASE DE DATOS</t>
        </is>
      </c>
      <c r="N1083" s="10" t="inlineStr">
        <is>
          <t>APOYO</t>
        </is>
      </c>
      <c r="O1083" s="10" t="inlineStr">
        <is>
          <t>SOFTWARE</t>
        </is>
      </c>
      <c r="P1083" s="10" t="inlineStr">
        <is>
          <t>PUBLICA(1)</t>
        </is>
      </c>
      <c r="Q1083" s="10" t="inlineStr">
        <is>
          <t>ALTA(3)</t>
        </is>
      </c>
      <c r="R1083" s="10" t="inlineStr">
        <is>
          <t>MEDIA(2)</t>
        </is>
      </c>
      <c r="S1083" s="10">
        <f>+(IF(P1083="PUBLICA(1)",1,IF(P1083="USO INTERNO(2)",2,IF(P1083="RESTRINGIDO(3)",3,3))))+(IF(Q1083="BAJA(1)",1,IF(Q1083="MEDIA(2)",2,IF(Q1083="ALTA(3)",3,3))))+(IF(R1083="BAJA(1)",1,IF(R1083="MEDIA(2)",2,IF(R1083="ALTA(3)",3,3))))</f>
        <v/>
      </c>
      <c r="T1083" s="10">
        <f>+IF(S1083&lt;6,"BAJA",IF(S1083&lt;8,"MEDIA","ALTA"))</f>
        <v/>
      </c>
      <c r="U1083" s="10" t="inlineStr">
        <is>
          <t>-</t>
        </is>
      </c>
      <c r="V1083" s="24" t="n">
        <v>45567</v>
      </c>
      <c r="W1083" s="19" t="inlineStr">
        <is>
          <t>N/A</t>
        </is>
      </c>
      <c r="X1083" s="10">
        <f>+IFERROR(IF(VLOOKUP(Tabla2[[#This Row],[ID]],'EVALUACION DE RIESGO'!A:A,1,FALSE)=Tabla2[[#This Row],[ID]],"SI","NO"),"NO")</f>
        <v/>
      </c>
      <c r="AD1083">
        <f>IF(AND(Y1083="",AA1083=""),"",IF(OR(LEFT(AA1083,2)="L0",LEFT(AA1083,2)="L1",Y1083="No Iniciado"),"CRÍTICO - Incumplimiento Normativo SEPS",IF(AND(OR(LEFT(AA1083,2)="L4",LEFT(AA1083,2)="L5"),AND(AC1083&lt;&gt;"",AC1083&lt;&gt;"N/A")),"CONFORME - Control Efectivo ISO 27001","OBSERVACIÓN - Revisar Controles")))</f>
        <v/>
      </c>
    </row>
    <row r="1084">
      <c r="A1084" s="99" t="inlineStr">
        <is>
          <t>62-GRI</t>
        </is>
      </c>
      <c r="B1084" s="10" t="inlineStr">
        <is>
          <t>ESTRATÉGICO</t>
        </is>
      </c>
      <c r="C1084" s="10" t="inlineStr">
        <is>
          <t>Gestión de Riesgos</t>
        </is>
      </c>
      <c r="D1084" s="10" t="inlineStr">
        <is>
          <t>GRI</t>
        </is>
      </c>
      <c r="E1084" s="10" t="inlineStr">
        <is>
          <t>Gestión de Riesgo de Liquidez</t>
        </is>
      </c>
      <c r="F1084" s="10" t="inlineStr">
        <is>
          <t>-</t>
        </is>
      </c>
      <c r="G1084" s="10" t="inlineStr">
        <is>
          <t>Análisis y elaboración de backtesting de liquidez</t>
        </is>
      </c>
      <c r="H1084" s="10" t="inlineStr">
        <is>
          <t>Reporte de Backtesting de Liquidez</t>
        </is>
      </c>
      <c r="I1084" s="10" t="inlineStr">
        <is>
          <t>consolidación de la información</t>
        </is>
      </c>
      <c r="J1084" s="10" t="inlineStr">
        <is>
          <t>GERENTE DE RIESGOS</t>
        </is>
      </c>
      <c r="K1084" s="10" t="inlineStr">
        <is>
          <t>ANALISTA DE RIESGO DE LIQUIDEZ Y MERCADO</t>
        </is>
      </c>
      <c r="L1084" s="10" t="inlineStr">
        <is>
          <t>UBICACIÓN DIGITAL-EQUIPO DEL RESPONSABLE</t>
        </is>
      </c>
      <c r="M1084" s="10" t="inlineStr">
        <is>
          <t>DOCUMENTO DE ARCHIVO-ELECTRÓNICO</t>
        </is>
      </c>
      <c r="N1084" s="10" t="inlineStr">
        <is>
          <t>PRIMARIOS</t>
        </is>
      </c>
      <c r="O1084" s="10" t="inlineStr">
        <is>
          <t>DOCUMENTOS TÉCNICOS</t>
        </is>
      </c>
      <c r="P1084" s="10" t="inlineStr">
        <is>
          <t>PUBLICA(1)</t>
        </is>
      </c>
      <c r="Q1084" s="10" t="inlineStr">
        <is>
          <t>ALTA(3)</t>
        </is>
      </c>
      <c r="R1084" s="10" t="inlineStr">
        <is>
          <t>MEDIA(2)</t>
        </is>
      </c>
      <c r="S1084" s="10">
        <f>+(IF(P1084="PUBLICA(1)",1,IF(P1084="USO INTERNO(2)",2,IF(P1084="RESTRINGIDO(3)",3,3))))+(IF(Q1084="BAJA(1)",1,IF(Q1084="MEDIA(2)",2,IF(Q1084="ALTA(3)",3,3))))+(IF(R1084="BAJA(1)",1,IF(R1084="MEDIA(2)",2,IF(R1084="ALTA(3)",3,3))))</f>
        <v/>
      </c>
      <c r="T1084" s="10">
        <f>+IF(S1084&lt;6,"BAJA",IF(S1084&lt;8,"MEDIA","ALTA"))</f>
        <v/>
      </c>
      <c r="U1084" s="10" t="inlineStr">
        <is>
          <t>-</t>
        </is>
      </c>
      <c r="V1084" s="24" t="n">
        <v>45567</v>
      </c>
      <c r="W1084" s="19" t="inlineStr">
        <is>
          <t>N/A</t>
        </is>
      </c>
      <c r="X1084" s="10">
        <f>+IFERROR(IF(VLOOKUP(Tabla2[[#This Row],[ID]],'EVALUACION DE RIESGO'!A:A,1,FALSE)=Tabla2[[#This Row],[ID]],"SI","NO"),"NO")</f>
        <v/>
      </c>
      <c r="AD1084">
        <f>IF(AND(Y1084="",AA1084=""),"",IF(OR(LEFT(AA1084,2)="L0",LEFT(AA1084,2)="L1",Y1084="No Iniciado"),"CRÍTICO - Incumplimiento Normativo SEPS",IF(AND(OR(LEFT(AA1084,2)="L4",LEFT(AA1084,2)="L5"),AND(AC1084&lt;&gt;"",AC1084&lt;&gt;"N/A")),"CONFORME - Control Efectivo ISO 27001","OBSERVACIÓN - Revisar Controles")))</f>
        <v/>
      </c>
    </row>
    <row r="1085">
      <c r="A1085" s="99" t="inlineStr">
        <is>
          <t>63-GRI</t>
        </is>
      </c>
      <c r="B1085" s="10" t="inlineStr">
        <is>
          <t>ESTRATÉGICO</t>
        </is>
      </c>
      <c r="C1085" s="10" t="inlineStr">
        <is>
          <t>Gestión de Riesgos</t>
        </is>
      </c>
      <c r="D1085" s="10" t="inlineStr">
        <is>
          <t>GRI</t>
        </is>
      </c>
      <c r="E1085" s="10" t="inlineStr">
        <is>
          <t>Gestión de Riesgo de Liquidez</t>
        </is>
      </c>
      <c r="F1085" s="10" t="inlineStr">
        <is>
          <t>-</t>
        </is>
      </c>
      <c r="G1085" s="10" t="inlineStr">
        <is>
          <t xml:space="preserve">Consolidación de la información    </t>
        </is>
      </c>
      <c r="H1085" s="10" t="inlineStr">
        <is>
          <t xml:space="preserve">Reporte de Liquidez Estructural </t>
        </is>
      </c>
      <c r="I1085" s="10" t="inlineStr">
        <is>
          <t xml:space="preserve">Análisis de la Liquidez estructural 
</t>
        </is>
      </c>
      <c r="J1085" s="10" t="inlineStr">
        <is>
          <t>GERENTE DE RIESGOS</t>
        </is>
      </c>
      <c r="K1085" s="10" t="inlineStr">
        <is>
          <t>ANALISTA DE RIESGO DE LIQUIDEZ Y MERCADO</t>
        </is>
      </c>
      <c r="L1085" s="10" t="inlineStr">
        <is>
          <t>UBICACIÓN DIGITAL-EQUIPO DEL RESPONSABLE</t>
        </is>
      </c>
      <c r="M1085" s="10" t="inlineStr">
        <is>
          <t>DOCUMENTO DE ARCHIVO-ELECTRÓNICO</t>
        </is>
      </c>
      <c r="N1085" s="10" t="inlineStr">
        <is>
          <t>PRIMARIOS</t>
        </is>
      </c>
      <c r="O1085" s="10" t="inlineStr">
        <is>
          <t>DOCUMENTOS TÉCNICOS</t>
        </is>
      </c>
      <c r="P1085" s="10" t="inlineStr">
        <is>
          <t>PUBLICA(1)</t>
        </is>
      </c>
      <c r="Q1085" s="10" t="inlineStr">
        <is>
          <t>ALTA(3)</t>
        </is>
      </c>
      <c r="R1085" s="10" t="inlineStr">
        <is>
          <t>MEDIA(2)</t>
        </is>
      </c>
      <c r="S1085" s="10">
        <f>+(IF(P1085="PUBLICA(1)",1,IF(P1085="USO INTERNO(2)",2,IF(P1085="RESTRINGIDO(3)",3,3))))+(IF(Q1085="BAJA(1)",1,IF(Q1085="MEDIA(2)",2,IF(Q1085="ALTA(3)",3,3))))+(IF(R1085="BAJA(1)",1,IF(R1085="MEDIA(2)",2,IF(R1085="ALTA(3)",3,3))))</f>
        <v/>
      </c>
      <c r="T1085" s="10">
        <f>+IF(S1085&lt;6,"BAJA",IF(S1085&lt;8,"MEDIA","ALTA"))</f>
        <v/>
      </c>
      <c r="U1085" s="10" t="inlineStr">
        <is>
          <t>-</t>
        </is>
      </c>
      <c r="V1085" s="24" t="n">
        <v>45567</v>
      </c>
      <c r="W1085" s="19" t="inlineStr">
        <is>
          <t>N/A</t>
        </is>
      </c>
      <c r="X1085" s="10">
        <f>+IFERROR(IF(VLOOKUP(Tabla2[[#This Row],[ID]],'EVALUACION DE RIESGO'!A:A,1,FALSE)=Tabla2[[#This Row],[ID]],"SI","NO"),"NO")</f>
        <v/>
      </c>
      <c r="AD1085">
        <f>IF(AND(Y1085="",AA1085=""),"",IF(OR(LEFT(AA1085,2)="L0",LEFT(AA1085,2)="L1",Y1085="No Iniciado"),"CRÍTICO - Incumplimiento Normativo SEPS",IF(AND(OR(LEFT(AA1085,2)="L4",LEFT(AA1085,2)="L5"),AND(AC1085&lt;&gt;"",AC1085&lt;&gt;"N/A")),"CONFORME - Control Efectivo ISO 27001","OBSERVACIÓN - Revisar Controles")))</f>
        <v/>
      </c>
    </row>
    <row r="1086">
      <c r="A1086" s="99" t="inlineStr">
        <is>
          <t>64-GRI</t>
        </is>
      </c>
      <c r="B1086" s="10" t="inlineStr">
        <is>
          <t>ESTRATÉGICO</t>
        </is>
      </c>
      <c r="C1086" s="10" t="inlineStr">
        <is>
          <t>Gestión de Riesgos</t>
        </is>
      </c>
      <c r="D1086" s="10" t="inlineStr">
        <is>
          <t>GRI</t>
        </is>
      </c>
      <c r="E1086" s="10" t="inlineStr">
        <is>
          <t>Gestión de Riesgo de Liquidez</t>
        </is>
      </c>
      <c r="F1086" s="10" t="inlineStr">
        <is>
          <t>-</t>
        </is>
      </c>
      <c r="G1086" s="10" t="inlineStr">
        <is>
          <t xml:space="preserve">Consolidación de la información    </t>
        </is>
      </c>
      <c r="H1086" s="10" t="inlineStr">
        <is>
          <t>Reporte de liquidez y volatilidad diaria</t>
        </is>
      </c>
      <c r="I1086" s="10" t="inlineStr">
        <is>
          <t xml:space="preserve">Monitoreo de liquidez y volatilidad diaria </t>
        </is>
      </c>
      <c r="J1086" s="10" t="inlineStr">
        <is>
          <t>GERENTE DE RIESGOS</t>
        </is>
      </c>
      <c r="K1086" s="10" t="inlineStr">
        <is>
          <t>ANALISTA DE RIESGO DE LIQUIDEZ Y MERCADO</t>
        </is>
      </c>
      <c r="L1086" s="10" t="inlineStr">
        <is>
          <t>UBICACIÓN DIGITAL-EQUIPO DEL RESPONSABLE</t>
        </is>
      </c>
      <c r="M1086" s="10" t="inlineStr">
        <is>
          <t>DOCUMENTO DE ARCHIVO-ELECTRÓNICO</t>
        </is>
      </c>
      <c r="N1086" s="10" t="inlineStr">
        <is>
          <t>PRIMARIOS</t>
        </is>
      </c>
      <c r="O1086" s="10" t="inlineStr">
        <is>
          <t>DOCUMENTOS TÉCNICOS</t>
        </is>
      </c>
      <c r="P1086" s="10" t="inlineStr">
        <is>
          <t>PUBLICA(1)</t>
        </is>
      </c>
      <c r="Q1086" s="10" t="inlineStr">
        <is>
          <t>ALTA(3)</t>
        </is>
      </c>
      <c r="R1086" s="10" t="inlineStr">
        <is>
          <t>MEDIA(2)</t>
        </is>
      </c>
      <c r="S1086" s="10">
        <f>+(IF(P1086="PUBLICA(1)",1,IF(P1086="USO INTERNO(2)",2,IF(P1086="RESTRINGIDO(3)",3,3))))+(IF(Q1086="BAJA(1)",1,IF(Q1086="MEDIA(2)",2,IF(Q1086="ALTA(3)",3,3))))+(IF(R1086="BAJA(1)",1,IF(R1086="MEDIA(2)",2,IF(R1086="ALTA(3)",3,3))))</f>
        <v/>
      </c>
      <c r="T1086" s="10">
        <f>+IF(S1086&lt;6,"BAJA",IF(S1086&lt;8,"MEDIA","ALTA"))</f>
        <v/>
      </c>
      <c r="U1086" s="10" t="inlineStr">
        <is>
          <t>-</t>
        </is>
      </c>
      <c r="V1086" s="24" t="n">
        <v>45567</v>
      </c>
      <c r="W1086" s="19" t="inlineStr">
        <is>
          <t>N/A</t>
        </is>
      </c>
      <c r="X1086" s="10">
        <f>+IFERROR(IF(VLOOKUP(Tabla2[[#This Row],[ID]],'EVALUACION DE RIESGO'!A:A,1,FALSE)=Tabla2[[#This Row],[ID]],"SI","NO"),"NO")</f>
        <v/>
      </c>
      <c r="AD1086">
        <f>IF(AND(Y1086="",AA1086=""),"",IF(OR(LEFT(AA1086,2)="L0",LEFT(AA1086,2)="L1",Y1086="No Iniciado"),"CRÍTICO - Incumplimiento Normativo SEPS",IF(AND(OR(LEFT(AA1086,2)="L4",LEFT(AA1086,2)="L5"),AND(AC1086&lt;&gt;"",AC1086&lt;&gt;"N/A")),"CONFORME - Control Efectivo ISO 27001","OBSERVACIÓN - Revisar Controles")))</f>
        <v/>
      </c>
    </row>
    <row r="1087">
      <c r="A1087" s="99" t="inlineStr">
        <is>
          <t>65-GRI</t>
        </is>
      </c>
      <c r="B1087" s="10" t="inlineStr">
        <is>
          <t>ESTRATÉGICO</t>
        </is>
      </c>
      <c r="C1087" s="10" t="inlineStr">
        <is>
          <t>Gestión de Riesgos</t>
        </is>
      </c>
      <c r="D1087" s="10" t="inlineStr">
        <is>
          <t>GRI</t>
        </is>
      </c>
      <c r="E1087" s="10" t="inlineStr">
        <is>
          <t>Gestión de Riesgo de Liquidez</t>
        </is>
      </c>
      <c r="F1087" s="10" t="inlineStr">
        <is>
          <t>-</t>
        </is>
      </c>
      <c r="G1087" s="10" t="inlineStr">
        <is>
          <t xml:space="preserve">Consolidación de la información    </t>
        </is>
      </c>
      <c r="H1087" s="10" t="inlineStr">
        <is>
          <t>Reporte de Brechas de Liquidez Contractual, Esperado, Dinámico, Reporte de Supuestos.</t>
        </is>
      </c>
      <c r="I1087" s="10" t="inlineStr">
        <is>
          <t>Análisis de Brechas de Liquidez</t>
        </is>
      </c>
      <c r="J1087" s="10" t="inlineStr">
        <is>
          <t>GERENTE DE RIESGOS</t>
        </is>
      </c>
      <c r="K1087" s="10" t="inlineStr">
        <is>
          <t>ANALISTA DE RIESGO DE LIQUIDEZ Y MERCADO</t>
        </is>
      </c>
      <c r="L1087" s="10" t="inlineStr">
        <is>
          <t>UBICACIÓN DIGITAL-EQUIPO DEL RESPONSABLE</t>
        </is>
      </c>
      <c r="M1087" s="10" t="inlineStr">
        <is>
          <t>DOCUMENTO DE ARCHIVO-ELECTRÓNICO</t>
        </is>
      </c>
      <c r="N1087" s="10" t="inlineStr">
        <is>
          <t>PRIMARIOS</t>
        </is>
      </c>
      <c r="O1087" s="10" t="inlineStr">
        <is>
          <t>DOCUMENTOS TÉCNICOS</t>
        </is>
      </c>
      <c r="P1087" s="10" t="inlineStr">
        <is>
          <t>PUBLICA(1)</t>
        </is>
      </c>
      <c r="Q1087" s="10" t="inlineStr">
        <is>
          <t>ALTA(3)</t>
        </is>
      </c>
      <c r="R1087" s="10" t="inlineStr">
        <is>
          <t>MEDIA(2)</t>
        </is>
      </c>
      <c r="S1087" s="10">
        <f>+(IF(P1087="PUBLICA(1)",1,IF(P1087="USO INTERNO(2)",2,IF(P1087="RESTRINGIDO(3)",3,3))))+(IF(Q1087="BAJA(1)",1,IF(Q1087="MEDIA(2)",2,IF(Q1087="ALTA(3)",3,3))))+(IF(R1087="BAJA(1)",1,IF(R1087="MEDIA(2)",2,IF(R1087="ALTA(3)",3,3))))</f>
        <v/>
      </c>
      <c r="T1087" s="10">
        <f>+IF(S1087&lt;6,"BAJA",IF(S1087&lt;8,"MEDIA","ALTA"))</f>
        <v/>
      </c>
      <c r="U1087" s="10" t="inlineStr">
        <is>
          <t>-</t>
        </is>
      </c>
      <c r="V1087" s="24" t="n">
        <v>45567</v>
      </c>
      <c r="W1087" s="19" t="inlineStr">
        <is>
          <t>N/A</t>
        </is>
      </c>
      <c r="X1087" s="10">
        <f>+IFERROR(IF(VLOOKUP(Tabla2[[#This Row],[ID]],'EVALUACION DE RIESGO'!A:A,1,FALSE)=Tabla2[[#This Row],[ID]],"SI","NO"),"NO")</f>
        <v/>
      </c>
      <c r="AD1087">
        <f>IF(AND(Y1087="",AA1087=""),"",IF(OR(LEFT(AA1087,2)="L0",LEFT(AA1087,2)="L1",Y1087="No Iniciado"),"CRÍTICO - Incumplimiento Normativo SEPS",IF(AND(OR(LEFT(AA1087,2)="L4",LEFT(AA1087,2)="L5"),AND(AC1087&lt;&gt;"",AC1087&lt;&gt;"N/A")),"CONFORME - Control Efectivo ISO 27001","OBSERVACIÓN - Revisar Controles")))</f>
        <v/>
      </c>
    </row>
    <row r="1088">
      <c r="A1088" s="99" t="inlineStr">
        <is>
          <t>66-GRI</t>
        </is>
      </c>
      <c r="B1088" s="10" t="inlineStr">
        <is>
          <t>ESTRATÉGICO</t>
        </is>
      </c>
      <c r="C1088" s="10" t="inlineStr">
        <is>
          <t>Gestión de Riesgos</t>
        </is>
      </c>
      <c r="D1088" s="10" t="inlineStr">
        <is>
          <t>GRI</t>
        </is>
      </c>
      <c r="E1088" s="10" t="inlineStr">
        <is>
          <t>Gestión de Riesgo de Liquidez</t>
        </is>
      </c>
      <c r="F1088" s="10" t="inlineStr">
        <is>
          <t>-</t>
        </is>
      </c>
      <c r="G1088" s="10" t="inlineStr">
        <is>
          <t xml:space="preserve">Consolidación de la información    </t>
        </is>
      </c>
      <c r="H1088" s="10" t="inlineStr">
        <is>
          <t>Anexo A de los 100 mayores depositantes</t>
        </is>
      </c>
      <c r="I1088" s="10" t="inlineStr">
        <is>
          <t xml:space="preserve">Análisis de los 100 mayores depositantes </t>
        </is>
      </c>
      <c r="J1088" s="10" t="inlineStr">
        <is>
          <t>GERENTE DE RIESGOS</t>
        </is>
      </c>
      <c r="K1088" s="10" t="inlineStr">
        <is>
          <t>ANALISTA DE RIESGO DE LIQUIDEZ Y MERCADO</t>
        </is>
      </c>
      <c r="L1088" s="10" t="inlineStr">
        <is>
          <t>UBICACIÓN DIGITAL-EQUIPO DEL RESPONSABLE</t>
        </is>
      </c>
      <c r="M1088" s="10" t="inlineStr">
        <is>
          <t>DOCUMENTO DE ARCHIVO-ELECTRÓNICO</t>
        </is>
      </c>
      <c r="N1088" s="10" t="inlineStr">
        <is>
          <t>PRIMARIOS</t>
        </is>
      </c>
      <c r="O1088" s="10" t="inlineStr">
        <is>
          <t>DOCUMENTOS TÉCNICOS</t>
        </is>
      </c>
      <c r="P1088" s="10" t="inlineStr">
        <is>
          <t>PUBLICA(1)</t>
        </is>
      </c>
      <c r="Q1088" s="10" t="inlineStr">
        <is>
          <t>ALTA(3)</t>
        </is>
      </c>
      <c r="R1088" s="10" t="inlineStr">
        <is>
          <t>MEDIA(2)</t>
        </is>
      </c>
      <c r="S1088" s="10">
        <f>+(IF(P1088="PUBLICA(1)",1,IF(P1088="USO INTERNO(2)",2,IF(P1088="RESTRINGIDO(3)",3,3))))+(IF(Q1088="BAJA(1)",1,IF(Q1088="MEDIA(2)",2,IF(Q1088="ALTA(3)",3,3))))+(IF(R1088="BAJA(1)",1,IF(R1088="MEDIA(2)",2,IF(R1088="ALTA(3)",3,3))))</f>
        <v/>
      </c>
      <c r="T1088" s="10">
        <f>+IF(S1088&lt;6,"BAJA",IF(S1088&lt;8,"MEDIA","ALTA"))</f>
        <v/>
      </c>
      <c r="U1088" s="10" t="inlineStr">
        <is>
          <t>-</t>
        </is>
      </c>
      <c r="V1088" s="24" t="n">
        <v>45567</v>
      </c>
      <c r="W1088" s="19" t="inlineStr">
        <is>
          <t>N/A</t>
        </is>
      </c>
      <c r="X1088" s="10">
        <f>+IFERROR(IF(VLOOKUP(Tabla2[[#This Row],[ID]],'EVALUACION DE RIESGO'!A:A,1,FALSE)=Tabla2[[#This Row],[ID]],"SI","NO"),"NO")</f>
        <v/>
      </c>
      <c r="AD1088">
        <f>IF(AND(Y1088="",AA1088=""),"",IF(OR(LEFT(AA1088,2)="L0",LEFT(AA1088,2)="L1",Y1088="No Iniciado"),"CRÍTICO - Incumplimiento Normativo SEPS",IF(AND(OR(LEFT(AA1088,2)="L4",LEFT(AA1088,2)="L5"),AND(AC1088&lt;&gt;"",AC1088&lt;&gt;"N/A")),"CONFORME - Control Efectivo ISO 27001","OBSERVACIÓN - Revisar Controles")))</f>
        <v/>
      </c>
    </row>
    <row r="1089">
      <c r="A1089" s="99" t="inlineStr">
        <is>
          <t>67-GRI</t>
        </is>
      </c>
      <c r="B1089" s="10" t="inlineStr">
        <is>
          <t>ESTRATÉGICO</t>
        </is>
      </c>
      <c r="C1089" s="10" t="inlineStr">
        <is>
          <t>Gestión de Riesgos</t>
        </is>
      </c>
      <c r="D1089" s="10" t="inlineStr">
        <is>
          <t>GRI</t>
        </is>
      </c>
      <c r="E1089" s="10" t="inlineStr">
        <is>
          <t>Gestión de Riesgo de Liquidez</t>
        </is>
      </c>
      <c r="F1089" s="10" t="inlineStr">
        <is>
          <t>-</t>
        </is>
      </c>
      <c r="G1089" s="10" t="inlineStr">
        <is>
          <t xml:space="preserve">Consolidación de la información    </t>
        </is>
      </c>
      <c r="H1089" s="10" t="inlineStr">
        <is>
          <t>Reporte de Anexos B1, B2 y restringidos de las captaciones por monto de la cuenta 2101, 2103 y 2105.</t>
        </is>
      </c>
      <c r="I1089" s="10" t="inlineStr">
        <is>
          <t xml:space="preserve">Análisis de las Captaciones por monto </t>
        </is>
      </c>
      <c r="J1089" s="10" t="inlineStr">
        <is>
          <t>GERENTE DE RIESGOS</t>
        </is>
      </c>
      <c r="K1089" s="10" t="inlineStr">
        <is>
          <t>ANALISTA DE RIESGO DE LIQUIDEZ Y MERCADO</t>
        </is>
      </c>
      <c r="L1089" s="10" t="inlineStr">
        <is>
          <t>UBICACIÓN DIGITAL-EQUIPO DEL RESPONSABLE</t>
        </is>
      </c>
      <c r="M1089" s="10" t="inlineStr">
        <is>
          <t>DOCUMENTO DE ARCHIVO-ELECTRÓNICO</t>
        </is>
      </c>
      <c r="N1089" s="10" t="inlineStr">
        <is>
          <t>PRIMARIOS</t>
        </is>
      </c>
      <c r="O1089" s="10" t="inlineStr">
        <is>
          <t>DOCUMENTOS TÉCNICOS</t>
        </is>
      </c>
      <c r="P1089" s="10" t="inlineStr">
        <is>
          <t>PUBLICA(1)</t>
        </is>
      </c>
      <c r="Q1089" s="10" t="inlineStr">
        <is>
          <t>ALTA(3)</t>
        </is>
      </c>
      <c r="R1089" s="10" t="inlineStr">
        <is>
          <t>MEDIA(2)</t>
        </is>
      </c>
      <c r="S1089" s="10">
        <f>+(IF(P1089="PUBLICA(1)",1,IF(P1089="USO INTERNO(2)",2,IF(P1089="RESTRINGIDO(3)",3,3))))+(IF(Q1089="BAJA(1)",1,IF(Q1089="MEDIA(2)",2,IF(Q1089="ALTA(3)",3,3))))+(IF(R1089="BAJA(1)",1,IF(R1089="MEDIA(2)",2,IF(R1089="ALTA(3)",3,3))))</f>
        <v/>
      </c>
      <c r="T1089" s="10">
        <f>+IF(S1089&lt;6,"BAJA",IF(S1089&lt;8,"MEDIA","ALTA"))</f>
        <v/>
      </c>
      <c r="U1089" s="10" t="inlineStr">
        <is>
          <t>-</t>
        </is>
      </c>
      <c r="V1089" s="24" t="n">
        <v>45567</v>
      </c>
      <c r="W1089" s="19" t="inlineStr">
        <is>
          <t>N/A</t>
        </is>
      </c>
      <c r="X1089" s="10">
        <f>+IFERROR(IF(VLOOKUP(Tabla2[[#This Row],[ID]],'EVALUACION DE RIESGO'!A:A,1,FALSE)=Tabla2[[#This Row],[ID]],"SI","NO"),"NO")</f>
        <v/>
      </c>
      <c r="AD1089">
        <f>IF(AND(Y1089="",AA1089=""),"",IF(OR(LEFT(AA1089,2)="L0",LEFT(AA1089,2)="L1",Y1089="No Iniciado"),"CRÍTICO - Incumplimiento Normativo SEPS",IF(AND(OR(LEFT(AA1089,2)="L4",LEFT(AA1089,2)="L5"),AND(AC1089&lt;&gt;"",AC1089&lt;&gt;"N/A")),"CONFORME - Control Efectivo ISO 27001","OBSERVACIÓN - Revisar Controles")))</f>
        <v/>
      </c>
    </row>
    <row r="1090">
      <c r="A1090" s="99" t="inlineStr">
        <is>
          <t>68-GRI</t>
        </is>
      </c>
      <c r="B1090" s="10" t="inlineStr">
        <is>
          <t>ESTRATÉGICO</t>
        </is>
      </c>
      <c r="C1090" s="10" t="inlineStr">
        <is>
          <t>Gestión de Riesgos</t>
        </is>
      </c>
      <c r="D1090" s="10" t="inlineStr">
        <is>
          <t>GRI</t>
        </is>
      </c>
      <c r="E1090" s="10" t="inlineStr">
        <is>
          <t>Gestión de Riesgo de Liquidez</t>
        </is>
      </c>
      <c r="F1090" s="10" t="inlineStr">
        <is>
          <t>-</t>
        </is>
      </c>
      <c r="G1090" s="10" t="inlineStr">
        <is>
          <t xml:space="preserve">Consolidación de la información    </t>
        </is>
      </c>
      <c r="H1090" s="10" t="inlineStr">
        <is>
          <t>Reporte Anexo B3 Obligaciones Financieras</t>
        </is>
      </c>
      <c r="I1090" s="10" t="inlineStr">
        <is>
          <t xml:space="preserve">Monitoreo de las Obligaciones Financieras </t>
        </is>
      </c>
      <c r="J1090" s="10" t="inlineStr">
        <is>
          <t>GERENTE DE RIESGOS</t>
        </is>
      </c>
      <c r="K1090" s="10" t="inlineStr">
        <is>
          <t>ANALISTA DE RIESGO DE LIQUIDEZ Y MERCADO</t>
        </is>
      </c>
      <c r="L1090" s="10" t="inlineStr">
        <is>
          <t>UBICACIÓN DIGITAL-EQUIPO DEL RESPONSABLE</t>
        </is>
      </c>
      <c r="M1090" s="10" t="inlineStr">
        <is>
          <t>DOCUMENTO DE ARCHIVO-ELECTRÓNICO</t>
        </is>
      </c>
      <c r="N1090" s="10" t="inlineStr">
        <is>
          <t>PRIMARIOS</t>
        </is>
      </c>
      <c r="O1090" s="10" t="inlineStr">
        <is>
          <t>DOCUMENTOS TÉCNICOS</t>
        </is>
      </c>
      <c r="P1090" s="10" t="inlineStr">
        <is>
          <t>PUBLICA(1)</t>
        </is>
      </c>
      <c r="Q1090" s="10" t="inlineStr">
        <is>
          <t>ALTA(3)</t>
        </is>
      </c>
      <c r="R1090" s="10" t="inlineStr">
        <is>
          <t>MEDIA(2)</t>
        </is>
      </c>
      <c r="S1090" s="10">
        <f>+(IF(P1090="PUBLICA(1)",1,IF(P1090="USO INTERNO(2)",2,IF(P1090="RESTRINGIDO(3)",3,3))))+(IF(Q1090="BAJA(1)",1,IF(Q1090="MEDIA(2)",2,IF(Q1090="ALTA(3)",3,3))))+(IF(R1090="BAJA(1)",1,IF(R1090="MEDIA(2)",2,IF(R1090="ALTA(3)",3,3))))</f>
        <v/>
      </c>
      <c r="T1090" s="10">
        <f>+IF(S1090&lt;6,"BAJA",IF(S1090&lt;8,"MEDIA","ALTA"))</f>
        <v/>
      </c>
      <c r="U1090" s="10" t="inlineStr">
        <is>
          <t>-</t>
        </is>
      </c>
      <c r="V1090" s="24" t="n">
        <v>45567</v>
      </c>
      <c r="W1090" s="19" t="inlineStr">
        <is>
          <t>N/A</t>
        </is>
      </c>
      <c r="X1090" s="10">
        <f>+IFERROR(IF(VLOOKUP(Tabla2[[#This Row],[ID]],'EVALUACION DE RIESGO'!A:A,1,FALSE)=Tabla2[[#This Row],[ID]],"SI","NO"),"NO")</f>
        <v/>
      </c>
      <c r="AD1090">
        <f>IF(AND(Y1090="",AA1090=""),"",IF(OR(LEFT(AA1090,2)="L0",LEFT(AA1090,2)="L1",Y1090="No Iniciado"),"CRÍTICO - Incumplimiento Normativo SEPS",IF(AND(OR(LEFT(AA1090,2)="L4",LEFT(AA1090,2)="L5"),AND(AC1090&lt;&gt;"",AC1090&lt;&gt;"N/A")),"CONFORME - Control Efectivo ISO 27001","OBSERVACIÓN - Revisar Controles")))</f>
        <v/>
      </c>
    </row>
    <row r="1091">
      <c r="A1091" s="99" t="inlineStr">
        <is>
          <t>69-GRI</t>
        </is>
      </c>
      <c r="B1091" s="10" t="inlineStr">
        <is>
          <t>ESTRATÉGICO</t>
        </is>
      </c>
      <c r="C1091" s="10" t="inlineStr">
        <is>
          <t>Gestión de Riesgos</t>
        </is>
      </c>
      <c r="D1091" s="10" t="inlineStr">
        <is>
          <t>GRI</t>
        </is>
      </c>
      <c r="E1091" s="10" t="inlineStr">
        <is>
          <t>Gestión de Riesgo de Liquidez</t>
        </is>
      </c>
      <c r="F1091" s="10" t="inlineStr">
        <is>
          <t>-</t>
        </is>
      </c>
      <c r="G1091" s="10" t="inlineStr">
        <is>
          <t xml:space="preserve">Consolidación de la información    </t>
        </is>
      </c>
      <c r="H1091" s="10" t="inlineStr">
        <is>
          <t>Reporte de concentración de inversiones</t>
        </is>
      </c>
      <c r="I1091" s="10" t="inlineStr">
        <is>
          <t xml:space="preserve">Revisión al Portafolio de inversiones </t>
        </is>
      </c>
      <c r="J1091" s="10" t="inlineStr">
        <is>
          <t>GERENTE DE RIESGOS</t>
        </is>
      </c>
      <c r="K1091" s="10" t="inlineStr">
        <is>
          <t>ANALISTA DE RIESGO DE LIQUIDEZ Y MERCADO</t>
        </is>
      </c>
      <c r="L1091" s="10" t="inlineStr">
        <is>
          <t>UBICACIÓN DIGITAL-EQUIPO DEL RESPONSABLE</t>
        </is>
      </c>
      <c r="M1091" s="10" t="inlineStr">
        <is>
          <t>DOCUMENTO DE ARCHIVO-ELECTRÓNICO</t>
        </is>
      </c>
      <c r="N1091" s="10" t="inlineStr">
        <is>
          <t>PRIMARIOS</t>
        </is>
      </c>
      <c r="O1091" s="10" t="inlineStr">
        <is>
          <t>DOCUMENTOS TÉCNICOS</t>
        </is>
      </c>
      <c r="P1091" s="10" t="inlineStr">
        <is>
          <t>PUBLICA(1)</t>
        </is>
      </c>
      <c r="Q1091" s="10" t="inlineStr">
        <is>
          <t>ALTA(3)</t>
        </is>
      </c>
      <c r="R1091" s="10" t="inlineStr">
        <is>
          <t>MEDIA(2)</t>
        </is>
      </c>
      <c r="S1091" s="10">
        <f>+(IF(P1091="PUBLICA(1)",1,IF(P1091="USO INTERNO(2)",2,IF(P1091="RESTRINGIDO(3)",3,3))))+(IF(Q1091="BAJA(1)",1,IF(Q1091="MEDIA(2)",2,IF(Q1091="ALTA(3)",3,3))))+(IF(R1091="BAJA(1)",1,IF(R1091="MEDIA(2)",2,IF(R1091="ALTA(3)",3,3))))</f>
        <v/>
      </c>
      <c r="T1091" s="10">
        <f>+IF(S1091&lt;6,"BAJA",IF(S1091&lt;8,"MEDIA","ALTA"))</f>
        <v/>
      </c>
      <c r="U1091" s="10" t="inlineStr">
        <is>
          <t>-</t>
        </is>
      </c>
      <c r="V1091" s="24" t="n">
        <v>45567</v>
      </c>
      <c r="W1091" s="19" t="inlineStr">
        <is>
          <t>N/A</t>
        </is>
      </c>
      <c r="X1091" s="10">
        <f>+IFERROR(IF(VLOOKUP(Tabla2[[#This Row],[ID]],'EVALUACION DE RIESGO'!A:A,1,FALSE)=Tabla2[[#This Row],[ID]],"SI","NO"),"NO")</f>
        <v/>
      </c>
      <c r="AD1091">
        <f>IF(AND(Y1091="",AA1091=""),"",IF(OR(LEFT(AA1091,2)="L0",LEFT(AA1091,2)="L1",Y1091="No Iniciado"),"CRÍTICO - Incumplimiento Normativo SEPS",IF(AND(OR(LEFT(AA1091,2)="L4",LEFT(AA1091,2)="L5"),AND(AC1091&lt;&gt;"",AC1091&lt;&gt;"N/A")),"CONFORME - Control Efectivo ISO 27001","OBSERVACIÓN - Revisar Controles")))</f>
        <v/>
      </c>
    </row>
    <row r="1092">
      <c r="A1092" s="99" t="inlineStr">
        <is>
          <t>70-GRI</t>
        </is>
      </c>
      <c r="B1092" s="10" t="inlineStr">
        <is>
          <t>ESTRATÉGICO</t>
        </is>
      </c>
      <c r="C1092" s="10" t="inlineStr">
        <is>
          <t>Gestión de Riesgos</t>
        </is>
      </c>
      <c r="D1092" s="10" t="inlineStr">
        <is>
          <t>GRI</t>
        </is>
      </c>
      <c r="E1092" s="10" t="inlineStr">
        <is>
          <t>Gestión de Riesgo de Liquidez</t>
        </is>
      </c>
      <c r="F1092" s="10" t="inlineStr">
        <is>
          <t>-</t>
        </is>
      </c>
      <c r="G1092" s="10" t="inlineStr">
        <is>
          <t xml:space="preserve">Consolidación de la información    </t>
        </is>
      </c>
      <c r="H1092" s="10" t="inlineStr">
        <is>
          <t xml:space="preserve">Reporte de perdidas esperadas del portafolio de inversiones </t>
        </is>
      </c>
      <c r="I1092" s="10" t="inlineStr">
        <is>
          <t>Cálculo de pérdidas esperadas del portafolio de inversiones</t>
        </is>
      </c>
      <c r="J1092" s="10" t="inlineStr">
        <is>
          <t>GERENTE DE RIESGOS</t>
        </is>
      </c>
      <c r="K1092" s="10" t="inlineStr">
        <is>
          <t>ANALISTA DE RIESGO DE LIQUIDEZ Y MERCADO</t>
        </is>
      </c>
      <c r="L1092" s="10" t="inlineStr">
        <is>
          <t>UBICACIÓN DIGITAL-EQUIPO DEL RESPONSABLE</t>
        </is>
      </c>
      <c r="M1092" s="10" t="inlineStr">
        <is>
          <t>DOCUMENTO DE ARCHIVO-ELECTRÓNICO</t>
        </is>
      </c>
      <c r="N1092" s="10" t="inlineStr">
        <is>
          <t>PRIMARIOS</t>
        </is>
      </c>
      <c r="O1092" s="10" t="inlineStr">
        <is>
          <t>DOCUMENTOS TÉCNICOS</t>
        </is>
      </c>
      <c r="P1092" s="10" t="inlineStr">
        <is>
          <t>PUBLICA(1)</t>
        </is>
      </c>
      <c r="Q1092" s="10" t="inlineStr">
        <is>
          <t>ALTA(3)</t>
        </is>
      </c>
      <c r="R1092" s="10" t="inlineStr">
        <is>
          <t>MEDIA(2)</t>
        </is>
      </c>
      <c r="S1092" s="10">
        <f>+(IF(P1092="PUBLICA(1)",1,IF(P1092="USO INTERNO(2)",2,IF(P1092="RESTRINGIDO(3)",3,3))))+(IF(Q1092="BAJA(1)",1,IF(Q1092="MEDIA(2)",2,IF(Q1092="ALTA(3)",3,3))))+(IF(R1092="BAJA(1)",1,IF(R1092="MEDIA(2)",2,IF(R1092="ALTA(3)",3,3))))</f>
        <v/>
      </c>
      <c r="T1092" s="10">
        <f>+IF(S1092&lt;6,"BAJA",IF(S1092&lt;8,"MEDIA","ALTA"))</f>
        <v/>
      </c>
      <c r="U1092" s="10" t="inlineStr">
        <is>
          <t>-</t>
        </is>
      </c>
      <c r="V1092" s="24" t="n">
        <v>45567</v>
      </c>
      <c r="W1092" s="19" t="inlineStr">
        <is>
          <t>N/A</t>
        </is>
      </c>
      <c r="X1092" s="10">
        <f>+IFERROR(IF(VLOOKUP(Tabla2[[#This Row],[ID]],'EVALUACION DE RIESGO'!A:A,1,FALSE)=Tabla2[[#This Row],[ID]],"SI","NO"),"NO")</f>
        <v/>
      </c>
      <c r="AD1092">
        <f>IF(AND(Y1092="",AA1092=""),"",IF(OR(LEFT(AA1092,2)="L0",LEFT(AA1092,2)="L1",Y1092="No Iniciado"),"CRÍTICO - Incumplimiento Normativo SEPS",IF(AND(OR(LEFT(AA1092,2)="L4",LEFT(AA1092,2)="L5"),AND(AC1092&lt;&gt;"",AC1092&lt;&gt;"N/A")),"CONFORME - Control Efectivo ISO 27001","OBSERVACIÓN - Revisar Controles")))</f>
        <v/>
      </c>
    </row>
    <row r="1093">
      <c r="A1093" s="99" t="inlineStr">
        <is>
          <t>71-GRI</t>
        </is>
      </c>
      <c r="B1093" s="10" t="inlineStr">
        <is>
          <t>ESTRATÉGICO</t>
        </is>
      </c>
      <c r="C1093" s="10" t="inlineStr">
        <is>
          <t>Gestión de Riesgos</t>
        </is>
      </c>
      <c r="D1093" s="10" t="inlineStr">
        <is>
          <t>GRI</t>
        </is>
      </c>
      <c r="E1093" s="10" t="inlineStr">
        <is>
          <t>Gestión de Riesgo de Liquidez</t>
        </is>
      </c>
      <c r="F1093" s="10" t="inlineStr">
        <is>
          <t>-</t>
        </is>
      </c>
      <c r="G1093" s="10" t="inlineStr">
        <is>
          <t xml:space="preserve">Consolidación de la información    </t>
        </is>
      </c>
      <c r="H1093" s="10" t="inlineStr">
        <is>
          <t>Reporte concentración fondos disponibles</t>
        </is>
      </c>
      <c r="I1093" s="10" t="inlineStr">
        <is>
          <t>Revisión concentración fondos disponibles</t>
        </is>
      </c>
      <c r="J1093" s="10" t="inlineStr">
        <is>
          <t>GERENTE DE RIESGOS</t>
        </is>
      </c>
      <c r="K1093" s="10" t="inlineStr">
        <is>
          <t>ANALISTA DE RIESGO DE LIQUIDEZ Y MERCADO</t>
        </is>
      </c>
      <c r="L1093" s="10" t="inlineStr">
        <is>
          <t>UBICACIÓN DIGITAL-EQUIPO DEL RESPONSABLE</t>
        </is>
      </c>
      <c r="M1093" s="10" t="inlineStr">
        <is>
          <t>DOCUMENTO DE ARCHIVO-ELECTRÓNICO</t>
        </is>
      </c>
      <c r="N1093" s="10" t="inlineStr">
        <is>
          <t>PRIMARIOS</t>
        </is>
      </c>
      <c r="O1093" s="10" t="inlineStr">
        <is>
          <t>DOCUMENTOS TÉCNICOS</t>
        </is>
      </c>
      <c r="P1093" s="10" t="inlineStr">
        <is>
          <t>PUBLICA(1)</t>
        </is>
      </c>
      <c r="Q1093" s="10" t="inlineStr">
        <is>
          <t>ALTA(3)</t>
        </is>
      </c>
      <c r="R1093" s="10" t="inlineStr">
        <is>
          <t>MEDIA(2)</t>
        </is>
      </c>
      <c r="S1093" s="10">
        <f>+(IF(P1093="PUBLICA(1)",1,IF(P1093="USO INTERNO(2)",2,IF(P1093="RESTRINGIDO(3)",3,3))))+(IF(Q1093="BAJA(1)",1,IF(Q1093="MEDIA(2)",2,IF(Q1093="ALTA(3)",3,3))))+(IF(R1093="BAJA(1)",1,IF(R1093="MEDIA(2)",2,IF(R1093="ALTA(3)",3,3))))</f>
        <v/>
      </c>
      <c r="T1093" s="10">
        <f>+IF(S1093&lt;6,"BAJA",IF(S1093&lt;8,"MEDIA","ALTA"))</f>
        <v/>
      </c>
      <c r="U1093" s="10" t="inlineStr">
        <is>
          <t>-</t>
        </is>
      </c>
      <c r="V1093" s="24" t="n">
        <v>45567</v>
      </c>
      <c r="W1093" s="19" t="inlineStr">
        <is>
          <t>N/A</t>
        </is>
      </c>
      <c r="X1093" s="10">
        <f>+IFERROR(IF(VLOOKUP(Tabla2[[#This Row],[ID]],'EVALUACION DE RIESGO'!A:A,1,FALSE)=Tabla2[[#This Row],[ID]],"SI","NO"),"NO")</f>
        <v/>
      </c>
      <c r="AD1093">
        <f>IF(AND(Y1093="",AA1093=""),"",IF(OR(LEFT(AA1093,2)="L0",LEFT(AA1093,2)="L1",Y1093="No Iniciado"),"CRÍTICO - Incumplimiento Normativo SEPS",IF(AND(OR(LEFT(AA1093,2)="L4",LEFT(AA1093,2)="L5"),AND(AC1093&lt;&gt;"",AC1093&lt;&gt;"N/A")),"CONFORME - Control Efectivo ISO 27001","OBSERVACIÓN - Revisar Controles")))</f>
        <v/>
      </c>
    </row>
    <row r="1094">
      <c r="A1094" s="99" t="inlineStr">
        <is>
          <t>72-GRI</t>
        </is>
      </c>
      <c r="B1094" s="10" t="inlineStr">
        <is>
          <t>ESTRATÉGICO</t>
        </is>
      </c>
      <c r="C1094" s="10" t="inlineStr">
        <is>
          <t>Gestión de Riesgos</t>
        </is>
      </c>
      <c r="D1094" s="10" t="inlineStr">
        <is>
          <t>GRI</t>
        </is>
      </c>
      <c r="E1094" s="10" t="inlineStr">
        <is>
          <t>Gestión de Riesgo de Liquidez</t>
        </is>
      </c>
      <c r="F1094" s="10" t="inlineStr">
        <is>
          <t>-</t>
        </is>
      </c>
      <c r="G1094" s="10" t="inlineStr">
        <is>
          <t xml:space="preserve">Consolidación de la información    </t>
        </is>
      </c>
      <c r="H1094" s="10" t="inlineStr">
        <is>
          <t>Reporte de Alertas Tempranas de Liquidez</t>
        </is>
      </c>
      <c r="I1094" s="10" t="inlineStr">
        <is>
          <t xml:space="preserve">Análisis y elaboración de Alertas Tempranas de liquidez y seguimiento de límites de tolerancia </t>
        </is>
      </c>
      <c r="J1094" s="10" t="inlineStr">
        <is>
          <t>GERENTE DE RIESGOS</t>
        </is>
      </c>
      <c r="K1094" s="10" t="inlineStr">
        <is>
          <t>ANALISTA DE RIESGO DE LIQUIDEZ Y MERCADO</t>
        </is>
      </c>
      <c r="L1094" s="10" t="inlineStr">
        <is>
          <t>UBICACIÓN DIGITAL-EQUIPO DEL RESPONSABLE</t>
        </is>
      </c>
      <c r="M1094" s="10" t="inlineStr">
        <is>
          <t>DOCUMENTO DE ARCHIVO-ELECTRÓNICO</t>
        </is>
      </c>
      <c r="N1094" s="10" t="inlineStr">
        <is>
          <t>PRIMARIOS</t>
        </is>
      </c>
      <c r="O1094" s="10" t="inlineStr">
        <is>
          <t>DOCUMENTOS TÉCNICOS</t>
        </is>
      </c>
      <c r="P1094" s="10" t="inlineStr">
        <is>
          <t>PUBLICA(1)</t>
        </is>
      </c>
      <c r="Q1094" s="10" t="inlineStr">
        <is>
          <t>ALTA(3)</t>
        </is>
      </c>
      <c r="R1094" s="10" t="inlineStr">
        <is>
          <t>MEDIA(2)</t>
        </is>
      </c>
      <c r="S1094" s="10">
        <f>+(IF(P1094="PUBLICA(1)",1,IF(P1094="USO INTERNO(2)",2,IF(P1094="RESTRINGIDO(3)",3,3))))+(IF(Q1094="BAJA(1)",1,IF(Q1094="MEDIA(2)",2,IF(Q1094="ALTA(3)",3,3))))+(IF(R1094="BAJA(1)",1,IF(R1094="MEDIA(2)",2,IF(R1094="ALTA(3)",3,3))))</f>
        <v/>
      </c>
      <c r="T1094" s="10">
        <f>+IF(S1094&lt;6,"BAJA",IF(S1094&lt;8,"MEDIA","ALTA"))</f>
        <v/>
      </c>
      <c r="U1094" s="10" t="inlineStr">
        <is>
          <t>-</t>
        </is>
      </c>
      <c r="V1094" s="24" t="n">
        <v>45567</v>
      </c>
      <c r="W1094" s="19" t="inlineStr">
        <is>
          <t>N/A</t>
        </is>
      </c>
      <c r="X1094" s="10">
        <f>+IFERROR(IF(VLOOKUP(Tabla2[[#This Row],[ID]],'EVALUACION DE RIESGO'!A:A,1,FALSE)=Tabla2[[#This Row],[ID]],"SI","NO"),"NO")</f>
        <v/>
      </c>
      <c r="AD1094">
        <f>IF(AND(Y1094="",AA1094=""),"",IF(OR(LEFT(AA1094,2)="L0",LEFT(AA1094,2)="L1",Y1094="No Iniciado"),"CRÍTICO - Incumplimiento Normativo SEPS",IF(AND(OR(LEFT(AA1094,2)="L4",LEFT(AA1094,2)="L5"),AND(AC1094&lt;&gt;"",AC1094&lt;&gt;"N/A")),"CONFORME - Control Efectivo ISO 27001","OBSERVACIÓN - Revisar Controles")))</f>
        <v/>
      </c>
    </row>
    <row r="1095">
      <c r="A1095" s="99" t="inlineStr">
        <is>
          <t>73-GRI</t>
        </is>
      </c>
      <c r="B1095" s="10" t="inlineStr">
        <is>
          <t>ESTRATÉGICO</t>
        </is>
      </c>
      <c r="C1095" s="10" t="inlineStr">
        <is>
          <t>Gestión de Riesgos</t>
        </is>
      </c>
      <c r="D1095" s="10" t="inlineStr">
        <is>
          <t>GRI</t>
        </is>
      </c>
      <c r="E1095" s="10" t="inlineStr">
        <is>
          <t>Gestión de Riesgo de Liquidez</t>
        </is>
      </c>
      <c r="F1095" s="10" t="inlineStr">
        <is>
          <t>-</t>
        </is>
      </c>
      <c r="G1095" s="10" t="inlineStr">
        <is>
          <t xml:space="preserve">Consolidación de la información    </t>
        </is>
      </c>
      <c r="H1095" s="10" t="inlineStr">
        <is>
          <t>Reportes de stress testing de liquidez, Reportes de backtesting.</t>
        </is>
      </c>
      <c r="I1095" s="10" t="inlineStr">
        <is>
          <t>Análisis y elaboración de stress testing de liquidez (pruebas de tensión)</t>
        </is>
      </c>
      <c r="J1095" s="10" t="inlineStr">
        <is>
          <t>GERENTE DE RIESGOS</t>
        </is>
      </c>
      <c r="K1095" s="10" t="inlineStr">
        <is>
          <t>ANALISTA DE RIESGO DE LIQUIDEZ Y MERCADO</t>
        </is>
      </c>
      <c r="L1095" s="10" t="inlineStr">
        <is>
          <t>UBICACIÓN DIGITAL-EQUIPO DEL RESPONSABLE</t>
        </is>
      </c>
      <c r="M1095" s="10" t="inlineStr">
        <is>
          <t>DOCUMENTO DE ARCHIVO-ELECTRÓNICO</t>
        </is>
      </c>
      <c r="N1095" s="10" t="inlineStr">
        <is>
          <t>PRIMARIOS</t>
        </is>
      </c>
      <c r="O1095" s="10" t="inlineStr">
        <is>
          <t>DOCUMENTOS TÉCNICOS</t>
        </is>
      </c>
      <c r="P1095" s="10" t="inlineStr">
        <is>
          <t>PUBLICA(1)</t>
        </is>
      </c>
      <c r="Q1095" s="10" t="inlineStr">
        <is>
          <t>ALTA(3)</t>
        </is>
      </c>
      <c r="R1095" s="10" t="inlineStr">
        <is>
          <t>MEDIA(2)</t>
        </is>
      </c>
      <c r="S1095" s="10">
        <f>+(IF(P1095="PUBLICA(1)",1,IF(P1095="USO INTERNO(2)",2,IF(P1095="RESTRINGIDO(3)",3,3))))+(IF(Q1095="BAJA(1)",1,IF(Q1095="MEDIA(2)",2,IF(Q1095="ALTA(3)",3,3))))+(IF(R1095="BAJA(1)",1,IF(R1095="MEDIA(2)",2,IF(R1095="ALTA(3)",3,3))))</f>
        <v/>
      </c>
      <c r="T1095" s="10">
        <f>+IF(S1095&lt;6,"BAJA",IF(S1095&lt;8,"MEDIA","ALTA"))</f>
        <v/>
      </c>
      <c r="U1095" s="10" t="inlineStr">
        <is>
          <t>-</t>
        </is>
      </c>
      <c r="V1095" s="24" t="n">
        <v>45567</v>
      </c>
      <c r="W1095" s="19" t="inlineStr">
        <is>
          <t>N/A</t>
        </is>
      </c>
      <c r="X1095" s="10">
        <f>+IFERROR(IF(VLOOKUP(Tabla2[[#This Row],[ID]],'EVALUACION DE RIESGO'!A:A,1,FALSE)=Tabla2[[#This Row],[ID]],"SI","NO"),"NO")</f>
        <v/>
      </c>
      <c r="AD1095">
        <f>IF(AND(Y1095="",AA1095=""),"",IF(OR(LEFT(AA1095,2)="L0",LEFT(AA1095,2)="L1",Y1095="No Iniciado"),"CRÍTICO - Incumplimiento Normativo SEPS",IF(AND(OR(LEFT(AA1095,2)="L4",LEFT(AA1095,2)="L5"),AND(AC1095&lt;&gt;"",AC1095&lt;&gt;"N/A")),"CONFORME - Control Efectivo ISO 27001","OBSERVACIÓN - Revisar Controles")))</f>
        <v/>
      </c>
    </row>
    <row r="1096">
      <c r="A1096" s="99" t="inlineStr">
        <is>
          <t>74-GRI</t>
        </is>
      </c>
      <c r="B1096" s="10" t="inlineStr">
        <is>
          <t>ESTRATÉGICO</t>
        </is>
      </c>
      <c r="C1096" s="10" t="inlineStr">
        <is>
          <t>Gestión de Riesgos</t>
        </is>
      </c>
      <c r="D1096" s="10" t="inlineStr">
        <is>
          <t>GRI</t>
        </is>
      </c>
      <c r="E1096" s="10" t="inlineStr">
        <is>
          <t>Gestión de Riesgo de Liquidez</t>
        </is>
      </c>
      <c r="F1096" s="10" t="inlineStr">
        <is>
          <t>-</t>
        </is>
      </c>
      <c r="G1096" s="10" t="inlineStr">
        <is>
          <t xml:space="preserve">Consolidación de la información    </t>
        </is>
      </c>
      <c r="H1096" s="10" t="inlineStr">
        <is>
          <t>Reportes de backtesting de liquidez.</t>
        </is>
      </c>
      <c r="I1096" s="10" t="inlineStr">
        <is>
          <t>Análisis y elaboración de backtesting de liquidez</t>
        </is>
      </c>
      <c r="J1096" s="10" t="inlineStr">
        <is>
          <t>GERENTE DE RIESGOS</t>
        </is>
      </c>
      <c r="K1096" s="10" t="inlineStr">
        <is>
          <t>ANALISTA DE RIESGO DE LIQUIDEZ Y MERCADO</t>
        </is>
      </c>
      <c r="L1096" s="10" t="inlineStr">
        <is>
          <t>UBICACIÓN DIGITAL-EQUIPO DEL RESPONSABLE</t>
        </is>
      </c>
      <c r="M1096" s="10" t="inlineStr">
        <is>
          <t>DOCUMENTO DE ARCHIVO-ELECTRÓNICO</t>
        </is>
      </c>
      <c r="N1096" s="10" t="inlineStr">
        <is>
          <t>PRIMARIOS</t>
        </is>
      </c>
      <c r="O1096" s="10" t="inlineStr">
        <is>
          <t>DOCUMENTOS TÉCNICOS</t>
        </is>
      </c>
      <c r="P1096" s="10" t="inlineStr">
        <is>
          <t>PUBLICA(1)</t>
        </is>
      </c>
      <c r="Q1096" s="10" t="inlineStr">
        <is>
          <t>ALTA(3)</t>
        </is>
      </c>
      <c r="R1096" s="10" t="inlineStr">
        <is>
          <t>MEDIA(2)</t>
        </is>
      </c>
      <c r="S1096" s="10">
        <f>+(IF(P1096="PUBLICA(1)",1,IF(P1096="USO INTERNO(2)",2,IF(P1096="RESTRINGIDO(3)",3,3))))+(IF(Q1096="BAJA(1)",1,IF(Q1096="MEDIA(2)",2,IF(Q1096="ALTA(3)",3,3))))+(IF(R1096="BAJA(1)",1,IF(R1096="MEDIA(2)",2,IF(R1096="ALTA(3)",3,3))))</f>
        <v/>
      </c>
      <c r="T1096" s="10">
        <f>+IF(S1096&lt;6,"BAJA",IF(S1096&lt;8,"MEDIA","ALTA"))</f>
        <v/>
      </c>
      <c r="U1096" s="10" t="inlineStr">
        <is>
          <t>-</t>
        </is>
      </c>
      <c r="V1096" s="24" t="n">
        <v>45567</v>
      </c>
      <c r="W1096" s="19" t="inlineStr">
        <is>
          <t>N/A</t>
        </is>
      </c>
      <c r="X1096" s="10">
        <f>+IFERROR(IF(VLOOKUP(Tabla2[[#This Row],[ID]],'EVALUACION DE RIESGO'!A:A,1,FALSE)=Tabla2[[#This Row],[ID]],"SI","NO"),"NO")</f>
        <v/>
      </c>
      <c r="AD1096">
        <f>IF(AND(Y1096="",AA1096=""),"",IF(OR(LEFT(AA1096,2)="L0",LEFT(AA1096,2)="L1",Y1096="No Iniciado"),"CRÍTICO - Incumplimiento Normativo SEPS",IF(AND(OR(LEFT(AA1096,2)="L4",LEFT(AA1096,2)="L5"),AND(AC1096&lt;&gt;"",AC1096&lt;&gt;"N/A")),"CONFORME - Control Efectivo ISO 27001","OBSERVACIÓN - Revisar Controles")))</f>
        <v/>
      </c>
    </row>
    <row r="1097">
      <c r="A1097" s="99" t="inlineStr">
        <is>
          <t>75-GRI</t>
        </is>
      </c>
      <c r="B1097" s="10" t="inlineStr">
        <is>
          <t>ESTRATÉGICO</t>
        </is>
      </c>
      <c r="C1097" s="10" t="inlineStr">
        <is>
          <t>Gestión de Riesgos</t>
        </is>
      </c>
      <c r="D1097" s="10" t="inlineStr">
        <is>
          <t>GRI</t>
        </is>
      </c>
      <c r="E1097" s="10" t="inlineStr">
        <is>
          <t>Gestión de Riesgo de Liquidez</t>
        </is>
      </c>
      <c r="F1097" s="10" t="inlineStr">
        <is>
          <t>-</t>
        </is>
      </c>
      <c r="G1097" s="10" t="inlineStr">
        <is>
          <t xml:space="preserve">Consolidación de la información    </t>
        </is>
      </c>
      <c r="H1097" s="10" t="inlineStr">
        <is>
          <t>Hojas de trabajo</t>
        </is>
      </c>
      <c r="I1097" s="10" t="inlineStr">
        <is>
          <t>Consolidacion de información</t>
        </is>
      </c>
      <c r="J1097" s="10" t="inlineStr">
        <is>
          <t>GERENTE DE RIESGOS</t>
        </is>
      </c>
      <c r="K1097" s="10" t="inlineStr">
        <is>
          <t>ANALISTA DE RIESGO DE LIQUIDEZ Y MERCADO</t>
        </is>
      </c>
      <c r="L1097" s="10" t="inlineStr">
        <is>
          <t>UBICACIÓN DIGITAL-EQUIPO DEL RESPONSABLE</t>
        </is>
      </c>
      <c r="M1097" s="10" t="inlineStr">
        <is>
          <t>DOCUMENTO DE ARCHIVO-ELECTRÓNICO</t>
        </is>
      </c>
      <c r="N1097" s="10" t="inlineStr">
        <is>
          <t>PRIMARIOS</t>
        </is>
      </c>
      <c r="O1097" s="10" t="inlineStr">
        <is>
          <t>DOCUMENTOS TÉCNICOS</t>
        </is>
      </c>
      <c r="P1097" s="10" t="inlineStr">
        <is>
          <t>PUBLICA(1)</t>
        </is>
      </c>
      <c r="Q1097" s="10" t="inlineStr">
        <is>
          <t>ALTA(3)</t>
        </is>
      </c>
      <c r="R1097" s="10" t="inlineStr">
        <is>
          <t>MEDIA(2)</t>
        </is>
      </c>
      <c r="S1097" s="10">
        <f>+(IF(P1097="PUBLICA(1)",1,IF(P1097="USO INTERNO(2)",2,IF(P1097="RESTRINGIDO(3)",3,3))))+(IF(Q1097="BAJA(1)",1,IF(Q1097="MEDIA(2)",2,IF(Q1097="ALTA(3)",3,3))))+(IF(R1097="BAJA(1)",1,IF(R1097="MEDIA(2)",2,IF(R1097="ALTA(3)",3,3))))</f>
        <v/>
      </c>
      <c r="T1097" s="10">
        <f>+IF(S1097&lt;6,"BAJA",IF(S1097&lt;8,"MEDIA","ALTA"))</f>
        <v/>
      </c>
      <c r="U1097" s="10" t="inlineStr">
        <is>
          <t>-</t>
        </is>
      </c>
      <c r="V1097" s="24" t="n">
        <v>45567</v>
      </c>
      <c r="W1097" s="19" t="inlineStr">
        <is>
          <t>N/A</t>
        </is>
      </c>
      <c r="X1097" s="10">
        <f>+IFERROR(IF(VLOOKUP(Tabla2[[#This Row],[ID]],'EVALUACION DE RIESGO'!A:A,1,FALSE)=Tabla2[[#This Row],[ID]],"SI","NO"),"NO")</f>
        <v/>
      </c>
      <c r="AD1097">
        <f>IF(AND(Y1097="",AA1097=""),"",IF(OR(LEFT(AA1097,2)="L0",LEFT(AA1097,2)="L1",Y1097="No Iniciado"),"CRÍTICO - Incumplimiento Normativo SEPS",IF(AND(OR(LEFT(AA1097,2)="L4",LEFT(AA1097,2)="L5"),AND(AC1097&lt;&gt;"",AC1097&lt;&gt;"N/A")),"CONFORME - Control Efectivo ISO 27001","OBSERVACIÓN - Revisar Controles")))</f>
        <v/>
      </c>
    </row>
    <row r="1098">
      <c r="A1098" s="99" t="inlineStr">
        <is>
          <t>76-GRI</t>
        </is>
      </c>
      <c r="B1098" s="10" t="inlineStr">
        <is>
          <t>ESTRATÉGICO</t>
        </is>
      </c>
      <c r="C1098" s="10" t="inlineStr">
        <is>
          <t>Gestión de Riesgos</t>
        </is>
      </c>
      <c r="D1098" s="10" t="inlineStr">
        <is>
          <t>GRI</t>
        </is>
      </c>
      <c r="E1098" s="10" t="inlineStr">
        <is>
          <t>Gestión de Riesgo de Liquidez</t>
        </is>
      </c>
      <c r="F1098" s="10" t="inlineStr">
        <is>
          <t>-</t>
        </is>
      </c>
      <c r="G1098" s="10" t="inlineStr">
        <is>
          <t xml:space="preserve">Consolidación de la información    </t>
        </is>
      </c>
      <c r="H1098" s="10" t="inlineStr">
        <is>
          <t>Informe de gestión de riesgos</t>
        </is>
      </c>
      <c r="I1098" s="10" t="inlineStr">
        <is>
          <t>Comunicación la gestion del riesgo de liquidez</t>
        </is>
      </c>
      <c r="J1098" s="10" t="inlineStr">
        <is>
          <t>GERENTE DE RIESGOS</t>
        </is>
      </c>
      <c r="K1098" s="10" t="inlineStr">
        <is>
          <t>ANALISTA DE RIESGO DE LIQUIDEZ Y MERCADO</t>
        </is>
      </c>
      <c r="L1098" s="10" t="inlineStr">
        <is>
          <t>UBICACIÓN DIGITAL-EQUIPO DEL RESPONSABLE</t>
        </is>
      </c>
      <c r="M1098" s="10" t="inlineStr">
        <is>
          <t>DOCUMENTO DE ARCHIVO-ELECTRÓNICO</t>
        </is>
      </c>
      <c r="N1098" s="10" t="inlineStr">
        <is>
          <t>PRIMARIOS</t>
        </is>
      </c>
      <c r="O1098" s="10" t="inlineStr">
        <is>
          <t>DOCUMENTOS TÉCNICOS</t>
        </is>
      </c>
      <c r="P1098" s="10" t="inlineStr">
        <is>
          <t>PUBLICA(1)</t>
        </is>
      </c>
      <c r="Q1098" s="10" t="inlineStr">
        <is>
          <t>ALTA(3)</t>
        </is>
      </c>
      <c r="R1098" s="10" t="inlineStr">
        <is>
          <t>MEDIA(2)</t>
        </is>
      </c>
      <c r="S1098" s="10">
        <f>+(IF(P1098="PUBLICA(1)",1,IF(P1098="USO INTERNO(2)",2,IF(P1098="RESTRINGIDO(3)",3,3))))+(IF(Q1098="BAJA(1)",1,IF(Q1098="MEDIA(2)",2,IF(Q1098="ALTA(3)",3,3))))+(IF(R1098="BAJA(1)",1,IF(R1098="MEDIA(2)",2,IF(R1098="ALTA(3)",3,3))))</f>
        <v/>
      </c>
      <c r="T1098" s="10">
        <f>+IF(S1098&lt;6,"BAJA",IF(S1098&lt;8,"MEDIA","ALTA"))</f>
        <v/>
      </c>
      <c r="U1098" s="10" t="inlineStr">
        <is>
          <t>-</t>
        </is>
      </c>
      <c r="V1098" s="24" t="n">
        <v>45567</v>
      </c>
      <c r="W1098" s="19" t="inlineStr">
        <is>
          <t>N/A</t>
        </is>
      </c>
      <c r="X1098" s="10">
        <f>+IFERROR(IF(VLOOKUP(Tabla2[[#This Row],[ID]],'EVALUACION DE RIESGO'!A:A,1,FALSE)=Tabla2[[#This Row],[ID]],"SI","NO"),"NO")</f>
        <v/>
      </c>
      <c r="AD1098">
        <f>IF(AND(Y1098="",AA1098=""),"",IF(OR(LEFT(AA1098,2)="L0",LEFT(AA1098,2)="L1",Y1098="No Iniciado"),"CRÍTICO - Incumplimiento Normativo SEPS",IF(AND(OR(LEFT(AA1098,2)="L4",LEFT(AA1098,2)="L5"),AND(AC1098&lt;&gt;"",AC1098&lt;&gt;"N/A")),"CONFORME - Control Efectivo ISO 27001","OBSERVACIÓN - Revisar Controles")))</f>
        <v/>
      </c>
    </row>
    <row r="1099">
      <c r="A1099" s="99" t="inlineStr">
        <is>
          <t>77-GRI</t>
        </is>
      </c>
      <c r="B1099" s="10" t="inlineStr">
        <is>
          <t>ESTRATÉGICO</t>
        </is>
      </c>
      <c r="C1099" s="10" t="inlineStr">
        <is>
          <t>Gestión de Riesgos</t>
        </is>
      </c>
      <c r="D1099" s="10" t="inlineStr">
        <is>
          <t>GRI</t>
        </is>
      </c>
      <c r="E1099" s="10" t="inlineStr">
        <is>
          <t>Gestión de Riesgo de Liquidez</t>
        </is>
      </c>
      <c r="F1099" s="10" t="inlineStr">
        <is>
          <t>-</t>
        </is>
      </c>
      <c r="G1099" s="10" t="inlineStr">
        <is>
          <t xml:space="preserve">Comunicación  </t>
        </is>
      </c>
      <c r="H1099" s="10" t="inlineStr">
        <is>
          <t>Informe de gestión de riesgos</t>
        </is>
      </c>
      <c r="I1099" s="10" t="inlineStr">
        <is>
          <t>Consolidacion de información</t>
        </is>
      </c>
      <c r="J1099" s="10" t="inlineStr">
        <is>
          <t>GERENTE DE RIESGOS</t>
        </is>
      </c>
      <c r="K1099" s="10" t="inlineStr">
        <is>
          <t>ANALISTA DE RIESGO DE LIQUIDEZ Y MERCADO</t>
        </is>
      </c>
      <c r="L1099" s="10" t="inlineStr">
        <is>
          <t>UBICACIÓN DIGITAL-EQUIPO DEL RESPONSABLE</t>
        </is>
      </c>
      <c r="M1099" s="10" t="inlineStr">
        <is>
          <t>DOCUMENTO DE ARCHIVO-ELECTRÓNICO</t>
        </is>
      </c>
      <c r="N1099" s="10" t="inlineStr">
        <is>
          <t>PRIMARIOS</t>
        </is>
      </c>
      <c r="O1099" s="10" t="inlineStr">
        <is>
          <t>DOCUMENTOS TÉCNICOS</t>
        </is>
      </c>
      <c r="P1099" s="10" t="inlineStr">
        <is>
          <t>PUBLICA(1)</t>
        </is>
      </c>
      <c r="Q1099" s="10" t="inlineStr">
        <is>
          <t>ALTA(3)</t>
        </is>
      </c>
      <c r="R1099" s="10" t="inlineStr">
        <is>
          <t>MEDIA(2)</t>
        </is>
      </c>
      <c r="S1099" s="10">
        <f>+(IF(P1099="PUBLICA(1)",1,IF(P1099="USO INTERNO(2)",2,IF(P1099="RESTRINGIDO(3)",3,3))))+(IF(Q1099="BAJA(1)",1,IF(Q1099="MEDIA(2)",2,IF(Q1099="ALTA(3)",3,3))))+(IF(R1099="BAJA(1)",1,IF(R1099="MEDIA(2)",2,IF(R1099="ALTA(3)",3,3))))</f>
        <v/>
      </c>
      <c r="T1099" s="10">
        <f>+IF(S1099&lt;6,"BAJA",IF(S1099&lt;8,"MEDIA","ALTA"))</f>
        <v/>
      </c>
      <c r="U1099" s="10" t="inlineStr">
        <is>
          <t>-</t>
        </is>
      </c>
      <c r="V1099" s="24" t="n">
        <v>45567</v>
      </c>
      <c r="W1099" s="19" t="inlineStr">
        <is>
          <t>N/A</t>
        </is>
      </c>
      <c r="X1099" s="10">
        <f>+IFERROR(IF(VLOOKUP(Tabla2[[#This Row],[ID]],'EVALUACION DE RIESGO'!A:A,1,FALSE)=Tabla2[[#This Row],[ID]],"SI","NO"),"NO")</f>
        <v/>
      </c>
      <c r="AD1099">
        <f>IF(AND(Y1099="",AA1099=""),"",IF(OR(LEFT(AA1099,2)="L0",LEFT(AA1099,2)="L1",Y1099="No Iniciado"),"CRÍTICO - Incumplimiento Normativo SEPS",IF(AND(OR(LEFT(AA1099,2)="L4",LEFT(AA1099,2)="L5"),AND(AC1099&lt;&gt;"",AC1099&lt;&gt;"N/A")),"CONFORME - Control Efectivo ISO 27001","OBSERVACIÓN - Revisar Controles")))</f>
        <v/>
      </c>
    </row>
    <row r="1100">
      <c r="A1100" s="99" t="inlineStr">
        <is>
          <t>78-GRI</t>
        </is>
      </c>
      <c r="B1100" s="10" t="inlineStr">
        <is>
          <t>ESTRATÉGICO</t>
        </is>
      </c>
      <c r="C1100" s="10" t="inlineStr">
        <is>
          <t>Gestión de Riesgos</t>
        </is>
      </c>
      <c r="D1100" s="10" t="inlineStr">
        <is>
          <t>GRI</t>
        </is>
      </c>
      <c r="E1100" s="10" t="inlineStr">
        <is>
          <t>Gestión de Riesgo de Liquidez</t>
        </is>
      </c>
      <c r="F1100" s="10" t="inlineStr">
        <is>
          <t>-</t>
        </is>
      </c>
      <c r="G1100" s="10" t="inlineStr">
        <is>
          <t xml:space="preserve">Comunicación  </t>
        </is>
      </c>
      <c r="H1100" s="10" t="inlineStr">
        <is>
          <t xml:space="preserve">Acta del CAIR </t>
        </is>
      </c>
      <c r="I1100" s="10" t="inlineStr">
        <is>
          <t>Archivo del área</t>
        </is>
      </c>
      <c r="J1100" s="10" t="inlineStr">
        <is>
          <t>GERENTE DE RIESGOS</t>
        </is>
      </c>
      <c r="K1100" s="10" t="inlineStr">
        <is>
          <t>ANALISTA DE RIESGO DE LIQUIDEZ Y MERCADO</t>
        </is>
      </c>
      <c r="L1100" s="10" t="inlineStr">
        <is>
          <t>UBICACIÓN DIGITAL-EQUIPO DEL RESPONSABLE</t>
        </is>
      </c>
      <c r="M1100" s="10" t="inlineStr">
        <is>
          <t>DOCUMENTO DE ARCHIVO-ELECTRÓNICO</t>
        </is>
      </c>
      <c r="N1100" s="10" t="inlineStr">
        <is>
          <t>PRIMARIOS</t>
        </is>
      </c>
      <c r="O1100" s="10" t="inlineStr">
        <is>
          <t>OTROS</t>
        </is>
      </c>
      <c r="P1100" s="10" t="inlineStr">
        <is>
          <t>PUBLICA(1)</t>
        </is>
      </c>
      <c r="Q1100" s="10" t="inlineStr">
        <is>
          <t>ALTA(3)</t>
        </is>
      </c>
      <c r="R1100" s="10" t="inlineStr">
        <is>
          <t>MEDIA(2)</t>
        </is>
      </c>
      <c r="S1100" s="10">
        <f>+(IF(P1100="PUBLICA(1)",1,IF(P1100="USO INTERNO(2)",2,IF(P1100="RESTRINGIDO(3)",3,3))))+(IF(Q1100="BAJA(1)",1,IF(Q1100="MEDIA(2)",2,IF(Q1100="ALTA(3)",3,3))))+(IF(R1100="BAJA(1)",1,IF(R1100="MEDIA(2)",2,IF(R1100="ALTA(3)",3,3))))</f>
        <v/>
      </c>
      <c r="T1100" s="10">
        <f>+IF(S1100&lt;6,"BAJA",IF(S1100&lt;8,"MEDIA","ALTA"))</f>
        <v/>
      </c>
      <c r="U1100" s="10" t="inlineStr">
        <is>
          <t>-</t>
        </is>
      </c>
      <c r="V1100" s="24" t="n">
        <v>45567</v>
      </c>
      <c r="W1100" s="19" t="inlineStr">
        <is>
          <t>N/A</t>
        </is>
      </c>
      <c r="X1100" s="10">
        <f>+IFERROR(IF(VLOOKUP(Tabla2[[#This Row],[ID]],'EVALUACION DE RIESGO'!A:A,1,FALSE)=Tabla2[[#This Row],[ID]],"SI","NO"),"NO")</f>
        <v/>
      </c>
      <c r="AD1100">
        <f>IF(AND(Y1100="",AA1100=""),"",IF(OR(LEFT(AA1100,2)="L0",LEFT(AA1100,2)="L1",Y1100="No Iniciado"),"CRÍTICO - Incumplimiento Normativo SEPS",IF(AND(OR(LEFT(AA1100,2)="L4",LEFT(AA1100,2)="L5"),AND(AC1100&lt;&gt;"",AC1100&lt;&gt;"N/A")),"CONFORME - Control Efectivo ISO 27001","OBSERVACIÓN - Revisar Controles")))</f>
        <v/>
      </c>
    </row>
    <row r="1101">
      <c r="A1101" s="99" t="inlineStr">
        <is>
          <t>79-GRI</t>
        </is>
      </c>
      <c r="B1101" s="10" t="inlineStr">
        <is>
          <t>ESTRATÉGICO</t>
        </is>
      </c>
      <c r="C1101" s="10" t="inlineStr">
        <is>
          <t>Gestión de Riesgos</t>
        </is>
      </c>
      <c r="D1101" s="10" t="inlineStr">
        <is>
          <t>GRI</t>
        </is>
      </c>
      <c r="E1101" s="10" t="inlineStr">
        <is>
          <t>Gestión de Riesgo de Liquidez</t>
        </is>
      </c>
      <c r="F1101" s="10" t="inlineStr">
        <is>
          <t>-</t>
        </is>
      </c>
      <c r="G1101" s="10" t="inlineStr">
        <is>
          <t xml:space="preserve">Comunicación  </t>
        </is>
      </c>
      <c r="H1101" s="10" t="inlineStr">
        <is>
          <t>Resolución del Consejo de Administración</t>
        </is>
      </c>
      <c r="I1101" s="10" t="inlineStr">
        <is>
          <t>Archivo del área</t>
        </is>
      </c>
      <c r="J1101" s="10" t="inlineStr">
        <is>
          <t>GERENTE DE RIESGOS</t>
        </is>
      </c>
      <c r="K1101" s="10" t="inlineStr">
        <is>
          <t>ANALISTA DE RIESGO DE LIQUIDEZ Y MERCADO</t>
        </is>
      </c>
      <c r="L1101" s="10" t="inlineStr">
        <is>
          <t>UBICACIÓN DIGITAL-EQUIPO DEL RESPONSABLE</t>
        </is>
      </c>
      <c r="M1101" s="10" t="inlineStr">
        <is>
          <t>DOCUMENTO DE ARCHIVO-ELECTRÓNICO</t>
        </is>
      </c>
      <c r="N1101" s="10" t="inlineStr">
        <is>
          <t>PRIMARIOS</t>
        </is>
      </c>
      <c r="O1101" s="10" t="inlineStr">
        <is>
          <t>OTROS</t>
        </is>
      </c>
      <c r="P1101" s="10" t="inlineStr">
        <is>
          <t>PUBLICA(1)</t>
        </is>
      </c>
      <c r="Q1101" s="10" t="inlineStr">
        <is>
          <t>ALTA(3)</t>
        </is>
      </c>
      <c r="R1101" s="10" t="inlineStr">
        <is>
          <t>MEDIA(2)</t>
        </is>
      </c>
      <c r="S1101" s="10">
        <f>+(IF(P1101="PUBLICA(1)",1,IF(P1101="USO INTERNO(2)",2,IF(P1101="RESTRINGIDO(3)",3,3))))+(IF(Q1101="BAJA(1)",1,IF(Q1101="MEDIA(2)",2,IF(Q1101="ALTA(3)",3,3))))+(IF(R1101="BAJA(1)",1,IF(R1101="MEDIA(2)",2,IF(R1101="ALTA(3)",3,3))))</f>
        <v/>
      </c>
      <c r="T1101" s="10">
        <f>+IF(S1101&lt;6,"BAJA",IF(S1101&lt;8,"MEDIA","ALTA"))</f>
        <v/>
      </c>
      <c r="U1101" s="10" t="inlineStr">
        <is>
          <t>-</t>
        </is>
      </c>
      <c r="V1101" s="24" t="n">
        <v>45567</v>
      </c>
      <c r="W1101" s="19" t="inlineStr">
        <is>
          <t>N/A</t>
        </is>
      </c>
      <c r="X1101" s="10">
        <f>+IFERROR(IF(VLOOKUP(Tabla2[[#This Row],[ID]],'EVALUACION DE RIESGO'!A:A,1,FALSE)=Tabla2[[#This Row],[ID]],"SI","NO"),"NO")</f>
        <v/>
      </c>
      <c r="AD1101">
        <f>IF(AND(Y1101="",AA1101=""),"",IF(OR(LEFT(AA1101,2)="L0",LEFT(AA1101,2)="L1",Y1101="No Iniciado"),"CRÍTICO - Incumplimiento Normativo SEPS",IF(AND(OR(LEFT(AA1101,2)="L4",LEFT(AA1101,2)="L5"),AND(AC1101&lt;&gt;"",AC1101&lt;&gt;"N/A")),"CONFORME - Control Efectivo ISO 27001","OBSERVACIÓN - Revisar Controles")))</f>
        <v/>
      </c>
    </row>
    <row r="1102">
      <c r="A1102" s="99" t="inlineStr">
        <is>
          <t>80-GRI</t>
        </is>
      </c>
      <c r="B1102" s="10" t="inlineStr">
        <is>
          <t>ESTRATÉGICO</t>
        </is>
      </c>
      <c r="C1102" s="10" t="inlineStr">
        <is>
          <t>Gestión de Riesgos</t>
        </is>
      </c>
      <c r="D1102" s="10" t="inlineStr">
        <is>
          <t>GRI</t>
        </is>
      </c>
      <c r="E1102" s="10" t="inlineStr">
        <is>
          <t>Gestión de Riesgo de Liquidez</t>
        </is>
      </c>
      <c r="F1102" s="10" t="inlineStr">
        <is>
          <t>-</t>
        </is>
      </c>
      <c r="G1102" s="10" t="inlineStr">
        <is>
          <t>Actualización y seguimiento del Plan de Contingencia de Liquidez</t>
        </is>
      </c>
      <c r="H1102" s="10" t="inlineStr">
        <is>
          <t>Registro de definición indicadores y límites de riesgos.</t>
        </is>
      </c>
      <c r="I1102" s="10" t="inlineStr">
        <is>
          <t>Consolidacion de la Información</t>
        </is>
      </c>
      <c r="J1102" s="10" t="inlineStr">
        <is>
          <t>GERENTE DE RIESGOS</t>
        </is>
      </c>
      <c r="K1102" s="10" t="inlineStr">
        <is>
          <t>ANALISTA DE RIESGO DE LIQUIDEZ Y MERCADO</t>
        </is>
      </c>
      <c r="L1102" s="10" t="inlineStr">
        <is>
          <t>UBICACIÓN DIGITAL-EQUIPO DEL RESPONSABLE</t>
        </is>
      </c>
      <c r="M1102" s="10" t="inlineStr">
        <is>
          <t>DOCUMENTO DE ARCHIVO-ELECTRÓNICO</t>
        </is>
      </c>
      <c r="N1102" s="10" t="inlineStr">
        <is>
          <t>PRIMARIOS</t>
        </is>
      </c>
      <c r="O1102" s="10" t="inlineStr">
        <is>
          <t>DOCUMENTOS TÉCNICOS</t>
        </is>
      </c>
      <c r="P1102" s="10" t="inlineStr">
        <is>
          <t>PUBLICA(1)</t>
        </is>
      </c>
      <c r="Q1102" s="10" t="inlineStr">
        <is>
          <t>ALTA(3)</t>
        </is>
      </c>
      <c r="R1102" s="10" t="inlineStr">
        <is>
          <t>MEDIA(2)</t>
        </is>
      </c>
      <c r="S1102" s="10">
        <f>+(IF(P1102="PUBLICA(1)",1,IF(P1102="USO INTERNO(2)",2,IF(P1102="RESTRINGIDO(3)",3,3))))+(IF(Q1102="BAJA(1)",1,IF(Q1102="MEDIA(2)",2,IF(Q1102="ALTA(3)",3,3))))+(IF(R1102="BAJA(1)",1,IF(R1102="MEDIA(2)",2,IF(R1102="ALTA(3)",3,3))))</f>
        <v/>
      </c>
      <c r="T1102" s="10">
        <f>+IF(S1102&lt;6,"BAJA",IF(S1102&lt;8,"MEDIA","ALTA"))</f>
        <v/>
      </c>
      <c r="U1102" s="10" t="inlineStr">
        <is>
          <t>-</t>
        </is>
      </c>
      <c r="V1102" s="24" t="n">
        <v>45567</v>
      </c>
      <c r="W1102" s="19" t="inlineStr">
        <is>
          <t>N/A</t>
        </is>
      </c>
      <c r="X1102" s="10">
        <f>+IFERROR(IF(VLOOKUP(Tabla2[[#This Row],[ID]],'EVALUACION DE RIESGO'!A:A,1,FALSE)=Tabla2[[#This Row],[ID]],"SI","NO"),"NO")</f>
        <v/>
      </c>
      <c r="AD1102">
        <f>IF(AND(Y1102="",AA1102=""),"",IF(OR(LEFT(AA1102,2)="L0",LEFT(AA1102,2)="L1",Y1102="No Iniciado"),"CRÍTICO - Incumplimiento Normativo SEPS",IF(AND(OR(LEFT(AA1102,2)="L4",LEFT(AA1102,2)="L5"),AND(AC1102&lt;&gt;"",AC1102&lt;&gt;"N/A")),"CONFORME - Control Efectivo ISO 27001","OBSERVACIÓN - Revisar Controles")))</f>
        <v/>
      </c>
    </row>
    <row r="1103">
      <c r="A1103" s="99" t="inlineStr">
        <is>
          <t>81-GRI</t>
        </is>
      </c>
      <c r="B1103" s="10" t="inlineStr">
        <is>
          <t>ESTRATÉGICO</t>
        </is>
      </c>
      <c r="C1103" s="10" t="inlineStr">
        <is>
          <t>Gestión de Riesgos</t>
        </is>
      </c>
      <c r="D1103" s="10" t="inlineStr">
        <is>
          <t>GRI</t>
        </is>
      </c>
      <c r="E1103" s="10" t="inlineStr">
        <is>
          <t>Gestión de Riesgo de Liquidez</t>
        </is>
      </c>
      <c r="F1103" s="10" t="inlineStr">
        <is>
          <t>-</t>
        </is>
      </c>
      <c r="G1103" s="10" t="inlineStr">
        <is>
          <t>Actualización y seguimiento del Plan de Contingencia de Liquidez</t>
        </is>
      </c>
      <c r="H1103" s="10" t="inlineStr">
        <is>
          <t xml:space="preserve">Plan de Contingencia de Liquidez 
</t>
        </is>
      </c>
      <c r="I1103" s="10" t="inlineStr">
        <is>
          <t xml:space="preserve">Gestión de la Continuidad del Negocio
</t>
        </is>
      </c>
      <c r="J1103" s="10" t="inlineStr">
        <is>
          <t>GERENTE DE RIESGOS</t>
        </is>
      </c>
      <c r="K1103" s="10" t="inlineStr">
        <is>
          <t>ANALISTA DE RIESGO DE LIQUIDEZ Y MERCADO</t>
        </is>
      </c>
      <c r="L1103" s="10" t="inlineStr">
        <is>
          <t>UBICACIÓN DIGITAL-EQUIPO DEL RESPONSABLE</t>
        </is>
      </c>
      <c r="M1103" s="10" t="inlineStr">
        <is>
          <t>DOCUMENTO DE ARCHIVO-ELECTRÓNICO</t>
        </is>
      </c>
      <c r="N1103" s="10" t="inlineStr">
        <is>
          <t>PRIMARIOS</t>
        </is>
      </c>
      <c r="O1103" s="10" t="inlineStr">
        <is>
          <t>NORMATIVA INTERNA</t>
        </is>
      </c>
      <c r="P1103" s="10" t="inlineStr">
        <is>
          <t>PUBLICA(1)</t>
        </is>
      </c>
      <c r="Q1103" s="10" t="inlineStr">
        <is>
          <t>ALTA(3)</t>
        </is>
      </c>
      <c r="R1103" s="10" t="inlineStr">
        <is>
          <t>MEDIA(2)</t>
        </is>
      </c>
      <c r="S1103" s="10">
        <f>+(IF(P1103="PUBLICA(1)",1,IF(P1103="USO INTERNO(2)",2,IF(P1103="RESTRINGIDO(3)",3,3))))+(IF(Q1103="BAJA(1)",1,IF(Q1103="MEDIA(2)",2,IF(Q1103="ALTA(3)",3,3))))+(IF(R1103="BAJA(1)",1,IF(R1103="MEDIA(2)",2,IF(R1103="ALTA(3)",3,3))))</f>
        <v/>
      </c>
      <c r="T1103" s="10">
        <f>+IF(S1103&lt;6,"BAJA",IF(S1103&lt;8,"MEDIA","ALTA"))</f>
        <v/>
      </c>
      <c r="U1103" s="10" t="inlineStr">
        <is>
          <t>-</t>
        </is>
      </c>
      <c r="V1103" s="24" t="n">
        <v>45567</v>
      </c>
      <c r="W1103" s="19" t="inlineStr">
        <is>
          <t>N/A</t>
        </is>
      </c>
      <c r="X1103" s="10">
        <f>+IFERROR(IF(VLOOKUP(Tabla2[[#This Row],[ID]],'EVALUACION DE RIESGO'!A:A,1,FALSE)=Tabla2[[#This Row],[ID]],"SI","NO"),"NO")</f>
        <v/>
      </c>
      <c r="AD1103">
        <f>IF(AND(Y1103="",AA1103=""),"",IF(OR(LEFT(AA1103,2)="L0",LEFT(AA1103,2)="L1",Y1103="No Iniciado"),"CRÍTICO - Incumplimiento Normativo SEPS",IF(AND(OR(LEFT(AA1103,2)="L4",LEFT(AA1103,2)="L5"),AND(AC1103&lt;&gt;"",AC1103&lt;&gt;"N/A")),"CONFORME - Control Efectivo ISO 27001","OBSERVACIÓN - Revisar Controles")))</f>
        <v/>
      </c>
    </row>
    <row r="1104">
      <c r="A1104" s="99" t="inlineStr">
        <is>
          <t>82-GRI</t>
        </is>
      </c>
      <c r="B1104" s="10" t="inlineStr">
        <is>
          <t>ESTRATÉGICO</t>
        </is>
      </c>
      <c r="C1104" s="10" t="inlineStr">
        <is>
          <t>Gestión de Riesgos</t>
        </is>
      </c>
      <c r="D1104" s="10" t="inlineStr">
        <is>
          <t>GRI</t>
        </is>
      </c>
      <c r="E1104" s="10" t="inlineStr">
        <is>
          <t>Gestión de Riesgo de Liquidez</t>
        </is>
      </c>
      <c r="F1104" s="10" t="inlineStr">
        <is>
          <t>-</t>
        </is>
      </c>
      <c r="G1104" s="10" t="inlineStr">
        <is>
          <t>Actualización y seguimiento del Plan de Contingencia de Liquidez</t>
        </is>
      </c>
      <c r="H1104" s="10" t="inlineStr">
        <is>
          <t>Anexo de activos para la venta</t>
        </is>
      </c>
      <c r="I1104" s="10" t="inlineStr">
        <is>
          <t>Estrategia de contigencia</t>
        </is>
      </c>
      <c r="J1104" s="10" t="inlineStr">
        <is>
          <t>GERENTE DE RIESGOS</t>
        </is>
      </c>
      <c r="K1104" s="10" t="inlineStr">
        <is>
          <t>ANALISTA DE RIESGO DE LIQUIDEZ Y MERCADO</t>
        </is>
      </c>
      <c r="L1104" s="10" t="inlineStr">
        <is>
          <t>UBICACIÓN DIGITAL-EQUIPO DEL RESPONSABLE</t>
        </is>
      </c>
      <c r="M1104" s="10" t="inlineStr">
        <is>
          <t>DOCUMENTO DE ARCHIVO-ELECTRÓNICO</t>
        </is>
      </c>
      <c r="N1104" s="10" t="inlineStr">
        <is>
          <t>PRIMARIOS</t>
        </is>
      </c>
      <c r="O1104" s="10" t="inlineStr">
        <is>
          <t>NORMATIVA INTERNA</t>
        </is>
      </c>
      <c r="P1104" s="10" t="inlineStr">
        <is>
          <t>PUBLICA(1)</t>
        </is>
      </c>
      <c r="Q1104" s="10" t="inlineStr">
        <is>
          <t>ALTA(3)</t>
        </is>
      </c>
      <c r="R1104" s="10" t="inlineStr">
        <is>
          <t>MEDIA(2)</t>
        </is>
      </c>
      <c r="S1104" s="10">
        <f>+(IF(P1104="PUBLICA(1)",1,IF(P1104="USO INTERNO(2)",2,IF(P1104="RESTRINGIDO(3)",3,3))))+(IF(Q1104="BAJA(1)",1,IF(Q1104="MEDIA(2)",2,IF(Q1104="ALTA(3)",3,3))))+(IF(R1104="BAJA(1)",1,IF(R1104="MEDIA(2)",2,IF(R1104="ALTA(3)",3,3))))</f>
        <v/>
      </c>
      <c r="T1104" s="10">
        <f>+IF(S1104&lt;6,"BAJA",IF(S1104&lt;8,"MEDIA","ALTA"))</f>
        <v/>
      </c>
      <c r="U1104" s="10" t="inlineStr">
        <is>
          <t>-</t>
        </is>
      </c>
      <c r="V1104" s="24" t="n">
        <v>45567</v>
      </c>
      <c r="W1104" s="19" t="inlineStr">
        <is>
          <t>N/A</t>
        </is>
      </c>
      <c r="X1104" s="10">
        <f>+IFERROR(IF(VLOOKUP(Tabla2[[#This Row],[ID]],'EVALUACION DE RIESGO'!A:A,1,FALSE)=Tabla2[[#This Row],[ID]],"SI","NO"),"NO")</f>
        <v/>
      </c>
      <c r="AD1104">
        <f>IF(AND(Y1104="",AA1104=""),"",IF(OR(LEFT(AA1104,2)="L0",LEFT(AA1104,2)="L1",Y1104="No Iniciado"),"CRÍTICO - Incumplimiento Normativo SEPS",IF(AND(OR(LEFT(AA1104,2)="L4",LEFT(AA1104,2)="L5"),AND(AC1104&lt;&gt;"",AC1104&lt;&gt;"N/A")),"CONFORME - Control Efectivo ISO 27001","OBSERVACIÓN - Revisar Controles")))</f>
        <v/>
      </c>
    </row>
    <row r="1105">
      <c r="A1105" s="99" t="inlineStr">
        <is>
          <t>83-GRI</t>
        </is>
      </c>
      <c r="B1105" s="10" t="inlineStr">
        <is>
          <t>ESTRATÉGICO</t>
        </is>
      </c>
      <c r="C1105" s="10" t="inlineStr">
        <is>
          <t>Gestión de Riesgos</t>
        </is>
      </c>
      <c r="D1105" s="10" t="inlineStr">
        <is>
          <t>GRI</t>
        </is>
      </c>
      <c r="E1105" s="10" t="inlineStr">
        <is>
          <t>Gestión de Riesgo de Liquidez</t>
        </is>
      </c>
      <c r="F1105" s="10" t="inlineStr">
        <is>
          <t>-</t>
        </is>
      </c>
      <c r="G1105" s="10" t="inlineStr">
        <is>
          <t>Actualización y seguimiento del Plan de Gestión de Liquidez</t>
        </is>
      </c>
      <c r="H1105" s="10" t="inlineStr">
        <is>
          <t>Metodologías de Riesgo de Liquidez</t>
        </is>
      </c>
      <c r="I1105" s="10" t="inlineStr">
        <is>
          <t>Consolidacion de la Información</t>
        </is>
      </c>
      <c r="J1105" s="10" t="inlineStr">
        <is>
          <t>GERENTE DE RIESGOS</t>
        </is>
      </c>
      <c r="K1105" s="10" t="inlineStr">
        <is>
          <t>ANALISTA DE RIESGO DE LIQUIDEZ Y MERCADO</t>
        </is>
      </c>
      <c r="L1105" s="10" t="inlineStr">
        <is>
          <t>UBICACIÓN DIGITAL-EQUIPO DEL RESPONSABLE</t>
        </is>
      </c>
      <c r="M1105" s="10" t="inlineStr">
        <is>
          <t>DOCUMENTO DE ARCHIVO-ELECTRÓNICO</t>
        </is>
      </c>
      <c r="N1105" s="10" t="inlineStr">
        <is>
          <t>PRIMARIOS</t>
        </is>
      </c>
      <c r="O1105" s="10" t="inlineStr">
        <is>
          <t>NORMATIVA INTERNA</t>
        </is>
      </c>
      <c r="P1105" s="10" t="inlineStr">
        <is>
          <t>PUBLICA(1)</t>
        </is>
      </c>
      <c r="Q1105" s="10" t="inlineStr">
        <is>
          <t>ALTA(3)</t>
        </is>
      </c>
      <c r="R1105" s="10" t="inlineStr">
        <is>
          <t>MEDIA(2)</t>
        </is>
      </c>
      <c r="S1105" s="10">
        <f>+(IF(P1105="PUBLICA(1)",1,IF(P1105="USO INTERNO(2)",2,IF(P1105="RESTRINGIDO(3)",3,3))))+(IF(Q1105="BAJA(1)",1,IF(Q1105="MEDIA(2)",2,IF(Q1105="ALTA(3)",3,3))))+(IF(R1105="BAJA(1)",1,IF(R1105="MEDIA(2)",2,IF(R1105="ALTA(3)",3,3))))</f>
        <v/>
      </c>
      <c r="T1105" s="10">
        <f>+IF(S1105&lt;6,"BAJA",IF(S1105&lt;8,"MEDIA","ALTA"))</f>
        <v/>
      </c>
      <c r="U1105" s="10" t="inlineStr">
        <is>
          <t>-</t>
        </is>
      </c>
      <c r="V1105" s="24" t="n">
        <v>45567</v>
      </c>
      <c r="W1105" s="19" t="inlineStr">
        <is>
          <t>N/A</t>
        </is>
      </c>
      <c r="X1105" s="10">
        <f>+IFERROR(IF(VLOOKUP(Tabla2[[#This Row],[ID]],'EVALUACION DE RIESGO'!A:A,1,FALSE)=Tabla2[[#This Row],[ID]],"SI","NO"),"NO")</f>
        <v/>
      </c>
      <c r="AD1105">
        <f>IF(AND(Y1105="",AA1105=""),"",IF(OR(LEFT(AA1105,2)="L0",LEFT(AA1105,2)="L1",Y1105="No Iniciado"),"CRÍTICO - Incumplimiento Normativo SEPS",IF(AND(OR(LEFT(AA1105,2)="L4",LEFT(AA1105,2)="L5"),AND(AC1105&lt;&gt;"",AC1105&lt;&gt;"N/A")),"CONFORME - Control Efectivo ISO 27001","OBSERVACIÓN - Revisar Controles")))</f>
        <v/>
      </c>
    </row>
    <row r="1106">
      <c r="A1106" s="99" t="inlineStr">
        <is>
          <t>84-GRI</t>
        </is>
      </c>
      <c r="B1106" s="10" t="inlineStr">
        <is>
          <t>ESTRATÉGICO</t>
        </is>
      </c>
      <c r="C1106" s="10" t="inlineStr">
        <is>
          <t>Gestión de Riesgos</t>
        </is>
      </c>
      <c r="D1106" s="10" t="inlineStr">
        <is>
          <t>GRI</t>
        </is>
      </c>
      <c r="E1106" s="10" t="inlineStr">
        <is>
          <t>Gestión de Riesgo de Liquidez</t>
        </is>
      </c>
      <c r="F1106" s="10" t="inlineStr">
        <is>
          <t>-</t>
        </is>
      </c>
      <c r="G1106" s="10" t="inlineStr">
        <is>
          <t>Actualización y seguimiento del Plan de Gestión de Liquidez</t>
        </is>
      </c>
      <c r="H1106" s="10" t="inlineStr">
        <is>
          <t xml:space="preserve">Plan de Gestión de Riesgo de Liquidez </t>
        </is>
      </c>
      <c r="I1106" s="10" t="inlineStr">
        <is>
          <t>Consolidacion de la Información</t>
        </is>
      </c>
      <c r="J1106" s="10" t="inlineStr">
        <is>
          <t>GERENTE DE RIESGOS</t>
        </is>
      </c>
      <c r="K1106" s="10" t="inlineStr">
        <is>
          <t>ANALISTA DE RIESGO DE LIQUIDEZ Y MERCADO</t>
        </is>
      </c>
      <c r="L1106" s="10" t="inlineStr">
        <is>
          <t>UBICACIÓN DIGITAL-EQUIPO DEL RESPONSABLE</t>
        </is>
      </c>
      <c r="M1106" s="10" t="inlineStr">
        <is>
          <t>DOCUMENTO DE ARCHIVO-ELECTRÓNICO</t>
        </is>
      </c>
      <c r="N1106" s="10" t="inlineStr">
        <is>
          <t>PRIMARIOS</t>
        </is>
      </c>
      <c r="O1106" s="10" t="inlineStr">
        <is>
          <t>NORMATIVA INTERNA</t>
        </is>
      </c>
      <c r="P1106" s="10" t="inlineStr">
        <is>
          <t>PUBLICA(1)</t>
        </is>
      </c>
      <c r="Q1106" s="10" t="inlineStr">
        <is>
          <t>ALTA(3)</t>
        </is>
      </c>
      <c r="R1106" s="10" t="inlineStr">
        <is>
          <t>MEDIA(2)</t>
        </is>
      </c>
      <c r="S1106" s="10">
        <f>+(IF(P1106="PUBLICA(1)",1,IF(P1106="USO INTERNO(2)",2,IF(P1106="RESTRINGIDO(3)",3,3))))+(IF(Q1106="BAJA(1)",1,IF(Q1106="MEDIA(2)",2,IF(Q1106="ALTA(3)",3,3))))+(IF(R1106="BAJA(1)",1,IF(R1106="MEDIA(2)",2,IF(R1106="ALTA(3)",3,3))))</f>
        <v/>
      </c>
      <c r="T1106" s="10">
        <f>+IF(S1106&lt;6,"BAJA",IF(S1106&lt;8,"MEDIA","ALTA"))</f>
        <v/>
      </c>
      <c r="U1106" s="10" t="inlineStr">
        <is>
          <t>-</t>
        </is>
      </c>
      <c r="V1106" s="24" t="n">
        <v>45567</v>
      </c>
      <c r="W1106" s="19" t="inlineStr">
        <is>
          <t>N/A</t>
        </is>
      </c>
      <c r="X1106" s="10">
        <f>+IFERROR(IF(VLOOKUP(Tabla2[[#This Row],[ID]],'EVALUACION DE RIESGO'!A:A,1,FALSE)=Tabla2[[#This Row],[ID]],"SI","NO"),"NO")</f>
        <v/>
      </c>
      <c r="AD1106">
        <f>IF(AND(Y1106="",AA1106=""),"",IF(OR(LEFT(AA1106,2)="L0",LEFT(AA1106,2)="L1",Y1106="No Iniciado"),"CRÍTICO - Incumplimiento Normativo SEPS",IF(AND(OR(LEFT(AA1106,2)="L4",LEFT(AA1106,2)="L5"),AND(AC1106&lt;&gt;"",AC1106&lt;&gt;"N/A")),"CONFORME - Control Efectivo ISO 27001","OBSERVACIÓN - Revisar Controles")))</f>
        <v/>
      </c>
    </row>
    <row r="1107">
      <c r="A1107" s="99" t="inlineStr">
        <is>
          <t>85-GRI</t>
        </is>
      </c>
      <c r="B1107" s="10" t="inlineStr">
        <is>
          <t>ESTRATÉGICO</t>
        </is>
      </c>
      <c r="C1107" s="10" t="inlineStr">
        <is>
          <t>Gestión de Riesgos</t>
        </is>
      </c>
      <c r="D1107" s="10" t="inlineStr">
        <is>
          <t>GRI</t>
        </is>
      </c>
      <c r="E1107" s="10" t="inlineStr">
        <is>
          <t>Gestión de Riesgo de Conducta de Mercado</t>
        </is>
      </c>
      <c r="F1107" s="10" t="inlineStr">
        <is>
          <t>-</t>
        </is>
      </c>
      <c r="G1107" s="10" t="inlineStr">
        <is>
          <t>Administración del Riesgo de Conducta de Mercado</t>
        </is>
      </c>
      <c r="H1107" s="10" t="inlineStr">
        <is>
          <t>Reporte de Quejas y Reclamos</t>
        </is>
      </c>
      <c r="I1107" s="10" t="inlineStr">
        <is>
          <t>Gestión de Peticiones, Quejas, Reclamos, Requerimientos y Sugerencias - PQRS</t>
        </is>
      </c>
      <c r="J1107" s="10" t="inlineStr">
        <is>
          <t>GERENTE DE RIESGOS</t>
        </is>
      </c>
      <c r="K1107" s="10" t="inlineStr">
        <is>
          <t>ANALISTA DE RIESGO DE LIQUIDEZ Y MERCADO</t>
        </is>
      </c>
      <c r="L1107" s="10" t="inlineStr">
        <is>
          <t>UBICACIÓN DIGITAL-EQUIPO DEL RESPONSABLE</t>
        </is>
      </c>
      <c r="M1107" s="10" t="inlineStr">
        <is>
          <t>DOCUMENTO DE ARCHIVO-ELECTRÓNICO</t>
        </is>
      </c>
      <c r="N1107" s="10" t="inlineStr">
        <is>
          <t>PRIMARIOS</t>
        </is>
      </c>
      <c r="O1107" s="10" t="inlineStr">
        <is>
          <t>DOCUMENTOS TÉCNICOS</t>
        </is>
      </c>
      <c r="P1107" s="10" t="inlineStr">
        <is>
          <t>PUBLICA(1)</t>
        </is>
      </c>
      <c r="Q1107" s="10" t="inlineStr">
        <is>
          <t>ALTA(3)</t>
        </is>
      </c>
      <c r="R1107" s="10" t="inlineStr">
        <is>
          <t>MEDIA(2)</t>
        </is>
      </c>
      <c r="S1107" s="10">
        <f>+(IF(P1107="PUBLICA(1)",1,IF(P1107="USO INTERNO(2)",2,IF(P1107="RESTRINGIDO(3)",3,3))))+(IF(Q1107="BAJA(1)",1,IF(Q1107="MEDIA(2)",2,IF(Q1107="ALTA(3)",3,3))))+(IF(R1107="BAJA(1)",1,IF(R1107="MEDIA(2)",2,IF(R1107="ALTA(3)",3,3))))</f>
        <v/>
      </c>
      <c r="T1107" s="10">
        <f>+IF(S1107&lt;6,"BAJA",IF(S1107&lt;8,"MEDIA","ALTA"))</f>
        <v/>
      </c>
      <c r="U1107" s="10" t="inlineStr">
        <is>
          <t>-</t>
        </is>
      </c>
      <c r="V1107" s="24" t="n">
        <v>45568</v>
      </c>
      <c r="W1107" s="19" t="inlineStr">
        <is>
          <t>N/A</t>
        </is>
      </c>
      <c r="X1107" s="10">
        <f>+IFERROR(IF(VLOOKUP(Tabla2[[#This Row],[ID]],'EVALUACION DE RIESGO'!A:A,1,FALSE)=Tabla2[[#This Row],[ID]],"SI","NO"),"NO")</f>
        <v/>
      </c>
      <c r="AD1107">
        <f>IF(AND(Y1107="",AA1107=""),"",IF(OR(LEFT(AA1107,2)="L0",LEFT(AA1107,2)="L1",Y1107="No Iniciado"),"CRÍTICO - Incumplimiento Normativo SEPS",IF(AND(OR(LEFT(AA1107,2)="L4",LEFT(AA1107,2)="L5"),AND(AC1107&lt;&gt;"",AC1107&lt;&gt;"N/A")),"CONFORME - Control Efectivo ISO 27001","OBSERVACIÓN - Revisar Controles")))</f>
        <v/>
      </c>
    </row>
    <row r="1108">
      <c r="A1108" s="99" t="inlineStr">
        <is>
          <t>86-GRI</t>
        </is>
      </c>
      <c r="B1108" s="10" t="inlineStr">
        <is>
          <t>ESTRATÉGICO</t>
        </is>
      </c>
      <c r="C1108" s="10" t="inlineStr">
        <is>
          <t>Gestión de Riesgos</t>
        </is>
      </c>
      <c r="D1108" s="10" t="inlineStr">
        <is>
          <t>GRI</t>
        </is>
      </c>
      <c r="E1108" s="10" t="inlineStr">
        <is>
          <t>Gestión de Riesgo de Conducta de Mercado</t>
        </is>
      </c>
      <c r="F1108" s="10" t="inlineStr">
        <is>
          <t>-</t>
        </is>
      </c>
      <c r="G1108" s="10" t="inlineStr">
        <is>
          <t>Administración del Riesgo de Conducta de Mercado</t>
        </is>
      </c>
      <c r="H1108" s="10" t="inlineStr">
        <is>
          <t>Registro de eventos de riesgo de conducta de mercado</t>
        </is>
      </c>
      <c r="I1108" s="10" t="inlineStr">
        <is>
          <t xml:space="preserve">Archivo del departamento </t>
        </is>
      </c>
      <c r="J1108" s="10" t="inlineStr">
        <is>
          <t>GERENTE DE RIESGOS</t>
        </is>
      </c>
      <c r="K1108" s="10" t="inlineStr">
        <is>
          <t>ANALISTA DE RIESGO DE LIQUIDEZ Y MERCADO</t>
        </is>
      </c>
      <c r="L1108" s="10" t="inlineStr">
        <is>
          <t>UBICACIÓN DIGITAL-EQUIPO DEL RESPONSABLE</t>
        </is>
      </c>
      <c r="M1108" s="10" t="inlineStr">
        <is>
          <t>DOCUMENTO DE ARCHIVO-ELECTRÓNICO</t>
        </is>
      </c>
      <c r="N1108" s="10" t="inlineStr">
        <is>
          <t>PRIMARIOS</t>
        </is>
      </c>
      <c r="O1108" s="10" t="inlineStr">
        <is>
          <t>DOCUMENTOS TÉCNICOS</t>
        </is>
      </c>
      <c r="P1108" s="10" t="inlineStr">
        <is>
          <t>PUBLICA(1)</t>
        </is>
      </c>
      <c r="Q1108" s="10" t="inlineStr">
        <is>
          <t>ALTA(3)</t>
        </is>
      </c>
      <c r="R1108" s="10" t="inlineStr">
        <is>
          <t>MEDIA(2)</t>
        </is>
      </c>
      <c r="S1108" s="10">
        <f>+(IF(P1108="PUBLICA(1)",1,IF(P1108="USO INTERNO(2)",2,IF(P1108="RESTRINGIDO(3)",3,3))))+(IF(Q1108="BAJA(1)",1,IF(Q1108="MEDIA(2)",2,IF(Q1108="ALTA(3)",3,3))))+(IF(R1108="BAJA(1)",1,IF(R1108="MEDIA(2)",2,IF(R1108="ALTA(3)",3,3))))</f>
        <v/>
      </c>
      <c r="T1108" s="10">
        <f>+IF(S1108&lt;6,"BAJA",IF(S1108&lt;8,"MEDIA","ALTA"))</f>
        <v/>
      </c>
      <c r="U1108" s="10" t="inlineStr">
        <is>
          <t>-</t>
        </is>
      </c>
      <c r="V1108" s="24" t="n">
        <v>45568</v>
      </c>
      <c r="W1108" s="19" t="inlineStr">
        <is>
          <t>N/A</t>
        </is>
      </c>
      <c r="X1108" s="10">
        <f>+IFERROR(IF(VLOOKUP(Tabla2[[#This Row],[ID]],'EVALUACION DE RIESGO'!A:A,1,FALSE)=Tabla2[[#This Row],[ID]],"SI","NO"),"NO")</f>
        <v/>
      </c>
      <c r="AD1108">
        <f>IF(AND(Y1108="",AA1108=""),"",IF(OR(LEFT(AA1108,2)="L0",LEFT(AA1108,2)="L1",Y1108="No Iniciado"),"CRÍTICO - Incumplimiento Normativo SEPS",IF(AND(OR(LEFT(AA1108,2)="L4",LEFT(AA1108,2)="L5"),AND(AC1108&lt;&gt;"",AC1108&lt;&gt;"N/A")),"CONFORME - Control Efectivo ISO 27001","OBSERVACIÓN - Revisar Controles")))</f>
        <v/>
      </c>
    </row>
    <row r="1109">
      <c r="A1109" s="99" t="inlineStr">
        <is>
          <t>87-GRI</t>
        </is>
      </c>
      <c r="B1109" s="10" t="inlineStr">
        <is>
          <t>ESTRATÉGICO</t>
        </is>
      </c>
      <c r="C1109" s="10" t="inlineStr">
        <is>
          <t>Gestión de Riesgos</t>
        </is>
      </c>
      <c r="D1109" s="10" t="inlineStr">
        <is>
          <t>GRI</t>
        </is>
      </c>
      <c r="E1109" s="10" t="inlineStr">
        <is>
          <t>Gestión de Riesgo de Conducta de Mercado</t>
        </is>
      </c>
      <c r="F1109" s="10" t="inlineStr">
        <is>
          <t>-</t>
        </is>
      </c>
      <c r="G1109" s="10" t="inlineStr">
        <is>
          <t>Administración del Riesgo de Conducta de Mercado</t>
        </is>
      </c>
      <c r="H1109" s="10" t="inlineStr">
        <is>
          <t xml:space="preserve">
Matriz consolidada de riesgo de conducta de mercado.</t>
        </is>
      </c>
      <c r="I1109" s="10" t="inlineStr">
        <is>
          <t xml:space="preserve">Consolidación y comunicación de la Información </t>
        </is>
      </c>
      <c r="J1109" s="10" t="inlineStr">
        <is>
          <t>GERENTE DE RIESGOS</t>
        </is>
      </c>
      <c r="K1109" s="10" t="inlineStr">
        <is>
          <t>ANALISTA DE RIESGO DE LIQUIDEZ Y MERCADO</t>
        </is>
      </c>
      <c r="L1109" s="10" t="inlineStr">
        <is>
          <t>UBICACIÓN DIGITAL-EQUIPO DEL RESPONSABLE</t>
        </is>
      </c>
      <c r="M1109" s="10" t="inlineStr">
        <is>
          <t>DOCUMENTO DE ARCHIVO-ELECTRÓNICO</t>
        </is>
      </c>
      <c r="N1109" s="10" t="inlineStr">
        <is>
          <t>PRIMARIOS</t>
        </is>
      </c>
      <c r="O1109" s="10" t="inlineStr">
        <is>
          <t>DOCUMENTOS TÉCNICOS</t>
        </is>
      </c>
      <c r="P1109" s="10" t="inlineStr">
        <is>
          <t>PUBLICA(1)</t>
        </is>
      </c>
      <c r="Q1109" s="10" t="inlineStr">
        <is>
          <t>ALTA(3)</t>
        </is>
      </c>
      <c r="R1109" s="10" t="inlineStr">
        <is>
          <t>MEDIA(2)</t>
        </is>
      </c>
      <c r="S1109" s="10">
        <f>+(IF(P1109="PUBLICA(1)",1,IF(P1109="USO INTERNO(2)",2,IF(P1109="RESTRINGIDO(3)",3,3))))+(IF(Q1109="BAJA(1)",1,IF(Q1109="MEDIA(2)",2,IF(Q1109="ALTA(3)",3,3))))+(IF(R1109="BAJA(1)",1,IF(R1109="MEDIA(2)",2,IF(R1109="ALTA(3)",3,3))))</f>
        <v/>
      </c>
      <c r="T1109" s="10">
        <f>+IF(S1109&lt;6,"BAJA",IF(S1109&lt;8,"MEDIA","ALTA"))</f>
        <v/>
      </c>
      <c r="U1109" s="10" t="inlineStr">
        <is>
          <t>-</t>
        </is>
      </c>
      <c r="V1109" s="24" t="n">
        <v>45568</v>
      </c>
      <c r="W1109" s="19" t="inlineStr">
        <is>
          <t>N/A</t>
        </is>
      </c>
      <c r="X1109" s="10">
        <f>+IFERROR(IF(VLOOKUP(Tabla2[[#This Row],[ID]],'EVALUACION DE RIESGO'!A:A,1,FALSE)=Tabla2[[#This Row],[ID]],"SI","NO"),"NO")</f>
        <v/>
      </c>
      <c r="AD1109">
        <f>IF(AND(Y1109="",AA1109=""),"",IF(OR(LEFT(AA1109,2)="L0",LEFT(AA1109,2)="L1",Y1109="No Iniciado"),"CRÍTICO - Incumplimiento Normativo SEPS",IF(AND(OR(LEFT(AA1109,2)="L4",LEFT(AA1109,2)="L5"),AND(AC1109&lt;&gt;"",AC1109&lt;&gt;"N/A")),"CONFORME - Control Efectivo ISO 27001","OBSERVACIÓN - Revisar Controles")))</f>
        <v/>
      </c>
    </row>
    <row r="1110">
      <c r="A1110" s="99" t="inlineStr">
        <is>
          <t>88-GRI</t>
        </is>
      </c>
      <c r="B1110" s="10" t="inlineStr">
        <is>
          <t>ESTRATÉGICO</t>
        </is>
      </c>
      <c r="C1110" s="10" t="inlineStr">
        <is>
          <t>Gestión de Riesgos</t>
        </is>
      </c>
      <c r="D1110" s="10" t="inlineStr">
        <is>
          <t>GRI</t>
        </is>
      </c>
      <c r="E1110" s="10" t="inlineStr">
        <is>
          <t>Gestión de Riesgo de Conducta de Mercado</t>
        </is>
      </c>
      <c r="F1110" s="10" t="inlineStr">
        <is>
          <t>-</t>
        </is>
      </c>
      <c r="G1110" s="10" t="inlineStr">
        <is>
          <t>Administración del Riesgo de Conducta de Mercado</t>
        </is>
      </c>
      <c r="H1110" s="10" t="inlineStr">
        <is>
          <t>Matriz consolidada de riesgo de conducta de mercado.</t>
        </is>
      </c>
      <c r="I1110" s="10" t="inlineStr">
        <is>
          <t xml:space="preserve">Consolidación y comunicación de la Información </t>
        </is>
      </c>
      <c r="J1110" s="10" t="inlineStr">
        <is>
          <t>GERENTE DE RIESGOS</t>
        </is>
      </c>
      <c r="K1110" s="10" t="inlineStr">
        <is>
          <t>ANALISTA DE RIESGO DE LIQUIDEZ Y MERCADO</t>
        </is>
      </c>
      <c r="L1110" s="10" t="inlineStr">
        <is>
          <t>UBICACIÓN DIGITAL-EQUIPO DEL RESPONSABLE</t>
        </is>
      </c>
      <c r="M1110" s="10" t="inlineStr">
        <is>
          <t>DOCUMENTO DE ARCHIVO-ELECTRÓNICO</t>
        </is>
      </c>
      <c r="N1110" s="10" t="inlineStr">
        <is>
          <t>PRIMARIOS</t>
        </is>
      </c>
      <c r="O1110" s="10" t="inlineStr">
        <is>
          <t>DOCUMENTOS TÉCNICOS</t>
        </is>
      </c>
      <c r="P1110" s="10" t="inlineStr">
        <is>
          <t>PUBLICA(1)</t>
        </is>
      </c>
      <c r="Q1110" s="10" t="inlineStr">
        <is>
          <t>ALTA(3)</t>
        </is>
      </c>
      <c r="R1110" s="10" t="inlineStr">
        <is>
          <t>MEDIA(2)</t>
        </is>
      </c>
      <c r="S1110" s="10">
        <f>+(IF(P1110="PUBLICA(1)",1,IF(P1110="USO INTERNO(2)",2,IF(P1110="RESTRINGIDO(3)",3,3))))+(IF(Q1110="BAJA(1)",1,IF(Q1110="MEDIA(2)",2,IF(Q1110="ALTA(3)",3,3))))+(IF(R1110="BAJA(1)",1,IF(R1110="MEDIA(2)",2,IF(R1110="ALTA(3)",3,3))))</f>
        <v/>
      </c>
      <c r="T1110" s="10">
        <f>+IF(S1110&lt;6,"BAJA",IF(S1110&lt;8,"MEDIA","ALTA"))</f>
        <v/>
      </c>
      <c r="U1110" s="10" t="inlineStr">
        <is>
          <t>-</t>
        </is>
      </c>
      <c r="V1110" s="24" t="n">
        <v>45568</v>
      </c>
      <c r="W1110" s="19" t="inlineStr">
        <is>
          <t>N/A</t>
        </is>
      </c>
      <c r="X1110" s="10">
        <f>+IFERROR(IF(VLOOKUP(Tabla2[[#This Row],[ID]],'EVALUACION DE RIESGO'!A:A,1,FALSE)=Tabla2[[#This Row],[ID]],"SI","NO"),"NO")</f>
        <v/>
      </c>
      <c r="AD1110">
        <f>IF(AND(Y1110="",AA1110=""),"",IF(OR(LEFT(AA1110,2)="L0",LEFT(AA1110,2)="L1",Y1110="No Iniciado"),"CRÍTICO - Incumplimiento Normativo SEPS",IF(AND(OR(LEFT(AA1110,2)="L4",LEFT(AA1110,2)="L5"),AND(AC1110&lt;&gt;"",AC1110&lt;&gt;"N/A")),"CONFORME - Control Efectivo ISO 27001","OBSERVACIÓN - Revisar Controles")))</f>
        <v/>
      </c>
    </row>
    <row r="1111">
      <c r="A1111" s="99" t="inlineStr">
        <is>
          <t>89-GRI</t>
        </is>
      </c>
      <c r="B1111" s="10" t="inlineStr">
        <is>
          <t>ESTRATÉGICO</t>
        </is>
      </c>
      <c r="C1111" s="10" t="inlineStr">
        <is>
          <t>Gestión de Riesgos</t>
        </is>
      </c>
      <c r="D1111" s="10" t="inlineStr">
        <is>
          <t>GRI</t>
        </is>
      </c>
      <c r="E1111" s="10" t="inlineStr">
        <is>
          <t>Gestión de Riesgo de Conducta de Mercado</t>
        </is>
      </c>
      <c r="F1111" s="10" t="inlineStr">
        <is>
          <t>-</t>
        </is>
      </c>
      <c r="G1111" s="10" t="inlineStr">
        <is>
          <t>Administración del Riesgo de Conducta de Mercado</t>
        </is>
      </c>
      <c r="H1111" s="10" t="inlineStr">
        <is>
          <t>Informe de evaluación de aspectos de conducta de mercado.</t>
        </is>
      </c>
      <c r="I1111" s="10" t="inlineStr">
        <is>
          <t xml:space="preserve">Oferta de productos y servicios financieros </t>
        </is>
      </c>
      <c r="J1111" s="10" t="inlineStr">
        <is>
          <t>GERENTE DE RIESGOS</t>
        </is>
      </c>
      <c r="K1111" s="10" t="inlineStr">
        <is>
          <t>ANALISTA DE RIESGO DE LIQUIDEZ Y MERCADO</t>
        </is>
      </c>
      <c r="L1111" s="10" t="inlineStr">
        <is>
          <t>UBICACIÓN DIGITAL-EQUIPO DEL RESPONSABLE</t>
        </is>
      </c>
      <c r="M1111" s="10" t="inlineStr">
        <is>
          <t>DOCUMENTO DE ARCHIVO-ELECTRÓNICO</t>
        </is>
      </c>
      <c r="N1111" s="10" t="inlineStr">
        <is>
          <t>PRIMARIOS</t>
        </is>
      </c>
      <c r="O1111" s="10" t="inlineStr">
        <is>
          <t>DOCUMENTOS TÉCNICOS</t>
        </is>
      </c>
      <c r="P1111" s="10" t="inlineStr">
        <is>
          <t>PUBLICA(1)</t>
        </is>
      </c>
      <c r="Q1111" s="10" t="inlineStr">
        <is>
          <t>ALTA(3)</t>
        </is>
      </c>
      <c r="R1111" s="10" t="inlineStr">
        <is>
          <t>MEDIA(2)</t>
        </is>
      </c>
      <c r="S1111" s="10">
        <f>+(IF(P1111="PUBLICA(1)",1,IF(P1111="USO INTERNO(2)",2,IF(P1111="RESTRINGIDO(3)",3,3))))+(IF(Q1111="BAJA(1)",1,IF(Q1111="MEDIA(2)",2,IF(Q1111="ALTA(3)",3,3))))+(IF(R1111="BAJA(1)",1,IF(R1111="MEDIA(2)",2,IF(R1111="ALTA(3)",3,3))))</f>
        <v/>
      </c>
      <c r="T1111" s="10">
        <f>+IF(S1111&lt;6,"BAJA",IF(S1111&lt;8,"MEDIA","ALTA"))</f>
        <v/>
      </c>
      <c r="U1111" s="10" t="inlineStr">
        <is>
          <t>-</t>
        </is>
      </c>
      <c r="V1111" s="24" t="n">
        <v>45568</v>
      </c>
      <c r="W1111" s="19" t="inlineStr">
        <is>
          <t>N/A</t>
        </is>
      </c>
      <c r="X1111" s="10">
        <f>+IFERROR(IF(VLOOKUP(Tabla2[[#This Row],[ID]],'EVALUACION DE RIESGO'!A:A,1,FALSE)=Tabla2[[#This Row],[ID]],"SI","NO"),"NO")</f>
        <v/>
      </c>
      <c r="AD1111">
        <f>IF(AND(Y1111="",AA1111=""),"",IF(OR(LEFT(AA1111,2)="L0",LEFT(AA1111,2)="L1",Y1111="No Iniciado"),"CRÍTICO - Incumplimiento Normativo SEPS",IF(AND(OR(LEFT(AA1111,2)="L4",LEFT(AA1111,2)="L5"),AND(AC1111&lt;&gt;"",AC1111&lt;&gt;"N/A")),"CONFORME - Control Efectivo ISO 27001","OBSERVACIÓN - Revisar Controles")))</f>
        <v/>
      </c>
    </row>
    <row r="1112">
      <c r="A1112" s="99" t="inlineStr">
        <is>
          <t>90-GRI</t>
        </is>
      </c>
      <c r="B1112" s="10" t="inlineStr">
        <is>
          <t>ESTRATÉGICO</t>
        </is>
      </c>
      <c r="C1112" s="10" t="inlineStr">
        <is>
          <t>Gestión de Riesgos</t>
        </is>
      </c>
      <c r="D1112" s="10" t="inlineStr">
        <is>
          <t>GRI</t>
        </is>
      </c>
      <c r="E1112" s="10" t="inlineStr">
        <is>
          <t>Gestión de Riesgo de Conducta de Mercado</t>
        </is>
      </c>
      <c r="F1112" s="10" t="inlineStr">
        <is>
          <t>-</t>
        </is>
      </c>
      <c r="G1112" s="10" t="inlineStr">
        <is>
          <t>Administración del Riesgo de Conducta de Mercado</t>
        </is>
      </c>
      <c r="H1112" s="10" t="inlineStr">
        <is>
          <t>Informe mensual</t>
        </is>
      </c>
      <c r="I1112" s="10" t="inlineStr">
        <is>
          <t>Consolidacion de la Informacion</t>
        </is>
      </c>
      <c r="J1112" s="10" t="inlineStr">
        <is>
          <t>GERENTE DE RIESGOS</t>
        </is>
      </c>
      <c r="K1112" s="10" t="inlineStr">
        <is>
          <t>ANALISTA DE RIESGO DE LIQUIDEZ Y MERCADO</t>
        </is>
      </c>
      <c r="L1112" s="10" t="inlineStr">
        <is>
          <t>UBICACIÓN DIGITAL-EQUIPO DEL RESPONSABLE</t>
        </is>
      </c>
      <c r="M1112" s="10" t="inlineStr">
        <is>
          <t>DOCUMENTO DE ARCHIVO-ELECTRÓNICO</t>
        </is>
      </c>
      <c r="N1112" s="10" t="inlineStr">
        <is>
          <t>PRIMARIOS</t>
        </is>
      </c>
      <c r="O1112" s="10" t="inlineStr">
        <is>
          <t>DOCUMENTOS TÉCNICOS</t>
        </is>
      </c>
      <c r="P1112" s="10" t="inlineStr">
        <is>
          <t>PUBLICA(1)</t>
        </is>
      </c>
      <c r="Q1112" s="10" t="inlineStr">
        <is>
          <t>ALTA(3)</t>
        </is>
      </c>
      <c r="R1112" s="10" t="inlineStr">
        <is>
          <t>MEDIA(2)</t>
        </is>
      </c>
      <c r="S1112" s="10">
        <f>+(IF(P1112="PUBLICA(1)",1,IF(P1112="USO INTERNO(2)",2,IF(P1112="RESTRINGIDO(3)",3,3))))+(IF(Q1112="BAJA(1)",1,IF(Q1112="MEDIA(2)",2,IF(Q1112="ALTA(3)",3,3))))+(IF(R1112="BAJA(1)",1,IF(R1112="MEDIA(2)",2,IF(R1112="ALTA(3)",3,3))))</f>
        <v/>
      </c>
      <c r="T1112" s="10">
        <f>+IF(S1112&lt;6,"BAJA",IF(S1112&lt;8,"MEDIA","ALTA"))</f>
        <v/>
      </c>
      <c r="U1112" s="10" t="inlineStr">
        <is>
          <t>-</t>
        </is>
      </c>
      <c r="V1112" s="24" t="n">
        <v>45568</v>
      </c>
      <c r="W1112" s="19" t="inlineStr">
        <is>
          <t>N/A</t>
        </is>
      </c>
      <c r="X1112" s="10">
        <f>+IFERROR(IF(VLOOKUP(Tabla2[[#This Row],[ID]],'EVALUACION DE RIESGO'!A:A,1,FALSE)=Tabla2[[#This Row],[ID]],"SI","NO"),"NO")</f>
        <v/>
      </c>
      <c r="AD1112">
        <f>IF(AND(Y1112="",AA1112=""),"",IF(OR(LEFT(AA1112,2)="L0",LEFT(AA1112,2)="L1",Y1112="No Iniciado"),"CRÍTICO - Incumplimiento Normativo SEPS",IF(AND(OR(LEFT(AA1112,2)="L4",LEFT(AA1112,2)="L5"),AND(AC1112&lt;&gt;"",AC1112&lt;&gt;"N/A")),"CONFORME - Control Efectivo ISO 27001","OBSERVACIÓN - Revisar Controles")))</f>
        <v/>
      </c>
    </row>
    <row r="1113">
      <c r="A1113" s="99" t="inlineStr">
        <is>
          <t>91-GRI</t>
        </is>
      </c>
      <c r="B1113" s="10" t="inlineStr">
        <is>
          <t>ESTRATÉGICO</t>
        </is>
      </c>
      <c r="C1113" s="10" t="inlineStr">
        <is>
          <t>Gestión de Riesgos</t>
        </is>
      </c>
      <c r="D1113" s="10" t="inlineStr">
        <is>
          <t>GRI</t>
        </is>
      </c>
      <c r="E1113" s="10" t="inlineStr">
        <is>
          <t>Gestión de Riesgo de Conducta de Mercado</t>
        </is>
      </c>
      <c r="F1113" s="10" t="inlineStr">
        <is>
          <t>-</t>
        </is>
      </c>
      <c r="G1113" s="10" t="inlineStr">
        <is>
          <t>Administración del Riesgo de Conducta de Mercado</t>
        </is>
      </c>
      <c r="H1113" s="10" t="inlineStr">
        <is>
          <t>Acta CAIR</t>
        </is>
      </c>
      <c r="I1113" s="10" t="inlineStr">
        <is>
          <t xml:space="preserve">Archivo del departamento </t>
        </is>
      </c>
      <c r="J1113" s="10" t="inlineStr">
        <is>
          <t>GERENTE DE RIESGOS</t>
        </is>
      </c>
      <c r="K1113" s="10" t="inlineStr">
        <is>
          <t>ANALISTA DE RIESGO DE LIQUIDEZ Y MERCADO</t>
        </is>
      </c>
      <c r="L1113" s="10" t="inlineStr">
        <is>
          <t>UBICACIÓN DIGITAL-EQUIPO DEL RESPONSABLE</t>
        </is>
      </c>
      <c r="M1113" s="10" t="inlineStr">
        <is>
          <t>DOCUMENTO DE ARCHIVO-ELECTRÓNICO</t>
        </is>
      </c>
      <c r="N1113" s="10" t="inlineStr">
        <is>
          <t>PRIMARIOS</t>
        </is>
      </c>
      <c r="O1113" s="10" t="inlineStr">
        <is>
          <t>OTROS</t>
        </is>
      </c>
      <c r="P1113" s="10" t="inlineStr">
        <is>
          <t>PUBLICA(1)</t>
        </is>
      </c>
      <c r="Q1113" s="10" t="inlineStr">
        <is>
          <t>ALTA(3)</t>
        </is>
      </c>
      <c r="R1113" s="10" t="inlineStr">
        <is>
          <t>MEDIA(2)</t>
        </is>
      </c>
      <c r="S1113" s="10">
        <f>+(IF(P1113="PUBLICA(1)",1,IF(P1113="USO INTERNO(2)",2,IF(P1113="RESTRINGIDO(3)",3,3))))+(IF(Q1113="BAJA(1)",1,IF(Q1113="MEDIA(2)",2,IF(Q1113="ALTA(3)",3,3))))+(IF(R1113="BAJA(1)",1,IF(R1113="MEDIA(2)",2,IF(R1113="ALTA(3)",3,3))))</f>
        <v/>
      </c>
      <c r="T1113" s="10">
        <f>+IF(S1113&lt;6,"BAJA",IF(S1113&lt;8,"MEDIA","ALTA"))</f>
        <v/>
      </c>
      <c r="U1113" s="10" t="inlineStr">
        <is>
          <t>-</t>
        </is>
      </c>
      <c r="V1113" s="24" t="n">
        <v>45568</v>
      </c>
      <c r="W1113" s="19" t="inlineStr">
        <is>
          <t>N/A</t>
        </is>
      </c>
      <c r="X1113" s="10">
        <f>+IFERROR(IF(VLOOKUP(Tabla2[[#This Row],[ID]],'EVALUACION DE RIESGO'!A:A,1,FALSE)=Tabla2[[#This Row],[ID]],"SI","NO"),"NO")</f>
        <v/>
      </c>
      <c r="AD1113">
        <f>IF(AND(Y1113="",AA1113=""),"",IF(OR(LEFT(AA1113,2)="L0",LEFT(AA1113,2)="L1",Y1113="No Iniciado"),"CRÍTICO - Incumplimiento Normativo SEPS",IF(AND(OR(LEFT(AA1113,2)="L4",LEFT(AA1113,2)="L5"),AND(AC1113&lt;&gt;"",AC1113&lt;&gt;"N/A")),"CONFORME - Control Efectivo ISO 27001","OBSERVACIÓN - Revisar Controles")))</f>
        <v/>
      </c>
    </row>
    <row r="1114">
      <c r="A1114" s="99" t="inlineStr">
        <is>
          <t>92-GRI</t>
        </is>
      </c>
      <c r="B1114" s="10" t="inlineStr">
        <is>
          <t>ESTRATÉGICO</t>
        </is>
      </c>
      <c r="C1114" s="10" t="inlineStr">
        <is>
          <t>Gestión de Riesgos</t>
        </is>
      </c>
      <c r="D1114" s="10" t="inlineStr">
        <is>
          <t>GRI</t>
        </is>
      </c>
      <c r="E1114" s="10" t="inlineStr">
        <is>
          <t>Gestión de Riesgo de Conducta de Mercado</t>
        </is>
      </c>
      <c r="F1114" s="10" t="inlineStr">
        <is>
          <t>-</t>
        </is>
      </c>
      <c r="G1114" s="10" t="inlineStr">
        <is>
          <t>Administración del Riesgo de Conducta de Mercado</t>
        </is>
      </c>
      <c r="H1114" s="10" t="inlineStr">
        <is>
          <t>Acta del Consejo de Administración</t>
        </is>
      </c>
      <c r="I1114" s="10" t="inlineStr">
        <is>
          <t>Archivo de actas Consejo de Administración</t>
        </is>
      </c>
      <c r="J1114" s="10" t="inlineStr">
        <is>
          <t>GERENTE DE RIESGOS</t>
        </is>
      </c>
      <c r="K1114" s="10" t="inlineStr">
        <is>
          <t>ANALISTA DE RIESGO DE LIQUIDEZ Y MERCADO</t>
        </is>
      </c>
      <c r="L1114" s="10" t="inlineStr">
        <is>
          <t>UBICACIÓN DIGITAL-EQUIPO DEL RESPONSABLE</t>
        </is>
      </c>
      <c r="M1114" s="10" t="inlineStr">
        <is>
          <t>DOCUMENTO DE ARCHIVO-ELECTRÓNICO</t>
        </is>
      </c>
      <c r="N1114" s="10" t="inlineStr">
        <is>
          <t>PRIMARIOS</t>
        </is>
      </c>
      <c r="O1114" s="10" t="inlineStr">
        <is>
          <t>OTROS</t>
        </is>
      </c>
      <c r="P1114" s="10" t="inlineStr">
        <is>
          <t>PUBLICA(1)</t>
        </is>
      </c>
      <c r="Q1114" s="10" t="inlineStr">
        <is>
          <t>ALTA(3)</t>
        </is>
      </c>
      <c r="R1114" s="10" t="inlineStr">
        <is>
          <t>MEDIA(2)</t>
        </is>
      </c>
      <c r="S1114" s="10">
        <f>+(IF(P1114="PUBLICA(1)",1,IF(P1114="USO INTERNO(2)",2,IF(P1114="RESTRINGIDO(3)",3,3))))+(IF(Q1114="BAJA(1)",1,IF(Q1114="MEDIA(2)",2,IF(Q1114="ALTA(3)",3,3))))+(IF(R1114="BAJA(1)",1,IF(R1114="MEDIA(2)",2,IF(R1114="ALTA(3)",3,3))))</f>
        <v/>
      </c>
      <c r="T1114" s="10">
        <f>+IF(S1114&lt;6,"BAJA",IF(S1114&lt;8,"MEDIA","ALTA"))</f>
        <v/>
      </c>
      <c r="U1114" s="10" t="inlineStr">
        <is>
          <t>-</t>
        </is>
      </c>
      <c r="V1114" s="24" t="n">
        <v>45568</v>
      </c>
      <c r="W1114" s="19" t="inlineStr">
        <is>
          <t>N/A</t>
        </is>
      </c>
      <c r="X1114" s="10">
        <f>+IFERROR(IF(VLOOKUP(Tabla2[[#This Row],[ID]],'EVALUACION DE RIESGO'!A:A,1,FALSE)=Tabla2[[#This Row],[ID]],"SI","NO"),"NO")</f>
        <v/>
      </c>
      <c r="AD1114">
        <f>IF(AND(Y1114="",AA1114=""),"",IF(OR(LEFT(AA1114,2)="L0",LEFT(AA1114,2)="L1",Y1114="No Iniciado"),"CRÍTICO - Incumplimiento Normativo SEPS",IF(AND(OR(LEFT(AA1114,2)="L4",LEFT(AA1114,2)="L5"),AND(AC1114&lt;&gt;"",AC1114&lt;&gt;"N/A")),"CONFORME - Control Efectivo ISO 27001","OBSERVACIÓN - Revisar Controles")))</f>
        <v/>
      </c>
    </row>
    <row r="1115">
      <c r="A1115" s="99" t="inlineStr">
        <is>
          <t>93-GRI</t>
        </is>
      </c>
      <c r="B1115" s="10" t="inlineStr">
        <is>
          <t>ESTRATÉGICO</t>
        </is>
      </c>
      <c r="C1115" s="10" t="inlineStr">
        <is>
          <t>Gestión de Riesgos</t>
        </is>
      </c>
      <c r="D1115" s="10" t="inlineStr">
        <is>
          <t>GRI</t>
        </is>
      </c>
      <c r="E1115" s="10" t="inlineStr">
        <is>
          <t>Gestión de Riesgo de Conducta de Mercado</t>
        </is>
      </c>
      <c r="F1115" s="10" t="inlineStr">
        <is>
          <t>-</t>
        </is>
      </c>
      <c r="G1115" s="10" t="inlineStr">
        <is>
          <t>Administración del Riesgo de Conducta de Mercado</t>
        </is>
      </c>
      <c r="H1115" s="10" t="inlineStr">
        <is>
          <t>Acta del Consejo de Vigilancia</t>
        </is>
      </c>
      <c r="I1115" s="10" t="inlineStr">
        <is>
          <t>Archivo de actas Consejo de Vigilancia</t>
        </is>
      </c>
      <c r="J1115" s="10" t="inlineStr">
        <is>
          <t>GERENTE DE RIESGOS</t>
        </is>
      </c>
      <c r="K1115" s="10" t="inlineStr">
        <is>
          <t>ANALISTA DE RIESGO DE LIQUIDEZ Y MERCADO</t>
        </is>
      </c>
      <c r="L1115" s="10" t="inlineStr">
        <is>
          <t>UBICACIÓN DIGITAL-EQUIPO DEL RESPONSABLE</t>
        </is>
      </c>
      <c r="M1115" s="10" t="inlineStr">
        <is>
          <t>DOCUMENTO DE ARCHIVO-ELECTRÓNICO</t>
        </is>
      </c>
      <c r="N1115" s="10" t="inlineStr">
        <is>
          <t>PRIMARIOS</t>
        </is>
      </c>
      <c r="O1115" s="10" t="inlineStr">
        <is>
          <t>OTROS</t>
        </is>
      </c>
      <c r="P1115" s="10" t="inlineStr">
        <is>
          <t>PUBLICA(1)</t>
        </is>
      </c>
      <c r="Q1115" s="10" t="inlineStr">
        <is>
          <t>ALTA(3)</t>
        </is>
      </c>
      <c r="R1115" s="10" t="inlineStr">
        <is>
          <t>MEDIA(2)</t>
        </is>
      </c>
      <c r="S1115" s="10">
        <f>+(IF(P1115="PUBLICA(1)",1,IF(P1115="USO INTERNO(2)",2,IF(P1115="RESTRINGIDO(3)",3,3))))+(IF(Q1115="BAJA(1)",1,IF(Q1115="MEDIA(2)",2,IF(Q1115="ALTA(3)",3,3))))+(IF(R1115="BAJA(1)",1,IF(R1115="MEDIA(2)",2,IF(R1115="ALTA(3)",3,3))))</f>
        <v/>
      </c>
      <c r="T1115" s="10">
        <f>+IF(S1115&lt;6,"BAJA",IF(S1115&lt;8,"MEDIA","ALTA"))</f>
        <v/>
      </c>
      <c r="U1115" s="10" t="inlineStr">
        <is>
          <t>-</t>
        </is>
      </c>
      <c r="V1115" s="24" t="n">
        <v>45568</v>
      </c>
      <c r="W1115" s="19" t="inlineStr">
        <is>
          <t>N/A</t>
        </is>
      </c>
      <c r="X1115" s="10">
        <f>+IFERROR(IF(VLOOKUP(Tabla2[[#This Row],[ID]],'EVALUACION DE RIESGO'!A:A,1,FALSE)=Tabla2[[#This Row],[ID]],"SI","NO"),"NO")</f>
        <v/>
      </c>
      <c r="AD1115">
        <f>IF(AND(Y1115="",AA1115=""),"",IF(OR(LEFT(AA1115,2)="L0",LEFT(AA1115,2)="L1",Y1115="No Iniciado"),"CRÍTICO - Incumplimiento Normativo SEPS",IF(AND(OR(LEFT(AA1115,2)="L4",LEFT(AA1115,2)="L5"),AND(AC1115&lt;&gt;"",AC1115&lt;&gt;"N/A")),"CONFORME - Control Efectivo ISO 27001","OBSERVACIÓN - Revisar Controles")))</f>
        <v/>
      </c>
    </row>
    <row r="1116">
      <c r="A1116" s="99" t="inlineStr">
        <is>
          <t>94-GRI</t>
        </is>
      </c>
      <c r="B1116" s="10" t="inlineStr">
        <is>
          <t>ESTRATÉGICO</t>
        </is>
      </c>
      <c r="C1116" s="10" t="inlineStr">
        <is>
          <t>Gestión de Riesgos</t>
        </is>
      </c>
      <c r="D1116" s="10" t="inlineStr">
        <is>
          <t>GRI</t>
        </is>
      </c>
      <c r="E1116" s="10" t="inlineStr">
        <is>
          <t>Gestión de Riesgo de Mercado</t>
        </is>
      </c>
      <c r="F1116" s="10" t="inlineStr">
        <is>
          <t>-</t>
        </is>
      </c>
      <c r="G1116" s="10" t="inlineStr">
        <is>
          <t>Análisis de Brechas de sensibilidad</t>
        </is>
      </c>
      <c r="H1116" s="10" t="inlineStr">
        <is>
          <t>Registro de información del mercado</t>
        </is>
      </c>
      <c r="I1116" s="10" t="inlineStr">
        <is>
          <t xml:space="preserve">Consolidación de la información  </t>
        </is>
      </c>
      <c r="J1116" s="10" t="inlineStr">
        <is>
          <t>GERENTE DE RIESGOS</t>
        </is>
      </c>
      <c r="K1116" s="10" t="inlineStr">
        <is>
          <t>ANALISTA DE RIESGO DE LIQUIDEZ Y MERCADO</t>
        </is>
      </c>
      <c r="L1116" s="10" t="inlineStr">
        <is>
          <t>UBICACIÓN DIGITAL-EQUIPO DEL RESPONSABLE</t>
        </is>
      </c>
      <c r="M1116" s="10" t="inlineStr">
        <is>
          <t>DOCUMENTO DE ARCHIVO-ELECTRÓNICO</t>
        </is>
      </c>
      <c r="N1116" s="10" t="inlineStr">
        <is>
          <t>PRIMARIOS</t>
        </is>
      </c>
      <c r="O1116" s="10" t="inlineStr">
        <is>
          <t>DOCUMENTOS TÉCNICOS</t>
        </is>
      </c>
      <c r="P1116" s="10" t="inlineStr">
        <is>
          <t>PUBLICA(1)</t>
        </is>
      </c>
      <c r="Q1116" s="10" t="inlineStr">
        <is>
          <t>ALTA(3)</t>
        </is>
      </c>
      <c r="R1116" s="10" t="inlineStr">
        <is>
          <t>MEDIA(2)</t>
        </is>
      </c>
      <c r="S1116" s="10">
        <f>+(IF(P1116="PUBLICA(1)",1,IF(P1116="USO INTERNO(2)",2,IF(P1116="RESTRINGIDO(3)",3,3))))+(IF(Q1116="BAJA(1)",1,IF(Q1116="MEDIA(2)",2,IF(Q1116="ALTA(3)",3,3))))+(IF(R1116="BAJA(1)",1,IF(R1116="MEDIA(2)",2,IF(R1116="ALTA(3)",3,3))))</f>
        <v/>
      </c>
      <c r="T1116" s="10">
        <f>+IF(S1116&lt;6,"BAJA",IF(S1116&lt;8,"MEDIA","ALTA"))</f>
        <v/>
      </c>
      <c r="U1116" s="10" t="inlineStr">
        <is>
          <t>-</t>
        </is>
      </c>
      <c r="V1116" s="24" t="n">
        <v>45568</v>
      </c>
      <c r="W1116" s="19" t="inlineStr">
        <is>
          <t>N/A</t>
        </is>
      </c>
      <c r="X1116" s="10">
        <f>+IFERROR(IF(VLOOKUP(Tabla2[[#This Row],[ID]],'EVALUACION DE RIESGO'!A:A,1,FALSE)=Tabla2[[#This Row],[ID]],"SI","NO"),"NO")</f>
        <v/>
      </c>
      <c r="AD1116">
        <f>IF(AND(Y1116="",AA1116=""),"",IF(OR(LEFT(AA1116,2)="L0",LEFT(AA1116,2)="L1",Y1116="No Iniciado"),"CRÍTICO - Incumplimiento Normativo SEPS",IF(AND(OR(LEFT(AA1116,2)="L4",LEFT(AA1116,2)="L5"),AND(AC1116&lt;&gt;"",AC1116&lt;&gt;"N/A")),"CONFORME - Control Efectivo ISO 27001","OBSERVACIÓN - Revisar Controles")))</f>
        <v/>
      </c>
    </row>
    <row r="1117">
      <c r="A1117" s="99" t="inlineStr">
        <is>
          <t>95-GRI</t>
        </is>
      </c>
      <c r="B1117" s="10" t="inlineStr">
        <is>
          <t>ESTRATÉGICO</t>
        </is>
      </c>
      <c r="C1117" s="10" t="inlineStr">
        <is>
          <t>Gestión de Riesgos</t>
        </is>
      </c>
      <c r="D1117" s="10" t="inlineStr">
        <is>
          <t>GRI</t>
        </is>
      </c>
      <c r="E1117" s="10" t="inlineStr">
        <is>
          <t>Gestión de Riesgo de Mercado</t>
        </is>
      </c>
      <c r="F1117" s="10" t="inlineStr">
        <is>
          <t>-</t>
        </is>
      </c>
      <c r="G1117" s="10" t="inlineStr">
        <is>
          <t>Análisis de Brechas de sensibilidad</t>
        </is>
      </c>
      <c r="H1117" s="10" t="inlineStr">
        <is>
          <t>Reporte de Brechas de Sensibilidad</t>
        </is>
      </c>
      <c r="I1117" s="10" t="inlineStr">
        <is>
          <t xml:space="preserve">Consolidación de la información  </t>
        </is>
      </c>
      <c r="J1117" s="10" t="inlineStr">
        <is>
          <t>GERENTE DE RIESGOS</t>
        </is>
      </c>
      <c r="K1117" s="10" t="inlineStr">
        <is>
          <t>ANALISTA DE RIESGO DE LIQUIDEZ Y MERCADO</t>
        </is>
      </c>
      <c r="L1117" s="10" t="inlineStr">
        <is>
          <t>UBICACIÓN DIGITAL-EQUIPO DEL RESPONSABLE</t>
        </is>
      </c>
      <c r="M1117" s="10" t="inlineStr">
        <is>
          <t>DOCUMENTO DE ARCHIVO-ELECTRÓNICO</t>
        </is>
      </c>
      <c r="N1117" s="10" t="inlineStr">
        <is>
          <t>PRIMARIOS</t>
        </is>
      </c>
      <c r="O1117" s="10" t="inlineStr">
        <is>
          <t>DOCUMENTOS TÉCNICOS</t>
        </is>
      </c>
      <c r="P1117" s="10" t="inlineStr">
        <is>
          <t>PUBLICA(1)</t>
        </is>
      </c>
      <c r="Q1117" s="10" t="inlineStr">
        <is>
          <t>ALTA(3)</t>
        </is>
      </c>
      <c r="R1117" s="10" t="inlineStr">
        <is>
          <t>MEDIA(2)</t>
        </is>
      </c>
      <c r="S1117" s="10">
        <f>+(IF(P1117="PUBLICA(1)",1,IF(P1117="USO INTERNO(2)",2,IF(P1117="RESTRINGIDO(3)",3,3))))+(IF(Q1117="BAJA(1)",1,IF(Q1117="MEDIA(2)",2,IF(Q1117="ALTA(3)",3,3))))+(IF(R1117="BAJA(1)",1,IF(R1117="MEDIA(2)",2,IF(R1117="ALTA(3)",3,3))))</f>
        <v/>
      </c>
      <c r="T1117" s="10">
        <f>+IF(S1117&lt;6,"BAJA",IF(S1117&lt;8,"MEDIA","ALTA"))</f>
        <v/>
      </c>
      <c r="U1117" s="10" t="inlineStr">
        <is>
          <t>-</t>
        </is>
      </c>
      <c r="V1117" s="24" t="n">
        <v>45568</v>
      </c>
      <c r="W1117" s="19" t="inlineStr">
        <is>
          <t>N/A</t>
        </is>
      </c>
      <c r="X1117" s="10">
        <f>+IFERROR(IF(VLOOKUP(Tabla2[[#This Row],[ID]],'EVALUACION DE RIESGO'!A:A,1,FALSE)=Tabla2[[#This Row],[ID]],"SI","NO"),"NO")</f>
        <v/>
      </c>
      <c r="AD1117">
        <f>IF(AND(Y1117="",AA1117=""),"",IF(OR(LEFT(AA1117,2)="L0",LEFT(AA1117,2)="L1",Y1117="No Iniciado"),"CRÍTICO - Incumplimiento Normativo SEPS",IF(AND(OR(LEFT(AA1117,2)="L4",LEFT(AA1117,2)="L5"),AND(AC1117&lt;&gt;"",AC1117&lt;&gt;"N/A")),"CONFORME - Control Efectivo ISO 27001","OBSERVACIÓN - Revisar Controles")))</f>
        <v/>
      </c>
    </row>
    <row r="1118">
      <c r="A1118" s="99" t="inlineStr">
        <is>
          <t>96-GRI</t>
        </is>
      </c>
      <c r="B1118" s="10" t="inlineStr">
        <is>
          <t>ESTRATÉGICO</t>
        </is>
      </c>
      <c r="C1118" s="10" t="inlineStr">
        <is>
          <t>Gestión de Riesgos</t>
        </is>
      </c>
      <c r="D1118" s="10" t="inlineStr">
        <is>
          <t>GRI</t>
        </is>
      </c>
      <c r="E1118" s="10" t="inlineStr">
        <is>
          <t>Gestión de Riesgo de Mercado</t>
        </is>
      </c>
      <c r="F1118" s="10" t="inlineStr">
        <is>
          <t>-</t>
        </is>
      </c>
      <c r="G1118" s="10" t="inlineStr">
        <is>
          <t>Análisis de la Sensibilidad al margen financiero y valor patrimonial</t>
        </is>
      </c>
      <c r="H1118" s="10" t="inlineStr">
        <is>
          <t>Tasa activa y pasiva referencial del BCE.</t>
        </is>
      </c>
      <c r="I1118" s="10" t="inlineStr">
        <is>
          <t>Información Externo</t>
        </is>
      </c>
      <c r="J1118" s="10" t="inlineStr">
        <is>
          <t>GERENTE DE RIESGOS</t>
        </is>
      </c>
      <c r="K1118" s="10" t="inlineStr">
        <is>
          <t>ANALISTA DE RIESGO DE LIQUIDEZ Y MERCADO</t>
        </is>
      </c>
      <c r="L1118" s="10" t="inlineStr">
        <is>
          <t>UBICACIÓN DIGITAL-EQUIPO DEL RESPONSABLE</t>
        </is>
      </c>
      <c r="M1118" s="10" t="inlineStr">
        <is>
          <t>DOCUMENTO DE ARCHIVO-ELECTRÓNICO</t>
        </is>
      </c>
      <c r="N1118" s="10" t="inlineStr">
        <is>
          <t>PRIMARIOS</t>
        </is>
      </c>
      <c r="O1118" s="10" t="inlineStr">
        <is>
          <t>INFORMACIÓN DE TERCEROS</t>
        </is>
      </c>
      <c r="P1118" s="10" t="inlineStr">
        <is>
          <t>PUBLICA(1)</t>
        </is>
      </c>
      <c r="Q1118" s="10" t="inlineStr">
        <is>
          <t>ALTA(3)</t>
        </is>
      </c>
      <c r="R1118" s="10" t="inlineStr">
        <is>
          <t>MEDIA(2)</t>
        </is>
      </c>
      <c r="S1118" s="10">
        <f>+(IF(P1118="PUBLICA(1)",1,IF(P1118="USO INTERNO(2)",2,IF(P1118="RESTRINGIDO(3)",3,3))))+(IF(Q1118="BAJA(1)",1,IF(Q1118="MEDIA(2)",2,IF(Q1118="ALTA(3)",3,3))))+(IF(R1118="BAJA(1)",1,IF(R1118="MEDIA(2)",2,IF(R1118="ALTA(3)",3,3))))</f>
        <v/>
      </c>
      <c r="T1118" s="10">
        <f>+IF(S1118&lt;6,"BAJA",IF(S1118&lt;8,"MEDIA","ALTA"))</f>
        <v/>
      </c>
      <c r="U1118" s="10" t="inlineStr">
        <is>
          <t>-</t>
        </is>
      </c>
      <c r="V1118" s="24" t="n">
        <v>45568</v>
      </c>
      <c r="W1118" s="19" t="inlineStr">
        <is>
          <t>N/A</t>
        </is>
      </c>
      <c r="X1118" s="10">
        <f>+IFERROR(IF(VLOOKUP(Tabla2[[#This Row],[ID]],'EVALUACION DE RIESGO'!A:A,1,FALSE)=Tabla2[[#This Row],[ID]],"SI","NO"),"NO")</f>
        <v/>
      </c>
      <c r="AD1118">
        <f>IF(AND(Y1118="",AA1118=""),"",IF(OR(LEFT(AA1118,2)="L0",LEFT(AA1118,2)="L1",Y1118="No Iniciado"),"CRÍTICO - Incumplimiento Normativo SEPS",IF(AND(OR(LEFT(AA1118,2)="L4",LEFT(AA1118,2)="L5"),AND(AC1118&lt;&gt;"",AC1118&lt;&gt;"N/A")),"CONFORME - Control Efectivo ISO 27001","OBSERVACIÓN - Revisar Controles")))</f>
        <v/>
      </c>
    </row>
    <row r="1119">
      <c r="A1119" s="99" t="inlineStr">
        <is>
          <t>97-GRI</t>
        </is>
      </c>
      <c r="B1119" s="10" t="inlineStr">
        <is>
          <t>ESTRATÉGICO</t>
        </is>
      </c>
      <c r="C1119" s="10" t="inlineStr">
        <is>
          <t>Gestión de Riesgos</t>
        </is>
      </c>
      <c r="D1119" s="10" t="inlineStr">
        <is>
          <t>GRI</t>
        </is>
      </c>
      <c r="E1119" s="10" t="inlineStr">
        <is>
          <t>Gestión de Riesgo de Mercado</t>
        </is>
      </c>
      <c r="F1119" s="10" t="inlineStr">
        <is>
          <t>-</t>
        </is>
      </c>
      <c r="G1119" s="10" t="inlineStr">
        <is>
          <t>Análisis de la Sensibilidad al margen financiero y valor patrimonial</t>
        </is>
      </c>
      <c r="H1119" s="10" t="inlineStr">
        <is>
          <t>Patrimonio Técnico Constituido del formulario 229.</t>
        </is>
      </c>
      <c r="I1119" s="10" t="inlineStr">
        <is>
          <t>Consolidación de la información</t>
        </is>
      </c>
      <c r="J1119" s="10" t="inlineStr">
        <is>
          <t>GERENTE DE RIESGOS</t>
        </is>
      </c>
      <c r="K1119" s="10" t="inlineStr">
        <is>
          <t>ANALISTA DE RIESGO DE LIQUIDEZ Y MERCADO</t>
        </is>
      </c>
      <c r="L1119" s="10" t="inlineStr">
        <is>
          <t>UBICACIÓN DIGITAL-EQUIPO DEL RESPONSABLE</t>
        </is>
      </c>
      <c r="M1119" s="10" t="inlineStr">
        <is>
          <t>DOCUMENTO DE ARCHIVO-ELECTRÓNICO</t>
        </is>
      </c>
      <c r="N1119" s="10" t="inlineStr">
        <is>
          <t>PRIMARIOS</t>
        </is>
      </c>
      <c r="O1119" s="10" t="inlineStr">
        <is>
          <t>DOCUMENTOS TÉCNICOS</t>
        </is>
      </c>
      <c r="P1119" s="10" t="inlineStr">
        <is>
          <t>PUBLICA(1)</t>
        </is>
      </c>
      <c r="Q1119" s="10" t="inlineStr">
        <is>
          <t>ALTA(3)</t>
        </is>
      </c>
      <c r="R1119" s="10" t="inlineStr">
        <is>
          <t>MEDIA(2)</t>
        </is>
      </c>
      <c r="S1119" s="10">
        <f>+(IF(P1119="PUBLICA(1)",1,IF(P1119="USO INTERNO(2)",2,IF(P1119="RESTRINGIDO(3)",3,3))))+(IF(Q1119="BAJA(1)",1,IF(Q1119="MEDIA(2)",2,IF(Q1119="ALTA(3)",3,3))))+(IF(R1119="BAJA(1)",1,IF(R1119="MEDIA(2)",2,IF(R1119="ALTA(3)",3,3))))</f>
        <v/>
      </c>
      <c r="T1119" s="10">
        <f>+IF(S1119&lt;6,"BAJA",IF(S1119&lt;8,"MEDIA","ALTA"))</f>
        <v/>
      </c>
      <c r="U1119" s="10" t="inlineStr">
        <is>
          <t>-</t>
        </is>
      </c>
      <c r="V1119" s="24" t="n">
        <v>45568</v>
      </c>
      <c r="W1119" s="19" t="inlineStr">
        <is>
          <t>N/A</t>
        </is>
      </c>
      <c r="X1119" s="10">
        <f>+IFERROR(IF(VLOOKUP(Tabla2[[#This Row],[ID]],'EVALUACION DE RIESGO'!A:A,1,FALSE)=Tabla2[[#This Row],[ID]],"SI","NO"),"NO")</f>
        <v/>
      </c>
      <c r="AD1119">
        <f>IF(AND(Y1119="",AA1119=""),"",IF(OR(LEFT(AA1119,2)="L0",LEFT(AA1119,2)="L1",Y1119="No Iniciado"),"CRÍTICO - Incumplimiento Normativo SEPS",IF(AND(OR(LEFT(AA1119,2)="L4",LEFT(AA1119,2)="L5"),AND(AC1119&lt;&gt;"",AC1119&lt;&gt;"N/A")),"CONFORME - Control Efectivo ISO 27001","OBSERVACIÓN - Revisar Controles")))</f>
        <v/>
      </c>
    </row>
    <row r="1120">
      <c r="A1120" s="99" t="inlineStr">
        <is>
          <t>98-GRI</t>
        </is>
      </c>
      <c r="B1120" s="10" t="inlineStr">
        <is>
          <t>ESTRATÉGICO</t>
        </is>
      </c>
      <c r="C1120" s="10" t="inlineStr">
        <is>
          <t>Gestión de Riesgos</t>
        </is>
      </c>
      <c r="D1120" s="10" t="inlineStr">
        <is>
          <t>GRI</t>
        </is>
      </c>
      <c r="E1120" s="10" t="inlineStr">
        <is>
          <t>Gestión de Riesgo de Mercado</t>
        </is>
      </c>
      <c r="F1120" s="10" t="inlineStr">
        <is>
          <t>-</t>
        </is>
      </c>
      <c r="G1120" s="10" t="inlineStr">
        <is>
          <t>Análisis de la Sensibilidad al margen financiero y valor patrimonial</t>
        </is>
      </c>
      <c r="H1120" s="10" t="inlineStr">
        <is>
          <t>Registros de información del mercado.</t>
        </is>
      </c>
      <c r="I1120" s="10" t="inlineStr">
        <is>
          <t>Software de Liquidez y Mercado</t>
        </is>
      </c>
      <c r="J1120" s="10" t="inlineStr">
        <is>
          <t>GERENTE DE RIESGOS</t>
        </is>
      </c>
      <c r="K1120" s="10" t="inlineStr">
        <is>
          <t>ANALISTA DE RIESGO DE LIQUIDEZ Y MERCADO</t>
        </is>
      </c>
      <c r="L1120" s="10" t="inlineStr">
        <is>
          <t>UBICACIÓN DIGITAL-WEBCOOP</t>
        </is>
      </c>
      <c r="M1120" s="10" t="inlineStr">
        <is>
          <t>SISTEMAS DE BASE DE DATOS</t>
        </is>
      </c>
      <c r="N1120" s="10" t="inlineStr">
        <is>
          <t>APOYO</t>
        </is>
      </c>
      <c r="O1120" s="10" t="inlineStr">
        <is>
          <t>SOFTWARE</t>
        </is>
      </c>
      <c r="P1120" s="10" t="inlineStr">
        <is>
          <t>PUBLICA(1)</t>
        </is>
      </c>
      <c r="Q1120" s="10" t="inlineStr">
        <is>
          <t>ALTA(3)</t>
        </is>
      </c>
      <c r="R1120" s="10" t="inlineStr">
        <is>
          <t>MEDIA(2)</t>
        </is>
      </c>
      <c r="S1120" s="10">
        <f>+(IF(P1120="PUBLICA(1)",1,IF(P1120="USO INTERNO(2)",2,IF(P1120="RESTRINGIDO(3)",3,3))))+(IF(Q1120="BAJA(1)",1,IF(Q1120="MEDIA(2)",2,IF(Q1120="ALTA(3)",3,3))))+(IF(R1120="BAJA(1)",1,IF(R1120="MEDIA(2)",2,IF(R1120="ALTA(3)",3,3))))</f>
        <v/>
      </c>
      <c r="T1120" s="10">
        <f>+IF(S1120&lt;6,"BAJA",IF(S1120&lt;8,"MEDIA","ALTA"))</f>
        <v/>
      </c>
      <c r="U1120" s="10" t="inlineStr">
        <is>
          <t>-</t>
        </is>
      </c>
      <c r="V1120" s="24" t="n">
        <v>45568</v>
      </c>
      <c r="W1120" s="19" t="inlineStr">
        <is>
          <t>N/A</t>
        </is>
      </c>
      <c r="X1120" s="10">
        <f>+IFERROR(IF(VLOOKUP(Tabla2[[#This Row],[ID]],'EVALUACION DE RIESGO'!A:A,1,FALSE)=Tabla2[[#This Row],[ID]],"SI","NO"),"NO")</f>
        <v/>
      </c>
      <c r="AD1120">
        <f>IF(AND(Y1120="",AA1120=""),"",IF(OR(LEFT(AA1120,2)="L0",LEFT(AA1120,2)="L1",Y1120="No Iniciado"),"CRÍTICO - Incumplimiento Normativo SEPS",IF(AND(OR(LEFT(AA1120,2)="L4",LEFT(AA1120,2)="L5"),AND(AC1120&lt;&gt;"",AC1120&lt;&gt;"N/A")),"CONFORME - Control Efectivo ISO 27001","OBSERVACIÓN - Revisar Controles")))</f>
        <v/>
      </c>
    </row>
    <row r="1121">
      <c r="A1121" s="99" t="inlineStr">
        <is>
          <t>99-GRI</t>
        </is>
      </c>
      <c r="B1121" s="10" t="inlineStr">
        <is>
          <t>ESTRATÉGICO</t>
        </is>
      </c>
      <c r="C1121" s="10" t="inlineStr">
        <is>
          <t>Gestión de Riesgos</t>
        </is>
      </c>
      <c r="D1121" s="10" t="inlineStr">
        <is>
          <t>GRI</t>
        </is>
      </c>
      <c r="E1121" s="10" t="inlineStr">
        <is>
          <t>Gestión de Riesgo de Mercado</t>
        </is>
      </c>
      <c r="F1121" s="10" t="inlineStr">
        <is>
          <t>-</t>
        </is>
      </c>
      <c r="G1121" s="10" t="inlineStr">
        <is>
          <t>Análisis de la Sensibilidad al margen financiero y valor patrimonial</t>
        </is>
      </c>
      <c r="H1121" s="10" t="inlineStr">
        <is>
          <t>Reportes de sensibilidad al margen financiero y valor patrimonial</t>
        </is>
      </c>
      <c r="I1121" s="10" t="inlineStr">
        <is>
          <t xml:space="preserve">Consolidación de la información  </t>
        </is>
      </c>
      <c r="J1121" s="10" t="inlineStr">
        <is>
          <t>GERENTE DE RIESGOS</t>
        </is>
      </c>
      <c r="K1121" s="10" t="inlineStr">
        <is>
          <t>ANALISTA DE RIESGO DE LIQUIDEZ Y MERCADO</t>
        </is>
      </c>
      <c r="L1121" s="10" t="inlineStr">
        <is>
          <t>UBICACIÓN DIGITAL-EQUIPO DEL RESPONSABLE</t>
        </is>
      </c>
      <c r="M1121" s="10" t="inlineStr">
        <is>
          <t>DOCUMENTO DE ARCHIVO-ELECTRÓNICO</t>
        </is>
      </c>
      <c r="N1121" s="10" t="inlineStr">
        <is>
          <t>PRIMARIOS</t>
        </is>
      </c>
      <c r="O1121" s="10" t="inlineStr">
        <is>
          <t>DOCUMENTOS TÉCNICOS</t>
        </is>
      </c>
      <c r="P1121" s="10" t="inlineStr">
        <is>
          <t>PUBLICA(1)</t>
        </is>
      </c>
      <c r="Q1121" s="10" t="inlineStr">
        <is>
          <t>ALTA(3)</t>
        </is>
      </c>
      <c r="R1121" s="10" t="inlineStr">
        <is>
          <t>MEDIA(2)</t>
        </is>
      </c>
      <c r="S1121" s="10">
        <f>+(IF(P1121="PUBLICA(1)",1,IF(P1121="USO INTERNO(2)",2,IF(P1121="RESTRINGIDO(3)",3,3))))+(IF(Q1121="BAJA(1)",1,IF(Q1121="MEDIA(2)",2,IF(Q1121="ALTA(3)",3,3))))+(IF(R1121="BAJA(1)",1,IF(R1121="MEDIA(2)",2,IF(R1121="ALTA(3)",3,3))))</f>
        <v/>
      </c>
      <c r="T1121" s="10">
        <f>+IF(S1121&lt;6,"BAJA",IF(S1121&lt;8,"MEDIA","ALTA"))</f>
        <v/>
      </c>
      <c r="U1121" s="10" t="inlineStr">
        <is>
          <t>-</t>
        </is>
      </c>
      <c r="V1121" s="24" t="n">
        <v>45568</v>
      </c>
      <c r="W1121" s="19" t="inlineStr">
        <is>
          <t>N/A</t>
        </is>
      </c>
      <c r="X1121" s="10">
        <f>+IFERROR(IF(VLOOKUP(Tabla2[[#This Row],[ID]],'EVALUACION DE RIESGO'!A:A,1,FALSE)=Tabla2[[#This Row],[ID]],"SI","NO"),"NO")</f>
        <v/>
      </c>
      <c r="AD1121">
        <f>IF(AND(Y1121="",AA1121=""),"",IF(OR(LEFT(AA1121,2)="L0",LEFT(AA1121,2)="L1",Y1121="No Iniciado"),"CRÍTICO - Incumplimiento Normativo SEPS",IF(AND(OR(LEFT(AA1121,2)="L4",LEFT(AA1121,2)="L5"),AND(AC1121&lt;&gt;"",AC1121&lt;&gt;"N/A")),"CONFORME - Control Efectivo ISO 27001","OBSERVACIÓN - Revisar Controles")))</f>
        <v/>
      </c>
    </row>
    <row r="1122">
      <c r="A1122" s="99" t="inlineStr">
        <is>
          <t>100-GRI</t>
        </is>
      </c>
      <c r="B1122" s="10" t="inlineStr">
        <is>
          <t>ESTRATÉGICO</t>
        </is>
      </c>
      <c r="C1122" s="10" t="inlineStr">
        <is>
          <t>Gestión de Riesgos</t>
        </is>
      </c>
      <c r="D1122" s="10" t="inlineStr">
        <is>
          <t>GRI</t>
        </is>
      </c>
      <c r="E1122" s="10" t="inlineStr">
        <is>
          <t>Gestión de Riesgo de Mercado</t>
        </is>
      </c>
      <c r="F1122" s="10" t="inlineStr">
        <is>
          <t>-</t>
        </is>
      </c>
      <c r="G1122" s="10" t="inlineStr">
        <is>
          <t>Análisis de escenarios de estrés</t>
        </is>
      </c>
      <c r="H1122" s="10" t="inlineStr">
        <is>
          <t>Patrimonio Técnico Constituido del formulario 229.</t>
        </is>
      </c>
      <c r="I1122" s="10" t="inlineStr">
        <is>
          <t>Balance</t>
        </is>
      </c>
      <c r="J1122" s="10" t="inlineStr">
        <is>
          <t>GERENTE DE RIESGOS</t>
        </is>
      </c>
      <c r="K1122" s="10" t="inlineStr">
        <is>
          <t>ANALISTA DE RIESGO DE LIQUIDEZ Y MERCADO</t>
        </is>
      </c>
      <c r="L1122" s="10" t="inlineStr">
        <is>
          <t>UBICACIÓN DIGITAL-EQUIPO DEL RESPONSABLE</t>
        </is>
      </c>
      <c r="M1122" s="10" t="inlineStr">
        <is>
          <t>DOCUMENTO DE ARCHIVO-ELECTRÓNICO</t>
        </is>
      </c>
      <c r="N1122" s="10" t="inlineStr">
        <is>
          <t>PRIMARIOS</t>
        </is>
      </c>
      <c r="O1122" s="10" t="inlineStr">
        <is>
          <t>DOCUMENTOS TÉCNICOS</t>
        </is>
      </c>
      <c r="P1122" s="10" t="inlineStr">
        <is>
          <t>PUBLICA(1)</t>
        </is>
      </c>
      <c r="Q1122" s="10" t="inlineStr">
        <is>
          <t>ALTA(3)</t>
        </is>
      </c>
      <c r="R1122" s="10" t="inlineStr">
        <is>
          <t>MEDIA(2)</t>
        </is>
      </c>
      <c r="S1122" s="10">
        <f>+(IF(P1122="PUBLICA(1)",1,IF(P1122="USO INTERNO(2)",2,IF(P1122="RESTRINGIDO(3)",3,3))))+(IF(Q1122="BAJA(1)",1,IF(Q1122="MEDIA(2)",2,IF(Q1122="ALTA(3)",3,3))))+(IF(R1122="BAJA(1)",1,IF(R1122="MEDIA(2)",2,IF(R1122="ALTA(3)",3,3))))</f>
        <v/>
      </c>
      <c r="T1122" s="10">
        <f>+IF(S1122&lt;6,"BAJA",IF(S1122&lt;8,"MEDIA","ALTA"))</f>
        <v/>
      </c>
      <c r="U1122" s="10" t="inlineStr">
        <is>
          <t>-</t>
        </is>
      </c>
      <c r="V1122" s="24" t="n">
        <v>45568</v>
      </c>
      <c r="W1122" s="19" t="inlineStr">
        <is>
          <t>N/A</t>
        </is>
      </c>
      <c r="X1122" s="10">
        <f>+IFERROR(IF(VLOOKUP(Tabla2[[#This Row],[ID]],'EVALUACION DE RIESGO'!A:A,1,FALSE)=Tabla2[[#This Row],[ID]],"SI","NO"),"NO")</f>
        <v/>
      </c>
      <c r="AD1122">
        <f>IF(AND(Y1122="",AA1122=""),"",IF(OR(LEFT(AA1122,2)="L0",LEFT(AA1122,2)="L1",Y1122="No Iniciado"),"CRÍTICO - Incumplimiento Normativo SEPS",IF(AND(OR(LEFT(AA1122,2)="L4",LEFT(AA1122,2)="L5"),AND(AC1122&lt;&gt;"",AC1122&lt;&gt;"N/A")),"CONFORME - Control Efectivo ISO 27001","OBSERVACIÓN - Revisar Controles")))</f>
        <v/>
      </c>
    </row>
    <row r="1123">
      <c r="A1123" s="99" t="inlineStr">
        <is>
          <t>101-GRI</t>
        </is>
      </c>
      <c r="B1123" s="10" t="inlineStr">
        <is>
          <t>ESTRATÉGICO</t>
        </is>
      </c>
      <c r="C1123" s="10" t="inlineStr">
        <is>
          <t>Gestión de Riesgos</t>
        </is>
      </c>
      <c r="D1123" s="10" t="inlineStr">
        <is>
          <t>GRI</t>
        </is>
      </c>
      <c r="E1123" s="10" t="inlineStr">
        <is>
          <t>Gestión de Riesgo de Mercado</t>
        </is>
      </c>
      <c r="F1123" s="10" t="inlineStr">
        <is>
          <t>-</t>
        </is>
      </c>
      <c r="G1123" s="10" t="inlineStr">
        <is>
          <t>Análisis de escenarios de estrés</t>
        </is>
      </c>
      <c r="H1123" s="10" t="inlineStr">
        <is>
          <t>Registros de información del mercado</t>
        </is>
      </c>
      <c r="I1123" s="10" t="inlineStr">
        <is>
          <t>Software de Liquidez y Mercado</t>
        </is>
      </c>
      <c r="J1123" s="10" t="inlineStr">
        <is>
          <t>GERENTE DE RIESGOS</t>
        </is>
      </c>
      <c r="K1123" s="10" t="inlineStr">
        <is>
          <t>ANALISTA DE RIESGO DE LIQUIDEZ Y MERCADO</t>
        </is>
      </c>
      <c r="L1123" s="10" t="inlineStr">
        <is>
          <t>UBICACIÓN DIGITAL-WEBCOOP</t>
        </is>
      </c>
      <c r="M1123" s="10" t="inlineStr">
        <is>
          <t>SISTEMAS DE BASE DE DATOS</t>
        </is>
      </c>
      <c r="N1123" s="10" t="inlineStr">
        <is>
          <t>APOYO</t>
        </is>
      </c>
      <c r="O1123" s="10" t="inlineStr">
        <is>
          <t>SOFTWARE</t>
        </is>
      </c>
      <c r="P1123" s="10" t="inlineStr">
        <is>
          <t>PUBLICA(1)</t>
        </is>
      </c>
      <c r="Q1123" s="10" t="inlineStr">
        <is>
          <t>ALTA(3)</t>
        </is>
      </c>
      <c r="R1123" s="10" t="inlineStr">
        <is>
          <t>MEDIA(2)</t>
        </is>
      </c>
      <c r="S1123" s="10">
        <f>+(IF(P1123="PUBLICA(1)",1,IF(P1123="USO INTERNO(2)",2,IF(P1123="RESTRINGIDO(3)",3,3))))+(IF(Q1123="BAJA(1)",1,IF(Q1123="MEDIA(2)",2,IF(Q1123="ALTA(3)",3,3))))+(IF(R1123="BAJA(1)",1,IF(R1123="MEDIA(2)",2,IF(R1123="ALTA(3)",3,3))))</f>
        <v/>
      </c>
      <c r="T1123" s="10">
        <f>+IF(S1123&lt;6,"BAJA",IF(S1123&lt;8,"MEDIA","ALTA"))</f>
        <v/>
      </c>
      <c r="U1123" s="10" t="inlineStr">
        <is>
          <t>-</t>
        </is>
      </c>
      <c r="V1123" s="24" t="n">
        <v>45568</v>
      </c>
      <c r="W1123" s="19" t="inlineStr">
        <is>
          <t>N/A</t>
        </is>
      </c>
      <c r="X1123" s="10">
        <f>+IFERROR(IF(VLOOKUP(Tabla2[[#This Row],[ID]],'EVALUACION DE RIESGO'!A:A,1,FALSE)=Tabla2[[#This Row],[ID]],"SI","NO"),"NO")</f>
        <v/>
      </c>
      <c r="AD1123">
        <f>IF(AND(Y1123="",AA1123=""),"",IF(OR(LEFT(AA1123,2)="L0",LEFT(AA1123,2)="L1",Y1123="No Iniciado"),"CRÍTICO - Incumplimiento Normativo SEPS",IF(AND(OR(LEFT(AA1123,2)="L4",LEFT(AA1123,2)="L5"),AND(AC1123&lt;&gt;"",AC1123&lt;&gt;"N/A")),"CONFORME - Control Efectivo ISO 27001","OBSERVACIÓN - Revisar Controles")))</f>
        <v/>
      </c>
    </row>
    <row r="1124">
      <c r="A1124" s="99" t="inlineStr">
        <is>
          <t>102-GRI</t>
        </is>
      </c>
      <c r="B1124" s="10" t="inlineStr">
        <is>
          <t>ESTRATÉGICO</t>
        </is>
      </c>
      <c r="C1124" s="10" t="inlineStr">
        <is>
          <t>Gestión de Riesgos</t>
        </is>
      </c>
      <c r="D1124" s="10" t="inlineStr">
        <is>
          <t>GRI</t>
        </is>
      </c>
      <c r="E1124" s="10" t="inlineStr">
        <is>
          <t>Gestión de Riesgo de Mercado</t>
        </is>
      </c>
      <c r="F1124" s="10" t="inlineStr">
        <is>
          <t>-</t>
        </is>
      </c>
      <c r="G1124" s="10" t="inlineStr">
        <is>
          <t>Análisis de escenarios de estrés</t>
        </is>
      </c>
      <c r="H1124" s="10" t="inlineStr">
        <is>
          <t>Reportes estresados de sensibilidad al margen financiero y valor patrimonial</t>
        </is>
      </c>
      <c r="I1124" s="10" t="inlineStr">
        <is>
          <t xml:space="preserve">Consolidación de la información  </t>
        </is>
      </c>
      <c r="J1124" s="10" t="inlineStr">
        <is>
          <t>GERENTE DE RIESGOS</t>
        </is>
      </c>
      <c r="K1124" s="10" t="inlineStr">
        <is>
          <t>ANALISTA DE RIESGO DE LIQUIDEZ Y MERCADO</t>
        </is>
      </c>
      <c r="L1124" s="10" t="inlineStr">
        <is>
          <t>UBICACIÓN DIGITAL-EQUIPO DEL RESPONSABLE</t>
        </is>
      </c>
      <c r="M1124" s="10" t="inlineStr">
        <is>
          <t>DOCUMENTO DE ARCHIVO-ELECTRÓNICO</t>
        </is>
      </c>
      <c r="N1124" s="10" t="inlineStr">
        <is>
          <t>PRIMARIOS</t>
        </is>
      </c>
      <c r="O1124" s="10" t="inlineStr">
        <is>
          <t>DOCUMENTOS TÉCNICOS</t>
        </is>
      </c>
      <c r="P1124" s="10" t="inlineStr">
        <is>
          <t>PUBLICA(1)</t>
        </is>
      </c>
      <c r="Q1124" s="10" t="inlineStr">
        <is>
          <t>ALTA(3)</t>
        </is>
      </c>
      <c r="R1124" s="10" t="inlineStr">
        <is>
          <t>MEDIA(2)</t>
        </is>
      </c>
      <c r="S1124" s="10">
        <f>+(IF(P1124="PUBLICA(1)",1,IF(P1124="USO INTERNO(2)",2,IF(P1124="RESTRINGIDO(3)",3,3))))+(IF(Q1124="BAJA(1)",1,IF(Q1124="MEDIA(2)",2,IF(Q1124="ALTA(3)",3,3))))+(IF(R1124="BAJA(1)",1,IF(R1124="MEDIA(2)",2,IF(R1124="ALTA(3)",3,3))))</f>
        <v/>
      </c>
      <c r="T1124" s="10">
        <f>+IF(S1124&lt;6,"BAJA",IF(S1124&lt;8,"MEDIA","ALTA"))</f>
        <v/>
      </c>
      <c r="U1124" s="10" t="inlineStr">
        <is>
          <t>-</t>
        </is>
      </c>
      <c r="V1124" s="24" t="n">
        <v>45568</v>
      </c>
      <c r="W1124" s="19" t="inlineStr">
        <is>
          <t>N/A</t>
        </is>
      </c>
      <c r="X1124" s="10">
        <f>+IFERROR(IF(VLOOKUP(Tabla2[[#This Row],[ID]],'EVALUACION DE RIESGO'!A:A,1,FALSE)=Tabla2[[#This Row],[ID]],"SI","NO"),"NO")</f>
        <v/>
      </c>
      <c r="AD1124">
        <f>IF(AND(Y1124="",AA1124=""),"",IF(OR(LEFT(AA1124,2)="L0",LEFT(AA1124,2)="L1",Y1124="No Iniciado"),"CRÍTICO - Incumplimiento Normativo SEPS",IF(AND(OR(LEFT(AA1124,2)="L4",LEFT(AA1124,2)="L5"),AND(AC1124&lt;&gt;"",AC1124&lt;&gt;"N/A")),"CONFORME - Control Efectivo ISO 27001","OBSERVACIÓN - Revisar Controles")))</f>
        <v/>
      </c>
    </row>
    <row r="1125">
      <c r="A1125" s="99" t="inlineStr">
        <is>
          <t>103-GRI</t>
        </is>
      </c>
      <c r="B1125" s="10" t="inlineStr">
        <is>
          <t>ESTRATÉGICO</t>
        </is>
      </c>
      <c r="C1125" s="10" t="inlineStr">
        <is>
          <t>Gestión de Riesgos</t>
        </is>
      </c>
      <c r="D1125" s="10" t="inlineStr">
        <is>
          <t>GRI</t>
        </is>
      </c>
      <c r="E1125" s="10" t="inlineStr">
        <is>
          <t>Gestión de Riesgo de Mercado</t>
        </is>
      </c>
      <c r="F1125" s="10" t="inlineStr">
        <is>
          <t>-</t>
        </is>
      </c>
      <c r="G1125" s="10" t="inlineStr">
        <is>
          <t>Análisis de información del mercado (Cooperativas Segmento 1)</t>
        </is>
      </c>
      <c r="H1125" s="10" t="inlineStr">
        <is>
          <t>Boletín Financiero Segmento 1</t>
        </is>
      </c>
      <c r="I1125" s="10" t="inlineStr">
        <is>
          <t>Externo</t>
        </is>
      </c>
      <c r="J1125" s="10" t="inlineStr">
        <is>
          <t>GERENTE DE RIESGOS</t>
        </is>
      </c>
      <c r="K1125" s="10" t="inlineStr">
        <is>
          <t>ANALISTA DE RIESGO DE LIQUIDEZ Y MERCADO</t>
        </is>
      </c>
      <c r="L1125" s="10" t="inlineStr">
        <is>
          <t>UBICACIÓN DIGITAL-EQUIPO DEL RESPONSABLE</t>
        </is>
      </c>
      <c r="M1125" s="10" t="inlineStr">
        <is>
          <t>DOCUMENTO DE ARCHIVO-ELECTRÓNICO</t>
        </is>
      </c>
      <c r="N1125" s="10" t="inlineStr">
        <is>
          <t>PRIMARIOS</t>
        </is>
      </c>
      <c r="O1125" s="10" t="inlineStr">
        <is>
          <t>INFORMACIÓN DE TERCEROS</t>
        </is>
      </c>
      <c r="P1125" s="10" t="inlineStr">
        <is>
          <t>PUBLICA(1)</t>
        </is>
      </c>
      <c r="Q1125" s="10" t="inlineStr">
        <is>
          <t>ALTA(3)</t>
        </is>
      </c>
      <c r="R1125" s="10" t="inlineStr">
        <is>
          <t>MEDIA(2)</t>
        </is>
      </c>
      <c r="S1125" s="10">
        <f>+(IF(P1125="PUBLICA(1)",1,IF(P1125="USO INTERNO(2)",2,IF(P1125="RESTRINGIDO(3)",3,3))))+(IF(Q1125="BAJA(1)",1,IF(Q1125="MEDIA(2)",2,IF(Q1125="ALTA(3)",3,3))))+(IF(R1125="BAJA(1)",1,IF(R1125="MEDIA(2)",2,IF(R1125="ALTA(3)",3,3))))</f>
        <v/>
      </c>
      <c r="T1125" s="10">
        <f>+IF(S1125&lt;6,"BAJA",IF(S1125&lt;8,"MEDIA","ALTA"))</f>
        <v/>
      </c>
      <c r="U1125" s="10" t="inlineStr">
        <is>
          <t>-</t>
        </is>
      </c>
      <c r="V1125" s="24" t="n">
        <v>45568</v>
      </c>
      <c r="W1125" s="19" t="inlineStr">
        <is>
          <t>N/A</t>
        </is>
      </c>
      <c r="X1125" s="10">
        <f>+IFERROR(IF(VLOOKUP(Tabla2[[#This Row],[ID]],'EVALUACION DE RIESGO'!A:A,1,FALSE)=Tabla2[[#This Row],[ID]],"SI","NO"),"NO")</f>
        <v/>
      </c>
      <c r="AD1125">
        <f>IF(AND(Y1125="",AA1125=""),"",IF(OR(LEFT(AA1125,2)="L0",LEFT(AA1125,2)="L1",Y1125="No Iniciado"),"CRÍTICO - Incumplimiento Normativo SEPS",IF(AND(OR(LEFT(AA1125,2)="L4",LEFT(AA1125,2)="L5"),AND(AC1125&lt;&gt;"",AC1125&lt;&gt;"N/A")),"CONFORME - Control Efectivo ISO 27001","OBSERVACIÓN - Revisar Controles")))</f>
        <v/>
      </c>
    </row>
    <row r="1126">
      <c r="A1126" s="99" t="inlineStr">
        <is>
          <t>104-GRI</t>
        </is>
      </c>
      <c r="B1126" s="10" t="inlineStr">
        <is>
          <t>ESTRATÉGICO</t>
        </is>
      </c>
      <c r="C1126" s="10" t="inlineStr">
        <is>
          <t>Gestión de Riesgos</t>
        </is>
      </c>
      <c r="D1126" s="10" t="inlineStr">
        <is>
          <t>GRI</t>
        </is>
      </c>
      <c r="E1126" s="10" t="inlineStr">
        <is>
          <t>Gestión de Riesgo de Mercado</t>
        </is>
      </c>
      <c r="F1126" s="10" t="inlineStr">
        <is>
          <t>-</t>
        </is>
      </c>
      <c r="G1126" s="10" t="inlineStr">
        <is>
          <t>Análisis de información del mercado (Cooperativas Segmento 1)</t>
        </is>
      </c>
      <c r="H1126" s="10" t="inlineStr">
        <is>
          <t>Boletín Patrimonio Técnico Segmento 1</t>
        </is>
      </c>
      <c r="I1126" s="10" t="inlineStr">
        <is>
          <t>Externo</t>
        </is>
      </c>
      <c r="J1126" s="10" t="inlineStr">
        <is>
          <t>GERENTE DE RIESGOS</t>
        </is>
      </c>
      <c r="K1126" s="10" t="inlineStr">
        <is>
          <t>ANALISTA DE RIESGO DE LIQUIDEZ Y MERCADO</t>
        </is>
      </c>
      <c r="L1126" s="10" t="inlineStr">
        <is>
          <t>UBICACIÓN DIGITAL-EQUIPO DEL RESPONSABLE</t>
        </is>
      </c>
      <c r="M1126" s="10" t="inlineStr">
        <is>
          <t>DOCUMENTO DE ARCHIVO-ELECTRÓNICO</t>
        </is>
      </c>
      <c r="N1126" s="10" t="inlineStr">
        <is>
          <t>PRIMARIOS</t>
        </is>
      </c>
      <c r="O1126" s="10" t="inlineStr">
        <is>
          <t>INFORMACIÓN DE TERCEROS</t>
        </is>
      </c>
      <c r="P1126" s="10" t="inlineStr">
        <is>
          <t>PUBLICA(1)</t>
        </is>
      </c>
      <c r="Q1126" s="10" t="inlineStr">
        <is>
          <t>ALTA(3)</t>
        </is>
      </c>
      <c r="R1126" s="10" t="inlineStr">
        <is>
          <t>MEDIA(2)</t>
        </is>
      </c>
      <c r="S1126" s="10">
        <f>+(IF(P1126="PUBLICA(1)",1,IF(P1126="USO INTERNO(2)",2,IF(P1126="RESTRINGIDO(3)",3,3))))+(IF(Q1126="BAJA(1)",1,IF(Q1126="MEDIA(2)",2,IF(Q1126="ALTA(3)",3,3))))+(IF(R1126="BAJA(1)",1,IF(R1126="MEDIA(2)",2,IF(R1126="ALTA(3)",3,3))))</f>
        <v/>
      </c>
      <c r="T1126" s="10">
        <f>+IF(S1126&lt;6,"BAJA",IF(S1126&lt;8,"MEDIA","ALTA"))</f>
        <v/>
      </c>
      <c r="U1126" s="10" t="inlineStr">
        <is>
          <t>-</t>
        </is>
      </c>
      <c r="V1126" s="24" t="n">
        <v>45568</v>
      </c>
      <c r="W1126" s="19" t="inlineStr">
        <is>
          <t>N/A</t>
        </is>
      </c>
      <c r="X1126" s="10">
        <f>+IFERROR(IF(VLOOKUP(Tabla2[[#This Row],[ID]],'EVALUACION DE RIESGO'!A:A,1,FALSE)=Tabla2[[#This Row],[ID]],"SI","NO"),"NO")</f>
        <v/>
      </c>
      <c r="AD1126">
        <f>IF(AND(Y1126="",AA1126=""),"",IF(OR(LEFT(AA1126,2)="L0",LEFT(AA1126,2)="L1",Y1126="No Iniciado"),"CRÍTICO - Incumplimiento Normativo SEPS",IF(AND(OR(LEFT(AA1126,2)="L4",LEFT(AA1126,2)="L5"),AND(AC1126&lt;&gt;"",AC1126&lt;&gt;"N/A")),"CONFORME - Control Efectivo ISO 27001","OBSERVACIÓN - Revisar Controles")))</f>
        <v/>
      </c>
    </row>
    <row r="1127">
      <c r="A1127" s="99" t="inlineStr">
        <is>
          <t>105-GRI</t>
        </is>
      </c>
      <c r="B1127" s="10" t="inlineStr">
        <is>
          <t>ESTRATÉGICO</t>
        </is>
      </c>
      <c r="C1127" s="10" t="inlineStr">
        <is>
          <t>Gestión de Riesgos</t>
        </is>
      </c>
      <c r="D1127" s="10" t="inlineStr">
        <is>
          <t>GRI</t>
        </is>
      </c>
      <c r="E1127" s="10" t="inlineStr">
        <is>
          <t>Gestión de Riesgo de Mercado</t>
        </is>
      </c>
      <c r="F1127" s="10" t="inlineStr">
        <is>
          <t>-</t>
        </is>
      </c>
      <c r="G1127" s="10" t="inlineStr">
        <is>
          <t>Análisis de información del mercado (Cooperativas Segmento 1)</t>
        </is>
      </c>
      <c r="H1127" s="10" t="inlineStr">
        <is>
          <t>Herramienta de Power BI.</t>
        </is>
      </c>
      <c r="I1127" s="10" t="inlineStr">
        <is>
          <t>Generación de reportes</t>
        </is>
      </c>
      <c r="J1127" s="10" t="inlineStr">
        <is>
          <t>GERENTE DE RIESGOS</t>
        </is>
      </c>
      <c r="K1127" s="10" t="inlineStr">
        <is>
          <t>ANALISTA DE RIESGO DE LIQUIDEZ Y MERCADO</t>
        </is>
      </c>
      <c r="L1127" s="10" t="inlineStr">
        <is>
          <t>UBICACIÓN DIGITAL-WEBCOOP</t>
        </is>
      </c>
      <c r="M1127" s="10" t="inlineStr">
        <is>
          <t>SISTEMAS DE BASE DE DATOS</t>
        </is>
      </c>
      <c r="N1127" s="10" t="inlineStr">
        <is>
          <t>APOYO</t>
        </is>
      </c>
      <c r="O1127" s="10" t="inlineStr">
        <is>
          <t>SOFTWARE</t>
        </is>
      </c>
      <c r="P1127" s="10" t="inlineStr">
        <is>
          <t>PUBLICA(1)</t>
        </is>
      </c>
      <c r="Q1127" s="10" t="inlineStr">
        <is>
          <t>ALTA(3)</t>
        </is>
      </c>
      <c r="R1127" s="10" t="inlineStr">
        <is>
          <t>MEDIA(2)</t>
        </is>
      </c>
      <c r="S1127" s="10">
        <f>+(IF(P1127="PUBLICA(1)",1,IF(P1127="USO INTERNO(2)",2,IF(P1127="RESTRINGIDO(3)",3,3))))+(IF(Q1127="BAJA(1)",1,IF(Q1127="MEDIA(2)",2,IF(Q1127="ALTA(3)",3,3))))+(IF(R1127="BAJA(1)",1,IF(R1127="MEDIA(2)",2,IF(R1127="ALTA(3)",3,3))))</f>
        <v/>
      </c>
      <c r="T1127" s="10">
        <f>+IF(S1127&lt;6,"BAJA",IF(S1127&lt;8,"MEDIA","ALTA"))</f>
        <v/>
      </c>
      <c r="U1127" s="10" t="inlineStr">
        <is>
          <t>-</t>
        </is>
      </c>
      <c r="V1127" s="24" t="n">
        <v>45568</v>
      </c>
      <c r="W1127" s="19" t="inlineStr">
        <is>
          <t>N/A</t>
        </is>
      </c>
      <c r="X1127" s="10">
        <f>+IFERROR(IF(VLOOKUP(Tabla2[[#This Row],[ID]],'EVALUACION DE RIESGO'!A:A,1,FALSE)=Tabla2[[#This Row],[ID]],"SI","NO"),"NO")</f>
        <v/>
      </c>
      <c r="AD1127">
        <f>IF(AND(Y1127="",AA1127=""),"",IF(OR(LEFT(AA1127,2)="L0",LEFT(AA1127,2)="L1",Y1127="No Iniciado"),"CRÍTICO - Incumplimiento Normativo SEPS",IF(AND(OR(LEFT(AA1127,2)="L4",LEFT(AA1127,2)="L5"),AND(AC1127&lt;&gt;"",AC1127&lt;&gt;"N/A")),"CONFORME - Control Efectivo ISO 27001","OBSERVACIÓN - Revisar Controles")))</f>
        <v/>
      </c>
    </row>
    <row r="1128">
      <c r="A1128" s="99" t="inlineStr">
        <is>
          <t>106-GRI</t>
        </is>
      </c>
      <c r="B1128" s="10" t="inlineStr">
        <is>
          <t>ESTRATÉGICO</t>
        </is>
      </c>
      <c r="C1128" s="10" t="inlineStr">
        <is>
          <t>Gestión de Riesgos</t>
        </is>
      </c>
      <c r="D1128" s="10" t="inlineStr">
        <is>
          <t>GRI</t>
        </is>
      </c>
      <c r="E1128" s="10" t="inlineStr">
        <is>
          <t>Gestión de Riesgo de Mercado</t>
        </is>
      </c>
      <c r="F1128" s="10" t="inlineStr">
        <is>
          <t>-</t>
        </is>
      </c>
      <c r="G1128" s="10" t="inlineStr">
        <is>
          <t>Análisis de información del mercado (Cooperativas Segmento 1)</t>
        </is>
      </c>
      <c r="H1128" s="10" t="inlineStr">
        <is>
          <t>Base Histórica de Indicadores y Saldos del Segmento 1.</t>
        </is>
      </c>
      <c r="I1128" s="10" t="inlineStr">
        <is>
          <t>Externo</t>
        </is>
      </c>
      <c r="J1128" s="10" t="inlineStr">
        <is>
          <t>GERENTE DE RIESGOS</t>
        </is>
      </c>
      <c r="K1128" s="10" t="inlineStr">
        <is>
          <t>ANALISTA DE RIESGO DE LIQUIDEZ Y MERCADO</t>
        </is>
      </c>
      <c r="L1128" s="10" t="inlineStr">
        <is>
          <t>UBICACIÓN DIGITAL-EQUIPO DEL RESPONSABLE</t>
        </is>
      </c>
      <c r="M1128" s="10" t="inlineStr">
        <is>
          <t>DOCUMENTO DE ARCHIVO-ELECTRÓNICO</t>
        </is>
      </c>
      <c r="N1128" s="10" t="inlineStr">
        <is>
          <t>PRIMARIOS</t>
        </is>
      </c>
      <c r="O1128" s="10" t="inlineStr">
        <is>
          <t>INFORMACIÓN DE TERCEROS</t>
        </is>
      </c>
      <c r="P1128" s="10" t="inlineStr">
        <is>
          <t>PUBLICA(1)</t>
        </is>
      </c>
      <c r="Q1128" s="10" t="inlineStr">
        <is>
          <t>ALTA(3)</t>
        </is>
      </c>
      <c r="R1128" s="10" t="inlineStr">
        <is>
          <t>MEDIA(2)</t>
        </is>
      </c>
      <c r="S1128" s="10">
        <f>+(IF(P1128="PUBLICA(1)",1,IF(P1128="USO INTERNO(2)",2,IF(P1128="RESTRINGIDO(3)",3,3))))+(IF(Q1128="BAJA(1)",1,IF(Q1128="MEDIA(2)",2,IF(Q1128="ALTA(3)",3,3))))+(IF(R1128="BAJA(1)",1,IF(R1128="MEDIA(2)",2,IF(R1128="ALTA(3)",3,3))))</f>
        <v/>
      </c>
      <c r="T1128" s="10">
        <f>+IF(S1128&lt;6,"BAJA",IF(S1128&lt;8,"MEDIA","ALTA"))</f>
        <v/>
      </c>
      <c r="U1128" s="10" t="inlineStr">
        <is>
          <t>-</t>
        </is>
      </c>
      <c r="V1128" s="24" t="n">
        <v>45568</v>
      </c>
      <c r="W1128" s="19" t="inlineStr">
        <is>
          <t>N/A</t>
        </is>
      </c>
      <c r="X1128" s="10">
        <f>+IFERROR(IF(VLOOKUP(Tabla2[[#This Row],[ID]],'EVALUACION DE RIESGO'!A:A,1,FALSE)=Tabla2[[#This Row],[ID]],"SI","NO"),"NO")</f>
        <v/>
      </c>
      <c r="AD1128">
        <f>IF(AND(Y1128="",AA1128=""),"",IF(OR(LEFT(AA1128,2)="L0",LEFT(AA1128,2)="L1",Y1128="No Iniciado"),"CRÍTICO - Incumplimiento Normativo SEPS",IF(AND(OR(LEFT(AA1128,2)="L4",LEFT(AA1128,2)="L5"),AND(AC1128&lt;&gt;"",AC1128&lt;&gt;"N/A")),"CONFORME - Control Efectivo ISO 27001","OBSERVACIÓN - Revisar Controles")))</f>
        <v/>
      </c>
    </row>
    <row r="1129">
      <c r="A1129" s="99" t="inlineStr">
        <is>
          <t>107-GRI</t>
        </is>
      </c>
      <c r="B1129" s="10" t="inlineStr">
        <is>
          <t>ESTRATÉGICO</t>
        </is>
      </c>
      <c r="C1129" s="10" t="inlineStr">
        <is>
          <t>Gestión de Riesgos</t>
        </is>
      </c>
      <c r="D1129" s="10" t="inlineStr">
        <is>
          <t>GRI</t>
        </is>
      </c>
      <c r="E1129" s="10" t="inlineStr">
        <is>
          <t>Gestión de Riesgo de Mercado</t>
        </is>
      </c>
      <c r="F1129" s="10" t="inlineStr">
        <is>
          <t>-</t>
        </is>
      </c>
      <c r="G1129" s="10" t="inlineStr">
        <is>
          <t>Monitoreo de tasas</t>
        </is>
      </c>
      <c r="H1129" s="10" t="inlineStr">
        <is>
          <t>Reporte de las tasas de interés activa y pasiva referenciales del BCE.</t>
        </is>
      </c>
      <c r="I1129" s="10" t="inlineStr">
        <is>
          <t>Externo</t>
        </is>
      </c>
      <c r="J1129" s="10" t="inlineStr">
        <is>
          <t>GERENTE DE RIESGOS</t>
        </is>
      </c>
      <c r="K1129" s="10" t="inlineStr">
        <is>
          <t>ANALISTA DE RIESGO DE LIQUIDEZ Y MERCADO</t>
        </is>
      </c>
      <c r="L1129" s="10" t="inlineStr">
        <is>
          <t>UBICACIÓN DIGITAL-EQUIPO DEL RESPONSABLE</t>
        </is>
      </c>
      <c r="M1129" s="10" t="inlineStr">
        <is>
          <t>DOCUMENTO DE ARCHIVO-ELECTRÓNICO</t>
        </is>
      </c>
      <c r="N1129" s="10" t="inlineStr">
        <is>
          <t>PRIMARIOS</t>
        </is>
      </c>
      <c r="O1129" s="10" t="inlineStr">
        <is>
          <t>INFORMACIÓN DE TERCEROS</t>
        </is>
      </c>
      <c r="P1129" s="10" t="inlineStr">
        <is>
          <t>PUBLICA(1)</t>
        </is>
      </c>
      <c r="Q1129" s="10" t="inlineStr">
        <is>
          <t>ALTA(3)</t>
        </is>
      </c>
      <c r="R1129" s="10" t="inlineStr">
        <is>
          <t>MEDIA(2)</t>
        </is>
      </c>
      <c r="S1129" s="10">
        <f>+(IF(P1129="PUBLICA(1)",1,IF(P1129="USO INTERNO(2)",2,IF(P1129="RESTRINGIDO(3)",3,3))))+(IF(Q1129="BAJA(1)",1,IF(Q1129="MEDIA(2)",2,IF(Q1129="ALTA(3)",3,3))))+(IF(R1129="BAJA(1)",1,IF(R1129="MEDIA(2)",2,IF(R1129="ALTA(3)",3,3))))</f>
        <v/>
      </c>
      <c r="T1129" s="10">
        <f>+IF(S1129&lt;6,"BAJA",IF(S1129&lt;8,"MEDIA","ALTA"))</f>
        <v/>
      </c>
      <c r="U1129" s="10" t="inlineStr">
        <is>
          <t>-</t>
        </is>
      </c>
      <c r="V1129" s="24" t="n">
        <v>45568</v>
      </c>
      <c r="W1129" s="19" t="inlineStr">
        <is>
          <t>N/A</t>
        </is>
      </c>
      <c r="X1129" s="10">
        <f>+IFERROR(IF(VLOOKUP(Tabla2[[#This Row],[ID]],'EVALUACION DE RIESGO'!A:A,1,FALSE)=Tabla2[[#This Row],[ID]],"SI","NO"),"NO")</f>
        <v/>
      </c>
      <c r="AD1129">
        <f>IF(AND(Y1129="",AA1129=""),"",IF(OR(LEFT(AA1129,2)="L0",LEFT(AA1129,2)="L1",Y1129="No Iniciado"),"CRÍTICO - Incumplimiento Normativo SEPS",IF(AND(OR(LEFT(AA1129,2)="L4",LEFT(AA1129,2)="L5"),AND(AC1129&lt;&gt;"",AC1129&lt;&gt;"N/A")),"CONFORME - Control Efectivo ISO 27001","OBSERVACIÓN - Revisar Controles")))</f>
        <v/>
      </c>
    </row>
    <row r="1130">
      <c r="A1130" s="99" t="inlineStr">
        <is>
          <t>108-GRI</t>
        </is>
      </c>
      <c r="B1130" s="10" t="inlineStr">
        <is>
          <t>ESTRATÉGICO</t>
        </is>
      </c>
      <c r="C1130" s="10" t="inlineStr">
        <is>
          <t>Gestión de Riesgos</t>
        </is>
      </c>
      <c r="D1130" s="10" t="inlineStr">
        <is>
          <t>GRI</t>
        </is>
      </c>
      <c r="E1130" s="10" t="inlineStr">
        <is>
          <t>Gestión de Riesgo de Mercado</t>
        </is>
      </c>
      <c r="F1130" s="10" t="inlineStr">
        <is>
          <t>-</t>
        </is>
      </c>
      <c r="G1130" s="10" t="inlineStr">
        <is>
          <t>Monitoreo de tasas</t>
        </is>
      </c>
      <c r="H1130" s="10" t="inlineStr">
        <is>
          <t>Reporte de Captaciones, Crédito, Inversiones y Obligaciones Financieras.</t>
        </is>
      </c>
      <c r="I1130" s="10" t="inlineStr">
        <is>
          <t>Procesos batch</t>
        </is>
      </c>
      <c r="J1130" s="10" t="inlineStr">
        <is>
          <t>GERENTE DE RIESGOS</t>
        </is>
      </c>
      <c r="K1130" s="10" t="inlineStr">
        <is>
          <t>ANALISTA DE RIESGO DE LIQUIDEZ Y MERCADO</t>
        </is>
      </c>
      <c r="L1130" s="10" t="inlineStr">
        <is>
          <t>UBICACIÓN DIGITAL-EQUIPO DEL RESPONSABLE</t>
        </is>
      </c>
      <c r="M1130" s="10" t="inlineStr">
        <is>
          <t>DOCUMENTO DE ARCHIVO-ELECTRÓNICO</t>
        </is>
      </c>
      <c r="N1130" s="10" t="inlineStr">
        <is>
          <t>PRIMARIOS</t>
        </is>
      </c>
      <c r="O1130" s="10" t="inlineStr">
        <is>
          <t>DOCUMENTOS TÉCNICOS</t>
        </is>
      </c>
      <c r="P1130" s="10" t="inlineStr">
        <is>
          <t>PUBLICA(1)</t>
        </is>
      </c>
      <c r="Q1130" s="10" t="inlineStr">
        <is>
          <t>ALTA(3)</t>
        </is>
      </c>
      <c r="R1130" s="10" t="inlineStr">
        <is>
          <t>MEDIA(2)</t>
        </is>
      </c>
      <c r="S1130" s="10">
        <f>+(IF(P1130="PUBLICA(1)",1,IF(P1130="USO INTERNO(2)",2,IF(P1130="RESTRINGIDO(3)",3,3))))+(IF(Q1130="BAJA(1)",1,IF(Q1130="MEDIA(2)",2,IF(Q1130="ALTA(3)",3,3))))+(IF(R1130="BAJA(1)",1,IF(R1130="MEDIA(2)",2,IF(R1130="ALTA(3)",3,3))))</f>
        <v/>
      </c>
      <c r="T1130" s="10">
        <f>+IF(S1130&lt;6,"BAJA",IF(S1130&lt;8,"MEDIA","ALTA"))</f>
        <v/>
      </c>
      <c r="U1130" s="10" t="inlineStr">
        <is>
          <t>-</t>
        </is>
      </c>
      <c r="V1130" s="24" t="n">
        <v>45568</v>
      </c>
      <c r="W1130" s="19" t="inlineStr">
        <is>
          <t>N/A</t>
        </is>
      </c>
      <c r="X1130" s="10">
        <f>+IFERROR(IF(VLOOKUP(Tabla2[[#This Row],[ID]],'EVALUACION DE RIESGO'!A:A,1,FALSE)=Tabla2[[#This Row],[ID]],"SI","NO"),"NO")</f>
        <v/>
      </c>
      <c r="AD1130">
        <f>IF(AND(Y1130="",AA1130=""),"",IF(OR(LEFT(AA1130,2)="L0",LEFT(AA1130,2)="L1",Y1130="No Iniciado"),"CRÍTICO - Incumplimiento Normativo SEPS",IF(AND(OR(LEFT(AA1130,2)="L4",LEFT(AA1130,2)="L5"),AND(AC1130&lt;&gt;"",AC1130&lt;&gt;"N/A")),"CONFORME - Control Efectivo ISO 27001","OBSERVACIÓN - Revisar Controles")))</f>
        <v/>
      </c>
    </row>
    <row r="1131">
      <c r="A1131" s="99" t="inlineStr">
        <is>
          <t>109-GRI</t>
        </is>
      </c>
      <c r="B1131" s="10" t="inlineStr">
        <is>
          <t>ESTRATÉGICO</t>
        </is>
      </c>
      <c r="C1131" s="10" t="inlineStr">
        <is>
          <t>Gestión de Riesgos</t>
        </is>
      </c>
      <c r="D1131" s="10" t="inlineStr">
        <is>
          <t>GRI</t>
        </is>
      </c>
      <c r="E1131" s="10" t="inlineStr">
        <is>
          <t>Gestión de Riesgo de Mercado</t>
        </is>
      </c>
      <c r="F1131" s="10" t="inlineStr">
        <is>
          <t>-</t>
        </is>
      </c>
      <c r="G1131" s="10" t="inlineStr">
        <is>
          <t>Monitoreo de tasas</t>
        </is>
      </c>
      <c r="H1131" s="10" t="inlineStr">
        <is>
          <t>Reporte de tasas</t>
        </is>
      </c>
      <c r="I1131" s="10" t="inlineStr">
        <is>
          <t xml:space="preserve">Consolidación de la información  </t>
        </is>
      </c>
      <c r="J1131" s="10" t="inlineStr">
        <is>
          <t>GERENTE DE RIESGOS</t>
        </is>
      </c>
      <c r="K1131" s="10" t="inlineStr">
        <is>
          <t>ANALISTA DE RIESGO DE LIQUIDEZ Y MERCADO</t>
        </is>
      </c>
      <c r="L1131" s="10" t="inlineStr">
        <is>
          <t>UBICACIÓN DIGITAL-EQUIPO DEL RESPONSABLE</t>
        </is>
      </c>
      <c r="M1131" s="10" t="inlineStr">
        <is>
          <t>DOCUMENTO DE ARCHIVO-ELECTRÓNICO</t>
        </is>
      </c>
      <c r="N1131" s="10" t="inlineStr">
        <is>
          <t>PRIMARIOS</t>
        </is>
      </c>
      <c r="O1131" s="10" t="inlineStr">
        <is>
          <t>DOCUMENTOS TÉCNICOS</t>
        </is>
      </c>
      <c r="P1131" s="10" t="inlineStr">
        <is>
          <t>PUBLICA(1)</t>
        </is>
      </c>
      <c r="Q1131" s="10" t="inlineStr">
        <is>
          <t>ALTA(3)</t>
        </is>
      </c>
      <c r="R1131" s="10" t="inlineStr">
        <is>
          <t>MEDIA(2)</t>
        </is>
      </c>
      <c r="S1131" s="10">
        <f>+(IF(P1131="PUBLICA(1)",1,IF(P1131="USO INTERNO(2)",2,IF(P1131="RESTRINGIDO(3)",3,3))))+(IF(Q1131="BAJA(1)",1,IF(Q1131="MEDIA(2)",2,IF(Q1131="ALTA(3)",3,3))))+(IF(R1131="BAJA(1)",1,IF(R1131="MEDIA(2)",2,IF(R1131="ALTA(3)",3,3))))</f>
        <v/>
      </c>
      <c r="T1131" s="10">
        <f>+IF(S1131&lt;6,"BAJA",IF(S1131&lt;8,"MEDIA","ALTA"))</f>
        <v/>
      </c>
      <c r="U1131" s="10" t="inlineStr">
        <is>
          <t>-</t>
        </is>
      </c>
      <c r="V1131" s="24" t="n">
        <v>45568</v>
      </c>
      <c r="W1131" s="19" t="inlineStr">
        <is>
          <t>N/A</t>
        </is>
      </c>
      <c r="X1131" s="10">
        <f>+IFERROR(IF(VLOOKUP(Tabla2[[#This Row],[ID]],'EVALUACION DE RIESGO'!A:A,1,FALSE)=Tabla2[[#This Row],[ID]],"SI","NO"),"NO")</f>
        <v/>
      </c>
      <c r="AD1131">
        <f>IF(AND(Y1131="",AA1131=""),"",IF(OR(LEFT(AA1131,2)="L0",LEFT(AA1131,2)="L1",Y1131="No Iniciado"),"CRÍTICO - Incumplimiento Normativo SEPS",IF(AND(OR(LEFT(AA1131,2)="L4",LEFT(AA1131,2)="L5"),AND(AC1131&lt;&gt;"",AC1131&lt;&gt;"N/A")),"CONFORME - Control Efectivo ISO 27001","OBSERVACIÓN - Revisar Controles")))</f>
        <v/>
      </c>
    </row>
    <row r="1132">
      <c r="A1132" s="99" t="inlineStr">
        <is>
          <t>110-GRI</t>
        </is>
      </c>
      <c r="B1132" s="10" t="inlineStr">
        <is>
          <t>ESTRATÉGICO</t>
        </is>
      </c>
      <c r="C1132" s="10" t="inlineStr">
        <is>
          <t>Gestión de Riesgos</t>
        </is>
      </c>
      <c r="D1132" s="10" t="inlineStr">
        <is>
          <t>GRI</t>
        </is>
      </c>
      <c r="E1132" s="10" t="inlineStr">
        <is>
          <t>Gestión de Riesgo de Mercado</t>
        </is>
      </c>
      <c r="F1132" s="10" t="inlineStr">
        <is>
          <t>-</t>
        </is>
      </c>
      <c r="G1132" s="10" t="inlineStr">
        <is>
          <t>Análisis de Tasas de Interés</t>
        </is>
      </c>
      <c r="H1132" s="10" t="inlineStr">
        <is>
          <t xml:space="preserve">Reporte de tasas
</t>
        </is>
      </c>
      <c r="I1132" s="10" t="inlineStr">
        <is>
          <t xml:space="preserve">Consolidación de la información  </t>
        </is>
      </c>
      <c r="J1132" s="10" t="inlineStr">
        <is>
          <t>GERENTE DE RIESGOS</t>
        </is>
      </c>
      <c r="K1132" s="10" t="inlineStr">
        <is>
          <t>ANALISTA DE RIESGO DE LIQUIDEZ Y MERCADO</t>
        </is>
      </c>
      <c r="L1132" s="10" t="inlineStr">
        <is>
          <t>UBICACIÓN DIGITAL-EQUIPO DEL RESPONSABLE</t>
        </is>
      </c>
      <c r="M1132" s="10" t="inlineStr">
        <is>
          <t>DOCUMENTO DE ARCHIVO-ELECTRÓNICO</t>
        </is>
      </c>
      <c r="N1132" s="10" t="inlineStr">
        <is>
          <t>PRIMARIOS</t>
        </is>
      </c>
      <c r="O1132" s="10" t="inlineStr">
        <is>
          <t>DOCUMENTOS TÉCNICOS</t>
        </is>
      </c>
      <c r="P1132" s="10" t="inlineStr">
        <is>
          <t>PUBLICA(1)</t>
        </is>
      </c>
      <c r="Q1132" s="10" t="inlineStr">
        <is>
          <t>ALTA(3)</t>
        </is>
      </c>
      <c r="R1132" s="10" t="inlineStr">
        <is>
          <t>MEDIA(2)</t>
        </is>
      </c>
      <c r="S1132" s="10">
        <f>+(IF(P1132="PUBLICA(1)",1,IF(P1132="USO INTERNO(2)",2,IF(P1132="RESTRINGIDO(3)",3,3))))+(IF(Q1132="BAJA(1)",1,IF(Q1132="MEDIA(2)",2,IF(Q1132="ALTA(3)",3,3))))+(IF(R1132="BAJA(1)",1,IF(R1132="MEDIA(2)",2,IF(R1132="ALTA(3)",3,3))))</f>
        <v/>
      </c>
      <c r="T1132" s="10">
        <f>+IF(S1132&lt;6,"BAJA",IF(S1132&lt;8,"MEDIA","ALTA"))</f>
        <v/>
      </c>
      <c r="U1132" s="10" t="inlineStr">
        <is>
          <t>-</t>
        </is>
      </c>
      <c r="V1132" s="24" t="n">
        <v>45568</v>
      </c>
      <c r="W1132" s="19" t="inlineStr">
        <is>
          <t>N/A</t>
        </is>
      </c>
      <c r="X1132" s="10">
        <f>+IFERROR(IF(VLOOKUP(Tabla2[[#This Row],[ID]],'EVALUACION DE RIESGO'!A:A,1,FALSE)=Tabla2[[#This Row],[ID]],"SI","NO"),"NO")</f>
        <v/>
      </c>
      <c r="AD1132">
        <f>IF(AND(Y1132="",AA1132=""),"",IF(OR(LEFT(AA1132,2)="L0",LEFT(AA1132,2)="L1",Y1132="No Iniciado"),"CRÍTICO - Incumplimiento Normativo SEPS",IF(AND(OR(LEFT(AA1132,2)="L4",LEFT(AA1132,2)="L5"),AND(AC1132&lt;&gt;"",AC1132&lt;&gt;"N/A")),"CONFORME - Control Efectivo ISO 27001","OBSERVACIÓN - Revisar Controles")))</f>
        <v/>
      </c>
    </row>
    <row r="1133">
      <c r="A1133" s="99" t="inlineStr">
        <is>
          <t>111-GRI</t>
        </is>
      </c>
      <c r="B1133" s="10" t="inlineStr">
        <is>
          <t>ESTRATÉGICO</t>
        </is>
      </c>
      <c r="C1133" s="10" t="inlineStr">
        <is>
          <t>Gestión de Riesgos</t>
        </is>
      </c>
      <c r="D1133" s="10" t="inlineStr">
        <is>
          <t>GRI</t>
        </is>
      </c>
      <c r="E1133" s="10" t="inlineStr">
        <is>
          <t>Gestión de Riesgo de Mercado</t>
        </is>
      </c>
      <c r="F1133" s="10" t="inlineStr">
        <is>
          <t>-</t>
        </is>
      </c>
      <c r="G1133" s="10" t="inlineStr">
        <is>
          <t>Análisis de Tasas de Interés</t>
        </is>
      </c>
      <c r="H1133" s="10" t="inlineStr">
        <is>
          <t xml:space="preserve">Base histórica de balances
</t>
        </is>
      </c>
      <c r="I1133" s="10" t="inlineStr">
        <is>
          <t xml:space="preserve">Consolidación de la información  </t>
        </is>
      </c>
      <c r="J1133" s="10" t="inlineStr">
        <is>
          <t>GERENTE DE RIESGOS</t>
        </is>
      </c>
      <c r="K1133" s="10" t="inlineStr">
        <is>
          <t>ANALISTA DE RIESGO DE LIQUIDEZ Y MERCADO</t>
        </is>
      </c>
      <c r="L1133" s="10" t="inlineStr">
        <is>
          <t>UBICACIÓN DIGITAL-EQUIPO DEL RESPONSABLE</t>
        </is>
      </c>
      <c r="M1133" s="10" t="inlineStr">
        <is>
          <t>DOCUMENTO DE ARCHIVO-ELECTRÓNICO</t>
        </is>
      </c>
      <c r="N1133" s="10" t="inlineStr">
        <is>
          <t>PRIMARIOS</t>
        </is>
      </c>
      <c r="O1133" s="10" t="inlineStr">
        <is>
          <t>DOCUMENTOS TÉCNICOS</t>
        </is>
      </c>
      <c r="P1133" s="10" t="inlineStr">
        <is>
          <t>PUBLICA(1)</t>
        </is>
      </c>
      <c r="Q1133" s="10" t="inlineStr">
        <is>
          <t>ALTA(3)</t>
        </is>
      </c>
      <c r="R1133" s="10" t="inlineStr">
        <is>
          <t>MEDIA(2)</t>
        </is>
      </c>
      <c r="S1133" s="10">
        <f>+(IF(P1133="PUBLICA(1)",1,IF(P1133="USO INTERNO(2)",2,IF(P1133="RESTRINGIDO(3)",3,3))))+(IF(Q1133="BAJA(1)",1,IF(Q1133="MEDIA(2)",2,IF(Q1133="ALTA(3)",3,3))))+(IF(R1133="BAJA(1)",1,IF(R1133="MEDIA(2)",2,IF(R1133="ALTA(3)",3,3))))</f>
        <v/>
      </c>
      <c r="T1133" s="10">
        <f>+IF(S1133&lt;6,"BAJA",IF(S1133&lt;8,"MEDIA","ALTA"))</f>
        <v/>
      </c>
      <c r="U1133" s="10" t="inlineStr">
        <is>
          <t>-</t>
        </is>
      </c>
      <c r="V1133" s="24" t="n">
        <v>45568</v>
      </c>
      <c r="W1133" s="19" t="inlineStr">
        <is>
          <t>N/A</t>
        </is>
      </c>
      <c r="X1133" s="10">
        <f>+IFERROR(IF(VLOOKUP(Tabla2[[#This Row],[ID]],'EVALUACION DE RIESGO'!A:A,1,FALSE)=Tabla2[[#This Row],[ID]],"SI","NO"),"NO")</f>
        <v/>
      </c>
      <c r="AD1133">
        <f>IF(AND(Y1133="",AA1133=""),"",IF(OR(LEFT(AA1133,2)="L0",LEFT(AA1133,2)="L1",Y1133="No Iniciado"),"CRÍTICO - Incumplimiento Normativo SEPS",IF(AND(OR(LEFT(AA1133,2)="L4",LEFT(AA1133,2)="L5"),AND(AC1133&lt;&gt;"",AC1133&lt;&gt;"N/A")),"CONFORME - Control Efectivo ISO 27001","OBSERVACIÓN - Revisar Controles")))</f>
        <v/>
      </c>
    </row>
    <row r="1134">
      <c r="A1134" s="99" t="inlineStr">
        <is>
          <t>112-GRI</t>
        </is>
      </c>
      <c r="B1134" s="10" t="inlineStr">
        <is>
          <t>ESTRATÉGICO</t>
        </is>
      </c>
      <c r="C1134" s="10" t="inlineStr">
        <is>
          <t>Gestión de Riesgos</t>
        </is>
      </c>
      <c r="D1134" s="10" t="inlineStr">
        <is>
          <t>GRI</t>
        </is>
      </c>
      <c r="E1134" s="10" t="inlineStr">
        <is>
          <t>Gestión de Riesgo de Mercado</t>
        </is>
      </c>
      <c r="F1134" s="10" t="inlineStr">
        <is>
          <t>-</t>
        </is>
      </c>
      <c r="G1134" s="10" t="inlineStr">
        <is>
          <t>Análisis de Tasas de Interés</t>
        </is>
      </c>
      <c r="H1134" s="10" t="inlineStr">
        <is>
          <t>Tasas activas efectivas máximas por segmento del BCE</t>
        </is>
      </c>
      <c r="I1134" s="10" t="inlineStr">
        <is>
          <t>Externo</t>
        </is>
      </c>
      <c r="J1134" s="10" t="inlineStr">
        <is>
          <t>GERENTE DE RIESGOS</t>
        </is>
      </c>
      <c r="K1134" s="10" t="inlineStr">
        <is>
          <t>ANALISTA DE RIESGO DE LIQUIDEZ Y MERCADO</t>
        </is>
      </c>
      <c r="L1134" s="10" t="inlineStr">
        <is>
          <t>UBICACIÓN DIGITAL-EQUIPO DEL RESPONSABLE</t>
        </is>
      </c>
      <c r="M1134" s="10" t="inlineStr">
        <is>
          <t>DOCUMENTO DE ARCHIVO-ELECTRÓNICO</t>
        </is>
      </c>
      <c r="N1134" s="10" t="inlineStr">
        <is>
          <t>PRIMARIOS</t>
        </is>
      </c>
      <c r="O1134" s="10" t="inlineStr">
        <is>
          <t>INFORMACIÓN DE TERCEROS</t>
        </is>
      </c>
      <c r="P1134" s="10" t="inlineStr">
        <is>
          <t>PUBLICA(1)</t>
        </is>
      </c>
      <c r="Q1134" s="10" t="inlineStr">
        <is>
          <t>ALTA(3)</t>
        </is>
      </c>
      <c r="R1134" s="10" t="inlineStr">
        <is>
          <t>MEDIA(2)</t>
        </is>
      </c>
      <c r="S1134" s="10">
        <f>+(IF(P1134="PUBLICA(1)",1,IF(P1134="USO INTERNO(2)",2,IF(P1134="RESTRINGIDO(3)",3,3))))+(IF(Q1134="BAJA(1)",1,IF(Q1134="MEDIA(2)",2,IF(Q1134="ALTA(3)",3,3))))+(IF(R1134="BAJA(1)",1,IF(R1134="MEDIA(2)",2,IF(R1134="ALTA(3)",3,3))))</f>
        <v/>
      </c>
      <c r="T1134" s="10">
        <f>+IF(S1134&lt;6,"BAJA",IF(S1134&lt;8,"MEDIA","ALTA"))</f>
        <v/>
      </c>
      <c r="U1134" s="10" t="inlineStr">
        <is>
          <t>-</t>
        </is>
      </c>
      <c r="V1134" s="24" t="n">
        <v>45568</v>
      </c>
      <c r="W1134" s="19" t="inlineStr">
        <is>
          <t>N/A</t>
        </is>
      </c>
      <c r="X1134" s="10">
        <f>+IFERROR(IF(VLOOKUP(Tabla2[[#This Row],[ID]],'EVALUACION DE RIESGO'!A:A,1,FALSE)=Tabla2[[#This Row],[ID]],"SI","NO"),"NO")</f>
        <v/>
      </c>
      <c r="AD1134">
        <f>IF(AND(Y1134="",AA1134=""),"",IF(OR(LEFT(AA1134,2)="L0",LEFT(AA1134,2)="L1",Y1134="No Iniciado"),"CRÍTICO - Incumplimiento Normativo SEPS",IF(AND(OR(LEFT(AA1134,2)="L4",LEFT(AA1134,2)="L5"),AND(AC1134&lt;&gt;"",AC1134&lt;&gt;"N/A")),"CONFORME - Control Efectivo ISO 27001","OBSERVACIÓN - Revisar Controles")))</f>
        <v/>
      </c>
    </row>
    <row r="1135">
      <c r="A1135" s="99" t="inlineStr">
        <is>
          <t>113-GRI</t>
        </is>
      </c>
      <c r="B1135" s="10" t="inlineStr">
        <is>
          <t>ESTRATÉGICO</t>
        </is>
      </c>
      <c r="C1135" s="10" t="inlineStr">
        <is>
          <t>Gestión de Riesgos</t>
        </is>
      </c>
      <c r="D1135" s="10" t="inlineStr">
        <is>
          <t>GRI</t>
        </is>
      </c>
      <c r="E1135" s="10" t="inlineStr">
        <is>
          <t>Gestión de Riesgo de Mercado</t>
        </is>
      </c>
      <c r="F1135" s="10" t="inlineStr">
        <is>
          <t>-</t>
        </is>
      </c>
      <c r="G1135" s="10" t="inlineStr">
        <is>
          <t>Análisis de Tasas de Interés</t>
        </is>
      </c>
      <c r="H1135" s="10" t="inlineStr">
        <is>
          <t>Base Histórica de Indicadores y Saldos del Segmento 1</t>
        </is>
      </c>
      <c r="I1135" s="10" t="inlineStr">
        <is>
          <t>Análisis de información del mercado (Cooperativas Segmento 1)</t>
        </is>
      </c>
      <c r="J1135" s="10" t="inlineStr">
        <is>
          <t>GERENTE DE RIESGOS</t>
        </is>
      </c>
      <c r="K1135" s="10" t="inlineStr">
        <is>
          <t>ANALISTA DE RIESGO DE LIQUIDEZ Y MERCADO</t>
        </is>
      </c>
      <c r="L1135" s="10" t="inlineStr">
        <is>
          <t>UBICACIÓN DIGITAL-EQUIPO DEL RESPONSABLE</t>
        </is>
      </c>
      <c r="M1135" s="10" t="inlineStr">
        <is>
          <t>DOCUMENTO DE ARCHIVO-ELECTRÓNICO</t>
        </is>
      </c>
      <c r="N1135" s="10" t="inlineStr">
        <is>
          <t>PRIMARIOS</t>
        </is>
      </c>
      <c r="O1135" s="10" t="inlineStr">
        <is>
          <t>INFORMACIÓN DE TERCEROS</t>
        </is>
      </c>
      <c r="P1135" s="10" t="inlineStr">
        <is>
          <t>PUBLICA(1)</t>
        </is>
      </c>
      <c r="Q1135" s="10" t="inlineStr">
        <is>
          <t>ALTA(3)</t>
        </is>
      </c>
      <c r="R1135" s="10" t="inlineStr">
        <is>
          <t>MEDIA(2)</t>
        </is>
      </c>
      <c r="S1135" s="10">
        <f>+(IF(P1135="PUBLICA(1)",1,IF(P1135="USO INTERNO(2)",2,IF(P1135="RESTRINGIDO(3)",3,3))))+(IF(Q1135="BAJA(1)",1,IF(Q1135="MEDIA(2)",2,IF(Q1135="ALTA(3)",3,3))))+(IF(R1135="BAJA(1)",1,IF(R1135="MEDIA(2)",2,IF(R1135="ALTA(3)",3,3))))</f>
        <v/>
      </c>
      <c r="T1135" s="10">
        <f>+IF(S1135&lt;6,"BAJA",IF(S1135&lt;8,"MEDIA","ALTA"))</f>
        <v/>
      </c>
      <c r="U1135" s="10" t="inlineStr">
        <is>
          <t>-</t>
        </is>
      </c>
      <c r="V1135" s="24" t="n">
        <v>45568</v>
      </c>
      <c r="W1135" s="19" t="inlineStr">
        <is>
          <t>N/A</t>
        </is>
      </c>
      <c r="X1135" s="10">
        <f>+IFERROR(IF(VLOOKUP(Tabla2[[#This Row],[ID]],'EVALUACION DE RIESGO'!A:A,1,FALSE)=Tabla2[[#This Row],[ID]],"SI","NO"),"NO")</f>
        <v/>
      </c>
      <c r="AD1135">
        <f>IF(AND(Y1135="",AA1135=""),"",IF(OR(LEFT(AA1135,2)="L0",LEFT(AA1135,2)="L1",Y1135="No Iniciado"),"CRÍTICO - Incumplimiento Normativo SEPS",IF(AND(OR(LEFT(AA1135,2)="L4",LEFT(AA1135,2)="L5"),AND(AC1135&lt;&gt;"",AC1135&lt;&gt;"N/A")),"CONFORME - Control Efectivo ISO 27001","OBSERVACIÓN - Revisar Controles")))</f>
        <v/>
      </c>
    </row>
    <row r="1136">
      <c r="A1136" s="99" t="inlineStr">
        <is>
          <t>114-GRI</t>
        </is>
      </c>
      <c r="B1136" s="10" t="inlineStr">
        <is>
          <t>ESTRATÉGICO</t>
        </is>
      </c>
      <c r="C1136" s="10" t="inlineStr">
        <is>
          <t>Gestión de Riesgos</t>
        </is>
      </c>
      <c r="D1136" s="10" t="inlineStr">
        <is>
          <t>GRI</t>
        </is>
      </c>
      <c r="E1136" s="10" t="inlineStr">
        <is>
          <t>Gestión de Riesgo de Mercado</t>
        </is>
      </c>
      <c r="F1136" s="10" t="inlineStr">
        <is>
          <t>-</t>
        </is>
      </c>
      <c r="G1136" s="10" t="inlineStr">
        <is>
          <t>Análisis de Tasas de Interés</t>
        </is>
      </c>
      <c r="H1136" s="10" t="inlineStr">
        <is>
          <t>Herramienta de Tasas de Interés</t>
        </is>
      </c>
      <c r="I1136" s="10" t="inlineStr">
        <is>
          <t xml:space="preserve">Consolidación de la información  </t>
        </is>
      </c>
      <c r="J1136" s="10" t="inlineStr">
        <is>
          <t>GERENTE DE RIESGOS</t>
        </is>
      </c>
      <c r="K1136" s="10" t="inlineStr">
        <is>
          <t>ANALISTA DE RIESGO DE LIQUIDEZ Y MERCADO</t>
        </is>
      </c>
      <c r="L1136" s="10" t="inlineStr">
        <is>
          <t>UBICACIÓN DIGITAL-EQUIPO DEL RESPONSABLE</t>
        </is>
      </c>
      <c r="M1136" s="10" t="inlineStr">
        <is>
          <t>DOCUMENTO DE ARCHIVO-ELECTRÓNICO</t>
        </is>
      </c>
      <c r="N1136" s="10" t="inlineStr">
        <is>
          <t>PRIMARIOS</t>
        </is>
      </c>
      <c r="O1136" s="10" t="inlineStr">
        <is>
          <t>DOCUMENTOS TÉCNICOS</t>
        </is>
      </c>
      <c r="P1136" s="10" t="inlineStr">
        <is>
          <t>PUBLICA(1)</t>
        </is>
      </c>
      <c r="Q1136" s="10" t="inlineStr">
        <is>
          <t>ALTA(3)</t>
        </is>
      </c>
      <c r="R1136" s="10" t="inlineStr">
        <is>
          <t>MEDIA(2)</t>
        </is>
      </c>
      <c r="S1136" s="10">
        <f>+(IF(P1136="PUBLICA(1)",1,IF(P1136="USO INTERNO(2)",2,IF(P1136="RESTRINGIDO(3)",3,3))))+(IF(Q1136="BAJA(1)",1,IF(Q1136="MEDIA(2)",2,IF(Q1136="ALTA(3)",3,3))))+(IF(R1136="BAJA(1)",1,IF(R1136="MEDIA(2)",2,IF(R1136="ALTA(3)",3,3))))</f>
        <v/>
      </c>
      <c r="T1136" s="10">
        <f>+IF(S1136&lt;6,"BAJA",IF(S1136&lt;8,"MEDIA","ALTA"))</f>
        <v/>
      </c>
      <c r="U1136" s="10" t="inlineStr">
        <is>
          <t>-</t>
        </is>
      </c>
      <c r="V1136" s="24" t="n">
        <v>45568</v>
      </c>
      <c r="W1136" s="19" t="inlineStr">
        <is>
          <t>N/A</t>
        </is>
      </c>
      <c r="X1136" s="10">
        <f>+IFERROR(IF(VLOOKUP(Tabla2[[#This Row],[ID]],'EVALUACION DE RIESGO'!A:A,1,FALSE)=Tabla2[[#This Row],[ID]],"SI","NO"),"NO")</f>
        <v/>
      </c>
      <c r="AD1136">
        <f>IF(AND(Y1136="",AA1136=""),"",IF(OR(LEFT(AA1136,2)="L0",LEFT(AA1136,2)="L1",Y1136="No Iniciado"),"CRÍTICO - Incumplimiento Normativo SEPS",IF(AND(OR(LEFT(AA1136,2)="L4",LEFT(AA1136,2)="L5"),AND(AC1136&lt;&gt;"",AC1136&lt;&gt;"N/A")),"CONFORME - Control Efectivo ISO 27001","OBSERVACIÓN - Revisar Controles")))</f>
        <v/>
      </c>
    </row>
    <row r="1137">
      <c r="A1137" s="99" t="inlineStr">
        <is>
          <t>115-GRI</t>
        </is>
      </c>
      <c r="B1137" s="10" t="inlineStr">
        <is>
          <t>ESTRATÉGICO</t>
        </is>
      </c>
      <c r="C1137" s="10" t="inlineStr">
        <is>
          <t>Gestión de Riesgos</t>
        </is>
      </c>
      <c r="D1137" s="10" t="inlineStr">
        <is>
          <t>GRI</t>
        </is>
      </c>
      <c r="E1137" s="10" t="inlineStr">
        <is>
          <t>Gestión de Riesgo de Mercado</t>
        </is>
      </c>
      <c r="F1137" s="10" t="inlineStr">
        <is>
          <t>-</t>
        </is>
      </c>
      <c r="G1137" s="10" t="inlineStr">
        <is>
          <t>Consolidación de la información</t>
        </is>
      </c>
      <c r="H1137" s="10" t="inlineStr">
        <is>
          <t>Reporte de brechas de sensibilidad</t>
        </is>
      </c>
      <c r="I1137" s="10" t="inlineStr">
        <is>
          <t xml:space="preserve">Análisis de Brechas de sensibilidad </t>
        </is>
      </c>
      <c r="J1137" s="10" t="inlineStr">
        <is>
          <t>GERENTE DE RIESGOS</t>
        </is>
      </c>
      <c r="K1137" s="10" t="inlineStr">
        <is>
          <t>ANALISTA DE RIESGO DE LIQUIDEZ Y MERCADO</t>
        </is>
      </c>
      <c r="L1137" s="10" t="inlineStr">
        <is>
          <t>UBICACIÓN DIGITAL-EQUIPO DEL RESPONSABLE</t>
        </is>
      </c>
      <c r="M1137" s="10" t="inlineStr">
        <is>
          <t>DOCUMENTO DE ARCHIVO-ELECTRÓNICO</t>
        </is>
      </c>
      <c r="N1137" s="10" t="inlineStr">
        <is>
          <t>PRIMARIOS</t>
        </is>
      </c>
      <c r="O1137" s="10" t="inlineStr">
        <is>
          <t>DOCUMENTOS TÉCNICOS</t>
        </is>
      </c>
      <c r="P1137" s="10" t="inlineStr">
        <is>
          <t>PUBLICA(1)</t>
        </is>
      </c>
      <c r="Q1137" s="10" t="inlineStr">
        <is>
          <t>ALTA(3)</t>
        </is>
      </c>
      <c r="R1137" s="10" t="inlineStr">
        <is>
          <t>MEDIA(2)</t>
        </is>
      </c>
      <c r="S1137" s="10">
        <f>+(IF(P1137="PUBLICA(1)",1,IF(P1137="USO INTERNO(2)",2,IF(P1137="RESTRINGIDO(3)",3,3))))+(IF(Q1137="BAJA(1)",1,IF(Q1137="MEDIA(2)",2,IF(Q1137="ALTA(3)",3,3))))+(IF(R1137="BAJA(1)",1,IF(R1137="MEDIA(2)",2,IF(R1137="ALTA(3)",3,3))))</f>
        <v/>
      </c>
      <c r="T1137" s="10">
        <f>+IF(S1137&lt;6,"BAJA",IF(S1137&lt;8,"MEDIA","ALTA"))</f>
        <v/>
      </c>
      <c r="U1137" s="10" t="inlineStr">
        <is>
          <t>-</t>
        </is>
      </c>
      <c r="V1137" s="24" t="n">
        <v>45568</v>
      </c>
      <c r="W1137" s="19" t="inlineStr">
        <is>
          <t>N/A</t>
        </is>
      </c>
      <c r="X1137" s="10">
        <f>+IFERROR(IF(VLOOKUP(Tabla2[[#This Row],[ID]],'EVALUACION DE RIESGO'!A:A,1,FALSE)=Tabla2[[#This Row],[ID]],"SI","NO"),"NO")</f>
        <v/>
      </c>
      <c r="AD1137">
        <f>IF(AND(Y1137="",AA1137=""),"",IF(OR(LEFT(AA1137,2)="L0",LEFT(AA1137,2)="L1",Y1137="No Iniciado"),"CRÍTICO - Incumplimiento Normativo SEPS",IF(AND(OR(LEFT(AA1137,2)="L4",LEFT(AA1137,2)="L5"),AND(AC1137&lt;&gt;"",AC1137&lt;&gt;"N/A")),"CONFORME - Control Efectivo ISO 27001","OBSERVACIÓN - Revisar Controles")))</f>
        <v/>
      </c>
    </row>
    <row r="1138">
      <c r="A1138" s="99" t="inlineStr">
        <is>
          <t>116-GRI</t>
        </is>
      </c>
      <c r="B1138" s="10" t="inlineStr">
        <is>
          <t>ESTRATÉGICO</t>
        </is>
      </c>
      <c r="C1138" s="10" t="inlineStr">
        <is>
          <t>Gestión de Riesgos</t>
        </is>
      </c>
      <c r="D1138" s="10" t="inlineStr">
        <is>
          <t>GRI</t>
        </is>
      </c>
      <c r="E1138" s="10" t="inlineStr">
        <is>
          <t>Gestión de Riesgo de Mercado</t>
        </is>
      </c>
      <c r="F1138" s="10" t="inlineStr">
        <is>
          <t>-</t>
        </is>
      </c>
      <c r="G1138" s="10" t="inlineStr">
        <is>
          <t>Consolidación de la información</t>
        </is>
      </c>
      <c r="H1138" s="10" t="inlineStr">
        <is>
          <t>Reportes sensibilidad al margen financiero y valor patrimonial</t>
        </is>
      </c>
      <c r="I1138" s="10" t="inlineStr">
        <is>
          <t xml:space="preserve">Análisis de sensibilidad al margen financiero y valor patrimonial </t>
        </is>
      </c>
      <c r="J1138" s="10" t="inlineStr">
        <is>
          <t>GERENTE DE RIESGOS</t>
        </is>
      </c>
      <c r="K1138" s="10" t="inlineStr">
        <is>
          <t>ANALISTA DE RIESGO DE LIQUIDEZ Y MERCADO</t>
        </is>
      </c>
      <c r="L1138" s="10" t="inlineStr">
        <is>
          <t>UBICACIÓN DIGITAL-EQUIPO DEL RESPONSABLE</t>
        </is>
      </c>
      <c r="M1138" s="10" t="inlineStr">
        <is>
          <t>DOCUMENTO DE ARCHIVO-ELECTRÓNICO</t>
        </is>
      </c>
      <c r="N1138" s="10" t="inlineStr">
        <is>
          <t>PRIMARIOS</t>
        </is>
      </c>
      <c r="O1138" s="10" t="inlineStr">
        <is>
          <t>DOCUMENTOS TÉCNICOS</t>
        </is>
      </c>
      <c r="P1138" s="10" t="inlineStr">
        <is>
          <t>PUBLICA(1)</t>
        </is>
      </c>
      <c r="Q1138" s="10" t="inlineStr">
        <is>
          <t>ALTA(3)</t>
        </is>
      </c>
      <c r="R1138" s="10" t="inlineStr">
        <is>
          <t>MEDIA(2)</t>
        </is>
      </c>
      <c r="S1138" s="10">
        <f>+(IF(P1138="PUBLICA(1)",1,IF(P1138="USO INTERNO(2)",2,IF(P1138="RESTRINGIDO(3)",3,3))))+(IF(Q1138="BAJA(1)",1,IF(Q1138="MEDIA(2)",2,IF(Q1138="ALTA(3)",3,3))))+(IF(R1138="BAJA(1)",1,IF(R1138="MEDIA(2)",2,IF(R1138="ALTA(3)",3,3))))</f>
        <v/>
      </c>
      <c r="T1138" s="10">
        <f>+IF(S1138&lt;6,"BAJA",IF(S1138&lt;8,"MEDIA","ALTA"))</f>
        <v/>
      </c>
      <c r="U1138" s="10" t="inlineStr">
        <is>
          <t>-</t>
        </is>
      </c>
      <c r="V1138" s="24" t="n">
        <v>45568</v>
      </c>
      <c r="W1138" s="19" t="inlineStr">
        <is>
          <t>N/A</t>
        </is>
      </c>
      <c r="X1138" s="10">
        <f>+IFERROR(IF(VLOOKUP(Tabla2[[#This Row],[ID]],'EVALUACION DE RIESGO'!A:A,1,FALSE)=Tabla2[[#This Row],[ID]],"SI","NO"),"NO")</f>
        <v/>
      </c>
      <c r="AD1138">
        <f>IF(AND(Y1138="",AA1138=""),"",IF(OR(LEFT(AA1138,2)="L0",LEFT(AA1138,2)="L1",Y1138="No Iniciado"),"CRÍTICO - Incumplimiento Normativo SEPS",IF(AND(OR(LEFT(AA1138,2)="L4",LEFT(AA1138,2)="L5"),AND(AC1138&lt;&gt;"",AC1138&lt;&gt;"N/A")),"CONFORME - Control Efectivo ISO 27001","OBSERVACIÓN - Revisar Controles")))</f>
        <v/>
      </c>
    </row>
    <row r="1139">
      <c r="A1139" s="99" t="inlineStr">
        <is>
          <t>117-GRI</t>
        </is>
      </c>
      <c r="B1139" s="10" t="inlineStr">
        <is>
          <t>ESTRATÉGICO</t>
        </is>
      </c>
      <c r="C1139" s="10" t="inlineStr">
        <is>
          <t>Gestión de Riesgos</t>
        </is>
      </c>
      <c r="D1139" s="10" t="inlineStr">
        <is>
          <t>GRI</t>
        </is>
      </c>
      <c r="E1139" s="10" t="inlineStr">
        <is>
          <t>Gestión de Riesgo de Mercado</t>
        </is>
      </c>
      <c r="F1139" s="10" t="inlineStr">
        <is>
          <t>-</t>
        </is>
      </c>
      <c r="G1139" s="10" t="inlineStr">
        <is>
          <t>Consolidación de la información</t>
        </is>
      </c>
      <c r="H1139" s="10" t="inlineStr">
        <is>
          <t>Reportes estresados de sensibilidad al margen financiero y valor patrimonial</t>
        </is>
      </c>
      <c r="I1139" s="10" t="inlineStr">
        <is>
          <t>Análisis de escenarios de estrés</t>
        </is>
      </c>
      <c r="J1139" s="10" t="inlineStr">
        <is>
          <t>GERENTE DE RIESGOS</t>
        </is>
      </c>
      <c r="K1139" s="10" t="inlineStr">
        <is>
          <t>ANALISTA DE RIESGO DE LIQUIDEZ Y MERCADO</t>
        </is>
      </c>
      <c r="L1139" s="10" t="inlineStr">
        <is>
          <t>UBICACIÓN DIGITAL-EQUIPO DEL RESPONSABLE</t>
        </is>
      </c>
      <c r="M1139" s="10" t="inlineStr">
        <is>
          <t>DOCUMENTO DE ARCHIVO-ELECTRÓNICO</t>
        </is>
      </c>
      <c r="N1139" s="10" t="inlineStr">
        <is>
          <t>PRIMARIOS</t>
        </is>
      </c>
      <c r="O1139" s="10" t="inlineStr">
        <is>
          <t>DOCUMENTOS TÉCNICOS</t>
        </is>
      </c>
      <c r="P1139" s="10" t="inlineStr">
        <is>
          <t>PUBLICA(1)</t>
        </is>
      </c>
      <c r="Q1139" s="10" t="inlineStr">
        <is>
          <t>ALTA(3)</t>
        </is>
      </c>
      <c r="R1139" s="10" t="inlineStr">
        <is>
          <t>MEDIA(2)</t>
        </is>
      </c>
      <c r="S1139" s="10">
        <f>+(IF(P1139="PUBLICA(1)",1,IF(P1139="USO INTERNO(2)",2,IF(P1139="RESTRINGIDO(3)",3,3))))+(IF(Q1139="BAJA(1)",1,IF(Q1139="MEDIA(2)",2,IF(Q1139="ALTA(3)",3,3))))+(IF(R1139="BAJA(1)",1,IF(R1139="MEDIA(2)",2,IF(R1139="ALTA(3)",3,3))))</f>
        <v/>
      </c>
      <c r="T1139" s="10">
        <f>+IF(S1139&lt;6,"BAJA",IF(S1139&lt;8,"MEDIA","ALTA"))</f>
        <v/>
      </c>
      <c r="U1139" s="10" t="inlineStr">
        <is>
          <t>-</t>
        </is>
      </c>
      <c r="V1139" s="24" t="n">
        <v>45568</v>
      </c>
      <c r="W1139" s="19" t="inlineStr">
        <is>
          <t>N/A</t>
        </is>
      </c>
      <c r="X1139" s="10">
        <f>+IFERROR(IF(VLOOKUP(Tabla2[[#This Row],[ID]],'EVALUACION DE RIESGO'!A:A,1,FALSE)=Tabla2[[#This Row],[ID]],"SI","NO"),"NO")</f>
        <v/>
      </c>
      <c r="AD1139">
        <f>IF(AND(Y1139="",AA1139=""),"",IF(OR(LEFT(AA1139,2)="L0",LEFT(AA1139,2)="L1",Y1139="No Iniciado"),"CRÍTICO - Incumplimiento Normativo SEPS",IF(AND(OR(LEFT(AA1139,2)="L4",LEFT(AA1139,2)="L5"),AND(AC1139&lt;&gt;"",AC1139&lt;&gt;"N/A")),"CONFORME - Control Efectivo ISO 27001","OBSERVACIÓN - Revisar Controles")))</f>
        <v/>
      </c>
    </row>
    <row r="1140">
      <c r="A1140" s="99" t="inlineStr">
        <is>
          <t>118-GRI</t>
        </is>
      </c>
      <c r="B1140" s="10" t="inlineStr">
        <is>
          <t>ESTRATÉGICO</t>
        </is>
      </c>
      <c r="C1140" s="10" t="inlineStr">
        <is>
          <t>Gestión de Riesgos</t>
        </is>
      </c>
      <c r="D1140" s="10" t="inlineStr">
        <is>
          <t>GRI</t>
        </is>
      </c>
      <c r="E1140" s="10" t="inlineStr">
        <is>
          <t>Gestión de Riesgo de Mercado</t>
        </is>
      </c>
      <c r="F1140" s="10" t="inlineStr">
        <is>
          <t>-</t>
        </is>
      </c>
      <c r="G1140" s="10" t="inlineStr">
        <is>
          <t>Consolidación de la información</t>
        </is>
      </c>
      <c r="H1140" s="10" t="inlineStr">
        <is>
          <t>Reporte de tasas</t>
        </is>
      </c>
      <c r="I1140" s="10" t="inlineStr">
        <is>
          <t>Monitoreo de tasas</t>
        </is>
      </c>
      <c r="J1140" s="10" t="inlineStr">
        <is>
          <t>GERENTE DE RIESGOS</t>
        </is>
      </c>
      <c r="K1140" s="10" t="inlineStr">
        <is>
          <t>ANALISTA DE RIESGO DE LIQUIDEZ Y MERCADO</t>
        </is>
      </c>
      <c r="L1140" s="10" t="inlineStr">
        <is>
          <t>UBICACIÓN DIGITAL-EQUIPO DEL RESPONSABLE</t>
        </is>
      </c>
      <c r="M1140" s="10" t="inlineStr">
        <is>
          <t>DOCUMENTO DE ARCHIVO-ELECTRÓNICO</t>
        </is>
      </c>
      <c r="N1140" s="10" t="inlineStr">
        <is>
          <t>PRIMARIOS</t>
        </is>
      </c>
      <c r="O1140" s="10" t="inlineStr">
        <is>
          <t>DOCUMENTOS TÉCNICOS</t>
        </is>
      </c>
      <c r="P1140" s="10" t="inlineStr">
        <is>
          <t>PUBLICA(1)</t>
        </is>
      </c>
      <c r="Q1140" s="10" t="inlineStr">
        <is>
          <t>ALTA(3)</t>
        </is>
      </c>
      <c r="R1140" s="10" t="inlineStr">
        <is>
          <t>MEDIA(2)</t>
        </is>
      </c>
      <c r="S1140" s="10">
        <f>+(IF(P1140="PUBLICA(1)",1,IF(P1140="USO INTERNO(2)",2,IF(P1140="RESTRINGIDO(3)",3,3))))+(IF(Q1140="BAJA(1)",1,IF(Q1140="MEDIA(2)",2,IF(Q1140="ALTA(3)",3,3))))+(IF(R1140="BAJA(1)",1,IF(R1140="MEDIA(2)",2,IF(R1140="ALTA(3)",3,3))))</f>
        <v/>
      </c>
      <c r="T1140" s="10">
        <f>+IF(S1140&lt;6,"BAJA",IF(S1140&lt;8,"MEDIA","ALTA"))</f>
        <v/>
      </c>
      <c r="U1140" s="10" t="inlineStr">
        <is>
          <t>-</t>
        </is>
      </c>
      <c r="V1140" s="24" t="n">
        <v>45568</v>
      </c>
      <c r="W1140" s="19" t="inlineStr">
        <is>
          <t>N/A</t>
        </is>
      </c>
      <c r="X1140" s="10">
        <f>+IFERROR(IF(VLOOKUP(Tabla2[[#This Row],[ID]],'EVALUACION DE RIESGO'!A:A,1,FALSE)=Tabla2[[#This Row],[ID]],"SI","NO"),"NO")</f>
        <v/>
      </c>
      <c r="AD1140">
        <f>IF(AND(Y1140="",AA1140=""),"",IF(OR(LEFT(AA1140,2)="L0",LEFT(AA1140,2)="L1",Y1140="No Iniciado"),"CRÍTICO - Incumplimiento Normativo SEPS",IF(AND(OR(LEFT(AA1140,2)="L4",LEFT(AA1140,2)="L5"),AND(AC1140&lt;&gt;"",AC1140&lt;&gt;"N/A")),"CONFORME - Control Efectivo ISO 27001","OBSERVACIÓN - Revisar Controles")))</f>
        <v/>
      </c>
    </row>
    <row r="1141">
      <c r="A1141" s="99" t="inlineStr">
        <is>
          <t>119-GRI</t>
        </is>
      </c>
      <c r="B1141" s="10" t="inlineStr">
        <is>
          <t>ESTRATÉGICO</t>
        </is>
      </c>
      <c r="C1141" s="10" t="inlineStr">
        <is>
          <t>Gestión de Riesgos</t>
        </is>
      </c>
      <c r="D1141" s="10" t="inlineStr">
        <is>
          <t>GRI</t>
        </is>
      </c>
      <c r="E1141" s="10" t="inlineStr">
        <is>
          <t>Gestión de Riesgo de Mercado</t>
        </is>
      </c>
      <c r="F1141" s="10" t="inlineStr">
        <is>
          <t>-</t>
        </is>
      </c>
      <c r="G1141" s="10" t="inlineStr">
        <is>
          <t>Consolidación de la información</t>
        </is>
      </c>
      <c r="H1141" s="10" t="inlineStr">
        <is>
          <t>Formulario 229</t>
        </is>
      </c>
      <c r="I1141" s="10" t="inlineStr">
        <is>
          <t>Balance</t>
        </is>
      </c>
      <c r="J1141" s="10" t="inlineStr">
        <is>
          <t>GERENTE DE RIESGOS</t>
        </is>
      </c>
      <c r="K1141" s="10" t="inlineStr">
        <is>
          <t>ANALISTA DE RIESGO DE LIQUIDEZ Y MERCADO</t>
        </is>
      </c>
      <c r="L1141" s="10" t="inlineStr">
        <is>
          <t>UBICACIÓN DIGITAL-EQUIPO DEL RESPONSABLE</t>
        </is>
      </c>
      <c r="M1141" s="10" t="inlineStr">
        <is>
          <t>DOCUMENTO DE ARCHIVO-ELECTRÓNICO</t>
        </is>
      </c>
      <c r="N1141" s="10" t="inlineStr">
        <is>
          <t>PRIMARIOS</t>
        </is>
      </c>
      <c r="O1141" s="10" t="inlineStr">
        <is>
          <t>DOCUMENTOS TÉCNICOS</t>
        </is>
      </c>
      <c r="P1141" s="10" t="inlineStr">
        <is>
          <t>PUBLICA(1)</t>
        </is>
      </c>
      <c r="Q1141" s="10" t="inlineStr">
        <is>
          <t>ALTA(3)</t>
        </is>
      </c>
      <c r="R1141" s="10" t="inlineStr">
        <is>
          <t>MEDIA(2)</t>
        </is>
      </c>
      <c r="S1141" s="10">
        <f>+(IF(P1141="PUBLICA(1)",1,IF(P1141="USO INTERNO(2)",2,IF(P1141="RESTRINGIDO(3)",3,3))))+(IF(Q1141="BAJA(1)",1,IF(Q1141="MEDIA(2)",2,IF(Q1141="ALTA(3)",3,3))))+(IF(R1141="BAJA(1)",1,IF(R1141="MEDIA(2)",2,IF(R1141="ALTA(3)",3,3))))</f>
        <v/>
      </c>
      <c r="T1141" s="10">
        <f>+IF(S1141&lt;6,"BAJA",IF(S1141&lt;8,"MEDIA","ALTA"))</f>
        <v/>
      </c>
      <c r="U1141" s="10" t="inlineStr">
        <is>
          <t>-</t>
        </is>
      </c>
      <c r="V1141" s="24" t="n">
        <v>45568</v>
      </c>
      <c r="W1141" s="19" t="inlineStr">
        <is>
          <t>N/A</t>
        </is>
      </c>
      <c r="X1141" s="10">
        <f>+IFERROR(IF(VLOOKUP(Tabla2[[#This Row],[ID]],'EVALUACION DE RIESGO'!A:A,1,FALSE)=Tabla2[[#This Row],[ID]],"SI","NO"),"NO")</f>
        <v/>
      </c>
      <c r="AD1141">
        <f>IF(AND(Y1141="",AA1141=""),"",IF(OR(LEFT(AA1141,2)="L0",LEFT(AA1141,2)="L1",Y1141="No Iniciado"),"CRÍTICO - Incumplimiento Normativo SEPS",IF(AND(OR(LEFT(AA1141,2)="L4",LEFT(AA1141,2)="L5"),AND(AC1141&lt;&gt;"",AC1141&lt;&gt;"N/A")),"CONFORME - Control Efectivo ISO 27001","OBSERVACIÓN - Revisar Controles")))</f>
        <v/>
      </c>
    </row>
    <row r="1142">
      <c r="A1142" s="99" t="inlineStr">
        <is>
          <t>120-GRI</t>
        </is>
      </c>
      <c r="B1142" s="10" t="inlineStr">
        <is>
          <t>ESTRATÉGICO</t>
        </is>
      </c>
      <c r="C1142" s="10" t="inlineStr">
        <is>
          <t>Gestión de Riesgos</t>
        </is>
      </c>
      <c r="D1142" s="10" t="inlineStr">
        <is>
          <t>GRI</t>
        </is>
      </c>
      <c r="E1142" s="10" t="inlineStr">
        <is>
          <t>Gestión de Riesgo de Mercado</t>
        </is>
      </c>
      <c r="F1142" s="10" t="inlineStr">
        <is>
          <t>-</t>
        </is>
      </c>
      <c r="G1142" s="10" t="inlineStr">
        <is>
          <t>Consolidación de la información</t>
        </is>
      </c>
      <c r="H1142" s="10" t="inlineStr">
        <is>
          <t>Reportes de la Inflación del consumidor</t>
        </is>
      </c>
      <c r="I1142" s="10" t="inlineStr">
        <is>
          <t>INEC</t>
        </is>
      </c>
      <c r="J1142" s="10" t="inlineStr">
        <is>
          <t>GERENTE DE RIESGOS</t>
        </is>
      </c>
      <c r="K1142" s="10" t="inlineStr">
        <is>
          <t>ANALISTA DE RIESGO DE LIQUIDEZ Y MERCADO</t>
        </is>
      </c>
      <c r="L1142" s="10" t="inlineStr">
        <is>
          <t>UBICACIÓN DIGITAL-EQUIPO DEL RESPONSABLE</t>
        </is>
      </c>
      <c r="M1142" s="10" t="inlineStr">
        <is>
          <t>DOCUMENTO DE ARCHIVO-ELECTRÓNICO</t>
        </is>
      </c>
      <c r="N1142" s="10" t="inlineStr">
        <is>
          <t>PRIMARIOS</t>
        </is>
      </c>
      <c r="O1142" s="10" t="inlineStr">
        <is>
          <t>INFORMACIÓN DE TERCEROS</t>
        </is>
      </c>
      <c r="P1142" s="10" t="inlineStr">
        <is>
          <t>PUBLICA(1)</t>
        </is>
      </c>
      <c r="Q1142" s="10" t="inlineStr">
        <is>
          <t>ALTA(3)</t>
        </is>
      </c>
      <c r="R1142" s="10" t="inlineStr">
        <is>
          <t>MEDIA(2)</t>
        </is>
      </c>
      <c r="S1142" s="10">
        <f>+(IF(P1142="PUBLICA(1)",1,IF(P1142="USO INTERNO(2)",2,IF(P1142="RESTRINGIDO(3)",3,3))))+(IF(Q1142="BAJA(1)",1,IF(Q1142="MEDIA(2)",2,IF(Q1142="ALTA(3)",3,3))))+(IF(R1142="BAJA(1)",1,IF(R1142="MEDIA(2)",2,IF(R1142="ALTA(3)",3,3))))</f>
        <v/>
      </c>
      <c r="T1142" s="10">
        <f>+IF(S1142&lt;6,"BAJA",IF(S1142&lt;8,"MEDIA","ALTA"))</f>
        <v/>
      </c>
      <c r="U1142" s="10" t="inlineStr">
        <is>
          <t>-</t>
        </is>
      </c>
      <c r="V1142" s="24" t="n">
        <v>45568</v>
      </c>
      <c r="W1142" s="19" t="inlineStr">
        <is>
          <t>N/A</t>
        </is>
      </c>
      <c r="X1142" s="10">
        <f>+IFERROR(IF(VLOOKUP(Tabla2[[#This Row],[ID]],'EVALUACION DE RIESGO'!A:A,1,FALSE)=Tabla2[[#This Row],[ID]],"SI","NO"),"NO")</f>
        <v/>
      </c>
      <c r="AD1142">
        <f>IF(AND(Y1142="",AA1142=""),"",IF(OR(LEFT(AA1142,2)="L0",LEFT(AA1142,2)="L1",Y1142="No Iniciado"),"CRÍTICO - Incumplimiento Normativo SEPS",IF(AND(OR(LEFT(AA1142,2)="L4",LEFT(AA1142,2)="L5"),AND(AC1142&lt;&gt;"",AC1142&lt;&gt;"N/A")),"CONFORME - Control Efectivo ISO 27001","OBSERVACIÓN - Revisar Controles")))</f>
        <v/>
      </c>
    </row>
    <row r="1143">
      <c r="A1143" s="99" t="inlineStr">
        <is>
          <t>121-GRI</t>
        </is>
      </c>
      <c r="B1143" s="10" t="inlineStr">
        <is>
          <t>ESTRATÉGICO</t>
        </is>
      </c>
      <c r="C1143" s="10" t="inlineStr">
        <is>
          <t>Gestión de Riesgos</t>
        </is>
      </c>
      <c r="D1143" s="10" t="inlineStr">
        <is>
          <t>GRI</t>
        </is>
      </c>
      <c r="E1143" s="10" t="inlineStr">
        <is>
          <t>Gestión de Riesgo de Mercado</t>
        </is>
      </c>
      <c r="F1143" s="10" t="inlineStr">
        <is>
          <t>-</t>
        </is>
      </c>
      <c r="G1143" s="10" t="inlineStr">
        <is>
          <t>Consolidación de la información</t>
        </is>
      </c>
      <c r="H1143" s="10" t="inlineStr">
        <is>
          <t>Reportes de la canasta básica familiar y canasta vital.</t>
        </is>
      </c>
      <c r="I1143" s="10" t="inlineStr">
        <is>
          <t>INEC</t>
        </is>
      </c>
      <c r="J1143" s="10" t="inlineStr">
        <is>
          <t>GERENTE DE RIESGOS</t>
        </is>
      </c>
      <c r="K1143" s="10" t="inlineStr">
        <is>
          <t>ANALISTA DE RIESGO DE LIQUIDEZ Y MERCADO</t>
        </is>
      </c>
      <c r="L1143" s="10" t="inlineStr">
        <is>
          <t>UBICACIÓN DIGITAL-EQUIPO DEL RESPONSABLE</t>
        </is>
      </c>
      <c r="M1143" s="10" t="inlineStr">
        <is>
          <t>DOCUMENTO DE ARCHIVO-ELECTRÓNICO</t>
        </is>
      </c>
      <c r="N1143" s="10" t="inlineStr">
        <is>
          <t>PRIMARIOS</t>
        </is>
      </c>
      <c r="O1143" s="10" t="inlineStr">
        <is>
          <t>INFORMACIÓN DE TERCEROS</t>
        </is>
      </c>
      <c r="P1143" s="10" t="inlineStr">
        <is>
          <t>PUBLICA(1)</t>
        </is>
      </c>
      <c r="Q1143" s="10" t="inlineStr">
        <is>
          <t>ALTA(3)</t>
        </is>
      </c>
      <c r="R1143" s="10" t="inlineStr">
        <is>
          <t>MEDIA(2)</t>
        </is>
      </c>
      <c r="S1143" s="10">
        <f>+(IF(P1143="PUBLICA(1)",1,IF(P1143="USO INTERNO(2)",2,IF(P1143="RESTRINGIDO(3)",3,3))))+(IF(Q1143="BAJA(1)",1,IF(Q1143="MEDIA(2)",2,IF(Q1143="ALTA(3)",3,3))))+(IF(R1143="BAJA(1)",1,IF(R1143="MEDIA(2)",2,IF(R1143="ALTA(3)",3,3))))</f>
        <v/>
      </c>
      <c r="T1143" s="10">
        <f>+IF(S1143&lt;6,"BAJA",IF(S1143&lt;8,"MEDIA","ALTA"))</f>
        <v/>
      </c>
      <c r="U1143" s="10" t="inlineStr">
        <is>
          <t>-</t>
        </is>
      </c>
      <c r="V1143" s="24" t="n">
        <v>45568</v>
      </c>
      <c r="W1143" s="19" t="inlineStr">
        <is>
          <t>N/A</t>
        </is>
      </c>
      <c r="X1143" s="10">
        <f>+IFERROR(IF(VLOOKUP(Tabla2[[#This Row],[ID]],'EVALUACION DE RIESGO'!A:A,1,FALSE)=Tabla2[[#This Row],[ID]],"SI","NO"),"NO")</f>
        <v/>
      </c>
      <c r="AD1143">
        <f>IF(AND(Y1143="",AA1143=""),"",IF(OR(LEFT(AA1143,2)="L0",LEFT(AA1143,2)="L1",Y1143="No Iniciado"),"CRÍTICO - Incumplimiento Normativo SEPS",IF(AND(OR(LEFT(AA1143,2)="L4",LEFT(AA1143,2)="L5"),AND(AC1143&lt;&gt;"",AC1143&lt;&gt;"N/A")),"CONFORME - Control Efectivo ISO 27001","OBSERVACIÓN - Revisar Controles")))</f>
        <v/>
      </c>
    </row>
    <row r="1144">
      <c r="A1144" s="99" t="inlineStr">
        <is>
          <t>122-GRI</t>
        </is>
      </c>
      <c r="B1144" s="10" t="inlineStr">
        <is>
          <t>ESTRATÉGICO</t>
        </is>
      </c>
      <c r="C1144" s="10" t="inlineStr">
        <is>
          <t>Gestión de Riesgos</t>
        </is>
      </c>
      <c r="D1144" s="10" t="inlineStr">
        <is>
          <t>GRI</t>
        </is>
      </c>
      <c r="E1144" s="10" t="inlineStr">
        <is>
          <t>Gestión de Riesgo de Mercado</t>
        </is>
      </c>
      <c r="F1144" s="10" t="inlineStr">
        <is>
          <t>-</t>
        </is>
      </c>
      <c r="G1144" s="10" t="inlineStr">
        <is>
          <t>Consolidación de la información</t>
        </is>
      </c>
      <c r="H1144" s="10" t="inlineStr">
        <is>
          <t>Boletines Mensuales de la SEPS.</t>
        </is>
      </c>
      <c r="I1144" s="10" t="inlineStr">
        <is>
          <t>Portal Web de la SEPS</t>
        </is>
      </c>
      <c r="J1144" s="10" t="inlineStr">
        <is>
          <t>GERENTE DE RIESGOS</t>
        </is>
      </c>
      <c r="K1144" s="10" t="inlineStr">
        <is>
          <t>ANALISTA DE RIESGO DE LIQUIDEZ Y MERCADO</t>
        </is>
      </c>
      <c r="L1144" s="10" t="inlineStr">
        <is>
          <t>UBICACIÓN DIGITAL-EQUIPO DEL RESPONSABLE</t>
        </is>
      </c>
      <c r="M1144" s="10" t="inlineStr">
        <is>
          <t>DOCUMENTO DE ARCHIVO-ELECTRÓNICO</t>
        </is>
      </c>
      <c r="N1144" s="10" t="inlineStr">
        <is>
          <t>PRIMARIOS</t>
        </is>
      </c>
      <c r="O1144" s="10" t="inlineStr">
        <is>
          <t>INFORMACIÓN DE TERCEROS</t>
        </is>
      </c>
      <c r="P1144" s="10" t="inlineStr">
        <is>
          <t>PUBLICA(1)</t>
        </is>
      </c>
      <c r="Q1144" s="10" t="inlineStr">
        <is>
          <t>ALTA(3)</t>
        </is>
      </c>
      <c r="R1144" s="10" t="inlineStr">
        <is>
          <t>MEDIA(2)</t>
        </is>
      </c>
      <c r="S1144" s="10">
        <f>+(IF(P1144="PUBLICA(1)",1,IF(P1144="USO INTERNO(2)",2,IF(P1144="RESTRINGIDO(3)",3,3))))+(IF(Q1144="BAJA(1)",1,IF(Q1144="MEDIA(2)",2,IF(Q1144="ALTA(3)",3,3))))+(IF(R1144="BAJA(1)",1,IF(R1144="MEDIA(2)",2,IF(R1144="ALTA(3)",3,3))))</f>
        <v/>
      </c>
      <c r="T1144" s="10">
        <f>+IF(S1144&lt;6,"BAJA",IF(S1144&lt;8,"MEDIA","ALTA"))</f>
        <v/>
      </c>
      <c r="U1144" s="10" t="inlineStr">
        <is>
          <t>-</t>
        </is>
      </c>
      <c r="V1144" s="24" t="n">
        <v>45568</v>
      </c>
      <c r="W1144" s="19" t="inlineStr">
        <is>
          <t>N/A</t>
        </is>
      </c>
      <c r="X1144" s="10">
        <f>+IFERROR(IF(VLOOKUP(Tabla2[[#This Row],[ID]],'EVALUACION DE RIESGO'!A:A,1,FALSE)=Tabla2[[#This Row],[ID]],"SI","NO"),"NO")</f>
        <v/>
      </c>
      <c r="AD1144">
        <f>IF(AND(Y1144="",AA1144=""),"",IF(OR(LEFT(AA1144,2)="L0",LEFT(AA1144,2)="L1",Y1144="No Iniciado"),"CRÍTICO - Incumplimiento Normativo SEPS",IF(AND(OR(LEFT(AA1144,2)="L4",LEFT(AA1144,2)="L5"),AND(AC1144&lt;&gt;"",AC1144&lt;&gt;"N/A")),"CONFORME - Control Efectivo ISO 27001","OBSERVACIÓN - Revisar Controles")))</f>
        <v/>
      </c>
    </row>
    <row r="1145">
      <c r="A1145" s="99" t="inlineStr">
        <is>
          <t>123-GRI</t>
        </is>
      </c>
      <c r="B1145" s="10" t="inlineStr">
        <is>
          <t>ESTRATÉGICO</t>
        </is>
      </c>
      <c r="C1145" s="10" t="inlineStr">
        <is>
          <t>Gestión de Riesgos</t>
        </is>
      </c>
      <c r="D1145" s="10" t="inlineStr">
        <is>
          <t>GRI</t>
        </is>
      </c>
      <c r="E1145" s="10" t="inlineStr">
        <is>
          <t>Gestión de Riesgo de Mercado</t>
        </is>
      </c>
      <c r="F1145" s="10" t="inlineStr">
        <is>
          <t>-</t>
        </is>
      </c>
      <c r="G1145" s="10" t="inlineStr">
        <is>
          <t>Consolidación de la información</t>
        </is>
      </c>
      <c r="H1145" s="10" t="inlineStr">
        <is>
          <t xml:space="preserve">Informe de Riesgos </t>
        </is>
      </c>
      <c r="I1145" s="10" t="inlineStr">
        <is>
          <t>comunicación</t>
        </is>
      </c>
      <c r="J1145" s="10" t="inlineStr">
        <is>
          <t>GERENTE DE RIESGOS</t>
        </is>
      </c>
      <c r="K1145" s="10" t="inlineStr">
        <is>
          <t>ANALISTA DE RIESGO DE LIQUIDEZ Y MERCADO</t>
        </is>
      </c>
      <c r="L1145" s="10" t="inlineStr">
        <is>
          <t>UBICACIÓN DIGITAL-EQUIPO DEL RESPONSABLE</t>
        </is>
      </c>
      <c r="M1145" s="10" t="inlineStr">
        <is>
          <t>DOCUMENTO DE ARCHIVO-ELECTRÓNICO</t>
        </is>
      </c>
      <c r="N1145" s="10" t="inlineStr">
        <is>
          <t>PRIMARIOS</t>
        </is>
      </c>
      <c r="O1145" s="10" t="inlineStr">
        <is>
          <t>DOCUMENTOS TÉCNICOS</t>
        </is>
      </c>
      <c r="P1145" s="10" t="inlineStr">
        <is>
          <t>PUBLICA(1)</t>
        </is>
      </c>
      <c r="Q1145" s="10" t="inlineStr">
        <is>
          <t>ALTA(3)</t>
        </is>
      </c>
      <c r="R1145" s="10" t="inlineStr">
        <is>
          <t>MEDIA(2)</t>
        </is>
      </c>
      <c r="S1145" s="10">
        <f>+(IF(P1145="PUBLICA(1)",1,IF(P1145="USO INTERNO(2)",2,IF(P1145="RESTRINGIDO(3)",3,3))))+(IF(Q1145="BAJA(1)",1,IF(Q1145="MEDIA(2)",2,IF(Q1145="ALTA(3)",3,3))))+(IF(R1145="BAJA(1)",1,IF(R1145="MEDIA(2)",2,IF(R1145="ALTA(3)",3,3))))</f>
        <v/>
      </c>
      <c r="T1145" s="10">
        <f>+IF(S1145&lt;6,"BAJA",IF(S1145&lt;8,"MEDIA","ALTA"))</f>
        <v/>
      </c>
      <c r="U1145" s="10" t="inlineStr">
        <is>
          <t>-</t>
        </is>
      </c>
      <c r="V1145" s="24" t="n">
        <v>45568</v>
      </c>
      <c r="W1145" s="19" t="inlineStr">
        <is>
          <t>N/A</t>
        </is>
      </c>
      <c r="X1145" s="10">
        <f>+IFERROR(IF(VLOOKUP(Tabla2[[#This Row],[ID]],'EVALUACION DE RIESGO'!A:A,1,FALSE)=Tabla2[[#This Row],[ID]],"SI","NO"),"NO")</f>
        <v/>
      </c>
      <c r="AD1145">
        <f>IF(AND(Y1145="",AA1145=""),"",IF(OR(LEFT(AA1145,2)="L0",LEFT(AA1145,2)="L1",Y1145="No Iniciado"),"CRÍTICO - Incumplimiento Normativo SEPS",IF(AND(OR(LEFT(AA1145,2)="L4",LEFT(AA1145,2)="L5"),AND(AC1145&lt;&gt;"",AC1145&lt;&gt;"N/A")),"CONFORME - Control Efectivo ISO 27001","OBSERVACIÓN - Revisar Controles")))</f>
        <v/>
      </c>
    </row>
    <row r="1146">
      <c r="A1146" s="99" t="inlineStr">
        <is>
          <t>124-GRI</t>
        </is>
      </c>
      <c r="B1146" s="10" t="inlineStr">
        <is>
          <t>ESTRATÉGICO</t>
        </is>
      </c>
      <c r="C1146" s="10" t="inlineStr">
        <is>
          <t>Gestión de Riesgos</t>
        </is>
      </c>
      <c r="D1146" s="10" t="inlineStr">
        <is>
          <t>GRI</t>
        </is>
      </c>
      <c r="E1146" s="10" t="inlineStr">
        <is>
          <t>Gestión de Riesgo de Mercado</t>
        </is>
      </c>
      <c r="F1146" s="10" t="inlineStr">
        <is>
          <t>-</t>
        </is>
      </c>
      <c r="G1146" s="10" t="inlineStr">
        <is>
          <t>Comunicación</t>
        </is>
      </c>
      <c r="H1146" s="10" t="inlineStr">
        <is>
          <t>Informe de Riesgos</t>
        </is>
      </c>
      <c r="I1146" s="10" t="inlineStr">
        <is>
          <t>Consolidación de Información</t>
        </is>
      </c>
      <c r="J1146" s="10" t="inlineStr">
        <is>
          <t>GERENTE DE RIESGOS</t>
        </is>
      </c>
      <c r="K1146" s="10" t="inlineStr">
        <is>
          <t>ANALISTA DE RIESGO DE LIQUIDEZ Y MERCADO</t>
        </is>
      </c>
      <c r="L1146" s="10" t="inlineStr">
        <is>
          <t>UBICACIÓN DIGITAL-EQUIPO DEL RESPONSABLE</t>
        </is>
      </c>
      <c r="M1146" s="10" t="inlineStr">
        <is>
          <t>DOCUMENTO DE ARCHIVO-ELECTRÓNICO</t>
        </is>
      </c>
      <c r="N1146" s="10" t="inlineStr">
        <is>
          <t>PRIMARIOS</t>
        </is>
      </c>
      <c r="O1146" s="10" t="inlineStr">
        <is>
          <t>DOCUMENTOS TÉCNICOS</t>
        </is>
      </c>
      <c r="P1146" s="10" t="inlineStr">
        <is>
          <t>PUBLICA(1)</t>
        </is>
      </c>
      <c r="Q1146" s="10" t="inlineStr">
        <is>
          <t>ALTA(3)</t>
        </is>
      </c>
      <c r="R1146" s="10" t="inlineStr">
        <is>
          <t>MEDIA(2)</t>
        </is>
      </c>
      <c r="S1146" s="10">
        <f>+(IF(P1146="PUBLICA(1)",1,IF(P1146="USO INTERNO(2)",2,IF(P1146="RESTRINGIDO(3)",3,3))))+(IF(Q1146="BAJA(1)",1,IF(Q1146="MEDIA(2)",2,IF(Q1146="ALTA(3)",3,3))))+(IF(R1146="BAJA(1)",1,IF(R1146="MEDIA(2)",2,IF(R1146="ALTA(3)",3,3))))</f>
        <v/>
      </c>
      <c r="T1146" s="10">
        <f>+IF(S1146&lt;6,"BAJA",IF(S1146&lt;8,"MEDIA","ALTA"))</f>
        <v/>
      </c>
      <c r="U1146" s="10" t="inlineStr">
        <is>
          <t>-</t>
        </is>
      </c>
      <c r="V1146" s="24" t="n">
        <v>45568</v>
      </c>
      <c r="W1146" s="19" t="inlineStr">
        <is>
          <t>N/A</t>
        </is>
      </c>
      <c r="X1146" s="10">
        <f>+IFERROR(IF(VLOOKUP(Tabla2[[#This Row],[ID]],'EVALUACION DE RIESGO'!A:A,1,FALSE)=Tabla2[[#This Row],[ID]],"SI","NO"),"NO")</f>
        <v/>
      </c>
      <c r="AD1146">
        <f>IF(AND(Y1146="",AA1146=""),"",IF(OR(LEFT(AA1146,2)="L0",LEFT(AA1146,2)="L1",Y1146="No Iniciado"),"CRÍTICO - Incumplimiento Normativo SEPS",IF(AND(OR(LEFT(AA1146,2)="L4",LEFT(AA1146,2)="L5"),AND(AC1146&lt;&gt;"",AC1146&lt;&gt;"N/A")),"CONFORME - Control Efectivo ISO 27001","OBSERVACIÓN - Revisar Controles")))</f>
        <v/>
      </c>
    </row>
    <row r="1147">
      <c r="A1147" s="99" t="inlineStr">
        <is>
          <t>125-GRI</t>
        </is>
      </c>
      <c r="B1147" s="10" t="inlineStr">
        <is>
          <t>ESTRATÉGICO</t>
        </is>
      </c>
      <c r="C1147" s="10" t="inlineStr">
        <is>
          <t>Gestión de Riesgos</t>
        </is>
      </c>
      <c r="D1147" s="10" t="inlineStr">
        <is>
          <t>GRI</t>
        </is>
      </c>
      <c r="E1147" s="10" t="inlineStr">
        <is>
          <t>Gestión de Riesgo de Mercado</t>
        </is>
      </c>
      <c r="F1147" s="10" t="inlineStr">
        <is>
          <t>-</t>
        </is>
      </c>
      <c r="G1147" s="10" t="inlineStr">
        <is>
          <t>Comunicación</t>
        </is>
      </c>
      <c r="H1147" s="10" t="inlineStr">
        <is>
          <t xml:space="preserve">Acta del CAIR </t>
        </is>
      </c>
      <c r="I1147" s="10" t="inlineStr">
        <is>
          <t>Archivo del Secretario del Comité</t>
        </is>
      </c>
      <c r="J1147" s="10" t="inlineStr">
        <is>
          <t>GERENTE DE RIESGOS</t>
        </is>
      </c>
      <c r="K1147" s="10" t="inlineStr">
        <is>
          <t>ANALISTA DE RIESGO DE LIQUIDEZ Y MERCADO</t>
        </is>
      </c>
      <c r="L1147" s="10" t="inlineStr">
        <is>
          <t>UBICACIÓN DIGITAL-EQUIPO DEL RESPONSABLE</t>
        </is>
      </c>
      <c r="M1147" s="10" t="inlineStr">
        <is>
          <t>DOCUMENTO DE ARCHIVO-ELECTRÓNICO</t>
        </is>
      </c>
      <c r="N1147" s="10" t="inlineStr">
        <is>
          <t>PRIMARIOS</t>
        </is>
      </c>
      <c r="O1147" s="10" t="inlineStr">
        <is>
          <t>OTROS</t>
        </is>
      </c>
      <c r="P1147" s="10" t="inlineStr">
        <is>
          <t>PUBLICA(1)</t>
        </is>
      </c>
      <c r="Q1147" s="10" t="inlineStr">
        <is>
          <t>ALTA(3)</t>
        </is>
      </c>
      <c r="R1147" s="10" t="inlineStr">
        <is>
          <t>MEDIA(2)</t>
        </is>
      </c>
      <c r="S1147" s="10">
        <f>+(IF(P1147="PUBLICA(1)",1,IF(P1147="USO INTERNO(2)",2,IF(P1147="RESTRINGIDO(3)",3,3))))+(IF(Q1147="BAJA(1)",1,IF(Q1147="MEDIA(2)",2,IF(Q1147="ALTA(3)",3,3))))+(IF(R1147="BAJA(1)",1,IF(R1147="MEDIA(2)",2,IF(R1147="ALTA(3)",3,3))))</f>
        <v/>
      </c>
      <c r="T1147" s="10">
        <f>+IF(S1147&lt;6,"BAJA",IF(S1147&lt;8,"MEDIA","ALTA"))</f>
        <v/>
      </c>
      <c r="U1147" s="10" t="inlineStr">
        <is>
          <t>-</t>
        </is>
      </c>
      <c r="V1147" s="24" t="n">
        <v>45568</v>
      </c>
      <c r="W1147" s="19" t="inlineStr">
        <is>
          <t>N/A</t>
        </is>
      </c>
      <c r="X1147" s="10">
        <f>+IFERROR(IF(VLOOKUP(Tabla2[[#This Row],[ID]],'EVALUACION DE RIESGO'!A:A,1,FALSE)=Tabla2[[#This Row],[ID]],"SI","NO"),"NO")</f>
        <v/>
      </c>
      <c r="AD1147">
        <f>IF(AND(Y1147="",AA1147=""),"",IF(OR(LEFT(AA1147,2)="L0",LEFT(AA1147,2)="L1",Y1147="No Iniciado"),"CRÍTICO - Incumplimiento Normativo SEPS",IF(AND(OR(LEFT(AA1147,2)="L4",LEFT(AA1147,2)="L5"),AND(AC1147&lt;&gt;"",AC1147&lt;&gt;"N/A")),"CONFORME - Control Efectivo ISO 27001","OBSERVACIÓN - Revisar Controles")))</f>
        <v/>
      </c>
    </row>
    <row r="1148">
      <c r="A1148" s="99" t="inlineStr">
        <is>
          <t>126-GRI</t>
        </is>
      </c>
      <c r="B1148" s="10" t="inlineStr">
        <is>
          <t>ESTRATÉGICO</t>
        </is>
      </c>
      <c r="C1148" s="10" t="inlineStr">
        <is>
          <t>Gestión de Riesgos</t>
        </is>
      </c>
      <c r="D1148" s="10" t="inlineStr">
        <is>
          <t>GRI</t>
        </is>
      </c>
      <c r="E1148" s="10" t="inlineStr">
        <is>
          <t>Gestión de Riesgo de Mercado</t>
        </is>
      </c>
      <c r="F1148" s="10" t="inlineStr">
        <is>
          <t>-</t>
        </is>
      </c>
      <c r="G1148" s="10" t="inlineStr">
        <is>
          <t>Comunicación</t>
        </is>
      </c>
      <c r="H1148" s="10" t="inlineStr">
        <is>
          <t xml:space="preserve">Acta del Consejo de Administración </t>
        </is>
      </c>
      <c r="I1148" s="10" t="inlineStr">
        <is>
          <t>Archivo de Actas del Consejo de Administración</t>
        </is>
      </c>
      <c r="J1148" s="10" t="inlineStr">
        <is>
          <t>GERENTE DE RIESGOS</t>
        </is>
      </c>
      <c r="K1148" s="10" t="inlineStr">
        <is>
          <t>ANALISTA DE RIESGO DE LIQUIDEZ Y MERCADO</t>
        </is>
      </c>
      <c r="L1148" s="10" t="inlineStr">
        <is>
          <t>UBICACIÓN DIGITAL-EQUIPO DEL RESPONSABLE</t>
        </is>
      </c>
      <c r="M1148" s="10" t="inlineStr">
        <is>
          <t>DOCUMENTO DE ARCHIVO-ELECTRÓNICO</t>
        </is>
      </c>
      <c r="N1148" s="10" t="inlineStr">
        <is>
          <t>PRIMARIOS</t>
        </is>
      </c>
      <c r="O1148" s="10" t="inlineStr">
        <is>
          <t>OTROS</t>
        </is>
      </c>
      <c r="P1148" s="10" t="inlineStr">
        <is>
          <t>PUBLICA(1)</t>
        </is>
      </c>
      <c r="Q1148" s="10" t="inlineStr">
        <is>
          <t>ALTA(3)</t>
        </is>
      </c>
      <c r="R1148" s="10" t="inlineStr">
        <is>
          <t>MEDIA(2)</t>
        </is>
      </c>
      <c r="S1148" s="10">
        <f>+(IF(P1148="PUBLICA(1)",1,IF(P1148="USO INTERNO(2)",2,IF(P1148="RESTRINGIDO(3)",3,3))))+(IF(Q1148="BAJA(1)",1,IF(Q1148="MEDIA(2)",2,IF(Q1148="ALTA(3)",3,3))))+(IF(R1148="BAJA(1)",1,IF(R1148="MEDIA(2)",2,IF(R1148="ALTA(3)",3,3))))</f>
        <v/>
      </c>
      <c r="T1148" s="10">
        <f>+IF(S1148&lt;6,"BAJA",IF(S1148&lt;8,"MEDIA","ALTA"))</f>
        <v/>
      </c>
      <c r="U1148" s="10" t="inlineStr">
        <is>
          <t>-</t>
        </is>
      </c>
      <c r="V1148" s="24" t="n">
        <v>45568</v>
      </c>
      <c r="W1148" s="19" t="inlineStr">
        <is>
          <t>N/A</t>
        </is>
      </c>
      <c r="X1148" s="10">
        <f>+IFERROR(IF(VLOOKUP(Tabla2[[#This Row],[ID]],'EVALUACION DE RIESGO'!A:A,1,FALSE)=Tabla2[[#This Row],[ID]],"SI","NO"),"NO")</f>
        <v/>
      </c>
      <c r="AD1148">
        <f>IF(AND(Y1148="",AA1148=""),"",IF(OR(LEFT(AA1148,2)="L0",LEFT(AA1148,2)="L1",Y1148="No Iniciado"),"CRÍTICO - Incumplimiento Normativo SEPS",IF(AND(OR(LEFT(AA1148,2)="L4",LEFT(AA1148,2)="L5"),AND(AC1148&lt;&gt;"",AC1148&lt;&gt;"N/A")),"CONFORME - Control Efectivo ISO 27001","OBSERVACIÓN - Revisar Controles")))</f>
        <v/>
      </c>
    </row>
    <row r="1149">
      <c r="A1149" s="99" t="inlineStr">
        <is>
          <t>127-GRI</t>
        </is>
      </c>
      <c r="B1149" s="10" t="inlineStr">
        <is>
          <t>ESTRATÉGICO</t>
        </is>
      </c>
      <c r="C1149" s="10" t="inlineStr">
        <is>
          <t>Gestión de Riesgos</t>
        </is>
      </c>
      <c r="D1149" s="10" t="inlineStr">
        <is>
          <t>GRI</t>
        </is>
      </c>
      <c r="E1149" s="10" t="inlineStr">
        <is>
          <t>Gestión de Riesgo Operativo</t>
        </is>
      </c>
      <c r="F1149" s="10" t="inlineStr">
        <is>
          <t>-</t>
        </is>
      </c>
      <c r="G1149" s="10" t="inlineStr">
        <is>
          <t>Administración de eventos de riesgo operativo</t>
        </is>
      </c>
      <c r="H1149" s="10" t="inlineStr">
        <is>
          <t>Registro de eventos de riesgo operativo</t>
        </is>
      </c>
      <c r="I1149" s="10" t="inlineStr">
        <is>
          <t>Archivo de excel</t>
        </is>
      </c>
      <c r="J1149" s="10" t="inlineStr">
        <is>
          <t>GERENTE DE RIESGOS</t>
        </is>
      </c>
      <c r="K1149" s="10" t="inlineStr">
        <is>
          <t>ANALISTA DE RIESGO OPERATIVO</t>
        </is>
      </c>
      <c r="L1149" s="10" t="inlineStr">
        <is>
          <t>UBICACIÓN DIGITAL-EQUIPO DEL RESPONSABLE</t>
        </is>
      </c>
      <c r="M1149" s="10" t="inlineStr">
        <is>
          <t>DOCUMENTO DE ARCHIVO-ELECTRÓNICO</t>
        </is>
      </c>
      <c r="N1149" s="10" t="inlineStr">
        <is>
          <t>PRIMARIOS</t>
        </is>
      </c>
      <c r="O1149" s="10" t="inlineStr">
        <is>
          <t>DOCUMENTOS TÉCNICOS</t>
        </is>
      </c>
      <c r="P1149" s="10" t="inlineStr">
        <is>
          <t>PUBLICA(1)</t>
        </is>
      </c>
      <c r="Q1149" s="10" t="inlineStr">
        <is>
          <t>ALTA(3)</t>
        </is>
      </c>
      <c r="R1149" s="10" t="inlineStr">
        <is>
          <t>MEDIA(2)</t>
        </is>
      </c>
      <c r="S1149" s="10">
        <f>+(IF(P1149="PUBLICA(1)",1,IF(P1149="USO INTERNO(2)",2,IF(P1149="RESTRINGIDO(3)",3,3))))+(IF(Q1149="BAJA(1)",1,IF(Q1149="MEDIA(2)",2,IF(Q1149="ALTA(3)",3,3))))+(IF(R1149="BAJA(1)",1,IF(R1149="MEDIA(2)",2,IF(R1149="ALTA(3)",3,3))))</f>
        <v/>
      </c>
      <c r="T1149" s="10">
        <f>+IF(S1149&lt;6,"BAJA",IF(S1149&lt;8,"MEDIA","ALTA"))</f>
        <v/>
      </c>
      <c r="U1149" s="10" t="inlineStr">
        <is>
          <t>-</t>
        </is>
      </c>
      <c r="V1149" s="24" t="n">
        <v>45580</v>
      </c>
      <c r="W1149" s="19" t="inlineStr">
        <is>
          <t>N/A</t>
        </is>
      </c>
      <c r="X1149" s="10">
        <f>+IFERROR(IF(VLOOKUP(Tabla2[[#This Row],[ID]],'EVALUACION DE RIESGO'!A:A,1,FALSE)=Tabla2[[#This Row],[ID]],"SI","NO"),"NO")</f>
        <v/>
      </c>
      <c r="AD1149">
        <f>IF(AND(Y1149="",AA1149=""),"",IF(OR(LEFT(AA1149,2)="L0",LEFT(AA1149,2)="L1",Y1149="No Iniciado"),"CRÍTICO - Incumplimiento Normativo SEPS",IF(AND(OR(LEFT(AA1149,2)="L4",LEFT(AA1149,2)="L5"),AND(AC1149&lt;&gt;"",AC1149&lt;&gt;"N/A")),"CONFORME - Control Efectivo ISO 27001","OBSERVACIÓN - Revisar Controles")))</f>
        <v/>
      </c>
    </row>
    <row r="1150">
      <c r="A1150" s="99" t="inlineStr">
        <is>
          <t>128-GRI</t>
        </is>
      </c>
      <c r="B1150" s="10" t="inlineStr">
        <is>
          <t>ESTRATÉGICO</t>
        </is>
      </c>
      <c r="C1150" s="10" t="inlineStr">
        <is>
          <t>Gestión de Riesgos</t>
        </is>
      </c>
      <c r="D1150" s="10" t="inlineStr">
        <is>
          <t>GRI</t>
        </is>
      </c>
      <c r="E1150" s="10" t="inlineStr">
        <is>
          <t>Gestión de Riesgo Operativo</t>
        </is>
      </c>
      <c r="F1150" s="10" t="inlineStr">
        <is>
          <t>-</t>
        </is>
      </c>
      <c r="G1150" s="10" t="inlineStr">
        <is>
          <t>Administración de eventos de riesgo operativo</t>
        </is>
      </c>
      <c r="H1150" s="10" t="inlineStr">
        <is>
          <t>Matriz de Riesgo Operativo</t>
        </is>
      </c>
      <c r="I1150" s="10" t="inlineStr">
        <is>
          <t>Información consolidada de los eventos</t>
        </is>
      </c>
      <c r="J1150" s="10" t="inlineStr">
        <is>
          <t>GERENTE DE RIESGOS</t>
        </is>
      </c>
      <c r="K1150" s="10" t="inlineStr">
        <is>
          <t>ANALISTA DE RIESGO OPERATIVO</t>
        </is>
      </c>
      <c r="L1150" s="10" t="inlineStr">
        <is>
          <t>UBICACIÓN DIGITAL-EQUIPO DEL RESPONSABLE</t>
        </is>
      </c>
      <c r="M1150" s="10" t="inlineStr">
        <is>
          <t>DOCUMENTO DE ARCHIVO-ELECTRÓNICO</t>
        </is>
      </c>
      <c r="N1150" s="10" t="inlineStr">
        <is>
          <t>PRIMARIOS</t>
        </is>
      </c>
      <c r="O1150" s="10" t="inlineStr">
        <is>
          <t>DOCUMENTOS TÉCNICOS</t>
        </is>
      </c>
      <c r="P1150" s="10" t="inlineStr">
        <is>
          <t>PUBLICA(1)</t>
        </is>
      </c>
      <c r="Q1150" s="10" t="inlineStr">
        <is>
          <t>ALTA(3)</t>
        </is>
      </c>
      <c r="R1150" s="10" t="inlineStr">
        <is>
          <t>MEDIA(2)</t>
        </is>
      </c>
      <c r="S1150" s="10">
        <f>+(IF(P1150="PUBLICA(1)",1,IF(P1150="USO INTERNO(2)",2,IF(P1150="RESTRINGIDO(3)",3,3))))+(IF(Q1150="BAJA(1)",1,IF(Q1150="MEDIA(2)",2,IF(Q1150="ALTA(3)",3,3))))+(IF(R1150="BAJA(1)",1,IF(R1150="MEDIA(2)",2,IF(R1150="ALTA(3)",3,3))))</f>
        <v/>
      </c>
      <c r="T1150" s="10">
        <f>+IF(S1150&lt;6,"BAJA",IF(S1150&lt;8,"MEDIA","ALTA"))</f>
        <v/>
      </c>
      <c r="U1150" s="10" t="inlineStr">
        <is>
          <t>-</t>
        </is>
      </c>
      <c r="V1150" s="24" t="n">
        <v>45588</v>
      </c>
      <c r="W1150" s="19" t="inlineStr">
        <is>
          <t>N/A</t>
        </is>
      </c>
      <c r="X1150" s="10">
        <f>+IFERROR(IF(VLOOKUP(Tabla2[[#This Row],[ID]],'EVALUACION DE RIESGO'!A:A,1,FALSE)=Tabla2[[#This Row],[ID]],"SI","NO"),"NO")</f>
        <v/>
      </c>
      <c r="AD1150">
        <f>IF(AND(Y1150="",AA1150=""),"",IF(OR(LEFT(AA1150,2)="L0",LEFT(AA1150,2)="L1",Y1150="No Iniciado"),"CRÍTICO - Incumplimiento Normativo SEPS",IF(AND(OR(LEFT(AA1150,2)="L4",LEFT(AA1150,2)="L5"),AND(AC1150&lt;&gt;"",AC1150&lt;&gt;"N/A")),"CONFORME - Control Efectivo ISO 27001","OBSERVACIÓN - Revisar Controles")))</f>
        <v/>
      </c>
    </row>
    <row r="1151">
      <c r="A1151" s="99" t="inlineStr">
        <is>
          <t>129-GRI</t>
        </is>
      </c>
      <c r="B1151" s="10" t="inlineStr">
        <is>
          <t>ESTRATÉGICO</t>
        </is>
      </c>
      <c r="C1151" s="10" t="inlineStr">
        <is>
          <t>Gestión de Riesgos</t>
        </is>
      </c>
      <c r="D1151" s="10" t="inlineStr">
        <is>
          <t>GRI</t>
        </is>
      </c>
      <c r="E1151" s="10" t="inlineStr">
        <is>
          <t>Gestión de Riesgo Operativo</t>
        </is>
      </c>
      <c r="F1151" s="10" t="inlineStr">
        <is>
          <t>-</t>
        </is>
      </c>
      <c r="G1151" s="10" t="inlineStr">
        <is>
          <t>Administración de eventos de riesgo operativo</t>
        </is>
      </c>
      <c r="H1151" s="10" t="inlineStr">
        <is>
          <t>Matriz de Riesgo operativo de eventos materializados</t>
        </is>
      </c>
      <c r="I1151" s="10" t="inlineStr">
        <is>
          <t>Información consolidada de los eventos</t>
        </is>
      </c>
      <c r="J1151" s="10" t="inlineStr">
        <is>
          <t>GERENTE DE RIESGOS</t>
        </is>
      </c>
      <c r="K1151" s="10" t="inlineStr">
        <is>
          <t>ANALISTA DE RIESGO OPERATIVO</t>
        </is>
      </c>
      <c r="L1151" s="10" t="inlineStr">
        <is>
          <t>UBICACIÓN DIGITAL-EQUIPO DEL RESPONSABLE</t>
        </is>
      </c>
      <c r="M1151" s="10" t="inlineStr">
        <is>
          <t>DOCUMENTO DE ARCHIVO-ELECTRÓNICO</t>
        </is>
      </c>
      <c r="N1151" s="10" t="inlineStr">
        <is>
          <t>PRIMARIOS</t>
        </is>
      </c>
      <c r="O1151" s="10" t="inlineStr">
        <is>
          <t>DOCUMENTOS TÉCNICOS</t>
        </is>
      </c>
      <c r="P1151" s="10" t="inlineStr">
        <is>
          <t>PUBLICA(1)</t>
        </is>
      </c>
      <c r="Q1151" s="10" t="inlineStr">
        <is>
          <t>ALTA(3)</t>
        </is>
      </c>
      <c r="R1151" s="10" t="inlineStr">
        <is>
          <t>MEDIA(2)</t>
        </is>
      </c>
      <c r="S1151" s="10">
        <f>+(IF(P1151="PUBLICA(1)",1,IF(P1151="USO INTERNO(2)",2,IF(P1151="RESTRINGIDO(3)",3,3))))+(IF(Q1151="BAJA(1)",1,IF(Q1151="MEDIA(2)",2,IF(Q1151="ALTA(3)",3,3))))+(IF(R1151="BAJA(1)",1,IF(R1151="MEDIA(2)",2,IF(R1151="ALTA(3)",3,3))))</f>
        <v/>
      </c>
      <c r="T1151" s="10">
        <f>+IF(S1151&lt;6,"BAJA",IF(S1151&lt;8,"MEDIA","ALTA"))</f>
        <v/>
      </c>
      <c r="U1151" s="10" t="inlineStr">
        <is>
          <t>-</t>
        </is>
      </c>
      <c r="V1151" s="24" t="n">
        <v>45588</v>
      </c>
      <c r="W1151" s="19" t="inlineStr">
        <is>
          <t>N/A</t>
        </is>
      </c>
      <c r="X1151" s="10">
        <f>+IFERROR(IF(VLOOKUP(Tabla2[[#This Row],[ID]],'EVALUACION DE RIESGO'!A:A,1,FALSE)=Tabla2[[#This Row],[ID]],"SI","NO"),"NO")</f>
        <v/>
      </c>
      <c r="AD1151">
        <f>IF(AND(Y1151="",AA1151=""),"",IF(OR(LEFT(AA1151,2)="L0",LEFT(AA1151,2)="L1",Y1151="No Iniciado"),"CRÍTICO - Incumplimiento Normativo SEPS",IF(AND(OR(LEFT(AA1151,2)="L4",LEFT(AA1151,2)="L5"),AND(AC1151&lt;&gt;"",AC1151&lt;&gt;"N/A")),"CONFORME - Control Efectivo ISO 27001","OBSERVACIÓN - Revisar Controles")))</f>
        <v/>
      </c>
    </row>
    <row r="1152">
      <c r="A1152" s="99" t="inlineStr">
        <is>
          <t>130-GRI</t>
        </is>
      </c>
      <c r="B1152" s="10" t="inlineStr">
        <is>
          <t>ESTRATÉGICO</t>
        </is>
      </c>
      <c r="C1152" s="10" t="inlineStr">
        <is>
          <t>Gestión de Riesgos</t>
        </is>
      </c>
      <c r="D1152" s="10" t="inlineStr">
        <is>
          <t>GRI</t>
        </is>
      </c>
      <c r="E1152" s="10" t="inlineStr">
        <is>
          <t>Gestión de Riesgo Operativo</t>
        </is>
      </c>
      <c r="F1152" s="10" t="inlineStr">
        <is>
          <t>-</t>
        </is>
      </c>
      <c r="G1152" s="10" t="inlineStr">
        <is>
          <t>Administración de eventos de riesgo operativo</t>
        </is>
      </c>
      <c r="H1152" s="10" t="inlineStr">
        <is>
          <t>Matriz de resultados de las visitas a oficinas</t>
        </is>
      </c>
      <c r="I1152" s="10" t="inlineStr">
        <is>
          <t>Información consolidada de las observaciones</t>
        </is>
      </c>
      <c r="J1152" s="10" t="inlineStr">
        <is>
          <t>GERENTE DE RIESGOS</t>
        </is>
      </c>
      <c r="K1152" s="10" t="inlineStr">
        <is>
          <t>ANALISTA DE RIESGO OPERATIVO</t>
        </is>
      </c>
      <c r="L1152" s="10" t="inlineStr">
        <is>
          <t>UBICACIÓN DIGITAL-EQUIPO DEL RESPONSABLE</t>
        </is>
      </c>
      <c r="M1152" s="10" t="inlineStr">
        <is>
          <t>DOCUMENTO DE ARCHIVO-ELECTRÓNICO</t>
        </is>
      </c>
      <c r="N1152" s="10" t="inlineStr">
        <is>
          <t>PRIMARIOS</t>
        </is>
      </c>
      <c r="O1152" s="10" t="inlineStr">
        <is>
          <t>DOCUMENTOS TÉCNICOS</t>
        </is>
      </c>
      <c r="P1152" s="10" t="inlineStr">
        <is>
          <t>PUBLICA(1)</t>
        </is>
      </c>
      <c r="Q1152" s="10" t="inlineStr">
        <is>
          <t>ALTA(3)</t>
        </is>
      </c>
      <c r="R1152" s="10" t="inlineStr">
        <is>
          <t>MEDIA(2)</t>
        </is>
      </c>
      <c r="S1152" s="10">
        <f>+(IF(P1152="PUBLICA(1)",1,IF(P1152="USO INTERNO(2)",2,IF(P1152="RESTRINGIDO(3)",3,3))))+(IF(Q1152="BAJA(1)",1,IF(Q1152="MEDIA(2)",2,IF(Q1152="ALTA(3)",3,3))))+(IF(R1152="BAJA(1)",1,IF(R1152="MEDIA(2)",2,IF(R1152="ALTA(3)",3,3))))</f>
        <v/>
      </c>
      <c r="T1152" s="10">
        <f>+IF(S1152&lt;6,"BAJA",IF(S1152&lt;8,"MEDIA","ALTA"))</f>
        <v/>
      </c>
      <c r="U1152" s="10" t="inlineStr">
        <is>
          <t>-</t>
        </is>
      </c>
      <c r="V1152" s="24" t="n">
        <v>45588</v>
      </c>
      <c r="W1152" s="19" t="inlineStr">
        <is>
          <t>N/A</t>
        </is>
      </c>
      <c r="X1152" s="10">
        <f>+IFERROR(IF(VLOOKUP(Tabla2[[#This Row],[ID]],'EVALUACION DE RIESGO'!A:A,1,FALSE)=Tabla2[[#This Row],[ID]],"SI","NO"),"NO")</f>
        <v/>
      </c>
      <c r="AD1152">
        <f>IF(AND(Y1152="",AA1152=""),"",IF(OR(LEFT(AA1152,2)="L0",LEFT(AA1152,2)="L1",Y1152="No Iniciado"),"CRÍTICO - Incumplimiento Normativo SEPS",IF(AND(OR(LEFT(AA1152,2)="L4",LEFT(AA1152,2)="L5"),AND(AC1152&lt;&gt;"",AC1152&lt;&gt;"N/A")),"CONFORME - Control Efectivo ISO 27001","OBSERVACIÓN - Revisar Controles")))</f>
        <v/>
      </c>
    </row>
    <row r="1153">
      <c r="A1153" s="99" t="inlineStr">
        <is>
          <t>131-GRI</t>
        </is>
      </c>
      <c r="B1153" s="10" t="inlineStr">
        <is>
          <t>ESTRATÉGICO</t>
        </is>
      </c>
      <c r="C1153" s="10" t="inlineStr">
        <is>
          <t>Gestión de Riesgos</t>
        </is>
      </c>
      <c r="D1153" s="10" t="inlineStr">
        <is>
          <t>GRI</t>
        </is>
      </c>
      <c r="E1153" s="10" t="inlineStr">
        <is>
          <t>Gestión de Riesgo Operativo</t>
        </is>
      </c>
      <c r="F1153" s="10" t="inlineStr">
        <is>
          <t>-</t>
        </is>
      </c>
      <c r="G1153" s="10" t="inlineStr">
        <is>
          <t>Actualización de matrices de riesgo operativo</t>
        </is>
      </c>
      <c r="H1153" s="10" t="inlineStr">
        <is>
          <t>Manuales de Procesos</t>
        </is>
      </c>
      <c r="I1153" s="10" t="inlineStr">
        <is>
          <t>Documento interno</t>
        </is>
      </c>
      <c r="J1153" s="10" t="inlineStr">
        <is>
          <t>GERENTE DE RIESGOS</t>
        </is>
      </c>
      <c r="K1153" s="10" t="inlineStr">
        <is>
          <t>ANALISTA DE RIESGO OPERATIVO</t>
        </is>
      </c>
      <c r="L1153" s="10" t="inlineStr">
        <is>
          <t>UBICACIÓN DIGITAL-EQUIPO DEL RESPONSABLE</t>
        </is>
      </c>
      <c r="M1153" s="10" t="inlineStr">
        <is>
          <t>DOCUMENTO DE ARCHIVO-ELECTRÓNICO</t>
        </is>
      </c>
      <c r="N1153" s="10" t="inlineStr">
        <is>
          <t>PRIMARIOS</t>
        </is>
      </c>
      <c r="O1153" s="10" t="inlineStr">
        <is>
          <t>DOCUMENTOS TÉCNICOS</t>
        </is>
      </c>
      <c r="P1153" s="10" t="inlineStr">
        <is>
          <t>PUBLICA(1)</t>
        </is>
      </c>
      <c r="Q1153" s="10" t="inlineStr">
        <is>
          <t>ALTA(3)</t>
        </is>
      </c>
      <c r="R1153" s="10" t="inlineStr">
        <is>
          <t>MEDIA(2)</t>
        </is>
      </c>
      <c r="S1153" s="10">
        <f>+(IF(P1153="PUBLICA(1)",1,IF(P1153="USO INTERNO(2)",2,IF(P1153="RESTRINGIDO(3)",3,3))))+(IF(Q1153="BAJA(1)",1,IF(Q1153="MEDIA(2)",2,IF(Q1153="ALTA(3)",3,3))))+(IF(R1153="BAJA(1)",1,IF(R1153="MEDIA(2)",2,IF(R1153="ALTA(3)",3,3))))</f>
        <v/>
      </c>
      <c r="T1153" s="10">
        <f>+IF(S1153&lt;6,"BAJA",IF(S1153&lt;8,"MEDIA","ALTA"))</f>
        <v/>
      </c>
      <c r="U1153" s="10" t="inlineStr">
        <is>
          <t>-</t>
        </is>
      </c>
      <c r="V1153" s="24" t="n">
        <v>45588</v>
      </c>
      <c r="W1153" s="19" t="inlineStr">
        <is>
          <t>N/A</t>
        </is>
      </c>
      <c r="X1153" s="10">
        <f>+IFERROR(IF(VLOOKUP(Tabla2[[#This Row],[ID]],'EVALUACION DE RIESGO'!A:A,1,FALSE)=Tabla2[[#This Row],[ID]],"SI","NO"),"NO")</f>
        <v/>
      </c>
      <c r="AD1153">
        <f>IF(AND(Y1153="",AA1153=""),"",IF(OR(LEFT(AA1153,2)="L0",LEFT(AA1153,2)="L1",Y1153="No Iniciado"),"CRÍTICO - Incumplimiento Normativo SEPS",IF(AND(OR(LEFT(AA1153,2)="L4",LEFT(AA1153,2)="L5"),AND(AC1153&lt;&gt;"",AC1153&lt;&gt;"N/A")),"CONFORME - Control Efectivo ISO 27001","OBSERVACIÓN - Revisar Controles")))</f>
        <v/>
      </c>
    </row>
    <row r="1154">
      <c r="A1154" s="99" t="inlineStr">
        <is>
          <t>132-GRI</t>
        </is>
      </c>
      <c r="B1154" s="10" t="inlineStr">
        <is>
          <t>ESTRATÉGICO</t>
        </is>
      </c>
      <c r="C1154" s="10" t="inlineStr">
        <is>
          <t>Gestión de Riesgos</t>
        </is>
      </c>
      <c r="D1154" s="10" t="inlineStr">
        <is>
          <t>GRI</t>
        </is>
      </c>
      <c r="E1154" s="10" t="inlineStr">
        <is>
          <t>Gestión de Riesgo Operativo</t>
        </is>
      </c>
      <c r="F1154" s="10" t="inlineStr">
        <is>
          <t>-</t>
        </is>
      </c>
      <c r="G1154" s="10" t="inlineStr">
        <is>
          <t>Actualización de matrices de riesgo operativo</t>
        </is>
      </c>
      <c r="H1154" s="10" t="inlineStr">
        <is>
          <t>Matriz de Riesgos Institucional</t>
        </is>
      </c>
      <c r="I1154" s="10" t="inlineStr">
        <is>
          <t>Información consolidada de los eventos</t>
        </is>
      </c>
      <c r="J1154" s="10" t="inlineStr">
        <is>
          <t>GERENTE DE RIESGOS</t>
        </is>
      </c>
      <c r="K1154" s="10" t="inlineStr">
        <is>
          <t>ANALISTA DE RIESGO OPERATIVO</t>
        </is>
      </c>
      <c r="L1154" s="10" t="inlineStr">
        <is>
          <t>UBICACIÓN DIGITAL-EQUIPO DEL RESPONSABLE</t>
        </is>
      </c>
      <c r="M1154" s="10" t="inlineStr">
        <is>
          <t>DOCUMENTO DE ARCHIVO-ELECTRÓNICO</t>
        </is>
      </c>
      <c r="N1154" s="10" t="inlineStr">
        <is>
          <t>PRIMARIOS</t>
        </is>
      </c>
      <c r="O1154" s="10" t="inlineStr">
        <is>
          <t>DOCUMENTOS TÉCNICOS</t>
        </is>
      </c>
      <c r="P1154" s="10" t="inlineStr">
        <is>
          <t>PUBLICA(1)</t>
        </is>
      </c>
      <c r="Q1154" s="10" t="inlineStr">
        <is>
          <t>ALTA(3)</t>
        </is>
      </c>
      <c r="R1154" s="10" t="inlineStr">
        <is>
          <t>MEDIA(2)</t>
        </is>
      </c>
      <c r="S1154" s="10">
        <f>+(IF(P1154="PUBLICA(1)",1,IF(P1154="USO INTERNO(2)",2,IF(P1154="RESTRINGIDO(3)",3,3))))+(IF(Q1154="BAJA(1)",1,IF(Q1154="MEDIA(2)",2,IF(Q1154="ALTA(3)",3,3))))+(IF(R1154="BAJA(1)",1,IF(R1154="MEDIA(2)",2,IF(R1154="ALTA(3)",3,3))))</f>
        <v/>
      </c>
      <c r="T1154" s="10">
        <f>+IF(S1154&lt;6,"BAJA",IF(S1154&lt;8,"MEDIA","ALTA"))</f>
        <v/>
      </c>
      <c r="U1154" s="10" t="inlineStr">
        <is>
          <t>-</t>
        </is>
      </c>
      <c r="V1154" s="24" t="n">
        <v>45588</v>
      </c>
      <c r="W1154" s="19" t="inlineStr">
        <is>
          <t>N/A</t>
        </is>
      </c>
      <c r="X1154" s="10">
        <f>+IFERROR(IF(VLOOKUP(Tabla2[[#This Row],[ID]],'EVALUACION DE RIESGO'!A:A,1,FALSE)=Tabla2[[#This Row],[ID]],"SI","NO"),"NO")</f>
        <v/>
      </c>
      <c r="AD1154">
        <f>IF(AND(Y1154="",AA1154=""),"",IF(OR(LEFT(AA1154,2)="L0",LEFT(AA1154,2)="L1",Y1154="No Iniciado"),"CRÍTICO - Incumplimiento Normativo SEPS",IF(AND(OR(LEFT(AA1154,2)="L4",LEFT(AA1154,2)="L5"),AND(AC1154&lt;&gt;"",AC1154&lt;&gt;"N/A")),"CONFORME - Control Efectivo ISO 27001","OBSERVACIÓN - Revisar Controles")))</f>
        <v/>
      </c>
    </row>
    <row r="1155">
      <c r="A1155" s="99" t="inlineStr">
        <is>
          <t>133-GRI</t>
        </is>
      </c>
      <c r="B1155" s="10" t="inlineStr">
        <is>
          <t>ESTRATÉGICO</t>
        </is>
      </c>
      <c r="C1155" s="10" t="inlineStr">
        <is>
          <t>Gestión de Riesgos</t>
        </is>
      </c>
      <c r="D1155" s="10" t="inlineStr">
        <is>
          <t>GRI</t>
        </is>
      </c>
      <c r="E1155" s="10" t="inlineStr">
        <is>
          <t>Gestión de Riesgo Operativo</t>
        </is>
      </c>
      <c r="F1155" s="10" t="inlineStr">
        <is>
          <t>-</t>
        </is>
      </c>
      <c r="G1155" s="10" t="inlineStr">
        <is>
          <t>Actualización de matrices de riesgo operativo</t>
        </is>
      </c>
      <c r="H1155" s="10" t="inlineStr">
        <is>
          <t>Informe de resultado de las matrices de riesgo.</t>
        </is>
      </c>
      <c r="I1155" s="10" t="inlineStr">
        <is>
          <t>Informe consolidado de las matrices</t>
        </is>
      </c>
      <c r="J1155" s="10" t="inlineStr">
        <is>
          <t>GERENTE DE RIESGOS</t>
        </is>
      </c>
      <c r="K1155" s="10" t="inlineStr">
        <is>
          <t>ANALISTA DE RIESGO OPERATIVO</t>
        </is>
      </c>
      <c r="L1155" s="10" t="inlineStr">
        <is>
          <t>UBICACIÓN DIGITAL-EQUIPO DEL RESPONSABLE</t>
        </is>
      </c>
      <c r="M1155" s="10" t="inlineStr">
        <is>
          <t>DOCUMENTO DE ARCHIVO-ELECTRÓNICO</t>
        </is>
      </c>
      <c r="N1155" s="10" t="inlineStr">
        <is>
          <t>PRIMARIOS</t>
        </is>
      </c>
      <c r="O1155" s="10" t="inlineStr">
        <is>
          <t>DOCUMENTOS TÉCNICOS</t>
        </is>
      </c>
      <c r="P1155" s="10" t="inlineStr">
        <is>
          <t>PUBLICA(1)</t>
        </is>
      </c>
      <c r="Q1155" s="10" t="inlineStr">
        <is>
          <t>ALTA(3)</t>
        </is>
      </c>
      <c r="R1155" s="10" t="inlineStr">
        <is>
          <t>MEDIA(2)</t>
        </is>
      </c>
      <c r="S1155" s="10">
        <f>+(IF(P1155="PUBLICA(1)",1,IF(P1155="USO INTERNO(2)",2,IF(P1155="RESTRINGIDO(3)",3,3))))+(IF(Q1155="BAJA(1)",1,IF(Q1155="MEDIA(2)",2,IF(Q1155="ALTA(3)",3,3))))+(IF(R1155="BAJA(1)",1,IF(R1155="MEDIA(2)",2,IF(R1155="ALTA(3)",3,3))))</f>
        <v/>
      </c>
      <c r="T1155" s="10">
        <f>+IF(S1155&lt;6,"BAJA",IF(S1155&lt;8,"MEDIA","ALTA"))</f>
        <v/>
      </c>
      <c r="U1155" s="10" t="inlineStr">
        <is>
          <t>-</t>
        </is>
      </c>
      <c r="V1155" s="24" t="n">
        <v>45588</v>
      </c>
      <c r="W1155" s="19" t="inlineStr">
        <is>
          <t>N/A</t>
        </is>
      </c>
      <c r="X1155" s="10">
        <f>+IFERROR(IF(VLOOKUP(Tabla2[[#This Row],[ID]],'EVALUACION DE RIESGO'!A:A,1,FALSE)=Tabla2[[#This Row],[ID]],"SI","NO"),"NO")</f>
        <v/>
      </c>
      <c r="AD1155">
        <f>IF(AND(Y1155="",AA1155=""),"",IF(OR(LEFT(AA1155,2)="L0",LEFT(AA1155,2)="L1",Y1155="No Iniciado"),"CRÍTICO - Incumplimiento Normativo SEPS",IF(AND(OR(LEFT(AA1155,2)="L4",LEFT(AA1155,2)="L5"),AND(AC1155&lt;&gt;"",AC1155&lt;&gt;"N/A")),"CONFORME - Control Efectivo ISO 27001","OBSERVACIÓN - Revisar Controles")))</f>
        <v/>
      </c>
    </row>
    <row r="1156">
      <c r="A1156" s="99" t="inlineStr">
        <is>
          <t>134-GRI</t>
        </is>
      </c>
      <c r="B1156" s="10" t="inlineStr">
        <is>
          <t>ESTRATÉGICO</t>
        </is>
      </c>
      <c r="C1156" s="10" t="inlineStr">
        <is>
          <t>Gestión de Riesgos</t>
        </is>
      </c>
      <c r="D1156" s="10" t="inlineStr">
        <is>
          <t>GRI</t>
        </is>
      </c>
      <c r="E1156" s="10" t="inlineStr">
        <is>
          <t>Gestión de Riesgo Operativo</t>
        </is>
      </c>
      <c r="F1156" s="10" t="inlineStr">
        <is>
          <t>-</t>
        </is>
      </c>
      <c r="G1156" s="10" t="inlineStr">
        <is>
          <t>Actualización de matrices de riesgo operativo</t>
        </is>
      </c>
      <c r="H1156" s="10" t="inlineStr">
        <is>
          <t xml:space="preserve">Seguimento de planes de acción </t>
        </is>
      </c>
      <c r="I1156" s="10" t="inlineStr">
        <is>
          <t>Información consolidada de planes de acción</t>
        </is>
      </c>
      <c r="J1156" s="10" t="inlineStr">
        <is>
          <t>GERENTE DE RIESGOS</t>
        </is>
      </c>
      <c r="K1156" s="10" t="inlineStr">
        <is>
          <t>ANALISTA DE RIESGO OPERATIVO</t>
        </is>
      </c>
      <c r="L1156" s="10" t="inlineStr">
        <is>
          <t>UBICACIÓN DIGITAL-EQUIPO DEL RESPONSABLE</t>
        </is>
      </c>
      <c r="M1156" s="10" t="inlineStr">
        <is>
          <t>DOCUMENTO DE ARCHIVO-ELECTRÓNICO</t>
        </is>
      </c>
      <c r="N1156" s="10" t="inlineStr">
        <is>
          <t>PRIMARIOS</t>
        </is>
      </c>
      <c r="O1156" s="10" t="inlineStr">
        <is>
          <t>DOCUMENTOS TÉCNICOS</t>
        </is>
      </c>
      <c r="P1156" s="10" t="inlineStr">
        <is>
          <t>PUBLICA(1)</t>
        </is>
      </c>
      <c r="Q1156" s="10" t="inlineStr">
        <is>
          <t>ALTA(3)</t>
        </is>
      </c>
      <c r="R1156" s="10" t="inlineStr">
        <is>
          <t>MEDIA(2)</t>
        </is>
      </c>
      <c r="S1156" s="10">
        <f>+(IF(P1156="PUBLICA(1)",1,IF(P1156="USO INTERNO(2)",2,IF(P1156="RESTRINGIDO(3)",3,3))))+(IF(Q1156="BAJA(1)",1,IF(Q1156="MEDIA(2)",2,IF(Q1156="ALTA(3)",3,3))))+(IF(R1156="BAJA(1)",1,IF(R1156="MEDIA(2)",2,IF(R1156="ALTA(3)",3,3))))</f>
        <v/>
      </c>
      <c r="T1156" s="10">
        <f>+IF(S1156&lt;6,"BAJA",IF(S1156&lt;8,"MEDIA","ALTA"))</f>
        <v/>
      </c>
      <c r="U1156" s="10" t="inlineStr">
        <is>
          <t>-</t>
        </is>
      </c>
      <c r="V1156" s="24" t="n">
        <v>45588</v>
      </c>
      <c r="W1156" s="19" t="inlineStr">
        <is>
          <t>N/A</t>
        </is>
      </c>
      <c r="X1156" s="10">
        <f>+IFERROR(IF(VLOOKUP(Tabla2[[#This Row],[ID]],'EVALUACION DE RIESGO'!A:A,1,FALSE)=Tabla2[[#This Row],[ID]],"SI","NO"),"NO")</f>
        <v/>
      </c>
      <c r="AD1156">
        <f>IF(AND(Y1156="",AA1156=""),"",IF(OR(LEFT(AA1156,2)="L0",LEFT(AA1156,2)="L1",Y1156="No Iniciado"),"CRÍTICO - Incumplimiento Normativo SEPS",IF(AND(OR(LEFT(AA1156,2)="L4",LEFT(AA1156,2)="L5"),AND(AC1156&lt;&gt;"",AC1156&lt;&gt;"N/A")),"CONFORME - Control Efectivo ISO 27001","OBSERVACIÓN - Revisar Controles")))</f>
        <v/>
      </c>
    </row>
    <row r="1157">
      <c r="A1157" s="99" t="inlineStr">
        <is>
          <t>135-GRI</t>
        </is>
      </c>
      <c r="B1157" s="10" t="inlineStr">
        <is>
          <t>ESTRATÉGICO</t>
        </is>
      </c>
      <c r="C1157" s="10" t="inlineStr">
        <is>
          <t>Gestión de Riesgos</t>
        </is>
      </c>
      <c r="D1157" s="10" t="inlineStr">
        <is>
          <t>GRI</t>
        </is>
      </c>
      <c r="E1157" s="10" t="inlineStr">
        <is>
          <t>Gestión de Riesgo Operativo</t>
        </is>
      </c>
      <c r="F1157" s="10" t="inlineStr">
        <is>
          <t>-</t>
        </is>
      </c>
      <c r="G1157" s="10" t="inlineStr">
        <is>
          <t xml:space="preserve">Análisis de casos especiales de orden legal   </t>
        </is>
      </c>
      <c r="H1157" s="10" t="inlineStr">
        <is>
          <t xml:space="preserve">Informe del departamento Jurídico 
</t>
        </is>
      </c>
      <c r="I1157" s="10" t="inlineStr">
        <is>
          <t>Informe del área Juridico</t>
        </is>
      </c>
      <c r="J1157" s="10" t="inlineStr">
        <is>
          <t>GERENTE DE RIESGOS</t>
        </is>
      </c>
      <c r="K1157" s="10" t="inlineStr">
        <is>
          <t>ANALISTA DE RIESGO OPERATIVO</t>
        </is>
      </c>
      <c r="L1157" s="10" t="inlineStr">
        <is>
          <t>UBICACIÓN DIGITAL-EQUIPO DEL RESPONSABLE</t>
        </is>
      </c>
      <c r="M1157" s="10" t="inlineStr">
        <is>
          <t>DOCUMENTO DE ARCHIVO-ELECTRÓNICO</t>
        </is>
      </c>
      <c r="N1157" s="10" t="inlineStr">
        <is>
          <t>PRIMARIOS</t>
        </is>
      </c>
      <c r="O1157" s="10" t="inlineStr">
        <is>
          <t>DOCUMENTOS TÉCNICOS</t>
        </is>
      </c>
      <c r="P1157" s="10" t="inlineStr">
        <is>
          <t>PUBLICA(1)</t>
        </is>
      </c>
      <c r="Q1157" s="10" t="inlineStr">
        <is>
          <t>ALTA(3)</t>
        </is>
      </c>
      <c r="R1157" s="10" t="inlineStr">
        <is>
          <t>MEDIA(2)</t>
        </is>
      </c>
      <c r="S1157" s="10">
        <f>+(IF(P1157="PUBLICA(1)",1,IF(P1157="USO INTERNO(2)",2,IF(P1157="RESTRINGIDO(3)",3,3))))+(IF(Q1157="BAJA(1)",1,IF(Q1157="MEDIA(2)",2,IF(Q1157="ALTA(3)",3,3))))+(IF(R1157="BAJA(1)",1,IF(R1157="MEDIA(2)",2,IF(R1157="ALTA(3)",3,3))))</f>
        <v/>
      </c>
      <c r="T1157" s="10">
        <f>+IF(S1157&lt;6,"BAJA",IF(S1157&lt;8,"MEDIA","ALTA"))</f>
        <v/>
      </c>
      <c r="U1157" s="10" t="inlineStr">
        <is>
          <t>-</t>
        </is>
      </c>
      <c r="V1157" s="24" t="n">
        <v>45588</v>
      </c>
      <c r="W1157" s="19" t="inlineStr">
        <is>
          <t>N/A</t>
        </is>
      </c>
      <c r="X1157" s="10">
        <f>+IFERROR(IF(VLOOKUP(Tabla2[[#This Row],[ID]],'EVALUACION DE RIESGO'!A:A,1,FALSE)=Tabla2[[#This Row],[ID]],"SI","NO"),"NO")</f>
        <v/>
      </c>
      <c r="AD1157">
        <f>IF(AND(Y1157="",AA1157=""),"",IF(OR(LEFT(AA1157,2)="L0",LEFT(AA1157,2)="L1",Y1157="No Iniciado"),"CRÍTICO - Incumplimiento Normativo SEPS",IF(AND(OR(LEFT(AA1157,2)="L4",LEFT(AA1157,2)="L5"),AND(AC1157&lt;&gt;"",AC1157&lt;&gt;"N/A")),"CONFORME - Control Efectivo ISO 27001","OBSERVACIÓN - Revisar Controles")))</f>
        <v/>
      </c>
    </row>
    <row r="1158">
      <c r="A1158" s="99" t="inlineStr">
        <is>
          <t>136-GRI</t>
        </is>
      </c>
      <c r="B1158" s="10" t="inlineStr">
        <is>
          <t>ESTRATÉGICO</t>
        </is>
      </c>
      <c r="C1158" s="10" t="inlineStr">
        <is>
          <t>Gestión de Riesgos</t>
        </is>
      </c>
      <c r="D1158" s="10" t="inlineStr">
        <is>
          <t>GRI</t>
        </is>
      </c>
      <c r="E1158" s="10" t="inlineStr">
        <is>
          <t>Gestión de Riesgo Operativo</t>
        </is>
      </c>
      <c r="F1158" s="10" t="inlineStr">
        <is>
          <t>-</t>
        </is>
      </c>
      <c r="G1158" s="10" t="inlineStr">
        <is>
          <t xml:space="preserve">Análisis de casos especiales de orden legal   </t>
        </is>
      </c>
      <c r="H1158" s="10" t="inlineStr">
        <is>
          <t>Matriz de Riesgo Legal</t>
        </is>
      </c>
      <c r="I1158" s="10" t="inlineStr">
        <is>
          <t>Monitoreo de los avances</t>
        </is>
      </c>
      <c r="J1158" s="10" t="inlineStr">
        <is>
          <t>GERENTE DE RIESGOS</t>
        </is>
      </c>
      <c r="K1158" s="10" t="inlineStr">
        <is>
          <t>ANALISTA DE RIESGO OPERATIVO</t>
        </is>
      </c>
      <c r="L1158" s="10" t="inlineStr">
        <is>
          <t>UBICACIÓN DIGITAL-EQUIPO DEL RESPONSABLE</t>
        </is>
      </c>
      <c r="M1158" s="10" t="inlineStr">
        <is>
          <t>DOCUMENTO DE ARCHIVO-ELECTRÓNICO</t>
        </is>
      </c>
      <c r="N1158" s="10" t="inlineStr">
        <is>
          <t>PRIMARIOS</t>
        </is>
      </c>
      <c r="O1158" s="10" t="inlineStr">
        <is>
          <t>DOCUMENTOS TÉCNICOS</t>
        </is>
      </c>
      <c r="P1158" s="10" t="inlineStr">
        <is>
          <t>PUBLICA(1)</t>
        </is>
      </c>
      <c r="Q1158" s="10" t="inlineStr">
        <is>
          <t>ALTA(3)</t>
        </is>
      </c>
      <c r="R1158" s="10" t="inlineStr">
        <is>
          <t>MEDIA(2)</t>
        </is>
      </c>
      <c r="S1158" s="10">
        <f>+(IF(P1158="PUBLICA(1)",1,IF(P1158="USO INTERNO(2)",2,IF(P1158="RESTRINGIDO(3)",3,3))))+(IF(Q1158="BAJA(1)",1,IF(Q1158="MEDIA(2)",2,IF(Q1158="ALTA(3)",3,3))))+(IF(R1158="BAJA(1)",1,IF(R1158="MEDIA(2)",2,IF(R1158="ALTA(3)",3,3))))</f>
        <v/>
      </c>
      <c r="T1158" s="10">
        <f>+IF(S1158&lt;6,"BAJA",IF(S1158&lt;8,"MEDIA","ALTA"))</f>
        <v/>
      </c>
      <c r="U1158" s="10" t="inlineStr">
        <is>
          <t>-</t>
        </is>
      </c>
      <c r="V1158" s="24" t="n">
        <v>45588</v>
      </c>
      <c r="W1158" s="19" t="inlineStr">
        <is>
          <t>N/A</t>
        </is>
      </c>
      <c r="X1158" s="10">
        <f>+IFERROR(IF(VLOOKUP(Tabla2[[#This Row],[ID]],'EVALUACION DE RIESGO'!A:A,1,FALSE)=Tabla2[[#This Row],[ID]],"SI","NO"),"NO")</f>
        <v/>
      </c>
      <c r="AD1158">
        <f>IF(AND(Y1158="",AA1158=""),"",IF(OR(LEFT(AA1158,2)="L0",LEFT(AA1158,2)="L1",Y1158="No Iniciado"),"CRÍTICO - Incumplimiento Normativo SEPS",IF(AND(OR(LEFT(AA1158,2)="L4",LEFT(AA1158,2)="L5"),AND(AC1158&lt;&gt;"",AC1158&lt;&gt;"N/A")),"CONFORME - Control Efectivo ISO 27001","OBSERVACIÓN - Revisar Controles")))</f>
        <v/>
      </c>
    </row>
    <row r="1159">
      <c r="A1159" s="99" t="inlineStr">
        <is>
          <t>137-GRI</t>
        </is>
      </c>
      <c r="B1159" s="10" t="inlineStr">
        <is>
          <t>ESTRATÉGICO</t>
        </is>
      </c>
      <c r="C1159" s="10" t="inlineStr">
        <is>
          <t>Gestión de Riesgos</t>
        </is>
      </c>
      <c r="D1159" s="10" t="inlineStr">
        <is>
          <t>GRI</t>
        </is>
      </c>
      <c r="E1159" s="10" t="inlineStr">
        <is>
          <t>Gestión de Riesgo Operativo</t>
        </is>
      </c>
      <c r="F1159" s="10" t="inlineStr">
        <is>
          <t>-</t>
        </is>
      </c>
      <c r="G1159" s="10" t="inlineStr">
        <is>
          <t xml:space="preserve">Análisis de casos especiales de orden legal   </t>
        </is>
      </c>
      <c r="H1159" s="10" t="inlineStr">
        <is>
          <t>Reporte de análisis a los procesos legales</t>
        </is>
      </c>
      <c r="I1159" s="10" t="inlineStr">
        <is>
          <t>Monitoreo de los avances</t>
        </is>
      </c>
      <c r="J1159" s="10" t="inlineStr">
        <is>
          <t>GERENTE DE RIESGOS</t>
        </is>
      </c>
      <c r="K1159" s="10" t="inlineStr">
        <is>
          <t>ANALISTA DE RIESGO OPERATIVO</t>
        </is>
      </c>
      <c r="L1159" s="10" t="inlineStr">
        <is>
          <t>UBICACIÓN DIGITAL-EQUIPO DEL RESPONSABLE</t>
        </is>
      </c>
      <c r="M1159" s="10" t="inlineStr">
        <is>
          <t>DOCUMENTO DE ARCHIVO-ELECTRÓNICO</t>
        </is>
      </c>
      <c r="N1159" s="10" t="inlineStr">
        <is>
          <t>PRIMARIOS</t>
        </is>
      </c>
      <c r="O1159" s="10" t="inlineStr">
        <is>
          <t>DOCUMENTOS TÉCNICOS</t>
        </is>
      </c>
      <c r="P1159" s="10" t="inlineStr">
        <is>
          <t>PUBLICA(1)</t>
        </is>
      </c>
      <c r="Q1159" s="10" t="inlineStr">
        <is>
          <t>ALTA(3)</t>
        </is>
      </c>
      <c r="R1159" s="10" t="inlineStr">
        <is>
          <t>MEDIA(2)</t>
        </is>
      </c>
      <c r="S1159" s="10">
        <f>+(IF(P1159="PUBLICA(1)",1,IF(P1159="USO INTERNO(2)",2,IF(P1159="RESTRINGIDO(3)",3,3))))+(IF(Q1159="BAJA(1)",1,IF(Q1159="MEDIA(2)",2,IF(Q1159="ALTA(3)",3,3))))+(IF(R1159="BAJA(1)",1,IF(R1159="MEDIA(2)",2,IF(R1159="ALTA(3)",3,3))))</f>
        <v/>
      </c>
      <c r="T1159" s="10">
        <f>+IF(S1159&lt;6,"BAJA",IF(S1159&lt;8,"MEDIA","ALTA"))</f>
        <v/>
      </c>
      <c r="U1159" s="10" t="inlineStr">
        <is>
          <t>-</t>
        </is>
      </c>
      <c r="V1159" s="24" t="n">
        <v>45588</v>
      </c>
      <c r="W1159" s="19" t="inlineStr">
        <is>
          <t>N/A</t>
        </is>
      </c>
      <c r="X1159" s="10">
        <f>+IFERROR(IF(VLOOKUP(Tabla2[[#This Row],[ID]],'EVALUACION DE RIESGO'!A:A,1,FALSE)=Tabla2[[#This Row],[ID]],"SI","NO"),"NO")</f>
        <v/>
      </c>
      <c r="AD1159">
        <f>IF(AND(Y1159="",AA1159=""),"",IF(OR(LEFT(AA1159,2)="L0",LEFT(AA1159,2)="L1",Y1159="No Iniciado"),"CRÍTICO - Incumplimiento Normativo SEPS",IF(AND(OR(LEFT(AA1159,2)="L4",LEFT(AA1159,2)="L5"),AND(AC1159&lt;&gt;"",AC1159&lt;&gt;"N/A")),"CONFORME - Control Efectivo ISO 27001","OBSERVACIÓN - Revisar Controles")))</f>
        <v/>
      </c>
    </row>
    <row r="1160">
      <c r="A1160" s="99" t="inlineStr">
        <is>
          <t>138-GRI</t>
        </is>
      </c>
      <c r="B1160" s="10" t="inlineStr">
        <is>
          <t>ESTRATÉGICO</t>
        </is>
      </c>
      <c r="C1160" s="10" t="inlineStr">
        <is>
          <t>Gestión de Riesgos</t>
        </is>
      </c>
      <c r="D1160" s="10" t="inlineStr">
        <is>
          <t>GRI</t>
        </is>
      </c>
      <c r="E1160" s="10" t="inlineStr">
        <is>
          <t>Gestión de Riesgo Operativo</t>
        </is>
      </c>
      <c r="F1160" s="10" t="inlineStr">
        <is>
          <t>-</t>
        </is>
      </c>
      <c r="G1160" s="10" t="inlineStr">
        <is>
          <t xml:space="preserve">Análisis de nuevos productos o servicios </t>
        </is>
      </c>
      <c r="H1160" s="10" t="inlineStr">
        <is>
          <t xml:space="preserve">Propuesta de creación de productos y servicios  </t>
        </is>
      </c>
      <c r="I1160" s="10" t="inlineStr">
        <is>
          <t>Proyecto de propuesta</t>
        </is>
      </c>
      <c r="J1160" s="10" t="inlineStr">
        <is>
          <t>GERENTE DE RIESGOS</t>
        </is>
      </c>
      <c r="K1160" s="10" t="inlineStr">
        <is>
          <t>ANALISTA DE RIESGO OPERATIVO</t>
        </is>
      </c>
      <c r="L1160" s="10" t="inlineStr">
        <is>
          <t>UBICACIÓN DIGITAL-EQUIPO DEL RESPONSABLE</t>
        </is>
      </c>
      <c r="M1160" s="10" t="inlineStr">
        <is>
          <t>DOCUMENTO DE ARCHIVO-ELECTRÓNICO</t>
        </is>
      </c>
      <c r="N1160" s="10" t="inlineStr">
        <is>
          <t>PRIMARIOS</t>
        </is>
      </c>
      <c r="O1160" s="10" t="inlineStr">
        <is>
          <t>DOCUMENTOS TÉCNICOS</t>
        </is>
      </c>
      <c r="P1160" s="10" t="inlineStr">
        <is>
          <t>PUBLICA(1)</t>
        </is>
      </c>
      <c r="Q1160" s="10" t="inlineStr">
        <is>
          <t>ALTA(3)</t>
        </is>
      </c>
      <c r="R1160" s="10" t="inlineStr">
        <is>
          <t>MEDIA(2)</t>
        </is>
      </c>
      <c r="S1160" s="10">
        <f>+(IF(P1160="PUBLICA(1)",1,IF(P1160="USO INTERNO(2)",2,IF(P1160="RESTRINGIDO(3)",3,3))))+(IF(Q1160="BAJA(1)",1,IF(Q1160="MEDIA(2)",2,IF(Q1160="ALTA(3)",3,3))))+(IF(R1160="BAJA(1)",1,IF(R1160="MEDIA(2)",2,IF(R1160="ALTA(3)",3,3))))</f>
        <v/>
      </c>
      <c r="T1160" s="10">
        <f>+IF(S1160&lt;6,"BAJA",IF(S1160&lt;8,"MEDIA","ALTA"))</f>
        <v/>
      </c>
      <c r="U1160" s="10" t="inlineStr">
        <is>
          <t>-</t>
        </is>
      </c>
      <c r="V1160" s="24" t="n">
        <v>45588</v>
      </c>
      <c r="W1160" s="19" t="inlineStr">
        <is>
          <t>N/A</t>
        </is>
      </c>
      <c r="X1160" s="10">
        <f>+IFERROR(IF(VLOOKUP(Tabla2[[#This Row],[ID]],'EVALUACION DE RIESGO'!A:A,1,FALSE)=Tabla2[[#This Row],[ID]],"SI","NO"),"NO")</f>
        <v/>
      </c>
      <c r="AD1160">
        <f>IF(AND(Y1160="",AA1160=""),"",IF(OR(LEFT(AA1160,2)="L0",LEFT(AA1160,2)="L1",Y1160="No Iniciado"),"CRÍTICO - Incumplimiento Normativo SEPS",IF(AND(OR(LEFT(AA1160,2)="L4",LEFT(AA1160,2)="L5"),AND(AC1160&lt;&gt;"",AC1160&lt;&gt;"N/A")),"CONFORME - Control Efectivo ISO 27001","OBSERVACIÓN - Revisar Controles")))</f>
        <v/>
      </c>
    </row>
    <row r="1161">
      <c r="A1161" s="99" t="inlineStr">
        <is>
          <t>139-GRI</t>
        </is>
      </c>
      <c r="B1161" s="10" t="inlineStr">
        <is>
          <t>ESTRATÉGICO</t>
        </is>
      </c>
      <c r="C1161" s="10" t="inlineStr">
        <is>
          <t>Gestión de Riesgos</t>
        </is>
      </c>
      <c r="D1161" s="10" t="inlineStr">
        <is>
          <t>GRI</t>
        </is>
      </c>
      <c r="E1161" s="10" t="inlineStr">
        <is>
          <t>Gestión de Riesgo Operativo</t>
        </is>
      </c>
      <c r="F1161" s="10" t="inlineStr">
        <is>
          <t>-</t>
        </is>
      </c>
      <c r="G1161" s="10" t="inlineStr">
        <is>
          <t xml:space="preserve">Análisis de nuevos productos o servicios </t>
        </is>
      </c>
      <c r="H1161" s="10" t="inlineStr">
        <is>
          <t>Informe de Riesgos</t>
        </is>
      </c>
      <c r="I1161" s="10" t="inlineStr">
        <is>
          <t>Documento factibilidad y matriz</t>
        </is>
      </c>
      <c r="J1161" s="10" t="inlineStr">
        <is>
          <t>GERENTE DE RIESGOS</t>
        </is>
      </c>
      <c r="K1161" s="10" t="inlineStr">
        <is>
          <t>ANALISTA DE RIESGO OPERATIVO</t>
        </is>
      </c>
      <c r="L1161" s="10" t="inlineStr">
        <is>
          <t>UBICACIÓN DIGITAL-EQUIPO DEL RESPONSABLE</t>
        </is>
      </c>
      <c r="M1161" s="10" t="inlineStr">
        <is>
          <t>DOCUMENTO DE ARCHIVO-ELECTRÓNICO</t>
        </is>
      </c>
      <c r="N1161" s="10" t="inlineStr">
        <is>
          <t>PRIMARIOS</t>
        </is>
      </c>
      <c r="O1161" s="10" t="inlineStr">
        <is>
          <t>DOCUMENTOS TÉCNICOS</t>
        </is>
      </c>
      <c r="P1161" s="10" t="inlineStr">
        <is>
          <t>PUBLICA(1)</t>
        </is>
      </c>
      <c r="Q1161" s="10" t="inlineStr">
        <is>
          <t>ALTA(3)</t>
        </is>
      </c>
      <c r="R1161" s="10" t="inlineStr">
        <is>
          <t>MEDIA(2)</t>
        </is>
      </c>
      <c r="S1161" s="10">
        <f>+(IF(P1161="PUBLICA(1)",1,IF(P1161="USO INTERNO(2)",2,IF(P1161="RESTRINGIDO(3)",3,3))))+(IF(Q1161="BAJA(1)",1,IF(Q1161="MEDIA(2)",2,IF(Q1161="ALTA(3)",3,3))))+(IF(R1161="BAJA(1)",1,IF(R1161="MEDIA(2)",2,IF(R1161="ALTA(3)",3,3))))</f>
        <v/>
      </c>
      <c r="T1161" s="10">
        <f>+IF(S1161&lt;6,"BAJA",IF(S1161&lt;8,"MEDIA","ALTA"))</f>
        <v/>
      </c>
      <c r="U1161" s="10" t="inlineStr">
        <is>
          <t>-</t>
        </is>
      </c>
      <c r="V1161" s="24" t="n">
        <v>45588</v>
      </c>
      <c r="W1161" s="19" t="inlineStr">
        <is>
          <t>N/A</t>
        </is>
      </c>
      <c r="X1161" s="10">
        <f>+IFERROR(IF(VLOOKUP(Tabla2[[#This Row],[ID]],'EVALUACION DE RIESGO'!A:A,1,FALSE)=Tabla2[[#This Row],[ID]],"SI","NO"),"NO")</f>
        <v/>
      </c>
      <c r="AD1161">
        <f>IF(AND(Y1161="",AA1161=""),"",IF(OR(LEFT(AA1161,2)="L0",LEFT(AA1161,2)="L1",Y1161="No Iniciado"),"CRÍTICO - Incumplimiento Normativo SEPS",IF(AND(OR(LEFT(AA1161,2)="L4",LEFT(AA1161,2)="L5"),AND(AC1161&lt;&gt;"",AC1161&lt;&gt;"N/A")),"CONFORME - Control Efectivo ISO 27001","OBSERVACIÓN - Revisar Controles")))</f>
        <v/>
      </c>
    </row>
    <row r="1162">
      <c r="A1162" s="99" t="inlineStr">
        <is>
          <t>140-GRI</t>
        </is>
      </c>
      <c r="B1162" s="10" t="inlineStr">
        <is>
          <t>ESTRATÉGICO</t>
        </is>
      </c>
      <c r="C1162" s="10" t="inlineStr">
        <is>
          <t>Gestión de Riesgos</t>
        </is>
      </c>
      <c r="D1162" s="10" t="inlineStr">
        <is>
          <t>GRI</t>
        </is>
      </c>
      <c r="E1162" s="10" t="inlineStr">
        <is>
          <t>Gestión de Riesgo Operativo</t>
        </is>
      </c>
      <c r="F1162" s="10" t="inlineStr">
        <is>
          <t>-</t>
        </is>
      </c>
      <c r="G1162" s="10" t="inlineStr">
        <is>
          <t>Consolidación de la información</t>
        </is>
      </c>
      <c r="H1162" s="10" t="inlineStr">
        <is>
          <t>Matriz de Riesgo operativo de eventos materializados</t>
        </is>
      </c>
      <c r="I1162" s="10" t="inlineStr">
        <is>
          <t>Información consolidada</t>
        </is>
      </c>
      <c r="J1162" s="10" t="inlineStr">
        <is>
          <t>GERENTE DE RIESGOS</t>
        </is>
      </c>
      <c r="K1162" s="10" t="inlineStr">
        <is>
          <t>ANALISTA DE RIESGO OPERATIVO</t>
        </is>
      </c>
      <c r="L1162" s="10" t="inlineStr">
        <is>
          <t>UBICACIÓN DIGITAL-EQUIPO DEL RESPONSABLE</t>
        </is>
      </c>
      <c r="M1162" s="10" t="inlineStr">
        <is>
          <t>DOCUMENTO DE ARCHIVO-ELECTRÓNICO</t>
        </is>
      </c>
      <c r="N1162" s="10" t="inlineStr">
        <is>
          <t>PRIMARIOS</t>
        </is>
      </c>
      <c r="O1162" s="10" t="inlineStr">
        <is>
          <t>DOCUMENTOS TÉCNICOS</t>
        </is>
      </c>
      <c r="P1162" s="10" t="inlineStr">
        <is>
          <t>PUBLICA(1)</t>
        </is>
      </c>
      <c r="Q1162" s="10" t="inlineStr">
        <is>
          <t>ALTA(3)</t>
        </is>
      </c>
      <c r="R1162" s="10" t="inlineStr">
        <is>
          <t>MEDIA(2)</t>
        </is>
      </c>
      <c r="S1162" s="10">
        <f>+(IF(P1162="PUBLICA(1)",1,IF(P1162="USO INTERNO(2)",2,IF(P1162="RESTRINGIDO(3)",3,3))))+(IF(Q1162="BAJA(1)",1,IF(Q1162="MEDIA(2)",2,IF(Q1162="ALTA(3)",3,3))))+(IF(R1162="BAJA(1)",1,IF(R1162="MEDIA(2)",2,IF(R1162="ALTA(3)",3,3))))</f>
        <v/>
      </c>
      <c r="T1162" s="10">
        <f>+IF(S1162&lt;6,"BAJA",IF(S1162&lt;8,"MEDIA","ALTA"))</f>
        <v/>
      </c>
      <c r="U1162" s="10" t="inlineStr">
        <is>
          <t>-</t>
        </is>
      </c>
      <c r="V1162" s="24" t="n">
        <v>45588</v>
      </c>
      <c r="W1162" s="19" t="inlineStr">
        <is>
          <t>N/A</t>
        </is>
      </c>
      <c r="X1162" s="10">
        <f>+IFERROR(IF(VLOOKUP(Tabla2[[#This Row],[ID]],'EVALUACION DE RIESGO'!A:A,1,FALSE)=Tabla2[[#This Row],[ID]],"SI","NO"),"NO")</f>
        <v/>
      </c>
      <c r="AD1162">
        <f>IF(AND(Y1162="",AA1162=""),"",IF(OR(LEFT(AA1162,2)="L0",LEFT(AA1162,2)="L1",Y1162="No Iniciado"),"CRÍTICO - Incumplimiento Normativo SEPS",IF(AND(OR(LEFT(AA1162,2)="L4",LEFT(AA1162,2)="L5"),AND(AC1162&lt;&gt;"",AC1162&lt;&gt;"N/A")),"CONFORME - Control Efectivo ISO 27001","OBSERVACIÓN - Revisar Controles")))</f>
        <v/>
      </c>
    </row>
    <row r="1163">
      <c r="A1163" s="99" t="inlineStr">
        <is>
          <t>141-GRI</t>
        </is>
      </c>
      <c r="B1163" s="10" t="inlineStr">
        <is>
          <t>ESTRATÉGICO</t>
        </is>
      </c>
      <c r="C1163" s="10" t="inlineStr">
        <is>
          <t>Gestión de Riesgos</t>
        </is>
      </c>
      <c r="D1163" s="10" t="inlineStr">
        <is>
          <t>GRI</t>
        </is>
      </c>
      <c r="E1163" s="10" t="inlineStr">
        <is>
          <t>Gestión de Riesgo Operativo</t>
        </is>
      </c>
      <c r="F1163" s="10" t="inlineStr">
        <is>
          <t>-</t>
        </is>
      </c>
      <c r="G1163" s="10" t="inlineStr">
        <is>
          <t>Consolidación de la información</t>
        </is>
      </c>
      <c r="H1163" s="10" t="inlineStr">
        <is>
          <t>Matriz de resultados de las visitas a oficinas</t>
        </is>
      </c>
      <c r="I1163" s="10" t="inlineStr">
        <is>
          <t>Información consolidada</t>
        </is>
      </c>
      <c r="J1163" s="10" t="inlineStr">
        <is>
          <t>GERENTE DE RIESGOS</t>
        </is>
      </c>
      <c r="K1163" s="10" t="inlineStr">
        <is>
          <t>ANALISTA DE RIESGO OPERATIVO</t>
        </is>
      </c>
      <c r="L1163" s="10" t="inlineStr">
        <is>
          <t>UBICACIÓN DIGITAL-EQUIPO DEL RESPONSABLE</t>
        </is>
      </c>
      <c r="M1163" s="10" t="inlineStr">
        <is>
          <t>DOCUMENTO DE ARCHIVO-ELECTRÓNICO</t>
        </is>
      </c>
      <c r="N1163" s="10" t="inlineStr">
        <is>
          <t>PRIMARIOS</t>
        </is>
      </c>
      <c r="O1163" s="10" t="inlineStr">
        <is>
          <t>DOCUMENTOS TÉCNICOS</t>
        </is>
      </c>
      <c r="P1163" s="10" t="inlineStr">
        <is>
          <t>PUBLICA(1)</t>
        </is>
      </c>
      <c r="Q1163" s="10" t="inlineStr">
        <is>
          <t>ALTA(3)</t>
        </is>
      </c>
      <c r="R1163" s="10" t="inlineStr">
        <is>
          <t>MEDIA(2)</t>
        </is>
      </c>
      <c r="S1163" s="10">
        <f>+(IF(P1163="PUBLICA(1)",1,IF(P1163="USO INTERNO(2)",2,IF(P1163="RESTRINGIDO(3)",3,3))))+(IF(Q1163="BAJA(1)",1,IF(Q1163="MEDIA(2)",2,IF(Q1163="ALTA(3)",3,3))))+(IF(R1163="BAJA(1)",1,IF(R1163="MEDIA(2)",2,IF(R1163="ALTA(3)",3,3))))</f>
        <v/>
      </c>
      <c r="T1163" s="10">
        <f>+IF(S1163&lt;6,"BAJA",IF(S1163&lt;8,"MEDIA","ALTA"))</f>
        <v/>
      </c>
      <c r="U1163" s="10" t="inlineStr">
        <is>
          <t>-</t>
        </is>
      </c>
      <c r="V1163" s="24" t="n">
        <v>45588</v>
      </c>
      <c r="W1163" s="19" t="inlineStr">
        <is>
          <t>N/A</t>
        </is>
      </c>
      <c r="X1163" s="10">
        <f>+IFERROR(IF(VLOOKUP(Tabla2[[#This Row],[ID]],'EVALUACION DE RIESGO'!A:A,1,FALSE)=Tabla2[[#This Row],[ID]],"SI","NO"),"NO")</f>
        <v/>
      </c>
      <c r="AD1163">
        <f>IF(AND(Y1163="",AA1163=""),"",IF(OR(LEFT(AA1163,2)="L0",LEFT(AA1163,2)="L1",Y1163="No Iniciado"),"CRÍTICO - Incumplimiento Normativo SEPS",IF(AND(OR(LEFT(AA1163,2)="L4",LEFT(AA1163,2)="L5"),AND(AC1163&lt;&gt;"",AC1163&lt;&gt;"N/A")),"CONFORME - Control Efectivo ISO 27001","OBSERVACIÓN - Revisar Controles")))</f>
        <v/>
      </c>
    </row>
    <row r="1164">
      <c r="A1164" s="99" t="inlineStr">
        <is>
          <t>142-GRI</t>
        </is>
      </c>
      <c r="B1164" s="10" t="inlineStr">
        <is>
          <t>ESTRATÉGICO</t>
        </is>
      </c>
      <c r="C1164" s="10" t="inlineStr">
        <is>
          <t>Gestión de Riesgos</t>
        </is>
      </c>
      <c r="D1164" s="10" t="inlineStr">
        <is>
          <t>GRI</t>
        </is>
      </c>
      <c r="E1164" s="10" t="inlineStr">
        <is>
          <t>Gestión de Riesgo Operativo</t>
        </is>
      </c>
      <c r="F1164" s="10" t="inlineStr">
        <is>
          <t>-</t>
        </is>
      </c>
      <c r="G1164" s="10" t="inlineStr">
        <is>
          <t>Consolidación de la información</t>
        </is>
      </c>
      <c r="H1164" s="10" t="inlineStr">
        <is>
          <t>Reporte de análisis a los procesos legales</t>
        </is>
      </c>
      <c r="I1164" s="10" t="inlineStr">
        <is>
          <t>Información consolidada</t>
        </is>
      </c>
      <c r="J1164" s="10" t="inlineStr">
        <is>
          <t>GERENTE DE RIESGOS</t>
        </is>
      </c>
      <c r="K1164" s="10" t="inlineStr">
        <is>
          <t>ANALISTA DE RIESGO OPERATIVO</t>
        </is>
      </c>
      <c r="L1164" s="10" t="inlineStr">
        <is>
          <t>UBICACIÓN DIGITAL-EQUIPO DEL RESPONSABLE</t>
        </is>
      </c>
      <c r="M1164" s="10" t="inlineStr">
        <is>
          <t>DOCUMENTO DE ARCHIVO-ELECTRÓNICO</t>
        </is>
      </c>
      <c r="N1164" s="10" t="inlineStr">
        <is>
          <t>PRIMARIOS</t>
        </is>
      </c>
      <c r="O1164" s="10" t="inlineStr">
        <is>
          <t>DOCUMENTOS TÉCNICOS</t>
        </is>
      </c>
      <c r="P1164" s="10" t="inlineStr">
        <is>
          <t>PUBLICA(1)</t>
        </is>
      </c>
      <c r="Q1164" s="10" t="inlineStr">
        <is>
          <t>ALTA(3)</t>
        </is>
      </c>
      <c r="R1164" s="10" t="inlineStr">
        <is>
          <t>MEDIA(2)</t>
        </is>
      </c>
      <c r="S1164" s="10">
        <f>+(IF(P1164="PUBLICA(1)",1,IF(P1164="USO INTERNO(2)",2,IF(P1164="RESTRINGIDO(3)",3,3))))+(IF(Q1164="BAJA(1)",1,IF(Q1164="MEDIA(2)",2,IF(Q1164="ALTA(3)",3,3))))+(IF(R1164="BAJA(1)",1,IF(R1164="MEDIA(2)",2,IF(R1164="ALTA(3)",3,3))))</f>
        <v/>
      </c>
      <c r="T1164" s="10">
        <f>+IF(S1164&lt;6,"BAJA",IF(S1164&lt;8,"MEDIA","ALTA"))</f>
        <v/>
      </c>
      <c r="U1164" s="10" t="inlineStr">
        <is>
          <t>-</t>
        </is>
      </c>
      <c r="V1164" s="24" t="n">
        <v>45588</v>
      </c>
      <c r="W1164" s="19" t="inlineStr">
        <is>
          <t>N/A</t>
        </is>
      </c>
      <c r="X1164" s="10">
        <f>+IFERROR(IF(VLOOKUP(Tabla2[[#This Row],[ID]],'EVALUACION DE RIESGO'!A:A,1,FALSE)=Tabla2[[#This Row],[ID]],"SI","NO"),"NO")</f>
        <v/>
      </c>
      <c r="AD1164">
        <f>IF(AND(Y1164="",AA1164=""),"",IF(OR(LEFT(AA1164,2)="L0",LEFT(AA1164,2)="L1",Y1164="No Iniciado"),"CRÍTICO - Incumplimiento Normativo SEPS",IF(AND(OR(LEFT(AA1164,2)="L4",LEFT(AA1164,2)="L5"),AND(AC1164&lt;&gt;"",AC1164&lt;&gt;"N/A")),"CONFORME - Control Efectivo ISO 27001","OBSERVACIÓN - Revisar Controles")))</f>
        <v/>
      </c>
    </row>
    <row r="1165">
      <c r="A1165" s="99" t="inlineStr">
        <is>
          <t>143-GRI</t>
        </is>
      </c>
      <c r="B1165" s="10" t="inlineStr">
        <is>
          <t>ESTRATÉGICO</t>
        </is>
      </c>
      <c r="C1165" s="10" t="inlineStr">
        <is>
          <t>Gestión de Riesgos</t>
        </is>
      </c>
      <c r="D1165" s="10" t="inlineStr">
        <is>
          <t>GRI</t>
        </is>
      </c>
      <c r="E1165" s="10" t="inlineStr">
        <is>
          <t>Gestión de Riesgo Operativo</t>
        </is>
      </c>
      <c r="F1165" s="10" t="inlineStr">
        <is>
          <t>-</t>
        </is>
      </c>
      <c r="G1165" s="10" t="inlineStr">
        <is>
          <t>Consolidación de la información</t>
        </is>
      </c>
      <c r="H1165" s="10" t="inlineStr">
        <is>
          <t>Informe mensual de Riesgos</t>
        </is>
      </c>
      <c r="I1165" s="10" t="inlineStr">
        <is>
          <t>Información consolidada</t>
        </is>
      </c>
      <c r="J1165" s="10" t="inlineStr">
        <is>
          <t>GERENTE DE RIESGOS</t>
        </is>
      </c>
      <c r="K1165" s="10" t="inlineStr">
        <is>
          <t>ANALISTA DE RIESGO OPERATIVO</t>
        </is>
      </c>
      <c r="L1165" s="10" t="inlineStr">
        <is>
          <t>UBICACIÓN DIGITAL-EQUIPO DEL RESPONSABLE</t>
        </is>
      </c>
      <c r="M1165" s="10" t="inlineStr">
        <is>
          <t>DOCUMENTO DE ARCHIVO-ELECTRÓNICO</t>
        </is>
      </c>
      <c r="N1165" s="10" t="inlineStr">
        <is>
          <t>PRIMARIOS</t>
        </is>
      </c>
      <c r="O1165" s="10" t="inlineStr">
        <is>
          <t>DOCUMENTOS TÉCNICOS</t>
        </is>
      </c>
      <c r="P1165" s="10" t="inlineStr">
        <is>
          <t>PUBLICA(1)</t>
        </is>
      </c>
      <c r="Q1165" s="10" t="inlineStr">
        <is>
          <t>ALTA(3)</t>
        </is>
      </c>
      <c r="R1165" s="10" t="inlineStr">
        <is>
          <t>MEDIA(2)</t>
        </is>
      </c>
      <c r="S1165" s="10">
        <f>+(IF(P1165="PUBLICA(1)",1,IF(P1165="USO INTERNO(2)",2,IF(P1165="RESTRINGIDO(3)",3,3))))+(IF(Q1165="BAJA(1)",1,IF(Q1165="MEDIA(2)",2,IF(Q1165="ALTA(3)",3,3))))+(IF(R1165="BAJA(1)",1,IF(R1165="MEDIA(2)",2,IF(R1165="ALTA(3)",3,3))))</f>
        <v/>
      </c>
      <c r="T1165" s="10">
        <f>+IF(S1165&lt;6,"BAJA",IF(S1165&lt;8,"MEDIA","ALTA"))</f>
        <v/>
      </c>
      <c r="U1165" s="10" t="inlineStr">
        <is>
          <t>-</t>
        </is>
      </c>
      <c r="V1165" s="24" t="n">
        <v>45588</v>
      </c>
      <c r="W1165" s="19" t="inlineStr">
        <is>
          <t>N/A</t>
        </is>
      </c>
      <c r="X1165" s="10">
        <f>+IFERROR(IF(VLOOKUP(Tabla2[[#This Row],[ID]],'EVALUACION DE RIESGO'!A:A,1,FALSE)=Tabla2[[#This Row],[ID]],"SI","NO"),"NO")</f>
        <v/>
      </c>
      <c r="AD1165">
        <f>IF(AND(Y1165="",AA1165=""),"",IF(OR(LEFT(AA1165,2)="L0",LEFT(AA1165,2)="L1",Y1165="No Iniciado"),"CRÍTICO - Incumplimiento Normativo SEPS",IF(AND(OR(LEFT(AA1165,2)="L4",LEFT(AA1165,2)="L5"),AND(AC1165&lt;&gt;"",AC1165&lt;&gt;"N/A")),"CONFORME - Control Efectivo ISO 27001","OBSERVACIÓN - Revisar Controles")))</f>
        <v/>
      </c>
    </row>
    <row r="1166">
      <c r="A1166" s="99" t="inlineStr">
        <is>
          <t>144-GRI</t>
        </is>
      </c>
      <c r="B1166" s="10" t="inlineStr">
        <is>
          <t>ESTRATÉGICO</t>
        </is>
      </c>
      <c r="C1166" s="10" t="inlineStr">
        <is>
          <t>Gestión de Riesgos</t>
        </is>
      </c>
      <c r="D1166" s="10" t="inlineStr">
        <is>
          <t>GRI</t>
        </is>
      </c>
      <c r="E1166" s="10" t="inlineStr">
        <is>
          <t>Gestión de Riesgo Operativo</t>
        </is>
      </c>
      <c r="F1166" s="10" t="inlineStr">
        <is>
          <t>-</t>
        </is>
      </c>
      <c r="G1166" s="10" t="inlineStr">
        <is>
          <t>Comunicación</t>
        </is>
      </c>
      <c r="H1166" s="10" t="inlineStr">
        <is>
          <t xml:space="preserve">Informe de resultado de las matrices de riesgo.
</t>
        </is>
      </c>
      <c r="I1166" s="10" t="inlineStr">
        <is>
          <t>Información de comunicación</t>
        </is>
      </c>
      <c r="J1166" s="10" t="inlineStr">
        <is>
          <t>GERENTE DE RIESGOS</t>
        </is>
      </c>
      <c r="K1166" s="10" t="inlineStr">
        <is>
          <t>ANALISTA DE RIESGO OPERATIVO</t>
        </is>
      </c>
      <c r="L1166" s="10" t="inlineStr">
        <is>
          <t>UBICACIÓN DIGITAL-EQUIPO DEL RESPONSABLE</t>
        </is>
      </c>
      <c r="M1166" s="10" t="inlineStr">
        <is>
          <t>DOCUMENTO DE ARCHIVO-ELECTRÓNICO</t>
        </is>
      </c>
      <c r="N1166" s="10" t="inlineStr">
        <is>
          <t>PRIMARIOS</t>
        </is>
      </c>
      <c r="O1166" s="10" t="inlineStr">
        <is>
          <t>DOCUMENTOS TÉCNICOS</t>
        </is>
      </c>
      <c r="P1166" s="10" t="inlineStr">
        <is>
          <t>PUBLICA(1)</t>
        </is>
      </c>
      <c r="Q1166" s="10" t="inlineStr">
        <is>
          <t>ALTA(3)</t>
        </is>
      </c>
      <c r="R1166" s="10" t="inlineStr">
        <is>
          <t>MEDIA(2)</t>
        </is>
      </c>
      <c r="S1166" s="10">
        <f>+(IF(P1166="PUBLICA(1)",1,IF(P1166="USO INTERNO(2)",2,IF(P1166="RESTRINGIDO(3)",3,3))))+(IF(Q1166="BAJA(1)",1,IF(Q1166="MEDIA(2)",2,IF(Q1166="ALTA(3)",3,3))))+(IF(R1166="BAJA(1)",1,IF(R1166="MEDIA(2)",2,IF(R1166="ALTA(3)",3,3))))</f>
        <v/>
      </c>
      <c r="T1166" s="10">
        <f>+IF(S1166&lt;6,"BAJA",IF(S1166&lt;8,"MEDIA","ALTA"))</f>
        <v/>
      </c>
      <c r="U1166" s="10" t="inlineStr">
        <is>
          <t>-</t>
        </is>
      </c>
      <c r="V1166" s="24" t="n">
        <v>45588</v>
      </c>
      <c r="W1166" s="19" t="inlineStr">
        <is>
          <t>N/A</t>
        </is>
      </c>
      <c r="X1166" s="10">
        <f>+IFERROR(IF(VLOOKUP(Tabla2[[#This Row],[ID]],'EVALUACION DE RIESGO'!A:A,1,FALSE)=Tabla2[[#This Row],[ID]],"SI","NO"),"NO")</f>
        <v/>
      </c>
      <c r="AD1166">
        <f>IF(AND(Y1166="",AA1166=""),"",IF(OR(LEFT(AA1166,2)="L0",LEFT(AA1166,2)="L1",Y1166="No Iniciado"),"CRÍTICO - Incumplimiento Normativo SEPS",IF(AND(OR(LEFT(AA1166,2)="L4",LEFT(AA1166,2)="L5"),AND(AC1166&lt;&gt;"",AC1166&lt;&gt;"N/A")),"CONFORME - Control Efectivo ISO 27001","OBSERVACIÓN - Revisar Controles")))</f>
        <v/>
      </c>
    </row>
    <row r="1167">
      <c r="A1167" s="99" t="inlineStr">
        <is>
          <t>145-GRI</t>
        </is>
      </c>
      <c r="B1167" s="10" t="inlineStr">
        <is>
          <t>ESTRATÉGICO</t>
        </is>
      </c>
      <c r="C1167" s="10" t="inlineStr">
        <is>
          <t>Gestión de Riesgos</t>
        </is>
      </c>
      <c r="D1167" s="10" t="inlineStr">
        <is>
          <t>GRI</t>
        </is>
      </c>
      <c r="E1167" s="10" t="inlineStr">
        <is>
          <t>Gestión de Riesgo Operativo</t>
        </is>
      </c>
      <c r="F1167" s="10" t="inlineStr">
        <is>
          <t>-</t>
        </is>
      </c>
      <c r="G1167" s="10" t="inlineStr">
        <is>
          <t>Comunicación</t>
        </is>
      </c>
      <c r="H1167" s="10" t="inlineStr">
        <is>
          <t xml:space="preserve">Informe mensual de Riesgos </t>
        </is>
      </c>
      <c r="I1167" s="10" t="inlineStr">
        <is>
          <t>Información de comunicación</t>
        </is>
      </c>
      <c r="J1167" s="10" t="inlineStr">
        <is>
          <t>GERENTE DE RIESGOS</t>
        </is>
      </c>
      <c r="K1167" s="10" t="inlineStr">
        <is>
          <t>ANALISTA DE RIESGO OPERATIVO</t>
        </is>
      </c>
      <c r="L1167" s="10" t="inlineStr">
        <is>
          <t>UBICACIÓN DIGITAL-EQUIPO DEL RESPONSABLE</t>
        </is>
      </c>
      <c r="M1167" s="10" t="inlineStr">
        <is>
          <t>DOCUMENTO DE ARCHIVO-ELECTRÓNICO</t>
        </is>
      </c>
      <c r="N1167" s="10" t="inlineStr">
        <is>
          <t>PRIMARIOS</t>
        </is>
      </c>
      <c r="O1167" s="10" t="inlineStr">
        <is>
          <t>DOCUMENTOS TÉCNICOS</t>
        </is>
      </c>
      <c r="P1167" s="10" t="inlineStr">
        <is>
          <t>PUBLICA(1)</t>
        </is>
      </c>
      <c r="Q1167" s="10" t="inlineStr">
        <is>
          <t>ALTA(3)</t>
        </is>
      </c>
      <c r="R1167" s="10" t="inlineStr">
        <is>
          <t>MEDIA(2)</t>
        </is>
      </c>
      <c r="S1167" s="10">
        <f>+(IF(P1167="PUBLICA(1)",1,IF(P1167="USO INTERNO(2)",2,IF(P1167="RESTRINGIDO(3)",3,3))))+(IF(Q1167="BAJA(1)",1,IF(Q1167="MEDIA(2)",2,IF(Q1167="ALTA(3)",3,3))))+(IF(R1167="BAJA(1)",1,IF(R1167="MEDIA(2)",2,IF(R1167="ALTA(3)",3,3))))</f>
        <v/>
      </c>
      <c r="T1167" s="10">
        <f>+IF(S1167&lt;6,"BAJA",IF(S1167&lt;8,"MEDIA","ALTA"))</f>
        <v/>
      </c>
      <c r="U1167" s="10" t="inlineStr">
        <is>
          <t>-</t>
        </is>
      </c>
      <c r="V1167" s="24" t="n">
        <v>45588</v>
      </c>
      <c r="W1167" s="19" t="inlineStr">
        <is>
          <t>N/A</t>
        </is>
      </c>
      <c r="X1167" s="10">
        <f>+IFERROR(IF(VLOOKUP(Tabla2[[#This Row],[ID]],'EVALUACION DE RIESGO'!A:A,1,FALSE)=Tabla2[[#This Row],[ID]],"SI","NO"),"NO")</f>
        <v/>
      </c>
      <c r="AD1167">
        <f>IF(AND(Y1167="",AA1167=""),"",IF(OR(LEFT(AA1167,2)="L0",LEFT(AA1167,2)="L1",Y1167="No Iniciado"),"CRÍTICO - Incumplimiento Normativo SEPS",IF(AND(OR(LEFT(AA1167,2)="L4",LEFT(AA1167,2)="L5"),AND(AC1167&lt;&gt;"",AC1167&lt;&gt;"N/A")),"CONFORME - Control Efectivo ISO 27001","OBSERVACIÓN - Revisar Controles")))</f>
        <v/>
      </c>
    </row>
    <row r="1168">
      <c r="A1168" s="99" t="inlineStr">
        <is>
          <t>146-GRI</t>
        </is>
      </c>
      <c r="B1168" s="10" t="inlineStr">
        <is>
          <t>ESTRATÉGICO</t>
        </is>
      </c>
      <c r="C1168" s="10" t="inlineStr">
        <is>
          <t>Gestión de Riesgos</t>
        </is>
      </c>
      <c r="D1168" s="10" t="inlineStr">
        <is>
          <t>GRI</t>
        </is>
      </c>
      <c r="E1168" s="10" t="inlineStr">
        <is>
          <t>Gestión de Riesgo Operativo</t>
        </is>
      </c>
      <c r="F1168" s="10" t="inlineStr">
        <is>
          <t>-</t>
        </is>
      </c>
      <c r="G1168" s="10" t="inlineStr">
        <is>
          <t>Comunicación</t>
        </is>
      </c>
      <c r="H1168" s="10" t="inlineStr">
        <is>
          <t>Acta del CAIR</t>
        </is>
      </c>
      <c r="I1168" s="10" t="inlineStr">
        <is>
          <t>Información de comunicación</t>
        </is>
      </c>
      <c r="J1168" s="10" t="inlineStr">
        <is>
          <t>GERENTE DE RIESGOS</t>
        </is>
      </c>
      <c r="K1168" s="10" t="inlineStr">
        <is>
          <t>ANALISTA DE RIESGO OPERATIVO</t>
        </is>
      </c>
      <c r="L1168" s="10" t="inlineStr">
        <is>
          <t>UBICACIÓN DIGITAL-EQUIPO DEL RESPONSABLE</t>
        </is>
      </c>
      <c r="M1168" s="10" t="inlineStr">
        <is>
          <t>DOCUMENTO DE ARCHIVO-ELECTRÓNICO</t>
        </is>
      </c>
      <c r="N1168" s="10" t="inlineStr">
        <is>
          <t>PRIMARIOS</t>
        </is>
      </c>
      <c r="O1168" s="10" t="inlineStr">
        <is>
          <t>DOCUMENTOS TÉCNICOS</t>
        </is>
      </c>
      <c r="P1168" s="10" t="inlineStr">
        <is>
          <t>PUBLICA(1)</t>
        </is>
      </c>
      <c r="Q1168" s="10" t="inlineStr">
        <is>
          <t>ALTA(3)</t>
        </is>
      </c>
      <c r="R1168" s="10" t="inlineStr">
        <is>
          <t>MEDIA(2)</t>
        </is>
      </c>
      <c r="S1168" s="10">
        <f>+(IF(P1168="PUBLICA(1)",1,IF(P1168="USO INTERNO(2)",2,IF(P1168="RESTRINGIDO(3)",3,3))))+(IF(Q1168="BAJA(1)",1,IF(Q1168="MEDIA(2)",2,IF(Q1168="ALTA(3)",3,3))))+(IF(R1168="BAJA(1)",1,IF(R1168="MEDIA(2)",2,IF(R1168="ALTA(3)",3,3))))</f>
        <v/>
      </c>
      <c r="T1168" s="10">
        <f>+IF(S1168&lt;6,"BAJA",IF(S1168&lt;8,"MEDIA","ALTA"))</f>
        <v/>
      </c>
      <c r="U1168" s="10" t="inlineStr">
        <is>
          <t>-</t>
        </is>
      </c>
      <c r="V1168" s="24" t="n">
        <v>45588</v>
      </c>
      <c r="W1168" s="19" t="inlineStr">
        <is>
          <t>N/A</t>
        </is>
      </c>
      <c r="X1168" s="10">
        <f>+IFERROR(IF(VLOOKUP(Tabla2[[#This Row],[ID]],'EVALUACION DE RIESGO'!A:A,1,FALSE)=Tabla2[[#This Row],[ID]],"SI","NO"),"NO")</f>
        <v/>
      </c>
      <c r="AD1168">
        <f>IF(AND(Y1168="",AA1168=""),"",IF(OR(LEFT(AA1168,2)="L0",LEFT(AA1168,2)="L1",Y1168="No Iniciado"),"CRÍTICO - Incumplimiento Normativo SEPS",IF(AND(OR(LEFT(AA1168,2)="L4",LEFT(AA1168,2)="L5"),AND(AC1168&lt;&gt;"",AC1168&lt;&gt;"N/A")),"CONFORME - Control Efectivo ISO 27001","OBSERVACIÓN - Revisar Controles")))</f>
        <v/>
      </c>
    </row>
    <row r="1169">
      <c r="A1169" s="99" t="inlineStr">
        <is>
          <t>147-GRI</t>
        </is>
      </c>
      <c r="B1169" s="10" t="inlineStr">
        <is>
          <t>ESTRATÉGICO</t>
        </is>
      </c>
      <c r="C1169" s="10" t="inlineStr">
        <is>
          <t>Gestión de Riesgos</t>
        </is>
      </c>
      <c r="D1169" s="10" t="inlineStr">
        <is>
          <t>GRI</t>
        </is>
      </c>
      <c r="E1169" s="10" t="inlineStr">
        <is>
          <t>Gestión de Riesgo Operativo</t>
        </is>
      </c>
      <c r="F1169" s="10" t="inlineStr">
        <is>
          <t>-</t>
        </is>
      </c>
      <c r="G1169" s="10" t="inlineStr">
        <is>
          <t>Comunicación</t>
        </is>
      </c>
      <c r="H1169" s="10" t="inlineStr">
        <is>
          <t xml:space="preserve">Acta del Consejo de Administración </t>
        </is>
      </c>
      <c r="I1169" s="10" t="inlineStr">
        <is>
          <t>Información de comunicación</t>
        </is>
      </c>
      <c r="J1169" s="10" t="inlineStr">
        <is>
          <t>GERENTE DE RIESGOS</t>
        </is>
      </c>
      <c r="K1169" s="10" t="inlineStr">
        <is>
          <t>ANALISTA DE RIESGO OPERATIVO</t>
        </is>
      </c>
      <c r="L1169" s="10" t="inlineStr">
        <is>
          <t>UBICACIÓN DIGITAL-EQUIPO DEL RESPONSABLE</t>
        </is>
      </c>
      <c r="M1169" s="10" t="inlineStr">
        <is>
          <t>DOCUMENTO DE ARCHIVO-ELECTRÓNICO</t>
        </is>
      </c>
      <c r="N1169" s="10" t="inlineStr">
        <is>
          <t>PRIMARIOS</t>
        </is>
      </c>
      <c r="O1169" s="10" t="inlineStr">
        <is>
          <t>DOCUMENTOS TÉCNICOS</t>
        </is>
      </c>
      <c r="P1169" s="10" t="inlineStr">
        <is>
          <t>PUBLICA(1)</t>
        </is>
      </c>
      <c r="Q1169" s="10" t="inlineStr">
        <is>
          <t>ALTA(3)</t>
        </is>
      </c>
      <c r="R1169" s="10" t="inlineStr">
        <is>
          <t>MEDIA(2)</t>
        </is>
      </c>
      <c r="S1169" s="10">
        <f>+(IF(P1169="PUBLICA(1)",1,IF(P1169="USO INTERNO(2)",2,IF(P1169="RESTRINGIDO(3)",3,3))))+(IF(Q1169="BAJA(1)",1,IF(Q1169="MEDIA(2)",2,IF(Q1169="ALTA(3)",3,3))))+(IF(R1169="BAJA(1)",1,IF(R1169="MEDIA(2)",2,IF(R1169="ALTA(3)",3,3))))</f>
        <v/>
      </c>
      <c r="T1169" s="10">
        <f>+IF(S1169&lt;6,"BAJA",IF(S1169&lt;8,"MEDIA","ALTA"))</f>
        <v/>
      </c>
      <c r="U1169" s="10" t="inlineStr">
        <is>
          <t>-</t>
        </is>
      </c>
      <c r="V1169" s="24" t="n">
        <v>45588</v>
      </c>
      <c r="W1169" s="19" t="inlineStr">
        <is>
          <t>N/A</t>
        </is>
      </c>
      <c r="X1169" s="10">
        <f>+IFERROR(IF(VLOOKUP(Tabla2[[#This Row],[ID]],'EVALUACION DE RIESGO'!A:A,1,FALSE)=Tabla2[[#This Row],[ID]],"SI","NO"),"NO")</f>
        <v/>
      </c>
      <c r="AD1169">
        <f>IF(AND(Y1169="",AA1169=""),"",IF(OR(LEFT(AA1169,2)="L0",LEFT(AA1169,2)="L1",Y1169="No Iniciado"),"CRÍTICO - Incumplimiento Normativo SEPS",IF(AND(OR(LEFT(AA1169,2)="L4",LEFT(AA1169,2)="L5"),AND(AC1169&lt;&gt;"",AC1169&lt;&gt;"N/A")),"CONFORME - Control Efectivo ISO 27001","OBSERVACIÓN - Revisar Controles")))</f>
        <v/>
      </c>
    </row>
    <row r="1170">
      <c r="A1170" s="99" t="inlineStr">
        <is>
          <t>148-GRI</t>
        </is>
      </c>
      <c r="B1170" s="10" t="inlineStr">
        <is>
          <t>ESTRATÉGICO</t>
        </is>
      </c>
      <c r="C1170" s="10" t="inlineStr">
        <is>
          <t>Gestión de Riesgos</t>
        </is>
      </c>
      <c r="D1170" s="10" t="inlineStr">
        <is>
          <t>GRI</t>
        </is>
      </c>
      <c r="E1170" s="10" t="inlineStr">
        <is>
          <t>Gestión de Riesgo Operativo</t>
        </is>
      </c>
      <c r="F1170" s="10" t="inlineStr">
        <is>
          <t>-</t>
        </is>
      </c>
      <c r="G1170" s="10" t="inlineStr">
        <is>
          <t>Comunicación</t>
        </is>
      </c>
      <c r="H1170" s="10" t="inlineStr">
        <is>
          <t xml:space="preserve">Informe de resultado de la capacitación </t>
        </is>
      </c>
      <c r="I1170" s="10" t="inlineStr">
        <is>
          <t>Información de comunicación</t>
        </is>
      </c>
      <c r="J1170" s="10" t="inlineStr">
        <is>
          <t>GERENTE DE RIESGOS</t>
        </is>
      </c>
      <c r="K1170" s="10" t="inlineStr">
        <is>
          <t>ANALISTA DE RIESGO OPERATIVO</t>
        </is>
      </c>
      <c r="L1170" s="10" t="inlineStr">
        <is>
          <t>UBICACIÓN DIGITAL-EQUIPO DEL RESPONSABLE</t>
        </is>
      </c>
      <c r="M1170" s="10" t="inlineStr">
        <is>
          <t>DOCUMENTO DE ARCHIVO-ELECTRÓNICO</t>
        </is>
      </c>
      <c r="N1170" s="10" t="inlineStr">
        <is>
          <t>PRIMARIOS</t>
        </is>
      </c>
      <c r="O1170" s="10" t="inlineStr">
        <is>
          <t>DOCUMENTOS TÉCNICOS</t>
        </is>
      </c>
      <c r="P1170" s="10" t="inlineStr">
        <is>
          <t>PUBLICA(1)</t>
        </is>
      </c>
      <c r="Q1170" s="10" t="inlineStr">
        <is>
          <t>ALTA(3)</t>
        </is>
      </c>
      <c r="R1170" s="10" t="inlineStr">
        <is>
          <t>MEDIA(2)</t>
        </is>
      </c>
      <c r="S1170" s="10">
        <f>+(IF(P1170="PUBLICA(1)",1,IF(P1170="USO INTERNO(2)",2,IF(P1170="RESTRINGIDO(3)",3,3))))+(IF(Q1170="BAJA(1)",1,IF(Q1170="MEDIA(2)",2,IF(Q1170="ALTA(3)",3,3))))+(IF(R1170="BAJA(1)",1,IF(R1170="MEDIA(2)",2,IF(R1170="ALTA(3)",3,3))))</f>
        <v/>
      </c>
      <c r="T1170" s="10">
        <f>+IF(S1170&lt;6,"BAJA",IF(S1170&lt;8,"MEDIA","ALTA"))</f>
        <v/>
      </c>
      <c r="U1170" s="10" t="inlineStr">
        <is>
          <t>-</t>
        </is>
      </c>
      <c r="V1170" s="24" t="n">
        <v>45588</v>
      </c>
      <c r="W1170" s="19" t="inlineStr">
        <is>
          <t>N/A</t>
        </is>
      </c>
      <c r="X1170" s="10">
        <f>+IFERROR(IF(VLOOKUP(Tabla2[[#This Row],[ID]],'EVALUACION DE RIESGO'!A:A,1,FALSE)=Tabla2[[#This Row],[ID]],"SI","NO"),"NO")</f>
        <v/>
      </c>
      <c r="AD1170">
        <f>IF(AND(Y1170="",AA1170=""),"",IF(OR(LEFT(AA1170,2)="L0",LEFT(AA1170,2)="L1",Y1170="No Iniciado"),"CRÍTICO - Incumplimiento Normativo SEPS",IF(AND(OR(LEFT(AA1170,2)="L4",LEFT(AA1170,2)="L5"),AND(AC1170&lt;&gt;"",AC1170&lt;&gt;"N/A")),"CONFORME - Control Efectivo ISO 27001","OBSERVACIÓN - Revisar Controles")))</f>
        <v/>
      </c>
    </row>
    <row r="1171">
      <c r="A1171" s="99" t="inlineStr">
        <is>
          <t>149-GRI</t>
        </is>
      </c>
      <c r="B1171" s="10" t="inlineStr">
        <is>
          <t>ESTRATÉGICO</t>
        </is>
      </c>
      <c r="C1171" s="10" t="inlineStr">
        <is>
          <t>Gestión de Riesgos</t>
        </is>
      </c>
      <c r="D1171" s="10" t="inlineStr">
        <is>
          <t>GRI</t>
        </is>
      </c>
      <c r="E1171" s="10" t="inlineStr">
        <is>
          <t>Gestión de Continuidad del Negocio</t>
        </is>
      </c>
      <c r="F1171" s="10" t="inlineStr">
        <is>
          <t>-</t>
        </is>
      </c>
      <c r="G1171" s="10" t="inlineStr">
        <is>
          <t xml:space="preserve">Preparación del Proceso    </t>
        </is>
      </c>
      <c r="H1171" s="10" t="inlineStr">
        <is>
          <t>Referencias Normativas</t>
        </is>
      </c>
      <c r="I1171" s="10" t="inlineStr">
        <is>
          <t>Normas externas</t>
        </is>
      </c>
      <c r="J1171" s="10" t="inlineStr">
        <is>
          <t>GERENTE DE RIESGOS</t>
        </is>
      </c>
      <c r="K1171" s="10" t="inlineStr">
        <is>
          <t>ANALISTA DE RIESGO OPERATIVO</t>
        </is>
      </c>
      <c r="L1171" s="10" t="inlineStr">
        <is>
          <t>UBICACIÓN DIGITAL-EQUIPO DEL RESPONSABLE</t>
        </is>
      </c>
      <c r="M1171" s="10" t="inlineStr">
        <is>
          <t>DOCUMENTO DE ARCHIVO-ELECTRÓNICO</t>
        </is>
      </c>
      <c r="N1171" s="10" t="inlineStr">
        <is>
          <t>PRIMARIOS</t>
        </is>
      </c>
      <c r="O1171" s="10" t="inlineStr">
        <is>
          <t>DOCUMENTOS TÉCNICOS</t>
        </is>
      </c>
      <c r="P1171" s="10" t="inlineStr">
        <is>
          <t>PUBLICA(1)</t>
        </is>
      </c>
      <c r="Q1171" s="10" t="inlineStr">
        <is>
          <t>ALTA(3)</t>
        </is>
      </c>
      <c r="R1171" s="10" t="inlineStr">
        <is>
          <t>MEDIA(2)</t>
        </is>
      </c>
      <c r="S1171" s="10">
        <f>+(IF(P1171="PUBLICA(1)",1,IF(P1171="USO INTERNO(2)",2,IF(P1171="RESTRINGIDO(3)",3,3))))+(IF(Q1171="BAJA(1)",1,IF(Q1171="MEDIA(2)",2,IF(Q1171="ALTA(3)",3,3))))+(IF(R1171="BAJA(1)",1,IF(R1171="MEDIA(2)",2,IF(R1171="ALTA(3)",3,3))))</f>
        <v/>
      </c>
      <c r="T1171" s="10">
        <f>+IF(S1171&lt;6,"BAJA",IF(S1171&lt;8,"MEDIA","ALTA"))</f>
        <v/>
      </c>
      <c r="U1171" s="10" t="inlineStr">
        <is>
          <t>-</t>
        </is>
      </c>
      <c r="V1171" s="24" t="n">
        <v>45588</v>
      </c>
      <c r="W1171" s="19" t="inlineStr">
        <is>
          <t>N/A</t>
        </is>
      </c>
      <c r="X1171" s="10">
        <f>+IFERROR(IF(VLOOKUP(Tabla2[[#This Row],[ID]],'EVALUACION DE RIESGO'!A:A,1,FALSE)=Tabla2[[#This Row],[ID]],"SI","NO"),"NO")</f>
        <v/>
      </c>
      <c r="AD1171">
        <f>IF(AND(Y1171="",AA1171=""),"",IF(OR(LEFT(AA1171,2)="L0",LEFT(AA1171,2)="L1",Y1171="No Iniciado"),"CRÍTICO - Incumplimiento Normativo SEPS",IF(AND(OR(LEFT(AA1171,2)="L4",LEFT(AA1171,2)="L5"),AND(AC1171&lt;&gt;"",AC1171&lt;&gt;"N/A")),"CONFORME - Control Efectivo ISO 27001","OBSERVACIÓN - Revisar Controles")))</f>
        <v/>
      </c>
    </row>
    <row r="1172">
      <c r="A1172" s="99" t="inlineStr">
        <is>
          <t>150-GRI</t>
        </is>
      </c>
      <c r="B1172" s="10" t="inlineStr">
        <is>
          <t>ESTRATÉGICO</t>
        </is>
      </c>
      <c r="C1172" s="10" t="inlineStr">
        <is>
          <t>Gestión de Riesgos</t>
        </is>
      </c>
      <c r="D1172" s="10" t="inlineStr">
        <is>
          <t>GRI</t>
        </is>
      </c>
      <c r="E1172" s="10" t="inlineStr">
        <is>
          <t>Gestión de Continuidad del Negocio</t>
        </is>
      </c>
      <c r="F1172" s="10" t="inlineStr">
        <is>
          <t>-</t>
        </is>
      </c>
      <c r="G1172" s="10" t="inlineStr">
        <is>
          <t xml:space="preserve">Preparación del Proceso    </t>
        </is>
      </c>
      <c r="H1172" s="10" t="inlineStr">
        <is>
          <t>Ficha calificación procesos criticos</t>
        </is>
      </c>
      <c r="I1172" s="10" t="inlineStr">
        <is>
          <t>Informe de Análisis de Riesgos</t>
        </is>
      </c>
      <c r="J1172" s="10" t="inlineStr">
        <is>
          <t>GERENTE DE RIESGOS</t>
        </is>
      </c>
      <c r="K1172" s="10" t="inlineStr">
        <is>
          <t>ANALISTA DE RIESGO OPERATIVO</t>
        </is>
      </c>
      <c r="L1172" s="10" t="inlineStr">
        <is>
          <t>UBICACIÓN DIGITAL-EQUIPO DEL RESPONSABLE</t>
        </is>
      </c>
      <c r="M1172" s="10" t="inlineStr">
        <is>
          <t>DOCUMENTO DE ARCHIVO-ELECTRÓNICO</t>
        </is>
      </c>
      <c r="N1172" s="10" t="inlineStr">
        <is>
          <t>PRIMARIOS</t>
        </is>
      </c>
      <c r="O1172" s="10" t="inlineStr">
        <is>
          <t>DOCUMENTOS TÉCNICOS</t>
        </is>
      </c>
      <c r="P1172" s="10" t="inlineStr">
        <is>
          <t>PUBLICA(1)</t>
        </is>
      </c>
      <c r="Q1172" s="10" t="inlineStr">
        <is>
          <t>ALTA(3)</t>
        </is>
      </c>
      <c r="R1172" s="10" t="inlineStr">
        <is>
          <t>MEDIA(2)</t>
        </is>
      </c>
      <c r="S1172" s="10">
        <f>+(IF(P1172="PUBLICA(1)",1,IF(P1172="USO INTERNO(2)",2,IF(P1172="RESTRINGIDO(3)",3,3))))+(IF(Q1172="BAJA(1)",1,IF(Q1172="MEDIA(2)",2,IF(Q1172="ALTA(3)",3,3))))+(IF(R1172="BAJA(1)",1,IF(R1172="MEDIA(2)",2,IF(R1172="ALTA(3)",3,3))))</f>
        <v/>
      </c>
      <c r="T1172" s="10">
        <f>+IF(S1172&lt;6,"BAJA",IF(S1172&lt;8,"MEDIA","ALTA"))</f>
        <v/>
      </c>
      <c r="U1172" s="10" t="inlineStr">
        <is>
          <t>-</t>
        </is>
      </c>
      <c r="V1172" s="24" t="n">
        <v>45588</v>
      </c>
      <c r="W1172" s="19" t="inlineStr">
        <is>
          <t>N/A</t>
        </is>
      </c>
      <c r="X1172" s="10">
        <f>+IFERROR(IF(VLOOKUP(Tabla2[[#This Row],[ID]],'EVALUACION DE RIESGO'!A:A,1,FALSE)=Tabla2[[#This Row],[ID]],"SI","NO"),"NO")</f>
        <v/>
      </c>
      <c r="AD1172">
        <f>IF(AND(Y1172="",AA1172=""),"",IF(OR(LEFT(AA1172,2)="L0",LEFT(AA1172,2)="L1",Y1172="No Iniciado"),"CRÍTICO - Incumplimiento Normativo SEPS",IF(AND(OR(LEFT(AA1172,2)="L4",LEFT(AA1172,2)="L5"),AND(AC1172&lt;&gt;"",AC1172&lt;&gt;"N/A")),"CONFORME - Control Efectivo ISO 27001","OBSERVACIÓN - Revisar Controles")))</f>
        <v/>
      </c>
    </row>
    <row r="1173">
      <c r="A1173" s="99" t="inlineStr">
        <is>
          <t>151-GRI</t>
        </is>
      </c>
      <c r="B1173" s="10" t="inlineStr">
        <is>
          <t>ESTRATÉGICO</t>
        </is>
      </c>
      <c r="C1173" s="10" t="inlineStr">
        <is>
          <t>Gestión de Riesgos</t>
        </is>
      </c>
      <c r="D1173" s="10" t="inlineStr">
        <is>
          <t>GRI</t>
        </is>
      </c>
      <c r="E1173" s="10" t="inlineStr">
        <is>
          <t>Gestión de Continuidad del Negocio</t>
        </is>
      </c>
      <c r="F1173" s="10" t="inlineStr">
        <is>
          <t>-</t>
        </is>
      </c>
      <c r="G1173" s="10" t="inlineStr">
        <is>
          <t xml:space="preserve">Preparación del Proceso    </t>
        </is>
      </c>
      <c r="H1173" s="10" t="inlineStr">
        <is>
          <t>Ficha de recursos de procesos criticos</t>
        </is>
      </c>
      <c r="I1173" s="10" t="inlineStr">
        <is>
          <t>Informe de Análisis de Riesgos</t>
        </is>
      </c>
      <c r="J1173" s="10" t="inlineStr">
        <is>
          <t>GERENTE DE RIESGOS</t>
        </is>
      </c>
      <c r="K1173" s="10" t="inlineStr">
        <is>
          <t>ANALISTA DE RIESGO OPERATIVO</t>
        </is>
      </c>
      <c r="L1173" s="10" t="inlineStr">
        <is>
          <t>UBICACIÓN DIGITAL-EQUIPO DEL RESPONSABLE</t>
        </is>
      </c>
      <c r="M1173" s="10" t="inlineStr">
        <is>
          <t>DOCUMENTO DE ARCHIVO-ELECTRÓNICO</t>
        </is>
      </c>
      <c r="N1173" s="10" t="inlineStr">
        <is>
          <t>PRIMARIOS</t>
        </is>
      </c>
      <c r="O1173" s="10" t="inlineStr">
        <is>
          <t>DOCUMENTOS TÉCNICOS</t>
        </is>
      </c>
      <c r="P1173" s="10" t="inlineStr">
        <is>
          <t>PUBLICA(1)</t>
        </is>
      </c>
      <c r="Q1173" s="10" t="inlineStr">
        <is>
          <t>ALTA(3)</t>
        </is>
      </c>
      <c r="R1173" s="10" t="inlineStr">
        <is>
          <t>MEDIA(2)</t>
        </is>
      </c>
      <c r="S1173" s="10">
        <f>+(IF(P1173="PUBLICA(1)",1,IF(P1173="USO INTERNO(2)",2,IF(P1173="RESTRINGIDO(3)",3,3))))+(IF(Q1173="BAJA(1)",1,IF(Q1173="MEDIA(2)",2,IF(Q1173="ALTA(3)",3,3))))+(IF(R1173="BAJA(1)",1,IF(R1173="MEDIA(2)",2,IF(R1173="ALTA(3)",3,3))))</f>
        <v/>
      </c>
      <c r="T1173" s="10">
        <f>+IF(S1173&lt;6,"BAJA",IF(S1173&lt;8,"MEDIA","ALTA"))</f>
        <v/>
      </c>
      <c r="U1173" s="10" t="inlineStr">
        <is>
          <t>-</t>
        </is>
      </c>
      <c r="V1173" s="24" t="n">
        <v>45588</v>
      </c>
      <c r="W1173" s="19" t="inlineStr">
        <is>
          <t>N/A</t>
        </is>
      </c>
      <c r="X1173" s="10">
        <f>+IFERROR(IF(VLOOKUP(Tabla2[[#This Row],[ID]],'EVALUACION DE RIESGO'!A:A,1,FALSE)=Tabla2[[#This Row],[ID]],"SI","NO"),"NO")</f>
        <v/>
      </c>
      <c r="AD1173">
        <f>IF(AND(Y1173="",AA1173=""),"",IF(OR(LEFT(AA1173,2)="L0",LEFT(AA1173,2)="L1",Y1173="No Iniciado"),"CRÍTICO - Incumplimiento Normativo SEPS",IF(AND(OR(LEFT(AA1173,2)="L4",LEFT(AA1173,2)="L5"),AND(AC1173&lt;&gt;"",AC1173&lt;&gt;"N/A")),"CONFORME - Control Efectivo ISO 27001","OBSERVACIÓN - Revisar Controles")))</f>
        <v/>
      </c>
    </row>
    <row r="1174">
      <c r="A1174" s="99" t="inlineStr">
        <is>
          <t>152-GRI</t>
        </is>
      </c>
      <c r="B1174" s="10" t="inlineStr">
        <is>
          <t>ESTRATÉGICO</t>
        </is>
      </c>
      <c r="C1174" s="10" t="inlineStr">
        <is>
          <t>Gestión de Riesgos</t>
        </is>
      </c>
      <c r="D1174" s="10" t="inlineStr">
        <is>
          <t>GRI</t>
        </is>
      </c>
      <c r="E1174" s="10" t="inlineStr">
        <is>
          <t>Gestión de Continuidad del Negocio</t>
        </is>
      </c>
      <c r="F1174" s="10" t="inlineStr">
        <is>
          <t>-</t>
        </is>
      </c>
      <c r="G1174" s="10" t="inlineStr">
        <is>
          <t xml:space="preserve">Preparación del Proceso    </t>
        </is>
      </c>
      <c r="H1174" s="10" t="inlineStr">
        <is>
          <t>Ficha de tiempos y aplicaciones requeridas</t>
        </is>
      </c>
      <c r="I1174" s="10" t="inlineStr">
        <is>
          <t>Informe de Análisis de Riesgos - BIA</t>
        </is>
      </c>
      <c r="J1174" s="10" t="inlineStr">
        <is>
          <t>GERENTE DE RIESGOS</t>
        </is>
      </c>
      <c r="K1174" s="10" t="inlineStr">
        <is>
          <t>ANALISTA DE RIESGO OPERATIVO</t>
        </is>
      </c>
      <c r="L1174" s="10" t="inlineStr">
        <is>
          <t>UBICACIÓN DIGITAL-EQUIPO DEL RESPONSABLE</t>
        </is>
      </c>
      <c r="M1174" s="10" t="inlineStr">
        <is>
          <t>DOCUMENTO DE ARCHIVO-ELECTRÓNICO</t>
        </is>
      </c>
      <c r="N1174" s="10" t="inlineStr">
        <is>
          <t>PRIMARIOS</t>
        </is>
      </c>
      <c r="O1174" s="10" t="inlineStr">
        <is>
          <t>DOCUMENTOS TÉCNICOS</t>
        </is>
      </c>
      <c r="P1174" s="10" t="inlineStr">
        <is>
          <t>PUBLICA(1)</t>
        </is>
      </c>
      <c r="Q1174" s="10" t="inlineStr">
        <is>
          <t>ALTA(3)</t>
        </is>
      </c>
      <c r="R1174" s="10" t="inlineStr">
        <is>
          <t>MEDIA(2)</t>
        </is>
      </c>
      <c r="S1174" s="10">
        <f>+(IF(P1174="PUBLICA(1)",1,IF(P1174="USO INTERNO(2)",2,IF(P1174="RESTRINGIDO(3)",3,3))))+(IF(Q1174="BAJA(1)",1,IF(Q1174="MEDIA(2)",2,IF(Q1174="ALTA(3)",3,3))))+(IF(R1174="BAJA(1)",1,IF(R1174="MEDIA(2)",2,IF(R1174="ALTA(3)",3,3))))</f>
        <v/>
      </c>
      <c r="T1174" s="10">
        <f>+IF(S1174&lt;6,"BAJA",IF(S1174&lt;8,"MEDIA","ALTA"))</f>
        <v/>
      </c>
      <c r="U1174" s="10" t="inlineStr">
        <is>
          <t>-</t>
        </is>
      </c>
      <c r="V1174" s="24" t="n">
        <v>45588</v>
      </c>
      <c r="W1174" s="19" t="inlineStr">
        <is>
          <t>N/A</t>
        </is>
      </c>
      <c r="X1174" s="10">
        <f>+IFERROR(IF(VLOOKUP(Tabla2[[#This Row],[ID]],'EVALUACION DE RIESGO'!A:A,1,FALSE)=Tabla2[[#This Row],[ID]],"SI","NO"),"NO")</f>
        <v/>
      </c>
      <c r="AD1174">
        <f>IF(AND(Y1174="",AA1174=""),"",IF(OR(LEFT(AA1174,2)="L0",LEFT(AA1174,2)="L1",Y1174="No Iniciado"),"CRÍTICO - Incumplimiento Normativo SEPS",IF(AND(OR(LEFT(AA1174,2)="L4",LEFT(AA1174,2)="L5"),AND(AC1174&lt;&gt;"",AC1174&lt;&gt;"N/A")),"CONFORME - Control Efectivo ISO 27001","OBSERVACIÓN - Revisar Controles")))</f>
        <v/>
      </c>
    </row>
    <row r="1175">
      <c r="A1175" s="99" t="inlineStr">
        <is>
          <t>153-GRI</t>
        </is>
      </c>
      <c r="B1175" s="10" t="inlineStr">
        <is>
          <t>ESTRATÉGICO</t>
        </is>
      </c>
      <c r="C1175" s="10" t="inlineStr">
        <is>
          <t>Gestión de Riesgos</t>
        </is>
      </c>
      <c r="D1175" s="10" t="inlineStr">
        <is>
          <t>GRI</t>
        </is>
      </c>
      <c r="E1175" s="10" t="inlineStr">
        <is>
          <t>Gestión de Continuidad del Negocio</t>
        </is>
      </c>
      <c r="F1175" s="10" t="inlineStr">
        <is>
          <t>-</t>
        </is>
      </c>
      <c r="G1175" s="10" t="inlineStr">
        <is>
          <t xml:space="preserve">Preparación del Proceso    </t>
        </is>
      </c>
      <c r="H1175" s="10" t="inlineStr">
        <is>
          <t>Anexos detalle de información de equipos</t>
        </is>
      </c>
      <c r="I1175" s="10" t="inlineStr">
        <is>
          <t>Informe de Análisis de Riesgos - BIA</t>
        </is>
      </c>
      <c r="J1175" s="10" t="inlineStr">
        <is>
          <t>GERENTE DE RIESGOS</t>
        </is>
      </c>
      <c r="K1175" s="10" t="inlineStr">
        <is>
          <t>ANALISTA DE RIESGO OPERATIVO</t>
        </is>
      </c>
      <c r="L1175" s="10" t="inlineStr">
        <is>
          <t>UBICACIÓN DIGITAL-EQUIPO DEL RESPONSABLE</t>
        </is>
      </c>
      <c r="M1175" s="10" t="inlineStr">
        <is>
          <t>DOCUMENTO DE ARCHIVO-ELECTRÓNICO</t>
        </is>
      </c>
      <c r="N1175" s="10" t="inlineStr">
        <is>
          <t>PRIMARIOS</t>
        </is>
      </c>
      <c r="O1175" s="10" t="inlineStr">
        <is>
          <t>DOCUMENTOS TÉCNICOS</t>
        </is>
      </c>
      <c r="P1175" s="10" t="inlineStr">
        <is>
          <t>PUBLICA(1)</t>
        </is>
      </c>
      <c r="Q1175" s="10" t="inlineStr">
        <is>
          <t>ALTA(3)</t>
        </is>
      </c>
      <c r="R1175" s="10" t="inlineStr">
        <is>
          <t>MEDIA(2)</t>
        </is>
      </c>
      <c r="S1175" s="10">
        <f>+(IF(P1175="PUBLICA(1)",1,IF(P1175="USO INTERNO(2)",2,IF(P1175="RESTRINGIDO(3)",3,3))))+(IF(Q1175="BAJA(1)",1,IF(Q1175="MEDIA(2)",2,IF(Q1175="ALTA(3)",3,3))))+(IF(R1175="BAJA(1)",1,IF(R1175="MEDIA(2)",2,IF(R1175="ALTA(3)",3,3))))</f>
        <v/>
      </c>
      <c r="T1175" s="10">
        <f>+IF(S1175&lt;6,"BAJA",IF(S1175&lt;8,"MEDIA","ALTA"))</f>
        <v/>
      </c>
      <c r="U1175" s="10" t="inlineStr">
        <is>
          <t>-</t>
        </is>
      </c>
      <c r="V1175" s="24" t="n">
        <v>45588</v>
      </c>
      <c r="W1175" s="19" t="inlineStr">
        <is>
          <t>N/A</t>
        </is>
      </c>
      <c r="X1175" s="10">
        <f>+IFERROR(IF(VLOOKUP(Tabla2[[#This Row],[ID]],'EVALUACION DE RIESGO'!A:A,1,FALSE)=Tabla2[[#This Row],[ID]],"SI","NO"),"NO")</f>
        <v/>
      </c>
      <c r="AD1175">
        <f>IF(AND(Y1175="",AA1175=""),"",IF(OR(LEFT(AA1175,2)="L0",LEFT(AA1175,2)="L1",Y1175="No Iniciado"),"CRÍTICO - Incumplimiento Normativo SEPS",IF(AND(OR(LEFT(AA1175,2)="L4",LEFT(AA1175,2)="L5"),AND(AC1175&lt;&gt;"",AC1175&lt;&gt;"N/A")),"CONFORME - Control Efectivo ISO 27001","OBSERVACIÓN - Revisar Controles")))</f>
        <v/>
      </c>
    </row>
    <row r="1176">
      <c r="A1176" s="99" t="inlineStr">
        <is>
          <t>154-GRI</t>
        </is>
      </c>
      <c r="B1176" s="10" t="inlineStr">
        <is>
          <t>ESTRATÉGICO</t>
        </is>
      </c>
      <c r="C1176" s="10" t="inlineStr">
        <is>
          <t>Gestión de Riesgos</t>
        </is>
      </c>
      <c r="D1176" s="10" t="inlineStr">
        <is>
          <t>GRI</t>
        </is>
      </c>
      <c r="E1176" s="10" t="inlineStr">
        <is>
          <t>Gestión de Continuidad del Negocio</t>
        </is>
      </c>
      <c r="F1176" s="10" t="inlineStr">
        <is>
          <t>-</t>
        </is>
      </c>
      <c r="G1176" s="10" t="inlineStr">
        <is>
          <t xml:space="preserve">Preparación del Proceso    </t>
        </is>
      </c>
      <c r="H1176" s="10" t="inlineStr">
        <is>
          <t>Anexo de proveedores criticos</t>
        </is>
      </c>
      <c r="I1176" s="10" t="inlineStr">
        <is>
          <t>Informe de Análisis de Riesgos - BIA</t>
        </is>
      </c>
      <c r="J1176" s="10" t="inlineStr">
        <is>
          <t>GERENTE DE RIESGOS</t>
        </is>
      </c>
      <c r="K1176" s="10" t="inlineStr">
        <is>
          <t>ANALISTA DE RIESGO OPERATIVO</t>
        </is>
      </c>
      <c r="L1176" s="10" t="inlineStr">
        <is>
          <t>UBICACIÓN DIGITAL-EQUIPO DEL RESPONSABLE</t>
        </is>
      </c>
      <c r="M1176" s="10" t="inlineStr">
        <is>
          <t>DOCUMENTO DE ARCHIVO-ELECTRÓNICO</t>
        </is>
      </c>
      <c r="N1176" s="10" t="inlineStr">
        <is>
          <t>PRIMARIOS</t>
        </is>
      </c>
      <c r="O1176" s="10" t="inlineStr">
        <is>
          <t>DOCUMENTOS TÉCNICOS</t>
        </is>
      </c>
      <c r="P1176" s="10" t="inlineStr">
        <is>
          <t>PUBLICA(1)</t>
        </is>
      </c>
      <c r="Q1176" s="10" t="inlineStr">
        <is>
          <t>ALTA(3)</t>
        </is>
      </c>
      <c r="R1176" s="10" t="inlineStr">
        <is>
          <t>MEDIA(2)</t>
        </is>
      </c>
      <c r="S1176" s="10">
        <f>+(IF(P1176="PUBLICA(1)",1,IF(P1176="USO INTERNO(2)",2,IF(P1176="RESTRINGIDO(3)",3,3))))+(IF(Q1176="BAJA(1)",1,IF(Q1176="MEDIA(2)",2,IF(Q1176="ALTA(3)",3,3))))+(IF(R1176="BAJA(1)",1,IF(R1176="MEDIA(2)",2,IF(R1176="ALTA(3)",3,3))))</f>
        <v/>
      </c>
      <c r="T1176" s="10">
        <f>+IF(S1176&lt;6,"BAJA",IF(S1176&lt;8,"MEDIA","ALTA"))</f>
        <v/>
      </c>
      <c r="U1176" s="10" t="inlineStr">
        <is>
          <t>-</t>
        </is>
      </c>
      <c r="V1176" s="24" t="n">
        <v>45588</v>
      </c>
      <c r="W1176" s="19" t="inlineStr">
        <is>
          <t>N/A</t>
        </is>
      </c>
      <c r="X1176" s="10">
        <f>+IFERROR(IF(VLOOKUP(Tabla2[[#This Row],[ID]],'EVALUACION DE RIESGO'!A:A,1,FALSE)=Tabla2[[#This Row],[ID]],"SI","NO"),"NO")</f>
        <v/>
      </c>
      <c r="AD1176">
        <f>IF(AND(Y1176="",AA1176=""),"",IF(OR(LEFT(AA1176,2)="L0",LEFT(AA1176,2)="L1",Y1176="No Iniciado"),"CRÍTICO - Incumplimiento Normativo SEPS",IF(AND(OR(LEFT(AA1176,2)="L4",LEFT(AA1176,2)="L5"),AND(AC1176&lt;&gt;"",AC1176&lt;&gt;"N/A")),"CONFORME - Control Efectivo ISO 27001","OBSERVACIÓN - Revisar Controles")))</f>
        <v/>
      </c>
    </row>
    <row r="1177">
      <c r="A1177" s="99" t="inlineStr">
        <is>
          <t>155-GRI</t>
        </is>
      </c>
      <c r="B1177" s="10" t="inlineStr">
        <is>
          <t>ESTRATÉGICO</t>
        </is>
      </c>
      <c r="C1177" s="10" t="inlineStr">
        <is>
          <t>Gestión de Riesgos</t>
        </is>
      </c>
      <c r="D1177" s="10" t="inlineStr">
        <is>
          <t>GRI</t>
        </is>
      </c>
      <c r="E1177" s="10" t="inlineStr">
        <is>
          <t>Gestión de Continuidad del Negocio</t>
        </is>
      </c>
      <c r="F1177" s="10" t="inlineStr">
        <is>
          <t>-</t>
        </is>
      </c>
      <c r="G1177" s="10" t="inlineStr">
        <is>
          <t xml:space="preserve">Analizar Riesgos </t>
        </is>
      </c>
      <c r="H1177" s="10" t="inlineStr">
        <is>
          <t>Determinación de Potecial de impacto económico</t>
        </is>
      </c>
      <c r="I1177" s="10" t="inlineStr">
        <is>
          <t>Informe de Análisis de Riesgos - BIA</t>
        </is>
      </c>
      <c r="J1177" s="10" t="inlineStr">
        <is>
          <t>GERENTE DE RIESGOS</t>
        </is>
      </c>
      <c r="K1177" s="10" t="inlineStr">
        <is>
          <t>ANALISTA DE RIESGO OPERATIVO</t>
        </is>
      </c>
      <c r="L1177" s="10" t="inlineStr">
        <is>
          <t>UBICACIÓN DIGITAL-EQUIPO DEL RESPONSABLE</t>
        </is>
      </c>
      <c r="M1177" s="10" t="inlineStr">
        <is>
          <t>DOCUMENTO DE ARCHIVO-ELECTRÓNICO</t>
        </is>
      </c>
      <c r="N1177" s="10" t="inlineStr">
        <is>
          <t>PRIMARIOS</t>
        </is>
      </c>
      <c r="O1177" s="10" t="inlineStr">
        <is>
          <t>DOCUMENTOS TÉCNICOS</t>
        </is>
      </c>
      <c r="P1177" s="10" t="inlineStr">
        <is>
          <t>PUBLICA(1)</t>
        </is>
      </c>
      <c r="Q1177" s="10" t="inlineStr">
        <is>
          <t>ALTA(3)</t>
        </is>
      </c>
      <c r="R1177" s="10" t="inlineStr">
        <is>
          <t>MEDIA(2)</t>
        </is>
      </c>
      <c r="S1177" s="10">
        <f>+(IF(P1177="PUBLICA(1)",1,IF(P1177="USO INTERNO(2)",2,IF(P1177="RESTRINGIDO(3)",3,3))))+(IF(Q1177="BAJA(1)",1,IF(Q1177="MEDIA(2)",2,IF(Q1177="ALTA(3)",3,3))))+(IF(R1177="BAJA(1)",1,IF(R1177="MEDIA(2)",2,IF(R1177="ALTA(3)",3,3))))</f>
        <v/>
      </c>
      <c r="T1177" s="10">
        <f>+IF(S1177&lt;6,"BAJA",IF(S1177&lt;8,"MEDIA","ALTA"))</f>
        <v/>
      </c>
      <c r="U1177" s="10" t="inlineStr">
        <is>
          <t>-</t>
        </is>
      </c>
      <c r="V1177" s="24" t="n">
        <v>45588</v>
      </c>
      <c r="W1177" s="19" t="inlineStr">
        <is>
          <t>N/A</t>
        </is>
      </c>
      <c r="X1177" s="10">
        <f>+IFERROR(IF(VLOOKUP(Tabla2[[#This Row],[ID]],'EVALUACION DE RIESGO'!A:A,1,FALSE)=Tabla2[[#This Row],[ID]],"SI","NO"),"NO")</f>
        <v/>
      </c>
      <c r="AD1177">
        <f>IF(AND(Y1177="",AA1177=""),"",IF(OR(LEFT(AA1177,2)="L0",LEFT(AA1177,2)="L1",Y1177="No Iniciado"),"CRÍTICO - Incumplimiento Normativo SEPS",IF(AND(OR(LEFT(AA1177,2)="L4",LEFT(AA1177,2)="L5"),AND(AC1177&lt;&gt;"",AC1177&lt;&gt;"N/A")),"CONFORME - Control Efectivo ISO 27001","OBSERVACIÓN - Revisar Controles")))</f>
        <v/>
      </c>
    </row>
    <row r="1178">
      <c r="A1178" s="99" t="inlineStr">
        <is>
          <t>156-GRI</t>
        </is>
      </c>
      <c r="B1178" s="10" t="inlineStr">
        <is>
          <t>ESTRATÉGICO</t>
        </is>
      </c>
      <c r="C1178" s="10" t="inlineStr">
        <is>
          <t>Gestión de Riesgos</t>
        </is>
      </c>
      <c r="D1178" s="10" t="inlineStr">
        <is>
          <t>GRI</t>
        </is>
      </c>
      <c r="E1178" s="10" t="inlineStr">
        <is>
          <t>Gestión de Continuidad del Negocio</t>
        </is>
      </c>
      <c r="F1178" s="10" t="inlineStr">
        <is>
          <t>-</t>
        </is>
      </c>
      <c r="G1178" s="10" t="inlineStr">
        <is>
          <t xml:space="preserve">Analizar Riesgos </t>
        </is>
      </c>
      <c r="H1178" s="10" t="inlineStr">
        <is>
          <t>Analisis de evaluación de Riesgos</t>
        </is>
      </c>
      <c r="I1178" s="10" t="inlineStr">
        <is>
          <t>Informe de Análisis de Riesgos - BIA</t>
        </is>
      </c>
      <c r="J1178" s="10" t="inlineStr">
        <is>
          <t>GERENTE DE RIESGOS</t>
        </is>
      </c>
      <c r="K1178" s="10" t="inlineStr">
        <is>
          <t>ANALISTA DE RIESGO OPERATIVO</t>
        </is>
      </c>
      <c r="L1178" s="10" t="inlineStr">
        <is>
          <t>UBICACIÓN DIGITAL-EQUIPO DEL RESPONSABLE</t>
        </is>
      </c>
      <c r="M1178" s="10" t="inlineStr">
        <is>
          <t>DOCUMENTO DE ARCHIVO-ELECTRÓNICO</t>
        </is>
      </c>
      <c r="N1178" s="10" t="inlineStr">
        <is>
          <t>PRIMARIOS</t>
        </is>
      </c>
      <c r="O1178" s="10" t="inlineStr">
        <is>
          <t>DOCUMENTOS TÉCNICOS</t>
        </is>
      </c>
      <c r="P1178" s="10" t="inlineStr">
        <is>
          <t>PUBLICA(1)</t>
        </is>
      </c>
      <c r="Q1178" s="10" t="inlineStr">
        <is>
          <t>ALTA(3)</t>
        </is>
      </c>
      <c r="R1178" s="10" t="inlineStr">
        <is>
          <t>MEDIA(2)</t>
        </is>
      </c>
      <c r="S1178" s="10">
        <f>+(IF(P1178="PUBLICA(1)",1,IF(P1178="USO INTERNO(2)",2,IF(P1178="RESTRINGIDO(3)",3,3))))+(IF(Q1178="BAJA(1)",1,IF(Q1178="MEDIA(2)",2,IF(Q1178="ALTA(3)",3,3))))+(IF(R1178="BAJA(1)",1,IF(R1178="MEDIA(2)",2,IF(R1178="ALTA(3)",3,3))))</f>
        <v/>
      </c>
      <c r="T1178" s="10">
        <f>+IF(S1178&lt;6,"BAJA",IF(S1178&lt;8,"MEDIA","ALTA"))</f>
        <v/>
      </c>
      <c r="U1178" s="10" t="inlineStr">
        <is>
          <t>-</t>
        </is>
      </c>
      <c r="V1178" s="24" t="n">
        <v>45588</v>
      </c>
      <c r="W1178" s="19" t="inlineStr">
        <is>
          <t>N/A</t>
        </is>
      </c>
      <c r="X1178" s="10">
        <f>+IFERROR(IF(VLOOKUP(Tabla2[[#This Row],[ID]],'EVALUACION DE RIESGO'!A:A,1,FALSE)=Tabla2[[#This Row],[ID]],"SI","NO"),"NO")</f>
        <v/>
      </c>
      <c r="AD1178">
        <f>IF(AND(Y1178="",AA1178=""),"",IF(OR(LEFT(AA1178,2)="L0",LEFT(AA1178,2)="L1",Y1178="No Iniciado"),"CRÍTICO - Incumplimiento Normativo SEPS",IF(AND(OR(LEFT(AA1178,2)="L4",LEFT(AA1178,2)="L5"),AND(AC1178&lt;&gt;"",AC1178&lt;&gt;"N/A")),"CONFORME - Control Efectivo ISO 27001","OBSERVACIÓN - Revisar Controles")))</f>
        <v/>
      </c>
    </row>
    <row r="1179">
      <c r="A1179" s="99" t="inlineStr">
        <is>
          <t>157-GRI</t>
        </is>
      </c>
      <c r="B1179" s="10" t="inlineStr">
        <is>
          <t>ESTRATÉGICO</t>
        </is>
      </c>
      <c r="C1179" s="10" t="inlineStr">
        <is>
          <t>Gestión de Riesgos</t>
        </is>
      </c>
      <c r="D1179" s="10" t="inlineStr">
        <is>
          <t>GRI</t>
        </is>
      </c>
      <c r="E1179" s="10" t="inlineStr">
        <is>
          <t>Gestión de Continuidad del Negocio</t>
        </is>
      </c>
      <c r="F1179" s="10" t="inlineStr">
        <is>
          <t>-</t>
        </is>
      </c>
      <c r="G1179" s="10" t="inlineStr">
        <is>
          <t xml:space="preserve">Analizar Riesgos </t>
        </is>
      </c>
      <c r="H1179" s="10" t="inlineStr">
        <is>
          <t>Planificación Estratégica</t>
        </is>
      </c>
      <c r="I1179" s="10" t="inlineStr">
        <is>
          <t>Plan Estratégico</t>
        </is>
      </c>
      <c r="J1179" s="10" t="inlineStr">
        <is>
          <t>GERENTE DE RIESGOS</t>
        </is>
      </c>
      <c r="K1179" s="10" t="inlineStr">
        <is>
          <t>ANALISTA DE RIESGO OPERATIVO</t>
        </is>
      </c>
      <c r="L1179" s="10" t="inlineStr">
        <is>
          <t>UBICACIÓN DIGITAL-EQUIPO DEL RESPONSABLE</t>
        </is>
      </c>
      <c r="M1179" s="10" t="inlineStr">
        <is>
          <t>DOCUMENTO DE ARCHIVO-ELECTRÓNICO</t>
        </is>
      </c>
      <c r="N1179" s="10" t="inlineStr">
        <is>
          <t>PRIMARIOS</t>
        </is>
      </c>
      <c r="O1179" s="10" t="inlineStr">
        <is>
          <t>DOCUMENTOS TÉCNICOS</t>
        </is>
      </c>
      <c r="P1179" s="10" t="inlineStr">
        <is>
          <t>PUBLICA(1)</t>
        </is>
      </c>
      <c r="Q1179" s="10" t="inlineStr">
        <is>
          <t>ALTA(3)</t>
        </is>
      </c>
      <c r="R1179" s="10" t="inlineStr">
        <is>
          <t>MEDIA(2)</t>
        </is>
      </c>
      <c r="S1179" s="10">
        <f>+(IF(P1179="PUBLICA(1)",1,IF(P1179="USO INTERNO(2)",2,IF(P1179="RESTRINGIDO(3)",3,3))))+(IF(Q1179="BAJA(1)",1,IF(Q1179="MEDIA(2)",2,IF(Q1179="ALTA(3)",3,3))))+(IF(R1179="BAJA(1)",1,IF(R1179="MEDIA(2)",2,IF(R1179="ALTA(3)",3,3))))</f>
        <v/>
      </c>
      <c r="T1179" s="10">
        <f>+IF(S1179&lt;6,"BAJA",IF(S1179&lt;8,"MEDIA","ALTA"))</f>
        <v/>
      </c>
      <c r="U1179" s="10" t="inlineStr">
        <is>
          <t>-</t>
        </is>
      </c>
      <c r="V1179" s="24" t="n">
        <v>45588</v>
      </c>
      <c r="W1179" s="19" t="inlineStr">
        <is>
          <t>N/A</t>
        </is>
      </c>
      <c r="X1179" s="10">
        <f>+IFERROR(IF(VLOOKUP(Tabla2[[#This Row],[ID]],'EVALUACION DE RIESGO'!A:A,1,FALSE)=Tabla2[[#This Row],[ID]],"SI","NO"),"NO")</f>
        <v/>
      </c>
      <c r="AD1179">
        <f>IF(AND(Y1179="",AA1179=""),"",IF(OR(LEFT(AA1179,2)="L0",LEFT(AA1179,2)="L1",Y1179="No Iniciado"),"CRÍTICO - Incumplimiento Normativo SEPS",IF(AND(OR(LEFT(AA1179,2)="L4",LEFT(AA1179,2)="L5"),AND(AC1179&lt;&gt;"",AC1179&lt;&gt;"N/A")),"CONFORME - Control Efectivo ISO 27001","OBSERVACIÓN - Revisar Controles")))</f>
        <v/>
      </c>
    </row>
    <row r="1180">
      <c r="A1180" s="99" t="inlineStr">
        <is>
          <t>158-GRI</t>
        </is>
      </c>
      <c r="B1180" s="10" t="inlineStr">
        <is>
          <t>ESTRATÉGICO</t>
        </is>
      </c>
      <c r="C1180" s="10" t="inlineStr">
        <is>
          <t>Gestión de Riesgos</t>
        </is>
      </c>
      <c r="D1180" s="10" t="inlineStr">
        <is>
          <t>GRI</t>
        </is>
      </c>
      <c r="E1180" s="10" t="inlineStr">
        <is>
          <t>Gestión de Continuidad del Negocio</t>
        </is>
      </c>
      <c r="F1180" s="10" t="inlineStr">
        <is>
          <t>-</t>
        </is>
      </c>
      <c r="G1180" s="10" t="inlineStr">
        <is>
          <t xml:space="preserve">Analizar Riesgos </t>
        </is>
      </c>
      <c r="H1180" s="10" t="inlineStr">
        <is>
          <t xml:space="preserve">Inventario de Procesos  </t>
        </is>
      </c>
      <c r="I1180" s="10" t="inlineStr">
        <is>
          <t>Portafolio de inventario</t>
        </is>
      </c>
      <c r="J1180" s="10" t="inlineStr">
        <is>
          <t>GERENTE DE RIESGOS</t>
        </is>
      </c>
      <c r="K1180" s="10" t="inlineStr">
        <is>
          <t>ANALISTA DE RIESGO OPERATIVO</t>
        </is>
      </c>
      <c r="L1180" s="10" t="inlineStr">
        <is>
          <t>UBICACIÓN DIGITAL-EQUIPO DEL RESPONSABLE</t>
        </is>
      </c>
      <c r="M1180" s="10" t="inlineStr">
        <is>
          <t>DOCUMENTO DE ARCHIVO-ELECTRÓNICO</t>
        </is>
      </c>
      <c r="N1180" s="10" t="inlineStr">
        <is>
          <t>PRIMARIOS</t>
        </is>
      </c>
      <c r="O1180" s="10" t="inlineStr">
        <is>
          <t>DOCUMENTOS TÉCNICOS</t>
        </is>
      </c>
      <c r="P1180" s="10" t="inlineStr">
        <is>
          <t>PUBLICA(1)</t>
        </is>
      </c>
      <c r="Q1180" s="10" t="inlineStr">
        <is>
          <t>ALTA(3)</t>
        </is>
      </c>
      <c r="R1180" s="10" t="inlineStr">
        <is>
          <t>MEDIA(2)</t>
        </is>
      </c>
      <c r="S1180" s="10">
        <f>+(IF(P1180="PUBLICA(1)",1,IF(P1180="USO INTERNO(2)",2,IF(P1180="RESTRINGIDO(3)",3,3))))+(IF(Q1180="BAJA(1)",1,IF(Q1180="MEDIA(2)",2,IF(Q1180="ALTA(3)",3,3))))+(IF(R1180="BAJA(1)",1,IF(R1180="MEDIA(2)",2,IF(R1180="ALTA(3)",3,3))))</f>
        <v/>
      </c>
      <c r="T1180" s="10">
        <f>+IF(S1180&lt;6,"BAJA",IF(S1180&lt;8,"MEDIA","ALTA"))</f>
        <v/>
      </c>
      <c r="U1180" s="10" t="inlineStr">
        <is>
          <t>-</t>
        </is>
      </c>
      <c r="V1180" s="24" t="n">
        <v>45588</v>
      </c>
      <c r="W1180" s="19" t="inlineStr">
        <is>
          <t>N/A</t>
        </is>
      </c>
      <c r="X1180" s="10">
        <f>+IFERROR(IF(VLOOKUP(Tabla2[[#This Row],[ID]],'EVALUACION DE RIESGO'!A:A,1,FALSE)=Tabla2[[#This Row],[ID]],"SI","NO"),"NO")</f>
        <v/>
      </c>
      <c r="AD1180">
        <f>IF(AND(Y1180="",AA1180=""),"",IF(OR(LEFT(AA1180,2)="L0",LEFT(AA1180,2)="L1",Y1180="No Iniciado"),"CRÍTICO - Incumplimiento Normativo SEPS",IF(AND(OR(LEFT(AA1180,2)="L4",LEFT(AA1180,2)="L5"),AND(AC1180&lt;&gt;"",AC1180&lt;&gt;"N/A")),"CONFORME - Control Efectivo ISO 27001","OBSERVACIÓN - Revisar Controles")))</f>
        <v/>
      </c>
    </row>
    <row r="1181">
      <c r="A1181" s="99" t="inlineStr">
        <is>
          <t>159-GRI</t>
        </is>
      </c>
      <c r="B1181" s="10" t="inlineStr">
        <is>
          <t>ESTRATÉGICO</t>
        </is>
      </c>
      <c r="C1181" s="10" t="inlineStr">
        <is>
          <t>Gestión de Riesgos</t>
        </is>
      </c>
      <c r="D1181" s="10" t="inlineStr">
        <is>
          <t>GRI</t>
        </is>
      </c>
      <c r="E1181" s="10" t="inlineStr">
        <is>
          <t>Gestión de Continuidad del Negocio</t>
        </is>
      </c>
      <c r="F1181" s="10" t="inlineStr">
        <is>
          <t>-</t>
        </is>
      </c>
      <c r="G1181" s="10" t="inlineStr">
        <is>
          <t xml:space="preserve">Analizar Riesgos </t>
        </is>
      </c>
      <c r="H1181" s="10" t="inlineStr">
        <is>
          <t>Referencias Normativas</t>
        </is>
      </c>
      <c r="I1181" s="10" t="inlineStr">
        <is>
          <t>Documento interno</t>
        </is>
      </c>
      <c r="J1181" s="10" t="inlineStr">
        <is>
          <t>GERENTE DE RIESGOS</t>
        </is>
      </c>
      <c r="K1181" s="10" t="inlineStr">
        <is>
          <t>ANALISTA DE RIESGO OPERATIVO</t>
        </is>
      </c>
      <c r="L1181" s="10" t="inlineStr">
        <is>
          <t>UBICACIÓN DIGITAL-EQUIPO DEL RESPONSABLE</t>
        </is>
      </c>
      <c r="M1181" s="10" t="inlineStr">
        <is>
          <t>DOCUMENTO DE ARCHIVO-ELECTRÓNICO</t>
        </is>
      </c>
      <c r="N1181" s="10" t="inlineStr">
        <is>
          <t>PRIMARIOS</t>
        </is>
      </c>
      <c r="O1181" s="10" t="inlineStr">
        <is>
          <t>DOCUMENTOS TÉCNICOS</t>
        </is>
      </c>
      <c r="P1181" s="10" t="inlineStr">
        <is>
          <t>PUBLICA(1)</t>
        </is>
      </c>
      <c r="Q1181" s="10" t="inlineStr">
        <is>
          <t>ALTA(3)</t>
        </is>
      </c>
      <c r="R1181" s="10" t="inlineStr">
        <is>
          <t>MEDIA(2)</t>
        </is>
      </c>
      <c r="S1181" s="10">
        <f>+(IF(P1181="PUBLICA(1)",1,IF(P1181="USO INTERNO(2)",2,IF(P1181="RESTRINGIDO(3)",3,3))))+(IF(Q1181="BAJA(1)",1,IF(Q1181="MEDIA(2)",2,IF(Q1181="ALTA(3)",3,3))))+(IF(R1181="BAJA(1)",1,IF(R1181="MEDIA(2)",2,IF(R1181="ALTA(3)",3,3))))</f>
        <v/>
      </c>
      <c r="T1181" s="10">
        <f>+IF(S1181&lt;6,"BAJA",IF(S1181&lt;8,"MEDIA","ALTA"))</f>
        <v/>
      </c>
      <c r="U1181" s="10" t="inlineStr">
        <is>
          <t>-</t>
        </is>
      </c>
      <c r="V1181" s="24" t="n">
        <v>45588</v>
      </c>
      <c r="W1181" s="19" t="inlineStr">
        <is>
          <t>N/A</t>
        </is>
      </c>
      <c r="X1181" s="10">
        <f>+IFERROR(IF(VLOOKUP(Tabla2[[#This Row],[ID]],'EVALUACION DE RIESGO'!A:A,1,FALSE)=Tabla2[[#This Row],[ID]],"SI","NO"),"NO")</f>
        <v/>
      </c>
      <c r="AD1181">
        <f>IF(AND(Y1181="",AA1181=""),"",IF(OR(LEFT(AA1181,2)="L0",LEFT(AA1181,2)="L1",Y1181="No Iniciado"),"CRÍTICO - Incumplimiento Normativo SEPS",IF(AND(OR(LEFT(AA1181,2)="L4",LEFT(AA1181,2)="L5"),AND(AC1181&lt;&gt;"",AC1181&lt;&gt;"N/A")),"CONFORME - Control Efectivo ISO 27001","OBSERVACIÓN - Revisar Controles")))</f>
        <v/>
      </c>
    </row>
    <row r="1182">
      <c r="A1182" s="99" t="inlineStr">
        <is>
          <t>160-GRI</t>
        </is>
      </c>
      <c r="B1182" s="10" t="inlineStr">
        <is>
          <t>ESTRATÉGICO</t>
        </is>
      </c>
      <c r="C1182" s="10" t="inlineStr">
        <is>
          <t>Gestión de Riesgos</t>
        </is>
      </c>
      <c r="D1182" s="10" t="inlineStr">
        <is>
          <t>GRI</t>
        </is>
      </c>
      <c r="E1182" s="10" t="inlineStr">
        <is>
          <t>Gestión de Continuidad del Negocio</t>
        </is>
      </c>
      <c r="F1182" s="10" t="inlineStr">
        <is>
          <t>-</t>
        </is>
      </c>
      <c r="G1182" s="10" t="inlineStr">
        <is>
          <t xml:space="preserve">Analizar Riesgos </t>
        </is>
      </c>
      <c r="H1182" s="10" t="inlineStr">
        <is>
          <t xml:space="preserve">Informe de Análisis de Riesgos, Resolución CAIR </t>
        </is>
      </c>
      <c r="I1182" s="10" t="inlineStr">
        <is>
          <t>Informe de Análisis de Riesgos - BIA</t>
        </is>
      </c>
      <c r="J1182" s="10" t="inlineStr">
        <is>
          <t>GERENTE DE RIESGOS</t>
        </is>
      </c>
      <c r="K1182" s="10" t="inlineStr">
        <is>
          <t>ANALISTA DE RIESGO OPERATIVO</t>
        </is>
      </c>
      <c r="L1182" s="10" t="inlineStr">
        <is>
          <t>UBICACIÓN DIGITAL-EQUIPO DEL RESPONSABLE</t>
        </is>
      </c>
      <c r="M1182" s="10" t="inlineStr">
        <is>
          <t>DOCUMENTO DE ARCHIVO-ELECTRÓNICO</t>
        </is>
      </c>
      <c r="N1182" s="10" t="inlineStr">
        <is>
          <t>PRIMARIOS</t>
        </is>
      </c>
      <c r="O1182" s="10" t="inlineStr">
        <is>
          <t>DOCUMENTOS TÉCNICOS</t>
        </is>
      </c>
      <c r="P1182" s="10" t="inlineStr">
        <is>
          <t>PUBLICA(1)</t>
        </is>
      </c>
      <c r="Q1182" s="10" t="inlineStr">
        <is>
          <t>ALTA(3)</t>
        </is>
      </c>
      <c r="R1182" s="10" t="inlineStr">
        <is>
          <t>MEDIA(2)</t>
        </is>
      </c>
      <c r="S1182" s="10">
        <f>+(IF(P1182="PUBLICA(1)",1,IF(P1182="USO INTERNO(2)",2,IF(P1182="RESTRINGIDO(3)",3,3))))+(IF(Q1182="BAJA(1)",1,IF(Q1182="MEDIA(2)",2,IF(Q1182="ALTA(3)",3,3))))+(IF(R1182="BAJA(1)",1,IF(R1182="MEDIA(2)",2,IF(R1182="ALTA(3)",3,3))))</f>
        <v/>
      </c>
      <c r="T1182" s="10">
        <f>+IF(S1182&lt;6,"BAJA",IF(S1182&lt;8,"MEDIA","ALTA"))</f>
        <v/>
      </c>
      <c r="U1182" s="10" t="inlineStr">
        <is>
          <t>-</t>
        </is>
      </c>
      <c r="V1182" s="24" t="n">
        <v>45588</v>
      </c>
      <c r="W1182" s="19" t="inlineStr">
        <is>
          <t>N/A</t>
        </is>
      </c>
      <c r="X1182" s="10">
        <f>+IFERROR(IF(VLOOKUP(Tabla2[[#This Row],[ID]],'EVALUACION DE RIESGO'!A:A,1,FALSE)=Tabla2[[#This Row],[ID]],"SI","NO"),"NO")</f>
        <v/>
      </c>
      <c r="AD1182">
        <f>IF(AND(Y1182="",AA1182=""),"",IF(OR(LEFT(AA1182,2)="L0",LEFT(AA1182,2)="L1",Y1182="No Iniciado"),"CRÍTICO - Incumplimiento Normativo SEPS",IF(AND(OR(LEFT(AA1182,2)="L4",LEFT(AA1182,2)="L5"),AND(AC1182&lt;&gt;"",AC1182&lt;&gt;"N/A")),"CONFORME - Control Efectivo ISO 27001","OBSERVACIÓN - Revisar Controles")))</f>
        <v/>
      </c>
    </row>
    <row r="1183">
      <c r="A1183" s="99" t="inlineStr">
        <is>
          <t>161-GRI</t>
        </is>
      </c>
      <c r="B1183" s="10" t="inlineStr">
        <is>
          <t>ESTRATÉGICO</t>
        </is>
      </c>
      <c r="C1183" s="10" t="inlineStr">
        <is>
          <t>Gestión de Riesgos</t>
        </is>
      </c>
      <c r="D1183" s="10" t="inlineStr">
        <is>
          <t>GRI</t>
        </is>
      </c>
      <c r="E1183" s="10" t="inlineStr">
        <is>
          <t>Gestión de Continuidad del Negocio</t>
        </is>
      </c>
      <c r="F1183" s="10" t="inlineStr">
        <is>
          <t>-</t>
        </is>
      </c>
      <c r="G1183" s="10" t="inlineStr">
        <is>
          <t xml:space="preserve">Analizar Riesgos </t>
        </is>
      </c>
      <c r="H1183" s="10" t="inlineStr">
        <is>
          <t>Informe de Análisis de Riesgos</t>
        </is>
      </c>
      <c r="I1183" s="10" t="inlineStr">
        <is>
          <t>Informe de Análisis de Riesgos - BIA</t>
        </is>
      </c>
      <c r="J1183" s="10" t="inlineStr">
        <is>
          <t>GERENTE DE RIESGOS</t>
        </is>
      </c>
      <c r="K1183" s="10" t="inlineStr">
        <is>
          <t>ANALISTA DE RIESGO OPERATIVO</t>
        </is>
      </c>
      <c r="L1183" s="10" t="inlineStr">
        <is>
          <t>UBICACIÓN DIGITAL-EQUIPO DEL RESPONSABLE</t>
        </is>
      </c>
      <c r="M1183" s="10" t="inlineStr">
        <is>
          <t>DOCUMENTO DE ARCHIVO-ELECTRÓNICO</t>
        </is>
      </c>
      <c r="N1183" s="10" t="inlineStr">
        <is>
          <t>PRIMARIOS</t>
        </is>
      </c>
      <c r="O1183" s="10" t="inlineStr">
        <is>
          <t>DOCUMENTOS TÉCNICOS</t>
        </is>
      </c>
      <c r="P1183" s="10" t="inlineStr">
        <is>
          <t>PUBLICA(1)</t>
        </is>
      </c>
      <c r="Q1183" s="10" t="inlineStr">
        <is>
          <t>ALTA(3)</t>
        </is>
      </c>
      <c r="R1183" s="10" t="inlineStr">
        <is>
          <t>MEDIA(2)</t>
        </is>
      </c>
      <c r="S1183" s="10">
        <f>+(IF(P1183="PUBLICA(1)",1,IF(P1183="USO INTERNO(2)",2,IF(P1183="RESTRINGIDO(3)",3,3))))+(IF(Q1183="BAJA(1)",1,IF(Q1183="MEDIA(2)",2,IF(Q1183="ALTA(3)",3,3))))+(IF(R1183="BAJA(1)",1,IF(R1183="MEDIA(2)",2,IF(R1183="ALTA(3)",3,3))))</f>
        <v/>
      </c>
      <c r="T1183" s="10">
        <f>+IF(S1183&lt;6,"BAJA",IF(S1183&lt;8,"MEDIA","ALTA"))</f>
        <v/>
      </c>
      <c r="U1183" s="10" t="inlineStr">
        <is>
          <t>-</t>
        </is>
      </c>
      <c r="V1183" s="24" t="n">
        <v>45588</v>
      </c>
      <c r="W1183" s="19" t="inlineStr">
        <is>
          <t>N/A</t>
        </is>
      </c>
      <c r="X1183" s="10">
        <f>+IFERROR(IF(VLOOKUP(Tabla2[[#This Row],[ID]],'EVALUACION DE RIESGO'!A:A,1,FALSE)=Tabla2[[#This Row],[ID]],"SI","NO"),"NO")</f>
        <v/>
      </c>
      <c r="AD1183">
        <f>IF(AND(Y1183="",AA1183=""),"",IF(OR(LEFT(AA1183,2)="L0",LEFT(AA1183,2)="L1",Y1183="No Iniciado"),"CRÍTICO - Incumplimiento Normativo SEPS",IF(AND(OR(LEFT(AA1183,2)="L4",LEFT(AA1183,2)="L5"),AND(AC1183&lt;&gt;"",AC1183&lt;&gt;"N/A")),"CONFORME - Control Efectivo ISO 27001","OBSERVACIÓN - Revisar Controles")))</f>
        <v/>
      </c>
    </row>
    <row r="1184">
      <c r="A1184" s="99" t="inlineStr">
        <is>
          <t>162-GRI</t>
        </is>
      </c>
      <c r="B1184" s="10" t="inlineStr">
        <is>
          <t>ESTRATÉGICO</t>
        </is>
      </c>
      <c r="C1184" s="10" t="inlineStr">
        <is>
          <t>Gestión de Riesgos</t>
        </is>
      </c>
      <c r="D1184" s="10" t="inlineStr">
        <is>
          <t>GRI</t>
        </is>
      </c>
      <c r="E1184" s="10" t="inlineStr">
        <is>
          <t>Gestión de Continuidad del Negocio</t>
        </is>
      </c>
      <c r="F1184" s="10" t="inlineStr">
        <is>
          <t>-</t>
        </is>
      </c>
      <c r="G1184" s="10" t="inlineStr">
        <is>
          <t xml:space="preserve">Definición de Políticas, Objetivos y Estrategias de Continuidad  </t>
        </is>
      </c>
      <c r="H1184" s="10" t="inlineStr">
        <is>
          <t>Informe de Análisis de Riesgos, Resolución CAIR</t>
        </is>
      </c>
      <c r="I1184" s="10" t="inlineStr">
        <is>
          <t>Informe de Análisis de Riesgos - BIA</t>
        </is>
      </c>
      <c r="J1184" s="10" t="inlineStr">
        <is>
          <t>GERENTE DE RIESGOS</t>
        </is>
      </c>
      <c r="K1184" s="10" t="inlineStr">
        <is>
          <t>ANALISTA DE RIESGO OPERATIVO</t>
        </is>
      </c>
      <c r="L1184" s="10" t="inlineStr">
        <is>
          <t>UBICACIÓN DIGITAL-EQUIPO DEL RESPONSABLE</t>
        </is>
      </c>
      <c r="M1184" s="10" t="inlineStr">
        <is>
          <t>DOCUMENTO DE ARCHIVO-ELECTRÓNICO</t>
        </is>
      </c>
      <c r="N1184" s="10" t="inlineStr">
        <is>
          <t>PRIMARIOS</t>
        </is>
      </c>
      <c r="O1184" s="10" t="inlineStr">
        <is>
          <t>DOCUMENTOS TÉCNICOS</t>
        </is>
      </c>
      <c r="P1184" s="10" t="inlineStr">
        <is>
          <t>PUBLICA(1)</t>
        </is>
      </c>
      <c r="Q1184" s="10" t="inlineStr">
        <is>
          <t>ALTA(3)</t>
        </is>
      </c>
      <c r="R1184" s="10" t="inlineStr">
        <is>
          <t>MEDIA(2)</t>
        </is>
      </c>
      <c r="S1184" s="10">
        <f>+(IF(P1184="PUBLICA(1)",1,IF(P1184="USO INTERNO(2)",2,IF(P1184="RESTRINGIDO(3)",3,3))))+(IF(Q1184="BAJA(1)",1,IF(Q1184="MEDIA(2)",2,IF(Q1184="ALTA(3)",3,3))))+(IF(R1184="BAJA(1)",1,IF(R1184="MEDIA(2)",2,IF(R1184="ALTA(3)",3,3))))</f>
        <v/>
      </c>
      <c r="T1184" s="10">
        <f>+IF(S1184&lt;6,"BAJA",IF(S1184&lt;8,"MEDIA","ALTA"))</f>
        <v/>
      </c>
      <c r="U1184" s="10" t="inlineStr">
        <is>
          <t>-</t>
        </is>
      </c>
      <c r="V1184" s="24" t="n">
        <v>45588</v>
      </c>
      <c r="W1184" s="19" t="inlineStr">
        <is>
          <t>N/A</t>
        </is>
      </c>
      <c r="X1184" s="10">
        <f>+IFERROR(IF(VLOOKUP(Tabla2[[#This Row],[ID]],'EVALUACION DE RIESGO'!A:A,1,FALSE)=Tabla2[[#This Row],[ID]],"SI","NO"),"NO")</f>
        <v/>
      </c>
      <c r="AD1184">
        <f>IF(AND(Y1184="",AA1184=""),"",IF(OR(LEFT(AA1184,2)="L0",LEFT(AA1184,2)="L1",Y1184="No Iniciado"),"CRÍTICO - Incumplimiento Normativo SEPS",IF(AND(OR(LEFT(AA1184,2)="L4",LEFT(AA1184,2)="L5"),AND(AC1184&lt;&gt;"",AC1184&lt;&gt;"N/A")),"CONFORME - Control Efectivo ISO 27001","OBSERVACIÓN - Revisar Controles")))</f>
        <v/>
      </c>
    </row>
    <row r="1185">
      <c r="A1185" s="99" t="inlineStr">
        <is>
          <t>163-GRI</t>
        </is>
      </c>
      <c r="B1185" s="10" t="inlineStr">
        <is>
          <t>ESTRATÉGICO</t>
        </is>
      </c>
      <c r="C1185" s="10" t="inlineStr">
        <is>
          <t>Gestión de Riesgos</t>
        </is>
      </c>
      <c r="D1185" s="10" t="inlineStr">
        <is>
          <t>GRI</t>
        </is>
      </c>
      <c r="E1185" s="10" t="inlineStr">
        <is>
          <t>Gestión de Continuidad del Negocio</t>
        </is>
      </c>
      <c r="F1185" s="10" t="inlineStr">
        <is>
          <t>-</t>
        </is>
      </c>
      <c r="G1185" s="10" t="inlineStr">
        <is>
          <t xml:space="preserve">Definición de Políticas, Objetivos y Estrategias de Continuidad  </t>
        </is>
      </c>
      <c r="H1185" s="10" t="inlineStr">
        <is>
          <t xml:space="preserve">Resolución del CAIR </t>
        </is>
      </c>
      <c r="I1185" s="10" t="inlineStr">
        <is>
          <t>Resoluciones del comité</t>
        </is>
      </c>
      <c r="J1185" s="10" t="inlineStr">
        <is>
          <t>GERENTE DE RIESGOS</t>
        </is>
      </c>
      <c r="K1185" s="10" t="inlineStr">
        <is>
          <t>ANALISTA DE RIESGO OPERATIVO</t>
        </is>
      </c>
      <c r="L1185" s="10" t="inlineStr">
        <is>
          <t>UBICACIÓN DIGITAL-EQUIPO DEL RESPONSABLE</t>
        </is>
      </c>
      <c r="M1185" s="10" t="inlineStr">
        <is>
          <t>DOCUMENTO DE ARCHIVO-ELECTRÓNICO</t>
        </is>
      </c>
      <c r="N1185" s="10" t="inlineStr">
        <is>
          <t>PRIMARIOS</t>
        </is>
      </c>
      <c r="O1185" s="10" t="inlineStr">
        <is>
          <t>DOCUMENTOS TÉCNICOS</t>
        </is>
      </c>
      <c r="P1185" s="10" t="inlineStr">
        <is>
          <t>PUBLICA(1)</t>
        </is>
      </c>
      <c r="Q1185" s="10" t="inlineStr">
        <is>
          <t>ALTA(3)</t>
        </is>
      </c>
      <c r="R1185" s="10" t="inlineStr">
        <is>
          <t>MEDIA(2)</t>
        </is>
      </c>
      <c r="S1185" s="10">
        <f>+(IF(P1185="PUBLICA(1)",1,IF(P1185="USO INTERNO(2)",2,IF(P1185="RESTRINGIDO(3)",3,3))))+(IF(Q1185="BAJA(1)",1,IF(Q1185="MEDIA(2)",2,IF(Q1185="ALTA(3)",3,3))))+(IF(R1185="BAJA(1)",1,IF(R1185="MEDIA(2)",2,IF(R1185="ALTA(3)",3,3))))</f>
        <v/>
      </c>
      <c r="T1185" s="10">
        <f>+IF(S1185&lt;6,"BAJA",IF(S1185&lt;8,"MEDIA","ALTA"))</f>
        <v/>
      </c>
      <c r="U1185" s="10" t="inlineStr">
        <is>
          <t>-</t>
        </is>
      </c>
      <c r="V1185" s="24" t="n">
        <v>45588</v>
      </c>
      <c r="W1185" s="19" t="inlineStr">
        <is>
          <t>N/A</t>
        </is>
      </c>
      <c r="X1185" s="10">
        <f>+IFERROR(IF(VLOOKUP(Tabla2[[#This Row],[ID]],'EVALUACION DE RIESGO'!A:A,1,FALSE)=Tabla2[[#This Row],[ID]],"SI","NO"),"NO")</f>
        <v/>
      </c>
      <c r="AD1185">
        <f>IF(AND(Y1185="",AA1185=""),"",IF(OR(LEFT(AA1185,2)="L0",LEFT(AA1185,2)="L1",Y1185="No Iniciado"),"CRÍTICO - Incumplimiento Normativo SEPS",IF(AND(OR(LEFT(AA1185,2)="L4",LEFT(AA1185,2)="L5"),AND(AC1185&lt;&gt;"",AC1185&lt;&gt;"N/A")),"CONFORME - Control Efectivo ISO 27001","OBSERVACIÓN - Revisar Controles")))</f>
        <v/>
      </c>
    </row>
    <row r="1186">
      <c r="A1186" s="99" t="inlineStr">
        <is>
          <t>164-GRI</t>
        </is>
      </c>
      <c r="B1186" s="10" t="inlineStr">
        <is>
          <t>ESTRATÉGICO</t>
        </is>
      </c>
      <c r="C1186" s="10" t="inlineStr">
        <is>
          <t>Gestión de Riesgos</t>
        </is>
      </c>
      <c r="D1186" s="10" t="inlineStr">
        <is>
          <t>GRI</t>
        </is>
      </c>
      <c r="E1186" s="10" t="inlineStr">
        <is>
          <t>Gestión de Continuidad del Negocio</t>
        </is>
      </c>
      <c r="F1186" s="10" t="inlineStr">
        <is>
          <t>-</t>
        </is>
      </c>
      <c r="G1186" s="10" t="inlineStr">
        <is>
          <t xml:space="preserve">Gestión Documental de Continuidad del Negocio  </t>
        </is>
      </c>
      <c r="H1186" s="10" t="inlineStr">
        <is>
          <t>Informe de Análisis de Riesgos</t>
        </is>
      </c>
      <c r="I1186" s="10" t="inlineStr">
        <is>
          <t>Informe de Análisis de Riesgos - BIA</t>
        </is>
      </c>
      <c r="J1186" s="10" t="inlineStr">
        <is>
          <t>GERENTE DE RIESGOS</t>
        </is>
      </c>
      <c r="K1186" s="10" t="inlineStr">
        <is>
          <t>ANALISTA DE RIESGO OPERATIVO</t>
        </is>
      </c>
      <c r="L1186" s="10" t="inlineStr">
        <is>
          <t>UBICACIÓN DIGITAL-EQUIPO DEL RESPONSABLE</t>
        </is>
      </c>
      <c r="M1186" s="10" t="inlineStr">
        <is>
          <t>DOCUMENTO DE ARCHIVO-ELECTRÓNICO</t>
        </is>
      </c>
      <c r="N1186" s="10" t="inlineStr">
        <is>
          <t>PRIMARIOS</t>
        </is>
      </c>
      <c r="O1186" s="10" t="inlineStr">
        <is>
          <t>DOCUMENTOS TÉCNICOS</t>
        </is>
      </c>
      <c r="P1186" s="10" t="inlineStr">
        <is>
          <t>PUBLICA(1)</t>
        </is>
      </c>
      <c r="Q1186" s="10" t="inlineStr">
        <is>
          <t>ALTA(3)</t>
        </is>
      </c>
      <c r="R1186" s="10" t="inlineStr">
        <is>
          <t>MEDIA(2)</t>
        </is>
      </c>
      <c r="S1186" s="10">
        <f>+(IF(P1186="PUBLICA(1)",1,IF(P1186="USO INTERNO(2)",2,IF(P1186="RESTRINGIDO(3)",3,3))))+(IF(Q1186="BAJA(1)",1,IF(Q1186="MEDIA(2)",2,IF(Q1186="ALTA(3)",3,3))))+(IF(R1186="BAJA(1)",1,IF(R1186="MEDIA(2)",2,IF(R1186="ALTA(3)",3,3))))</f>
        <v/>
      </c>
      <c r="T1186" s="10">
        <f>+IF(S1186&lt;6,"BAJA",IF(S1186&lt;8,"MEDIA","ALTA"))</f>
        <v/>
      </c>
      <c r="U1186" s="10" t="inlineStr">
        <is>
          <t>-</t>
        </is>
      </c>
      <c r="V1186" s="24" t="n">
        <v>45588</v>
      </c>
      <c r="W1186" s="19" t="inlineStr">
        <is>
          <t>N/A</t>
        </is>
      </c>
      <c r="X1186" s="10">
        <f>+IFERROR(IF(VLOOKUP(Tabla2[[#This Row],[ID]],'EVALUACION DE RIESGO'!A:A,1,FALSE)=Tabla2[[#This Row],[ID]],"SI","NO"),"NO")</f>
        <v/>
      </c>
      <c r="AD1186">
        <f>IF(AND(Y1186="",AA1186=""),"",IF(OR(LEFT(AA1186,2)="L0",LEFT(AA1186,2)="L1",Y1186="No Iniciado"),"CRÍTICO - Incumplimiento Normativo SEPS",IF(AND(OR(LEFT(AA1186,2)="L4",LEFT(AA1186,2)="L5"),AND(AC1186&lt;&gt;"",AC1186&lt;&gt;"N/A")),"CONFORME - Control Efectivo ISO 27001","OBSERVACIÓN - Revisar Controles")))</f>
        <v/>
      </c>
    </row>
    <row r="1187">
      <c r="A1187" s="99" t="inlineStr">
        <is>
          <t>165-GRI</t>
        </is>
      </c>
      <c r="B1187" s="10" t="inlineStr">
        <is>
          <t>ESTRATÉGICO</t>
        </is>
      </c>
      <c r="C1187" s="10" t="inlineStr">
        <is>
          <t>Gestión de Riesgos</t>
        </is>
      </c>
      <c r="D1187" s="10" t="inlineStr">
        <is>
          <t>GRI</t>
        </is>
      </c>
      <c r="E1187" s="10" t="inlineStr">
        <is>
          <t>Gestión de Continuidad del Negocio</t>
        </is>
      </c>
      <c r="F1187" s="10" t="inlineStr">
        <is>
          <t>-</t>
        </is>
      </c>
      <c r="G1187" s="10" t="inlineStr">
        <is>
          <t xml:space="preserve">Gestión Documental de Continuidad del Negocio  </t>
        </is>
      </c>
      <c r="H1187" s="10" t="inlineStr">
        <is>
          <t>Cronograma sobre la planificación de la actualización de los documentos de continuidad del Negocio.</t>
        </is>
      </c>
      <c r="I1187" s="10" t="inlineStr">
        <is>
          <t>Planificación de RO y Continuidad</t>
        </is>
      </c>
      <c r="J1187" s="10" t="inlineStr">
        <is>
          <t>GERENTE DE RIESGOS</t>
        </is>
      </c>
      <c r="K1187" s="10" t="inlineStr">
        <is>
          <t>ANALISTA DE RIESGO OPERATIVO</t>
        </is>
      </c>
      <c r="L1187" s="10" t="inlineStr">
        <is>
          <t>UBICACIÓN DIGITAL-EQUIPO DEL RESPONSABLE</t>
        </is>
      </c>
      <c r="M1187" s="10" t="inlineStr">
        <is>
          <t>DOCUMENTO DE ARCHIVO-ELECTRÓNICO</t>
        </is>
      </c>
      <c r="N1187" s="10" t="inlineStr">
        <is>
          <t>PRIMARIOS</t>
        </is>
      </c>
      <c r="O1187" s="10" t="inlineStr">
        <is>
          <t>DOCUMENTOS TÉCNICOS</t>
        </is>
      </c>
      <c r="P1187" s="10" t="inlineStr">
        <is>
          <t>PUBLICA(1)</t>
        </is>
      </c>
      <c r="Q1187" s="10" t="inlineStr">
        <is>
          <t>ALTA(3)</t>
        </is>
      </c>
      <c r="R1187" s="10" t="inlineStr">
        <is>
          <t>MEDIA(2)</t>
        </is>
      </c>
      <c r="S1187" s="10">
        <f>+(IF(P1187="PUBLICA(1)",1,IF(P1187="USO INTERNO(2)",2,IF(P1187="RESTRINGIDO(3)",3,3))))+(IF(Q1187="BAJA(1)",1,IF(Q1187="MEDIA(2)",2,IF(Q1187="ALTA(3)",3,3))))+(IF(R1187="BAJA(1)",1,IF(R1187="MEDIA(2)",2,IF(R1187="ALTA(3)",3,3))))</f>
        <v/>
      </c>
      <c r="T1187" s="10">
        <f>+IF(S1187&lt;6,"BAJA",IF(S1187&lt;8,"MEDIA","ALTA"))</f>
        <v/>
      </c>
      <c r="U1187" s="10" t="inlineStr">
        <is>
          <t>-</t>
        </is>
      </c>
      <c r="V1187" s="24" t="n">
        <v>45588</v>
      </c>
      <c r="W1187" s="19" t="inlineStr">
        <is>
          <t>N/A</t>
        </is>
      </c>
      <c r="X1187" s="10">
        <f>+IFERROR(IF(VLOOKUP(Tabla2[[#This Row],[ID]],'EVALUACION DE RIESGO'!A:A,1,FALSE)=Tabla2[[#This Row],[ID]],"SI","NO"),"NO")</f>
        <v/>
      </c>
      <c r="AD1187">
        <f>IF(AND(Y1187="",AA1187=""),"",IF(OR(LEFT(AA1187,2)="L0",LEFT(AA1187,2)="L1",Y1187="No Iniciado"),"CRÍTICO - Incumplimiento Normativo SEPS",IF(AND(OR(LEFT(AA1187,2)="L4",LEFT(AA1187,2)="L5"),AND(AC1187&lt;&gt;"",AC1187&lt;&gt;"N/A")),"CONFORME - Control Efectivo ISO 27001","OBSERVACIÓN - Revisar Controles")))</f>
        <v/>
      </c>
    </row>
    <row r="1188">
      <c r="A1188" s="99" t="inlineStr">
        <is>
          <t>166-GRI</t>
        </is>
      </c>
      <c r="B1188" s="10" t="inlineStr">
        <is>
          <t>ESTRATÉGICO</t>
        </is>
      </c>
      <c r="C1188" s="10" t="inlineStr">
        <is>
          <t>Gestión de Riesgos</t>
        </is>
      </c>
      <c r="D1188" s="10" t="inlineStr">
        <is>
          <t>GRI</t>
        </is>
      </c>
      <c r="E1188" s="10" t="inlineStr">
        <is>
          <t>Gestión de Continuidad del Negocio</t>
        </is>
      </c>
      <c r="F1188" s="10" t="inlineStr">
        <is>
          <t>-</t>
        </is>
      </c>
      <c r="G1188" s="10" t="inlineStr">
        <is>
          <t xml:space="preserve">Gestión Documental de Continuidad del Negocio  </t>
        </is>
      </c>
      <c r="H1188" s="10" t="inlineStr">
        <is>
          <t>RIE-2023-110 Pruebas mantenimiento y difusiónBCP</t>
        </is>
      </c>
      <c r="I1188" s="10" t="inlineStr">
        <is>
          <t>Resumen de la planificacion de CN</t>
        </is>
      </c>
      <c r="J1188" s="10" t="inlineStr">
        <is>
          <t>GERENTE DE RIESGOS</t>
        </is>
      </c>
      <c r="K1188" s="10" t="inlineStr">
        <is>
          <t>ANALISTA DE RIESGO OPERATIVO</t>
        </is>
      </c>
      <c r="L1188" s="10" t="inlineStr">
        <is>
          <t>UBICACIÓN DIGITAL-EQUIPO DEL RESPONSABLE</t>
        </is>
      </c>
      <c r="M1188" s="10" t="inlineStr">
        <is>
          <t>DOCUMENTO DE ARCHIVO-ELECTRÓNICO</t>
        </is>
      </c>
      <c r="N1188" s="10" t="inlineStr">
        <is>
          <t>PRIMARIOS</t>
        </is>
      </c>
      <c r="O1188" s="10" t="inlineStr">
        <is>
          <t>DOCUMENTOS TÉCNICOS</t>
        </is>
      </c>
      <c r="P1188" s="10" t="inlineStr">
        <is>
          <t>PUBLICA(1)</t>
        </is>
      </c>
      <c r="Q1188" s="10" t="inlineStr">
        <is>
          <t>ALTA(3)</t>
        </is>
      </c>
      <c r="R1188" s="10" t="inlineStr">
        <is>
          <t>MEDIA(2)</t>
        </is>
      </c>
      <c r="S1188" s="10">
        <f>+(IF(P1188="PUBLICA(1)",1,IF(P1188="USO INTERNO(2)",2,IF(P1188="RESTRINGIDO(3)",3,3))))+(IF(Q1188="BAJA(1)",1,IF(Q1188="MEDIA(2)",2,IF(Q1188="ALTA(3)",3,3))))+(IF(R1188="BAJA(1)",1,IF(R1188="MEDIA(2)",2,IF(R1188="ALTA(3)",3,3))))</f>
        <v/>
      </c>
      <c r="T1188" s="10">
        <f>+IF(S1188&lt;6,"BAJA",IF(S1188&lt;8,"MEDIA","ALTA"))</f>
        <v/>
      </c>
      <c r="U1188" s="10" t="inlineStr">
        <is>
          <t>-</t>
        </is>
      </c>
      <c r="V1188" s="24" t="n">
        <v>45588</v>
      </c>
      <c r="W1188" s="19" t="inlineStr">
        <is>
          <t>N/A</t>
        </is>
      </c>
      <c r="X1188" s="10">
        <f>+IFERROR(IF(VLOOKUP(Tabla2[[#This Row],[ID]],'EVALUACION DE RIESGO'!A:A,1,FALSE)=Tabla2[[#This Row],[ID]],"SI","NO"),"NO")</f>
        <v/>
      </c>
      <c r="AD1188">
        <f>IF(AND(Y1188="",AA1188=""),"",IF(OR(LEFT(AA1188,2)="L0",LEFT(AA1188,2)="L1",Y1188="No Iniciado"),"CRÍTICO - Incumplimiento Normativo SEPS",IF(AND(OR(LEFT(AA1188,2)="L4",LEFT(AA1188,2)="L5"),AND(AC1188&lt;&gt;"",AC1188&lt;&gt;"N/A")),"CONFORME - Control Efectivo ISO 27001","OBSERVACIÓN - Revisar Controles")))</f>
        <v/>
      </c>
    </row>
    <row r="1189">
      <c r="A1189" s="99" t="inlineStr">
        <is>
          <t>167-GRI</t>
        </is>
      </c>
      <c r="B1189" s="10" t="inlineStr">
        <is>
          <t>ESTRATÉGICO</t>
        </is>
      </c>
      <c r="C1189" s="10" t="inlineStr">
        <is>
          <t>Gestión de Riesgos</t>
        </is>
      </c>
      <c r="D1189" s="10" t="inlineStr">
        <is>
          <t>GRI</t>
        </is>
      </c>
      <c r="E1189" s="10" t="inlineStr">
        <is>
          <t>Gestión de Continuidad del Negocio</t>
        </is>
      </c>
      <c r="F1189" s="10" t="inlineStr">
        <is>
          <t>-</t>
        </is>
      </c>
      <c r="G1189" s="10" t="inlineStr">
        <is>
          <t xml:space="preserve">Gestión Documental de Continuidad del Negocio  </t>
        </is>
      </c>
      <c r="H1189" s="10" t="inlineStr">
        <is>
          <t>Plan de Continuidad del Negocio</t>
        </is>
      </c>
      <c r="I1189" s="10" t="inlineStr">
        <is>
          <t>Documento interno</t>
        </is>
      </c>
      <c r="J1189" s="10" t="inlineStr">
        <is>
          <t>GERENTE DE RIESGOS</t>
        </is>
      </c>
      <c r="K1189" s="10" t="inlineStr">
        <is>
          <t>ANALISTA DE RIESGO OPERATIVO</t>
        </is>
      </c>
      <c r="L1189" s="10" t="inlineStr">
        <is>
          <t>UBICACIÓN DIGITAL-EQUIPO DEL RESPONSABLE</t>
        </is>
      </c>
      <c r="M1189" s="10" t="inlineStr">
        <is>
          <t>DOCUMENTO DE ARCHIVO-ELECTRÓNICO</t>
        </is>
      </c>
      <c r="N1189" s="10" t="inlineStr">
        <is>
          <t>PRIMARIOS</t>
        </is>
      </c>
      <c r="O1189" s="10" t="inlineStr">
        <is>
          <t>DOCUMENTOS TÉCNICOS</t>
        </is>
      </c>
      <c r="P1189" s="10" t="inlineStr">
        <is>
          <t>PUBLICA(1)</t>
        </is>
      </c>
      <c r="Q1189" s="10" t="inlineStr">
        <is>
          <t>ALTA(3)</t>
        </is>
      </c>
      <c r="R1189" s="10" t="inlineStr">
        <is>
          <t>MEDIA(2)</t>
        </is>
      </c>
      <c r="S1189" s="10">
        <f>+(IF(P1189="PUBLICA(1)",1,IF(P1189="USO INTERNO(2)",2,IF(P1189="RESTRINGIDO(3)",3,3))))+(IF(Q1189="BAJA(1)",1,IF(Q1189="MEDIA(2)",2,IF(Q1189="ALTA(3)",3,3))))+(IF(R1189="BAJA(1)",1,IF(R1189="MEDIA(2)",2,IF(R1189="ALTA(3)",3,3))))</f>
        <v/>
      </c>
      <c r="T1189" s="10">
        <f>+IF(S1189&lt;6,"BAJA",IF(S1189&lt;8,"MEDIA","ALTA"))</f>
        <v/>
      </c>
      <c r="U1189" s="10" t="inlineStr">
        <is>
          <t>-</t>
        </is>
      </c>
      <c r="V1189" s="24" t="n">
        <v>45588</v>
      </c>
      <c r="W1189" s="19" t="inlineStr">
        <is>
          <t>N/A</t>
        </is>
      </c>
      <c r="X1189" s="10">
        <f>+IFERROR(IF(VLOOKUP(Tabla2[[#This Row],[ID]],'EVALUACION DE RIESGO'!A:A,1,FALSE)=Tabla2[[#This Row],[ID]],"SI","NO"),"NO")</f>
        <v/>
      </c>
      <c r="AD1189">
        <f>IF(AND(Y1189="",AA1189=""),"",IF(OR(LEFT(AA1189,2)="L0",LEFT(AA1189,2)="L1",Y1189="No Iniciado"),"CRÍTICO - Incumplimiento Normativo SEPS",IF(AND(OR(LEFT(AA1189,2)="L4",LEFT(AA1189,2)="L5"),AND(AC1189&lt;&gt;"",AC1189&lt;&gt;"N/A")),"CONFORME - Control Efectivo ISO 27001","OBSERVACIÓN - Revisar Controles")))</f>
        <v/>
      </c>
    </row>
    <row r="1190">
      <c r="A1190" s="99" t="inlineStr">
        <is>
          <t>168-GRI</t>
        </is>
      </c>
      <c r="B1190" s="10" t="inlineStr">
        <is>
          <t>ESTRATÉGICO</t>
        </is>
      </c>
      <c r="C1190" s="10" t="inlineStr">
        <is>
          <t>Gestión de Riesgos</t>
        </is>
      </c>
      <c r="D1190" s="10" t="inlineStr">
        <is>
          <t>GRI</t>
        </is>
      </c>
      <c r="E1190" s="10" t="inlineStr">
        <is>
          <t>Gestión de Continuidad del Negocio</t>
        </is>
      </c>
      <c r="F1190" s="10" t="inlineStr">
        <is>
          <t>-</t>
        </is>
      </c>
      <c r="G1190" s="10" t="inlineStr">
        <is>
          <t xml:space="preserve">Gestión Documental de Continuidad del Negocio  </t>
        </is>
      </c>
      <c r="H1190" s="10" t="inlineStr">
        <is>
          <t>Manual de Gestión de Continuidad del Negocio</t>
        </is>
      </c>
      <c r="I1190" s="10" t="inlineStr">
        <is>
          <t>Documento interno</t>
        </is>
      </c>
      <c r="J1190" s="10" t="inlineStr">
        <is>
          <t>GERENTE DE RIESGOS</t>
        </is>
      </c>
      <c r="K1190" s="10" t="inlineStr">
        <is>
          <t>ANALISTA DE RIESGO OPERATIVO</t>
        </is>
      </c>
      <c r="L1190" s="10" t="inlineStr">
        <is>
          <t>UBICACIÓN DIGITAL-EQUIPO DEL RESPONSABLE</t>
        </is>
      </c>
      <c r="M1190" s="10" t="inlineStr">
        <is>
          <t>DOCUMENTO DE ARCHIVO-ELECTRÓNICO</t>
        </is>
      </c>
      <c r="N1190" s="10" t="inlineStr">
        <is>
          <t>PRIMARIOS</t>
        </is>
      </c>
      <c r="O1190" s="10" t="inlineStr">
        <is>
          <t>DOCUMENTOS TÉCNICOS</t>
        </is>
      </c>
      <c r="P1190" s="10" t="inlineStr">
        <is>
          <t>PUBLICA(1)</t>
        </is>
      </c>
      <c r="Q1190" s="10" t="inlineStr">
        <is>
          <t>ALTA(3)</t>
        </is>
      </c>
      <c r="R1190" s="10" t="inlineStr">
        <is>
          <t>MEDIA(2)</t>
        </is>
      </c>
      <c r="S1190" s="10">
        <f>+(IF(P1190="PUBLICA(1)",1,IF(P1190="USO INTERNO(2)",2,IF(P1190="RESTRINGIDO(3)",3,3))))+(IF(Q1190="BAJA(1)",1,IF(Q1190="MEDIA(2)",2,IF(Q1190="ALTA(3)",3,3))))+(IF(R1190="BAJA(1)",1,IF(R1190="MEDIA(2)",2,IF(R1190="ALTA(3)",3,3))))</f>
        <v/>
      </c>
      <c r="T1190" s="10">
        <f>+IF(S1190&lt;6,"BAJA",IF(S1190&lt;8,"MEDIA","ALTA"))</f>
        <v/>
      </c>
      <c r="U1190" s="10" t="inlineStr">
        <is>
          <t>-</t>
        </is>
      </c>
      <c r="V1190" s="24" t="n">
        <v>45588</v>
      </c>
      <c r="W1190" s="19" t="inlineStr">
        <is>
          <t>N/A</t>
        </is>
      </c>
      <c r="X1190" s="10">
        <f>+IFERROR(IF(VLOOKUP(Tabla2[[#This Row],[ID]],'EVALUACION DE RIESGO'!A:A,1,FALSE)=Tabla2[[#This Row],[ID]],"SI","NO"),"NO")</f>
        <v/>
      </c>
      <c r="AD1190">
        <f>IF(AND(Y1190="",AA1190=""),"",IF(OR(LEFT(AA1190,2)="L0",LEFT(AA1190,2)="L1",Y1190="No Iniciado"),"CRÍTICO - Incumplimiento Normativo SEPS",IF(AND(OR(LEFT(AA1190,2)="L4",LEFT(AA1190,2)="L5"),AND(AC1190&lt;&gt;"",AC1190&lt;&gt;"N/A")),"CONFORME - Control Efectivo ISO 27001","OBSERVACIÓN - Revisar Controles")))</f>
        <v/>
      </c>
    </row>
    <row r="1191">
      <c r="A1191" s="99" t="inlineStr">
        <is>
          <t>169-GRI</t>
        </is>
      </c>
      <c r="B1191" s="10" t="inlineStr">
        <is>
          <t>ESTRATÉGICO</t>
        </is>
      </c>
      <c r="C1191" s="10" t="inlineStr">
        <is>
          <t>Gestión de Riesgos</t>
        </is>
      </c>
      <c r="D1191" s="10" t="inlineStr">
        <is>
          <t>GRI</t>
        </is>
      </c>
      <c r="E1191" s="10" t="inlineStr">
        <is>
          <t>Gestión de Continuidad del Negocio</t>
        </is>
      </c>
      <c r="F1191" s="10" t="inlineStr">
        <is>
          <t>-</t>
        </is>
      </c>
      <c r="G1191" s="10" t="inlineStr">
        <is>
          <t xml:space="preserve">Gestión Documental de Continuidad del Negocio  </t>
        </is>
      </c>
      <c r="H1191" s="10" t="inlineStr">
        <is>
          <t>Metodología para la Gestión de Continuidad del Negocio</t>
        </is>
      </c>
      <c r="I1191" s="10" t="inlineStr">
        <is>
          <t>Documento interno</t>
        </is>
      </c>
      <c r="J1191" s="10" t="inlineStr">
        <is>
          <t>GERENTE DE RIESGOS</t>
        </is>
      </c>
      <c r="K1191" s="10" t="inlineStr">
        <is>
          <t>ANALISTA DE RIESGO OPERATIVO</t>
        </is>
      </c>
      <c r="L1191" s="10" t="inlineStr">
        <is>
          <t>UBICACIÓN DIGITAL-EQUIPO DEL RESPONSABLE</t>
        </is>
      </c>
      <c r="M1191" s="10" t="inlineStr">
        <is>
          <t>DOCUMENTO DE ARCHIVO-ELECTRÓNICO</t>
        </is>
      </c>
      <c r="N1191" s="10" t="inlineStr">
        <is>
          <t>PRIMARIOS</t>
        </is>
      </c>
      <c r="O1191" s="10" t="inlineStr">
        <is>
          <t>DOCUMENTOS TÉCNICOS</t>
        </is>
      </c>
      <c r="P1191" s="10" t="inlineStr">
        <is>
          <t>PUBLICA(1)</t>
        </is>
      </c>
      <c r="Q1191" s="10" t="inlineStr">
        <is>
          <t>ALTA(3)</t>
        </is>
      </c>
      <c r="R1191" s="10" t="inlineStr">
        <is>
          <t>MEDIA(2)</t>
        </is>
      </c>
      <c r="S1191" s="10">
        <f>+(IF(P1191="PUBLICA(1)",1,IF(P1191="USO INTERNO(2)",2,IF(P1191="RESTRINGIDO(3)",3,3))))+(IF(Q1191="BAJA(1)",1,IF(Q1191="MEDIA(2)",2,IF(Q1191="ALTA(3)",3,3))))+(IF(R1191="BAJA(1)",1,IF(R1191="MEDIA(2)",2,IF(R1191="ALTA(3)",3,3))))</f>
        <v/>
      </c>
      <c r="T1191" s="10">
        <f>+IF(S1191&lt;6,"BAJA",IF(S1191&lt;8,"MEDIA","ALTA"))</f>
        <v/>
      </c>
      <c r="U1191" s="10" t="inlineStr">
        <is>
          <t>-</t>
        </is>
      </c>
      <c r="V1191" s="24" t="n">
        <v>45588</v>
      </c>
      <c r="W1191" s="19" t="inlineStr">
        <is>
          <t>N/A</t>
        </is>
      </c>
      <c r="X1191" s="10">
        <f>+IFERROR(IF(VLOOKUP(Tabla2[[#This Row],[ID]],'EVALUACION DE RIESGO'!A:A,1,FALSE)=Tabla2[[#This Row],[ID]],"SI","NO"),"NO")</f>
        <v/>
      </c>
      <c r="AD1191">
        <f>IF(AND(Y1191="",AA1191=""),"",IF(OR(LEFT(AA1191,2)="L0",LEFT(AA1191,2)="L1",Y1191="No Iniciado"),"CRÍTICO - Incumplimiento Normativo SEPS",IF(AND(OR(LEFT(AA1191,2)="L4",LEFT(AA1191,2)="L5"),AND(AC1191&lt;&gt;"",AC1191&lt;&gt;"N/A")),"CONFORME - Control Efectivo ISO 27001","OBSERVACIÓN - Revisar Controles")))</f>
        <v/>
      </c>
    </row>
    <row r="1192">
      <c r="A1192" s="99" t="inlineStr">
        <is>
          <t>170-GRI</t>
        </is>
      </c>
      <c r="B1192" s="10" t="inlineStr">
        <is>
          <t>ESTRATÉGICO</t>
        </is>
      </c>
      <c r="C1192" s="10" t="inlineStr">
        <is>
          <t>Gestión de Riesgos</t>
        </is>
      </c>
      <c r="D1192" s="10" t="inlineStr">
        <is>
          <t>GRI</t>
        </is>
      </c>
      <c r="E1192" s="10" t="inlineStr">
        <is>
          <t>Gestión de Continuidad del Negocio</t>
        </is>
      </c>
      <c r="F1192" s="10" t="inlineStr">
        <is>
          <t>-</t>
        </is>
      </c>
      <c r="G1192" s="10" t="inlineStr">
        <is>
          <t xml:space="preserve">Gestión Documental de Continuidad del Negocio  </t>
        </is>
      </c>
      <c r="H1192" s="10" t="inlineStr">
        <is>
          <t>Metodología BIA</t>
        </is>
      </c>
      <c r="I1192" s="10" t="inlineStr">
        <is>
          <t>Documento interno</t>
        </is>
      </c>
      <c r="J1192" s="10" t="inlineStr">
        <is>
          <t>GERENTE DE RIESGOS</t>
        </is>
      </c>
      <c r="K1192" s="10" t="inlineStr">
        <is>
          <t>ANALISTA DE RIESGO OPERATIVO</t>
        </is>
      </c>
      <c r="L1192" s="10" t="inlineStr">
        <is>
          <t>UBICACIÓN DIGITAL-EQUIPO DEL RESPONSABLE</t>
        </is>
      </c>
      <c r="M1192" s="10" t="inlineStr">
        <is>
          <t>DOCUMENTO DE ARCHIVO-ELECTRÓNICO</t>
        </is>
      </c>
      <c r="N1192" s="10" t="inlineStr">
        <is>
          <t>PRIMARIOS</t>
        </is>
      </c>
      <c r="O1192" s="10" t="inlineStr">
        <is>
          <t>DOCUMENTOS TÉCNICOS</t>
        </is>
      </c>
      <c r="P1192" s="10" t="inlineStr">
        <is>
          <t>PUBLICA(1)</t>
        </is>
      </c>
      <c r="Q1192" s="10" t="inlineStr">
        <is>
          <t>ALTA(3)</t>
        </is>
      </c>
      <c r="R1192" s="10" t="inlineStr">
        <is>
          <t>MEDIA(2)</t>
        </is>
      </c>
      <c r="S1192" s="10">
        <f>+(IF(P1192="PUBLICA(1)",1,IF(P1192="USO INTERNO(2)",2,IF(P1192="RESTRINGIDO(3)",3,3))))+(IF(Q1192="BAJA(1)",1,IF(Q1192="MEDIA(2)",2,IF(Q1192="ALTA(3)",3,3))))+(IF(R1192="BAJA(1)",1,IF(R1192="MEDIA(2)",2,IF(R1192="ALTA(3)",3,3))))</f>
        <v/>
      </c>
      <c r="T1192" s="10">
        <f>+IF(S1192&lt;6,"BAJA",IF(S1192&lt;8,"MEDIA","ALTA"))</f>
        <v/>
      </c>
      <c r="U1192" s="10" t="inlineStr">
        <is>
          <t>-</t>
        </is>
      </c>
      <c r="V1192" s="24" t="n">
        <v>45588</v>
      </c>
      <c r="W1192" s="19" t="inlineStr">
        <is>
          <t>N/A</t>
        </is>
      </c>
      <c r="X1192" s="10">
        <f>+IFERROR(IF(VLOOKUP(Tabla2[[#This Row],[ID]],'EVALUACION DE RIESGO'!A:A,1,FALSE)=Tabla2[[#This Row],[ID]],"SI","NO"),"NO")</f>
        <v/>
      </c>
      <c r="AD1192">
        <f>IF(AND(Y1192="",AA1192=""),"",IF(OR(LEFT(AA1192,2)="L0",LEFT(AA1192,2)="L1",Y1192="No Iniciado"),"CRÍTICO - Incumplimiento Normativo SEPS",IF(AND(OR(LEFT(AA1192,2)="L4",LEFT(AA1192,2)="L5"),AND(AC1192&lt;&gt;"",AC1192&lt;&gt;"N/A")),"CONFORME - Control Efectivo ISO 27001","OBSERVACIÓN - Revisar Controles")))</f>
        <v/>
      </c>
    </row>
    <row r="1193">
      <c r="A1193" s="99" t="inlineStr">
        <is>
          <t>171-GRI</t>
        </is>
      </c>
      <c r="B1193" s="10" t="inlineStr">
        <is>
          <t>ESTRATÉGICO</t>
        </is>
      </c>
      <c r="C1193" s="10" t="inlineStr">
        <is>
          <t>Gestión de Riesgos</t>
        </is>
      </c>
      <c r="D1193" s="10" t="inlineStr">
        <is>
          <t>GRI</t>
        </is>
      </c>
      <c r="E1193" s="10" t="inlineStr">
        <is>
          <t>Gestión de Continuidad del Negocio</t>
        </is>
      </c>
      <c r="F1193" s="10" t="inlineStr">
        <is>
          <t>-</t>
        </is>
      </c>
      <c r="G1193" s="10" t="inlineStr">
        <is>
          <t xml:space="preserve">Gestión Documental de Continuidad del Negocio  </t>
        </is>
      </c>
      <c r="H1193" s="10" t="inlineStr">
        <is>
          <t>Plan de Contingencia Tecnología de la Información</t>
        </is>
      </c>
      <c r="I1193" s="10" t="inlineStr">
        <is>
          <t>Documento interno</t>
        </is>
      </c>
      <c r="J1193" s="10" t="inlineStr">
        <is>
          <t>GERENTE DE RIESGOS</t>
        </is>
      </c>
      <c r="K1193" s="10" t="inlineStr">
        <is>
          <t>ANALISTA DE RIESGO OPERATIVO</t>
        </is>
      </c>
      <c r="L1193" s="10" t="inlineStr">
        <is>
          <t>UBICACIÓN DIGITAL-EQUIPO DEL RESPONSABLE</t>
        </is>
      </c>
      <c r="M1193" s="10" t="inlineStr">
        <is>
          <t>DOCUMENTO DE ARCHIVO-ELECTRÓNICO</t>
        </is>
      </c>
      <c r="N1193" s="10" t="inlineStr">
        <is>
          <t>PRIMARIOS</t>
        </is>
      </c>
      <c r="O1193" s="10" t="inlineStr">
        <is>
          <t>DOCUMENTOS TÉCNICOS</t>
        </is>
      </c>
      <c r="P1193" s="10" t="inlineStr">
        <is>
          <t>PUBLICA(1)</t>
        </is>
      </c>
      <c r="Q1193" s="10" t="inlineStr">
        <is>
          <t>ALTA(3)</t>
        </is>
      </c>
      <c r="R1193" s="10" t="inlineStr">
        <is>
          <t>MEDIA(2)</t>
        </is>
      </c>
      <c r="S1193" s="10">
        <f>+(IF(P1193="PUBLICA(1)",1,IF(P1193="USO INTERNO(2)",2,IF(P1193="RESTRINGIDO(3)",3,3))))+(IF(Q1193="BAJA(1)",1,IF(Q1193="MEDIA(2)",2,IF(Q1193="ALTA(3)",3,3))))+(IF(R1193="BAJA(1)",1,IF(R1193="MEDIA(2)",2,IF(R1193="ALTA(3)",3,3))))</f>
        <v/>
      </c>
      <c r="T1193" s="10">
        <f>+IF(S1193&lt;6,"BAJA",IF(S1193&lt;8,"MEDIA","ALTA"))</f>
        <v/>
      </c>
      <c r="U1193" s="10" t="inlineStr">
        <is>
          <t>-</t>
        </is>
      </c>
      <c r="V1193" s="24" t="n">
        <v>45588</v>
      </c>
      <c r="W1193" s="19" t="inlineStr">
        <is>
          <t>N/A</t>
        </is>
      </c>
      <c r="X1193" s="10">
        <f>+IFERROR(IF(VLOOKUP(Tabla2[[#This Row],[ID]],'EVALUACION DE RIESGO'!A:A,1,FALSE)=Tabla2[[#This Row],[ID]],"SI","NO"),"NO")</f>
        <v/>
      </c>
      <c r="AD1193">
        <f>IF(AND(Y1193="",AA1193=""),"",IF(OR(LEFT(AA1193,2)="L0",LEFT(AA1193,2)="L1",Y1193="No Iniciado"),"CRÍTICO - Incumplimiento Normativo SEPS",IF(AND(OR(LEFT(AA1193,2)="L4",LEFT(AA1193,2)="L5"),AND(AC1193&lt;&gt;"",AC1193&lt;&gt;"N/A")),"CONFORME - Control Efectivo ISO 27001","OBSERVACIÓN - Revisar Controles")))</f>
        <v/>
      </c>
    </row>
    <row r="1194">
      <c r="A1194" s="99" t="inlineStr">
        <is>
          <t>172-GRI</t>
        </is>
      </c>
      <c r="B1194" s="10" t="inlineStr">
        <is>
          <t>ESTRATÉGICO</t>
        </is>
      </c>
      <c r="C1194" s="10" t="inlineStr">
        <is>
          <t>Gestión de Riesgos</t>
        </is>
      </c>
      <c r="D1194" s="10" t="inlineStr">
        <is>
          <t>GRI</t>
        </is>
      </c>
      <c r="E1194" s="10" t="inlineStr">
        <is>
          <t>Gestión de Continuidad del Negocio</t>
        </is>
      </c>
      <c r="F1194" s="10" t="inlineStr">
        <is>
          <t>-</t>
        </is>
      </c>
      <c r="G1194" s="10" t="inlineStr">
        <is>
          <t xml:space="preserve">Gestión Documental de Continuidad del Negocio  </t>
        </is>
      </c>
      <c r="H1194" s="10" t="inlineStr">
        <is>
          <t>Plan de Comunicación en Crisis</t>
        </is>
      </c>
      <c r="I1194" s="10" t="inlineStr">
        <is>
          <t>Documento interno</t>
        </is>
      </c>
      <c r="J1194" s="10" t="inlineStr">
        <is>
          <t>GERENTE DE RIESGOS</t>
        </is>
      </c>
      <c r="K1194" s="10" t="inlineStr">
        <is>
          <t>ANALISTA DE RIESGO OPERATIVO</t>
        </is>
      </c>
      <c r="L1194" s="10" t="inlineStr">
        <is>
          <t>UBICACIÓN DIGITAL-EQUIPO DEL RESPONSABLE</t>
        </is>
      </c>
      <c r="M1194" s="10" t="inlineStr">
        <is>
          <t>DOCUMENTO DE ARCHIVO-ELECTRÓNICO</t>
        </is>
      </c>
      <c r="N1194" s="10" t="inlineStr">
        <is>
          <t>PRIMARIOS</t>
        </is>
      </c>
      <c r="O1194" s="10" t="inlineStr">
        <is>
          <t>DOCUMENTOS TÉCNICOS</t>
        </is>
      </c>
      <c r="P1194" s="10" t="inlineStr">
        <is>
          <t>PUBLICA(1)</t>
        </is>
      </c>
      <c r="Q1194" s="10" t="inlineStr">
        <is>
          <t>ALTA(3)</t>
        </is>
      </c>
      <c r="R1194" s="10" t="inlineStr">
        <is>
          <t>MEDIA(2)</t>
        </is>
      </c>
      <c r="S1194" s="10">
        <f>+(IF(P1194="PUBLICA(1)",1,IF(P1194="USO INTERNO(2)",2,IF(P1194="RESTRINGIDO(3)",3,3))))+(IF(Q1194="BAJA(1)",1,IF(Q1194="MEDIA(2)",2,IF(Q1194="ALTA(3)",3,3))))+(IF(R1194="BAJA(1)",1,IF(R1194="MEDIA(2)",2,IF(R1194="ALTA(3)",3,3))))</f>
        <v/>
      </c>
      <c r="T1194" s="10">
        <f>+IF(S1194&lt;6,"BAJA",IF(S1194&lt;8,"MEDIA","ALTA"))</f>
        <v/>
      </c>
      <c r="U1194" s="10" t="inlineStr">
        <is>
          <t>-</t>
        </is>
      </c>
      <c r="V1194" s="24" t="n">
        <v>45588</v>
      </c>
      <c r="W1194" s="19" t="inlineStr">
        <is>
          <t>N/A</t>
        </is>
      </c>
      <c r="X1194" s="10">
        <f>+IFERROR(IF(VLOOKUP(Tabla2[[#This Row],[ID]],'EVALUACION DE RIESGO'!A:A,1,FALSE)=Tabla2[[#This Row],[ID]],"SI","NO"),"NO")</f>
        <v/>
      </c>
      <c r="AD1194">
        <f>IF(AND(Y1194="",AA1194=""),"",IF(OR(LEFT(AA1194,2)="L0",LEFT(AA1194,2)="L1",Y1194="No Iniciado"),"CRÍTICO - Incumplimiento Normativo SEPS",IF(AND(OR(LEFT(AA1194,2)="L4",LEFT(AA1194,2)="L5"),AND(AC1194&lt;&gt;"",AC1194&lt;&gt;"N/A")),"CONFORME - Control Efectivo ISO 27001","OBSERVACIÓN - Revisar Controles")))</f>
        <v/>
      </c>
    </row>
    <row r="1195">
      <c r="A1195" s="99" t="inlineStr">
        <is>
          <t>173-GRI</t>
        </is>
      </c>
      <c r="B1195" s="10" t="inlineStr">
        <is>
          <t>ESTRATÉGICO</t>
        </is>
      </c>
      <c r="C1195" s="10" t="inlineStr">
        <is>
          <t>Gestión de Riesgos</t>
        </is>
      </c>
      <c r="D1195" s="10" t="inlineStr">
        <is>
          <t>GRI</t>
        </is>
      </c>
      <c r="E1195" s="10" t="inlineStr">
        <is>
          <t>Gestión de Continuidad del Negocio</t>
        </is>
      </c>
      <c r="F1195" s="10" t="inlineStr">
        <is>
          <t>-</t>
        </is>
      </c>
      <c r="G1195" s="10" t="inlineStr">
        <is>
          <t xml:space="preserve">Gestión Documental de Continuidad del Negocio  </t>
        </is>
      </c>
      <c r="H1195" s="10" t="inlineStr">
        <is>
          <t>Plan de Contingencia Operaciones - Trans. Ventanilla</t>
        </is>
      </c>
      <c r="I1195" s="10" t="inlineStr">
        <is>
          <t>Documento interno</t>
        </is>
      </c>
      <c r="J1195" s="10" t="inlineStr">
        <is>
          <t>GERENTE DE RIESGOS</t>
        </is>
      </c>
      <c r="K1195" s="10" t="inlineStr">
        <is>
          <t>ANALISTA DE RIESGO OPERATIVO</t>
        </is>
      </c>
      <c r="L1195" s="10" t="inlineStr">
        <is>
          <t>UBICACIÓN DIGITAL-EQUIPO DEL RESPONSABLE</t>
        </is>
      </c>
      <c r="M1195" s="10" t="inlineStr">
        <is>
          <t>DOCUMENTO DE ARCHIVO-ELECTRÓNICO</t>
        </is>
      </c>
      <c r="N1195" s="10" t="inlineStr">
        <is>
          <t>PRIMARIOS</t>
        </is>
      </c>
      <c r="O1195" s="10" t="inlineStr">
        <is>
          <t>DOCUMENTOS TÉCNICOS</t>
        </is>
      </c>
      <c r="P1195" s="10" t="inlineStr">
        <is>
          <t>PUBLICA(1)</t>
        </is>
      </c>
      <c r="Q1195" s="10" t="inlineStr">
        <is>
          <t>ALTA(3)</t>
        </is>
      </c>
      <c r="R1195" s="10" t="inlineStr">
        <is>
          <t>MEDIA(2)</t>
        </is>
      </c>
      <c r="S1195" s="10">
        <f>+(IF(P1195="PUBLICA(1)",1,IF(P1195="USO INTERNO(2)",2,IF(P1195="RESTRINGIDO(3)",3,3))))+(IF(Q1195="BAJA(1)",1,IF(Q1195="MEDIA(2)",2,IF(Q1195="ALTA(3)",3,3))))+(IF(R1195="BAJA(1)",1,IF(R1195="MEDIA(2)",2,IF(R1195="ALTA(3)",3,3))))</f>
        <v/>
      </c>
      <c r="T1195" s="10">
        <f>+IF(S1195&lt;6,"BAJA",IF(S1195&lt;8,"MEDIA","ALTA"))</f>
        <v/>
      </c>
      <c r="U1195" s="10" t="inlineStr">
        <is>
          <t>-</t>
        </is>
      </c>
      <c r="V1195" s="24" t="n">
        <v>45588</v>
      </c>
      <c r="W1195" s="19" t="inlineStr">
        <is>
          <t>N/A</t>
        </is>
      </c>
      <c r="X1195" s="10">
        <f>+IFERROR(IF(VLOOKUP(Tabla2[[#This Row],[ID]],'EVALUACION DE RIESGO'!A:A,1,FALSE)=Tabla2[[#This Row],[ID]],"SI","NO"),"NO")</f>
        <v/>
      </c>
      <c r="AD1195">
        <f>IF(AND(Y1195="",AA1195=""),"",IF(OR(LEFT(AA1195,2)="L0",LEFT(AA1195,2)="L1",Y1195="No Iniciado"),"CRÍTICO - Incumplimiento Normativo SEPS",IF(AND(OR(LEFT(AA1195,2)="L4",LEFT(AA1195,2)="L5"),AND(AC1195&lt;&gt;"",AC1195&lt;&gt;"N/A")),"CONFORME - Control Efectivo ISO 27001","OBSERVACIÓN - Revisar Controles")))</f>
        <v/>
      </c>
    </row>
    <row r="1196">
      <c r="A1196" s="99" t="inlineStr">
        <is>
          <t>174-GRI</t>
        </is>
      </c>
      <c r="B1196" s="10" t="inlineStr">
        <is>
          <t>ESTRATÉGICO</t>
        </is>
      </c>
      <c r="C1196" s="10" t="inlineStr">
        <is>
          <t>Gestión de Riesgos</t>
        </is>
      </c>
      <c r="D1196" s="10" t="inlineStr">
        <is>
          <t>GRI</t>
        </is>
      </c>
      <c r="E1196" s="10" t="inlineStr">
        <is>
          <t>Gestión de Continuidad del Negocio</t>
        </is>
      </c>
      <c r="F1196" s="10" t="inlineStr">
        <is>
          <t>-</t>
        </is>
      </c>
      <c r="G1196" s="10" t="inlineStr">
        <is>
          <t xml:space="preserve">Gestión Documental de Continuidad del Negocio  </t>
        </is>
      </c>
      <c r="H1196" s="10" t="inlineStr">
        <is>
          <t>Plan de Contingencia por Cierre de Carreteras y Suspensión de Transporte</t>
        </is>
      </c>
      <c r="I1196" s="10" t="inlineStr">
        <is>
          <t>Documento interno</t>
        </is>
      </c>
      <c r="J1196" s="10" t="inlineStr">
        <is>
          <t>GERENTE DE RIESGOS</t>
        </is>
      </c>
      <c r="K1196" s="10" t="inlineStr">
        <is>
          <t>ANALISTA DE RIESGO OPERATIVO</t>
        </is>
      </c>
      <c r="L1196" s="10" t="inlineStr">
        <is>
          <t>UBICACIÓN DIGITAL-EQUIPO DEL RESPONSABLE</t>
        </is>
      </c>
      <c r="M1196" s="10" t="inlineStr">
        <is>
          <t>DOCUMENTO DE ARCHIVO-ELECTRÓNICO</t>
        </is>
      </c>
      <c r="N1196" s="10" t="inlineStr">
        <is>
          <t>PRIMARIOS</t>
        </is>
      </c>
      <c r="O1196" s="10" t="inlineStr">
        <is>
          <t>DOCUMENTOS TÉCNICOS</t>
        </is>
      </c>
      <c r="P1196" s="10" t="inlineStr">
        <is>
          <t>PUBLICA(1)</t>
        </is>
      </c>
      <c r="Q1196" s="10" t="inlineStr">
        <is>
          <t>ALTA(3)</t>
        </is>
      </c>
      <c r="R1196" s="10" t="inlineStr">
        <is>
          <t>MEDIA(2)</t>
        </is>
      </c>
      <c r="S1196" s="10">
        <f>+(IF(P1196="PUBLICA(1)",1,IF(P1196="USO INTERNO(2)",2,IF(P1196="RESTRINGIDO(3)",3,3))))+(IF(Q1196="BAJA(1)",1,IF(Q1196="MEDIA(2)",2,IF(Q1196="ALTA(3)",3,3))))+(IF(R1196="BAJA(1)",1,IF(R1196="MEDIA(2)",2,IF(R1196="ALTA(3)",3,3))))</f>
        <v/>
      </c>
      <c r="T1196" s="10">
        <f>+IF(S1196&lt;6,"BAJA",IF(S1196&lt;8,"MEDIA","ALTA"))</f>
        <v/>
      </c>
      <c r="U1196" s="10" t="inlineStr">
        <is>
          <t>-</t>
        </is>
      </c>
      <c r="V1196" s="24" t="n">
        <v>45588</v>
      </c>
      <c r="W1196" s="19" t="inlineStr">
        <is>
          <t>N/A</t>
        </is>
      </c>
      <c r="X1196" s="10">
        <f>+IFERROR(IF(VLOOKUP(Tabla2[[#This Row],[ID]],'EVALUACION DE RIESGO'!A:A,1,FALSE)=Tabla2[[#This Row],[ID]],"SI","NO"),"NO")</f>
        <v/>
      </c>
      <c r="AD1196">
        <f>IF(AND(Y1196="",AA1196=""),"",IF(OR(LEFT(AA1196,2)="L0",LEFT(AA1196,2)="L1",Y1196="No Iniciado"),"CRÍTICO - Incumplimiento Normativo SEPS",IF(AND(OR(LEFT(AA1196,2)="L4",LEFT(AA1196,2)="L5"),AND(AC1196&lt;&gt;"",AC1196&lt;&gt;"N/A")),"CONFORME - Control Efectivo ISO 27001","OBSERVACIÓN - Revisar Controles")))</f>
        <v/>
      </c>
    </row>
    <row r="1197">
      <c r="A1197" s="99" t="inlineStr">
        <is>
          <t>175-GRI</t>
        </is>
      </c>
      <c r="B1197" s="10" t="inlineStr">
        <is>
          <t>ESTRATÉGICO</t>
        </is>
      </c>
      <c r="C1197" s="10" t="inlineStr">
        <is>
          <t>Gestión de Riesgos</t>
        </is>
      </c>
      <c r="D1197" s="10" t="inlineStr">
        <is>
          <t>GRI</t>
        </is>
      </c>
      <c r="E1197" s="10" t="inlineStr">
        <is>
          <t>Gestión de Continuidad del Negocio</t>
        </is>
      </c>
      <c r="F1197" s="10" t="inlineStr">
        <is>
          <t>-</t>
        </is>
      </c>
      <c r="G1197" s="10" t="inlineStr">
        <is>
          <t xml:space="preserve">Gestión Documental de Continuidad del Negocio  </t>
        </is>
      </c>
      <c r="H1197" s="10" t="inlineStr">
        <is>
          <t>Plan de Contingencia Riesgo de Mercado</t>
        </is>
      </c>
      <c r="I1197" s="10" t="inlineStr">
        <is>
          <t>Documento interno</t>
        </is>
      </c>
      <c r="J1197" s="10" t="inlineStr">
        <is>
          <t>GERENTE DE RIESGOS</t>
        </is>
      </c>
      <c r="K1197" s="10" t="inlineStr">
        <is>
          <t>ANALISTA DE RIESGO OPERATIVO</t>
        </is>
      </c>
      <c r="L1197" s="10" t="inlineStr">
        <is>
          <t>UBICACIÓN DIGITAL-EQUIPO DEL RESPONSABLE</t>
        </is>
      </c>
      <c r="M1197" s="10" t="inlineStr">
        <is>
          <t>DOCUMENTO DE ARCHIVO-ELECTRÓNICO</t>
        </is>
      </c>
      <c r="N1197" s="10" t="inlineStr">
        <is>
          <t>PRIMARIOS</t>
        </is>
      </c>
      <c r="O1197" s="10" t="inlineStr">
        <is>
          <t>DOCUMENTOS TÉCNICOS</t>
        </is>
      </c>
      <c r="P1197" s="10" t="inlineStr">
        <is>
          <t>PUBLICA(1)</t>
        </is>
      </c>
      <c r="Q1197" s="10" t="inlineStr">
        <is>
          <t>ALTA(3)</t>
        </is>
      </c>
      <c r="R1197" s="10" t="inlineStr">
        <is>
          <t>MEDIA(2)</t>
        </is>
      </c>
      <c r="S1197" s="10">
        <f>+(IF(P1197="PUBLICA(1)",1,IF(P1197="USO INTERNO(2)",2,IF(P1197="RESTRINGIDO(3)",3,3))))+(IF(Q1197="BAJA(1)",1,IF(Q1197="MEDIA(2)",2,IF(Q1197="ALTA(3)",3,3))))+(IF(R1197="BAJA(1)",1,IF(R1197="MEDIA(2)",2,IF(R1197="ALTA(3)",3,3))))</f>
        <v/>
      </c>
      <c r="T1197" s="10">
        <f>+IF(S1197&lt;6,"BAJA",IF(S1197&lt;8,"MEDIA","ALTA"))</f>
        <v/>
      </c>
      <c r="U1197" s="10" t="inlineStr">
        <is>
          <t>-</t>
        </is>
      </c>
      <c r="V1197" s="24" t="n">
        <v>45588</v>
      </c>
      <c r="W1197" s="19" t="inlineStr">
        <is>
          <t>N/A</t>
        </is>
      </c>
      <c r="X1197" s="10">
        <f>+IFERROR(IF(VLOOKUP(Tabla2[[#This Row],[ID]],'EVALUACION DE RIESGO'!A:A,1,FALSE)=Tabla2[[#This Row],[ID]],"SI","NO"),"NO")</f>
        <v/>
      </c>
      <c r="AD1197">
        <f>IF(AND(Y1197="",AA1197=""),"",IF(OR(LEFT(AA1197,2)="L0",LEFT(AA1197,2)="L1",Y1197="No Iniciado"),"CRÍTICO - Incumplimiento Normativo SEPS",IF(AND(OR(LEFT(AA1197,2)="L4",LEFT(AA1197,2)="L5"),AND(AC1197&lt;&gt;"",AC1197&lt;&gt;"N/A")),"CONFORME - Control Efectivo ISO 27001","OBSERVACIÓN - Revisar Controles")))</f>
        <v/>
      </c>
    </row>
    <row r="1198">
      <c r="A1198" s="99" t="inlineStr">
        <is>
          <t>176-GRI</t>
        </is>
      </c>
      <c r="B1198" s="10" t="inlineStr">
        <is>
          <t>ESTRATÉGICO</t>
        </is>
      </c>
      <c r="C1198" s="10" t="inlineStr">
        <is>
          <t>Gestión de Riesgos</t>
        </is>
      </c>
      <c r="D1198" s="10" t="inlineStr">
        <is>
          <t>GRI</t>
        </is>
      </c>
      <c r="E1198" s="10" t="inlineStr">
        <is>
          <t>Gestión de Continuidad del Negocio</t>
        </is>
      </c>
      <c r="F1198" s="10" t="inlineStr">
        <is>
          <t>-</t>
        </is>
      </c>
      <c r="G1198" s="10" t="inlineStr">
        <is>
          <t xml:space="preserve">Gestión Documental de Continuidad del Negocio  </t>
        </is>
      </c>
      <c r="H1198" s="10" t="inlineStr">
        <is>
          <t>Plan de Contingencia - Pandemias</t>
        </is>
      </c>
      <c r="I1198" s="10" t="inlineStr">
        <is>
          <t>Documento interno</t>
        </is>
      </c>
      <c r="J1198" s="10" t="inlineStr">
        <is>
          <t>GERENTE DE RIESGOS</t>
        </is>
      </c>
      <c r="K1198" s="10" t="inlineStr">
        <is>
          <t>ANALISTA DE RIESGO OPERATIVO</t>
        </is>
      </c>
      <c r="L1198" s="10" t="inlineStr">
        <is>
          <t>UBICACIÓN DIGITAL-EQUIPO DEL RESPONSABLE</t>
        </is>
      </c>
      <c r="M1198" s="10" t="inlineStr">
        <is>
          <t>DOCUMENTO DE ARCHIVO-ELECTRÓNICO</t>
        </is>
      </c>
      <c r="N1198" s="10" t="inlineStr">
        <is>
          <t>PRIMARIOS</t>
        </is>
      </c>
      <c r="O1198" s="10" t="inlineStr">
        <is>
          <t>DOCUMENTOS TÉCNICOS</t>
        </is>
      </c>
      <c r="P1198" s="10" t="inlineStr">
        <is>
          <t>PUBLICA(1)</t>
        </is>
      </c>
      <c r="Q1198" s="10" t="inlineStr">
        <is>
          <t>ALTA(3)</t>
        </is>
      </c>
      <c r="R1198" s="10" t="inlineStr">
        <is>
          <t>MEDIA(2)</t>
        </is>
      </c>
      <c r="S1198" s="10">
        <f>+(IF(P1198="PUBLICA(1)",1,IF(P1198="USO INTERNO(2)",2,IF(P1198="RESTRINGIDO(3)",3,3))))+(IF(Q1198="BAJA(1)",1,IF(Q1198="MEDIA(2)",2,IF(Q1198="ALTA(3)",3,3))))+(IF(R1198="BAJA(1)",1,IF(R1198="MEDIA(2)",2,IF(R1198="ALTA(3)",3,3))))</f>
        <v/>
      </c>
      <c r="T1198" s="10">
        <f>+IF(S1198&lt;6,"BAJA",IF(S1198&lt;8,"MEDIA","ALTA"))</f>
        <v/>
      </c>
      <c r="U1198" s="10" t="inlineStr">
        <is>
          <t>-</t>
        </is>
      </c>
      <c r="V1198" s="24" t="n">
        <v>45588</v>
      </c>
      <c r="W1198" s="19" t="inlineStr">
        <is>
          <t>N/A</t>
        </is>
      </c>
      <c r="X1198" s="10">
        <f>+IFERROR(IF(VLOOKUP(Tabla2[[#This Row],[ID]],'EVALUACION DE RIESGO'!A:A,1,FALSE)=Tabla2[[#This Row],[ID]],"SI","NO"),"NO")</f>
        <v/>
      </c>
      <c r="AD1198">
        <f>IF(AND(Y1198="",AA1198=""),"",IF(OR(LEFT(AA1198,2)="L0",LEFT(AA1198,2)="L1",Y1198="No Iniciado"),"CRÍTICO - Incumplimiento Normativo SEPS",IF(AND(OR(LEFT(AA1198,2)="L4",LEFT(AA1198,2)="L5"),AND(AC1198&lt;&gt;"",AC1198&lt;&gt;"N/A")),"CONFORME - Control Efectivo ISO 27001","OBSERVACIÓN - Revisar Controles")))</f>
        <v/>
      </c>
    </row>
    <row r="1199">
      <c r="A1199" s="99" t="inlineStr">
        <is>
          <t>177-GRI</t>
        </is>
      </c>
      <c r="B1199" s="10" t="inlineStr">
        <is>
          <t>ESTRATÉGICO</t>
        </is>
      </c>
      <c r="C1199" s="10" t="inlineStr">
        <is>
          <t>Gestión de Riesgos</t>
        </is>
      </c>
      <c r="D1199" s="10" t="inlineStr">
        <is>
          <t>GRI</t>
        </is>
      </c>
      <c r="E1199" s="10" t="inlineStr">
        <is>
          <t>Gestión de Continuidad del Negocio</t>
        </is>
      </c>
      <c r="F1199" s="10" t="inlineStr">
        <is>
          <t>-</t>
        </is>
      </c>
      <c r="G1199" s="10" t="inlineStr">
        <is>
          <t xml:space="preserve">Gestión Documental de Continuidad del Negocio  </t>
        </is>
      </c>
      <c r="H1199" s="10" t="inlineStr">
        <is>
          <t>Plan de Contingencia frente a Robo y Asalto</t>
        </is>
      </c>
      <c r="I1199" s="10" t="inlineStr">
        <is>
          <t>Documento interno</t>
        </is>
      </c>
      <c r="J1199" s="10" t="inlineStr">
        <is>
          <t>GERENTE DE RIESGOS</t>
        </is>
      </c>
      <c r="K1199" s="10" t="inlineStr">
        <is>
          <t>ANALISTA DE RIESGO OPERATIVO</t>
        </is>
      </c>
      <c r="L1199" s="10" t="inlineStr">
        <is>
          <t>UBICACIÓN DIGITAL-EQUIPO DEL RESPONSABLE</t>
        </is>
      </c>
      <c r="M1199" s="10" t="inlineStr">
        <is>
          <t>DOCUMENTO DE ARCHIVO-ELECTRÓNICO</t>
        </is>
      </c>
      <c r="N1199" s="10" t="inlineStr">
        <is>
          <t>PRIMARIOS</t>
        </is>
      </c>
      <c r="O1199" s="10" t="inlineStr">
        <is>
          <t>DOCUMENTOS TÉCNICOS</t>
        </is>
      </c>
      <c r="P1199" s="10" t="inlineStr">
        <is>
          <t>PUBLICA(1)</t>
        </is>
      </c>
      <c r="Q1199" s="10" t="inlineStr">
        <is>
          <t>ALTA(3)</t>
        </is>
      </c>
      <c r="R1199" s="10" t="inlineStr">
        <is>
          <t>MEDIA(2)</t>
        </is>
      </c>
      <c r="S1199" s="10">
        <f>+(IF(P1199="PUBLICA(1)",1,IF(P1199="USO INTERNO(2)",2,IF(P1199="RESTRINGIDO(3)",3,3))))+(IF(Q1199="BAJA(1)",1,IF(Q1199="MEDIA(2)",2,IF(Q1199="ALTA(3)",3,3))))+(IF(R1199="BAJA(1)",1,IF(R1199="MEDIA(2)",2,IF(R1199="ALTA(3)",3,3))))</f>
        <v/>
      </c>
      <c r="T1199" s="10">
        <f>+IF(S1199&lt;6,"BAJA",IF(S1199&lt;8,"MEDIA","ALTA"))</f>
        <v/>
      </c>
      <c r="U1199" s="10" t="inlineStr">
        <is>
          <t>-</t>
        </is>
      </c>
      <c r="V1199" s="24" t="n">
        <v>45588</v>
      </c>
      <c r="W1199" s="19" t="inlineStr">
        <is>
          <t>N/A</t>
        </is>
      </c>
      <c r="X1199" s="10">
        <f>+IFERROR(IF(VLOOKUP(Tabla2[[#This Row],[ID]],'EVALUACION DE RIESGO'!A:A,1,FALSE)=Tabla2[[#This Row],[ID]],"SI","NO"),"NO")</f>
        <v/>
      </c>
      <c r="AD1199">
        <f>IF(AND(Y1199="",AA1199=""),"",IF(OR(LEFT(AA1199,2)="L0",LEFT(AA1199,2)="L1",Y1199="No Iniciado"),"CRÍTICO - Incumplimiento Normativo SEPS",IF(AND(OR(LEFT(AA1199,2)="L4",LEFT(AA1199,2)="L5"),AND(AC1199&lt;&gt;"",AC1199&lt;&gt;"N/A")),"CONFORME - Control Efectivo ISO 27001","OBSERVACIÓN - Revisar Controles")))</f>
        <v/>
      </c>
    </row>
    <row r="1200">
      <c r="A1200" s="99" t="inlineStr">
        <is>
          <t>178-GRI</t>
        </is>
      </c>
      <c r="B1200" s="10" t="inlineStr">
        <is>
          <t>ESTRATÉGICO</t>
        </is>
      </c>
      <c r="C1200" s="10" t="inlineStr">
        <is>
          <t>Gestión de Riesgos</t>
        </is>
      </c>
      <c r="D1200" s="10" t="inlineStr">
        <is>
          <t>GRI</t>
        </is>
      </c>
      <c r="E1200" s="10" t="inlineStr">
        <is>
          <t>Gestión de Continuidad del Negocio</t>
        </is>
      </c>
      <c r="F1200" s="10" t="inlineStr">
        <is>
          <t>-</t>
        </is>
      </c>
      <c r="G1200" s="10" t="inlineStr">
        <is>
          <t xml:space="preserve">Gestión Documental de Continuidad del Negocio  </t>
        </is>
      </c>
      <c r="H1200" s="10" t="inlineStr">
        <is>
          <t>Plan de Contingencia ante la Erupción del Volcán Cotopaxi</t>
        </is>
      </c>
      <c r="I1200" s="10" t="inlineStr">
        <is>
          <t>Documento interno</t>
        </is>
      </c>
      <c r="J1200" s="10" t="inlineStr">
        <is>
          <t>GERENTE DE RIESGOS</t>
        </is>
      </c>
      <c r="K1200" s="10" t="inlineStr">
        <is>
          <t>ANALISTA DE RIESGO OPERATIVO</t>
        </is>
      </c>
      <c r="L1200" s="10" t="inlineStr">
        <is>
          <t>UBICACIÓN DIGITAL-EQUIPO DEL RESPONSABLE</t>
        </is>
      </c>
      <c r="M1200" s="10" t="inlineStr">
        <is>
          <t>DOCUMENTO DE ARCHIVO-ELECTRÓNICO</t>
        </is>
      </c>
      <c r="N1200" s="10" t="inlineStr">
        <is>
          <t>PRIMARIOS</t>
        </is>
      </c>
      <c r="O1200" s="10" t="inlineStr">
        <is>
          <t>DOCUMENTOS TÉCNICOS</t>
        </is>
      </c>
      <c r="P1200" s="10" t="inlineStr">
        <is>
          <t>PUBLICA(1)</t>
        </is>
      </c>
      <c r="Q1200" s="10" t="inlineStr">
        <is>
          <t>ALTA(3)</t>
        </is>
      </c>
      <c r="R1200" s="10" t="inlineStr">
        <is>
          <t>MEDIA(2)</t>
        </is>
      </c>
      <c r="S1200" s="10">
        <f>+(IF(P1200="PUBLICA(1)",1,IF(P1200="USO INTERNO(2)",2,IF(P1200="RESTRINGIDO(3)",3,3))))+(IF(Q1200="BAJA(1)",1,IF(Q1200="MEDIA(2)",2,IF(Q1200="ALTA(3)",3,3))))+(IF(R1200="BAJA(1)",1,IF(R1200="MEDIA(2)",2,IF(R1200="ALTA(3)",3,3))))</f>
        <v/>
      </c>
      <c r="T1200" s="10">
        <f>+IF(S1200&lt;6,"BAJA",IF(S1200&lt;8,"MEDIA","ALTA"))</f>
        <v/>
      </c>
      <c r="U1200" s="10" t="inlineStr">
        <is>
          <t>-</t>
        </is>
      </c>
      <c r="V1200" s="24" t="n">
        <v>45588</v>
      </c>
      <c r="W1200" s="19" t="inlineStr">
        <is>
          <t>N/A</t>
        </is>
      </c>
      <c r="X1200" s="10">
        <f>+IFERROR(IF(VLOOKUP(Tabla2[[#This Row],[ID]],'EVALUACION DE RIESGO'!A:A,1,FALSE)=Tabla2[[#This Row],[ID]],"SI","NO"),"NO")</f>
        <v/>
      </c>
      <c r="AD1200">
        <f>IF(AND(Y1200="",AA1200=""),"",IF(OR(LEFT(AA1200,2)="L0",LEFT(AA1200,2)="L1",Y1200="No Iniciado"),"CRÍTICO - Incumplimiento Normativo SEPS",IF(AND(OR(LEFT(AA1200,2)="L4",LEFT(AA1200,2)="L5"),AND(AC1200&lt;&gt;"",AC1200&lt;&gt;"N/A")),"CONFORME - Control Efectivo ISO 27001","OBSERVACIÓN - Revisar Controles")))</f>
        <v/>
      </c>
    </row>
    <row r="1201">
      <c r="A1201" s="99" t="inlineStr">
        <is>
          <t>179-GRI</t>
        </is>
      </c>
      <c r="B1201" s="10" t="inlineStr">
        <is>
          <t>ESTRATÉGICO</t>
        </is>
      </c>
      <c r="C1201" s="10" t="inlineStr">
        <is>
          <t>Gestión de Riesgos</t>
        </is>
      </c>
      <c r="D1201" s="10" t="inlineStr">
        <is>
          <t>GRI</t>
        </is>
      </c>
      <c r="E1201" s="10" t="inlineStr">
        <is>
          <t>Gestión de Continuidad del Negocio</t>
        </is>
      </c>
      <c r="F1201" s="10" t="inlineStr">
        <is>
          <t>-</t>
        </is>
      </c>
      <c r="G1201" s="10" t="inlineStr">
        <is>
          <t xml:space="preserve">Gestión Documental de Continuidad del Negocio  </t>
        </is>
      </c>
      <c r="H1201" s="10" t="inlineStr">
        <is>
          <t>Plan de Contingencias Riesgo de Liquidez</t>
        </is>
      </c>
      <c r="I1201" s="10" t="inlineStr">
        <is>
          <t>Documento interno</t>
        </is>
      </c>
      <c r="J1201" s="10" t="inlineStr">
        <is>
          <t>GERENTE DE RIESGOS</t>
        </is>
      </c>
      <c r="K1201" s="10" t="inlineStr">
        <is>
          <t>ANALISTA DE RIESGO OPERATIVO</t>
        </is>
      </c>
      <c r="L1201" s="10" t="inlineStr">
        <is>
          <t>UBICACIÓN DIGITAL-EQUIPO DEL RESPONSABLE</t>
        </is>
      </c>
      <c r="M1201" s="10" t="inlineStr">
        <is>
          <t>DOCUMENTO DE ARCHIVO-ELECTRÓNICO</t>
        </is>
      </c>
      <c r="N1201" s="10" t="inlineStr">
        <is>
          <t>PRIMARIOS</t>
        </is>
      </c>
      <c r="O1201" s="10" t="inlineStr">
        <is>
          <t>DOCUMENTOS TÉCNICOS</t>
        </is>
      </c>
      <c r="P1201" s="10" t="inlineStr">
        <is>
          <t>PUBLICA(1)</t>
        </is>
      </c>
      <c r="Q1201" s="10" t="inlineStr">
        <is>
          <t>ALTA(3)</t>
        </is>
      </c>
      <c r="R1201" s="10" t="inlineStr">
        <is>
          <t>MEDIA(2)</t>
        </is>
      </c>
      <c r="S1201" s="10">
        <f>+(IF(P1201="PUBLICA(1)",1,IF(P1201="USO INTERNO(2)",2,IF(P1201="RESTRINGIDO(3)",3,3))))+(IF(Q1201="BAJA(1)",1,IF(Q1201="MEDIA(2)",2,IF(Q1201="ALTA(3)",3,3))))+(IF(R1201="BAJA(1)",1,IF(R1201="MEDIA(2)",2,IF(R1201="ALTA(3)",3,3))))</f>
        <v/>
      </c>
      <c r="T1201" s="10">
        <f>+IF(S1201&lt;6,"BAJA",IF(S1201&lt;8,"MEDIA","ALTA"))</f>
        <v/>
      </c>
      <c r="U1201" s="10" t="inlineStr">
        <is>
          <t>-</t>
        </is>
      </c>
      <c r="V1201" s="24" t="n">
        <v>45588</v>
      </c>
      <c r="W1201" s="19" t="inlineStr">
        <is>
          <t>N/A</t>
        </is>
      </c>
      <c r="X1201" s="10">
        <f>+IFERROR(IF(VLOOKUP(Tabla2[[#This Row],[ID]],'EVALUACION DE RIESGO'!A:A,1,FALSE)=Tabla2[[#This Row],[ID]],"SI","NO"),"NO")</f>
        <v/>
      </c>
      <c r="AD1201">
        <f>IF(AND(Y1201="",AA1201=""),"",IF(OR(LEFT(AA1201,2)="L0",LEFT(AA1201,2)="L1",Y1201="No Iniciado"),"CRÍTICO - Incumplimiento Normativo SEPS",IF(AND(OR(LEFT(AA1201,2)="L4",LEFT(AA1201,2)="L5"),AND(AC1201&lt;&gt;"",AC1201&lt;&gt;"N/A")),"CONFORME - Control Efectivo ISO 27001","OBSERVACIÓN - Revisar Controles")))</f>
        <v/>
      </c>
    </row>
    <row r="1202">
      <c r="A1202" s="99" t="inlineStr">
        <is>
          <t>180-GRI</t>
        </is>
      </c>
      <c r="B1202" s="10" t="inlineStr">
        <is>
          <t>ESTRATÉGICO</t>
        </is>
      </c>
      <c r="C1202" s="10" t="inlineStr">
        <is>
          <t>Gestión de Riesgos</t>
        </is>
      </c>
      <c r="D1202" s="10" t="inlineStr">
        <is>
          <t>GRI</t>
        </is>
      </c>
      <c r="E1202" s="10" t="inlineStr">
        <is>
          <t>Gestión de Continuidad del Negocio</t>
        </is>
      </c>
      <c r="F1202" s="10" t="inlineStr">
        <is>
          <t>-</t>
        </is>
      </c>
      <c r="G1202" s="10" t="inlineStr">
        <is>
          <t xml:space="preserve">Gestión Documental de Continuidad del Negocio  </t>
        </is>
      </c>
      <c r="H1202" s="10" t="inlineStr">
        <is>
          <t>Plan de Contingencias de Tesorería</t>
        </is>
      </c>
      <c r="I1202" s="10" t="inlineStr">
        <is>
          <t>Documento interno</t>
        </is>
      </c>
      <c r="J1202" s="10" t="inlineStr">
        <is>
          <t>GERENTE DE RIESGOS</t>
        </is>
      </c>
      <c r="K1202" s="10" t="inlineStr">
        <is>
          <t>ANALISTA DE RIESGO OPERATIVO</t>
        </is>
      </c>
      <c r="L1202" s="10" t="inlineStr">
        <is>
          <t>UBICACIÓN DIGITAL-EQUIPO DEL RESPONSABLE</t>
        </is>
      </c>
      <c r="M1202" s="10" t="inlineStr">
        <is>
          <t>DOCUMENTO DE ARCHIVO-ELECTRÓNICO</t>
        </is>
      </c>
      <c r="N1202" s="10" t="inlineStr">
        <is>
          <t>PRIMARIOS</t>
        </is>
      </c>
      <c r="O1202" s="10" t="inlineStr">
        <is>
          <t>DOCUMENTOS TÉCNICOS</t>
        </is>
      </c>
      <c r="P1202" s="10" t="inlineStr">
        <is>
          <t>PUBLICA(1)</t>
        </is>
      </c>
      <c r="Q1202" s="10" t="inlineStr">
        <is>
          <t>ALTA(3)</t>
        </is>
      </c>
      <c r="R1202" s="10" t="inlineStr">
        <is>
          <t>MEDIA(2)</t>
        </is>
      </c>
      <c r="S1202" s="10">
        <f>+(IF(P1202="PUBLICA(1)",1,IF(P1202="USO INTERNO(2)",2,IF(P1202="RESTRINGIDO(3)",3,3))))+(IF(Q1202="BAJA(1)",1,IF(Q1202="MEDIA(2)",2,IF(Q1202="ALTA(3)",3,3))))+(IF(R1202="BAJA(1)",1,IF(R1202="MEDIA(2)",2,IF(R1202="ALTA(3)",3,3))))</f>
        <v/>
      </c>
      <c r="T1202" s="10">
        <f>+IF(S1202&lt;6,"BAJA",IF(S1202&lt;8,"MEDIA","ALTA"))</f>
        <v/>
      </c>
      <c r="U1202" s="10" t="inlineStr">
        <is>
          <t>-</t>
        </is>
      </c>
      <c r="V1202" s="24" t="n">
        <v>45588</v>
      </c>
      <c r="W1202" s="19" t="inlineStr">
        <is>
          <t>N/A</t>
        </is>
      </c>
      <c r="X1202" s="10">
        <f>+IFERROR(IF(VLOOKUP(Tabla2[[#This Row],[ID]],'EVALUACION DE RIESGO'!A:A,1,FALSE)=Tabla2[[#This Row],[ID]],"SI","NO"),"NO")</f>
        <v/>
      </c>
      <c r="AD1202">
        <f>IF(AND(Y1202="",AA1202=""),"",IF(OR(LEFT(AA1202,2)="L0",LEFT(AA1202,2)="L1",Y1202="No Iniciado"),"CRÍTICO - Incumplimiento Normativo SEPS",IF(AND(OR(LEFT(AA1202,2)="L4",LEFT(AA1202,2)="L5"),AND(AC1202&lt;&gt;"",AC1202&lt;&gt;"N/A")),"CONFORME - Control Efectivo ISO 27001","OBSERVACIÓN - Revisar Controles")))</f>
        <v/>
      </c>
    </row>
    <row r="1203">
      <c r="A1203" s="99" t="inlineStr">
        <is>
          <t>181-GRI</t>
        </is>
      </c>
      <c r="B1203" s="10" t="inlineStr">
        <is>
          <t>ESTRATÉGICO</t>
        </is>
      </c>
      <c r="C1203" s="10" t="inlineStr">
        <is>
          <t>Gestión de Riesgos</t>
        </is>
      </c>
      <c r="D1203" s="10" t="inlineStr">
        <is>
          <t>GRI</t>
        </is>
      </c>
      <c r="E1203" s="10" t="inlineStr">
        <is>
          <t>Gestión de Continuidad del Negocio</t>
        </is>
      </c>
      <c r="F1203" s="10" t="inlineStr">
        <is>
          <t>-</t>
        </is>
      </c>
      <c r="G1203" s="10" t="inlineStr">
        <is>
          <t xml:space="preserve">Gestión Documental de Continuidad del Negocio  </t>
        </is>
      </c>
      <c r="H1203" s="10" t="inlineStr">
        <is>
          <t>Plan de Emergencia Oficina Matriz</t>
        </is>
      </c>
      <c r="I1203" s="10" t="inlineStr">
        <is>
          <t>Documento interno</t>
        </is>
      </c>
      <c r="J1203" s="10" t="inlineStr">
        <is>
          <t>GERENTE DE RIESGOS</t>
        </is>
      </c>
      <c r="K1203" s="10" t="inlineStr">
        <is>
          <t>ANALISTA DE RIESGO OPERATIVO</t>
        </is>
      </c>
      <c r="L1203" s="10" t="inlineStr">
        <is>
          <t>UBICACIÓN DIGITAL-EQUIPO DEL RESPONSABLE</t>
        </is>
      </c>
      <c r="M1203" s="10" t="inlineStr">
        <is>
          <t>DOCUMENTO DE ARCHIVO-ELECTRÓNICO</t>
        </is>
      </c>
      <c r="N1203" s="10" t="inlineStr">
        <is>
          <t>PRIMARIOS</t>
        </is>
      </c>
      <c r="O1203" s="10" t="inlineStr">
        <is>
          <t>DOCUMENTOS TÉCNICOS</t>
        </is>
      </c>
      <c r="P1203" s="10" t="inlineStr">
        <is>
          <t>PUBLICA(1)</t>
        </is>
      </c>
      <c r="Q1203" s="10" t="inlineStr">
        <is>
          <t>ALTA(3)</t>
        </is>
      </c>
      <c r="R1203" s="10" t="inlineStr">
        <is>
          <t>MEDIA(2)</t>
        </is>
      </c>
      <c r="S1203" s="10">
        <f>+(IF(P1203="PUBLICA(1)",1,IF(P1203="USO INTERNO(2)",2,IF(P1203="RESTRINGIDO(3)",3,3))))+(IF(Q1203="BAJA(1)",1,IF(Q1203="MEDIA(2)",2,IF(Q1203="ALTA(3)",3,3))))+(IF(R1203="BAJA(1)",1,IF(R1203="MEDIA(2)",2,IF(R1203="ALTA(3)",3,3))))</f>
        <v/>
      </c>
      <c r="T1203" s="10">
        <f>+IF(S1203&lt;6,"BAJA",IF(S1203&lt;8,"MEDIA","ALTA"))</f>
        <v/>
      </c>
      <c r="U1203" s="10" t="inlineStr">
        <is>
          <t>-</t>
        </is>
      </c>
      <c r="V1203" s="24" t="n">
        <v>45588</v>
      </c>
      <c r="W1203" s="19" t="inlineStr">
        <is>
          <t>N/A</t>
        </is>
      </c>
      <c r="X1203" s="10">
        <f>+IFERROR(IF(VLOOKUP(Tabla2[[#This Row],[ID]],'EVALUACION DE RIESGO'!A:A,1,FALSE)=Tabla2[[#This Row],[ID]],"SI","NO"),"NO")</f>
        <v/>
      </c>
      <c r="AD1203">
        <f>IF(AND(Y1203="",AA1203=""),"",IF(OR(LEFT(AA1203,2)="L0",LEFT(AA1203,2)="L1",Y1203="No Iniciado"),"CRÍTICO - Incumplimiento Normativo SEPS",IF(AND(OR(LEFT(AA1203,2)="L4",LEFT(AA1203,2)="L5"),AND(AC1203&lt;&gt;"",AC1203&lt;&gt;"N/A")),"CONFORME - Control Efectivo ISO 27001","OBSERVACIÓN - Revisar Controles")))</f>
        <v/>
      </c>
    </row>
    <row r="1204">
      <c r="A1204" s="99" t="inlineStr">
        <is>
          <t>182-GRI</t>
        </is>
      </c>
      <c r="B1204" s="10" t="inlineStr">
        <is>
          <t>ESTRATÉGICO</t>
        </is>
      </c>
      <c r="C1204" s="10" t="inlineStr">
        <is>
          <t>Gestión de Riesgos</t>
        </is>
      </c>
      <c r="D1204" s="10" t="inlineStr">
        <is>
          <t>GRI</t>
        </is>
      </c>
      <c r="E1204" s="10" t="inlineStr">
        <is>
          <t>Gestión de Continuidad del Negocio</t>
        </is>
      </c>
      <c r="F1204" s="10" t="inlineStr">
        <is>
          <t>-</t>
        </is>
      </c>
      <c r="G1204" s="10" t="inlineStr">
        <is>
          <t xml:space="preserve">Gestión Documental de Continuidad del Negocio  </t>
        </is>
      </c>
      <c r="H1204" s="10" t="inlineStr">
        <is>
          <t>Plan de Emergencia Suc. Ibarra</t>
        </is>
      </c>
      <c r="I1204" s="10" t="inlineStr">
        <is>
          <t>Documento interno</t>
        </is>
      </c>
      <c r="J1204" s="10" t="inlineStr">
        <is>
          <t>GERENTE DE RIESGOS</t>
        </is>
      </c>
      <c r="K1204" s="10" t="inlineStr">
        <is>
          <t>ANALISTA DE RIESGO OPERATIVO</t>
        </is>
      </c>
      <c r="L1204" s="10" t="inlineStr">
        <is>
          <t>UBICACIÓN DIGITAL-EQUIPO DEL RESPONSABLE</t>
        </is>
      </c>
      <c r="M1204" s="10" t="inlineStr">
        <is>
          <t>DOCUMENTO DE ARCHIVO-ELECTRÓNICO</t>
        </is>
      </c>
      <c r="N1204" s="10" t="inlineStr">
        <is>
          <t>PRIMARIOS</t>
        </is>
      </c>
      <c r="O1204" s="10" t="inlineStr">
        <is>
          <t>DOCUMENTOS TÉCNICOS</t>
        </is>
      </c>
      <c r="P1204" s="10" t="inlineStr">
        <is>
          <t>PUBLICA(1)</t>
        </is>
      </c>
      <c r="Q1204" s="10" t="inlineStr">
        <is>
          <t>ALTA(3)</t>
        </is>
      </c>
      <c r="R1204" s="10" t="inlineStr">
        <is>
          <t>MEDIA(2)</t>
        </is>
      </c>
      <c r="S1204" s="10">
        <f>+(IF(P1204="PUBLICA(1)",1,IF(P1204="USO INTERNO(2)",2,IF(P1204="RESTRINGIDO(3)",3,3))))+(IF(Q1204="BAJA(1)",1,IF(Q1204="MEDIA(2)",2,IF(Q1204="ALTA(3)",3,3))))+(IF(R1204="BAJA(1)",1,IF(R1204="MEDIA(2)",2,IF(R1204="ALTA(3)",3,3))))</f>
        <v/>
      </c>
      <c r="T1204" s="10">
        <f>+IF(S1204&lt;6,"BAJA",IF(S1204&lt;8,"MEDIA","ALTA"))</f>
        <v/>
      </c>
      <c r="U1204" s="10" t="inlineStr">
        <is>
          <t>-</t>
        </is>
      </c>
      <c r="V1204" s="24" t="n">
        <v>45588</v>
      </c>
      <c r="W1204" s="19" t="inlineStr">
        <is>
          <t>N/A</t>
        </is>
      </c>
      <c r="X1204" s="10">
        <f>+IFERROR(IF(VLOOKUP(Tabla2[[#This Row],[ID]],'EVALUACION DE RIESGO'!A:A,1,FALSE)=Tabla2[[#This Row],[ID]],"SI","NO"),"NO")</f>
        <v/>
      </c>
      <c r="AD1204">
        <f>IF(AND(Y1204="",AA1204=""),"",IF(OR(LEFT(AA1204,2)="L0",LEFT(AA1204,2)="L1",Y1204="No Iniciado"),"CRÍTICO - Incumplimiento Normativo SEPS",IF(AND(OR(LEFT(AA1204,2)="L4",LEFT(AA1204,2)="L5"),AND(AC1204&lt;&gt;"",AC1204&lt;&gt;"N/A")),"CONFORME - Control Efectivo ISO 27001","OBSERVACIÓN - Revisar Controles")))</f>
        <v/>
      </c>
    </row>
    <row r="1205">
      <c r="A1205" s="99" t="inlineStr">
        <is>
          <t>183-GRI</t>
        </is>
      </c>
      <c r="B1205" s="10" t="inlineStr">
        <is>
          <t>ESTRATÉGICO</t>
        </is>
      </c>
      <c r="C1205" s="10" t="inlineStr">
        <is>
          <t>Gestión de Riesgos</t>
        </is>
      </c>
      <c r="D1205" s="10" t="inlineStr">
        <is>
          <t>GRI</t>
        </is>
      </c>
      <c r="E1205" s="10" t="inlineStr">
        <is>
          <t>Gestión de Continuidad del Negocio</t>
        </is>
      </c>
      <c r="F1205" s="10" t="inlineStr">
        <is>
          <t>-</t>
        </is>
      </c>
      <c r="G1205" s="10" t="inlineStr">
        <is>
          <t xml:space="preserve">Gestión Documental de Continuidad del Negocio  </t>
        </is>
      </c>
      <c r="H1205" s="10" t="inlineStr">
        <is>
          <t>Plan de Emergencia Suc. Otavalo</t>
        </is>
      </c>
      <c r="I1205" s="10" t="inlineStr">
        <is>
          <t>Documento interno</t>
        </is>
      </c>
      <c r="J1205" s="10" t="inlineStr">
        <is>
          <t>GERENTE DE RIESGOS</t>
        </is>
      </c>
      <c r="K1205" s="10" t="inlineStr">
        <is>
          <t>ANALISTA DE RIESGO OPERATIVO</t>
        </is>
      </c>
      <c r="L1205" s="10" t="inlineStr">
        <is>
          <t>UBICACIÓN DIGITAL-EQUIPO DEL RESPONSABLE</t>
        </is>
      </c>
      <c r="M1205" s="10" t="inlineStr">
        <is>
          <t>DOCUMENTO DE ARCHIVO-ELECTRÓNICO</t>
        </is>
      </c>
      <c r="N1205" s="10" t="inlineStr">
        <is>
          <t>PRIMARIOS</t>
        </is>
      </c>
      <c r="O1205" s="10" t="inlineStr">
        <is>
          <t>DOCUMENTOS TÉCNICOS</t>
        </is>
      </c>
      <c r="P1205" s="10" t="inlineStr">
        <is>
          <t>PUBLICA(1)</t>
        </is>
      </c>
      <c r="Q1205" s="10" t="inlineStr">
        <is>
          <t>ALTA(3)</t>
        </is>
      </c>
      <c r="R1205" s="10" t="inlineStr">
        <is>
          <t>MEDIA(2)</t>
        </is>
      </c>
      <c r="S1205" s="10">
        <f>+(IF(P1205="PUBLICA(1)",1,IF(P1205="USO INTERNO(2)",2,IF(P1205="RESTRINGIDO(3)",3,3))))+(IF(Q1205="BAJA(1)",1,IF(Q1205="MEDIA(2)",2,IF(Q1205="ALTA(3)",3,3))))+(IF(R1205="BAJA(1)",1,IF(R1205="MEDIA(2)",2,IF(R1205="ALTA(3)",3,3))))</f>
        <v/>
      </c>
      <c r="T1205" s="10">
        <f>+IF(S1205&lt;6,"BAJA",IF(S1205&lt;8,"MEDIA","ALTA"))</f>
        <v/>
      </c>
      <c r="U1205" s="10" t="inlineStr">
        <is>
          <t>-</t>
        </is>
      </c>
      <c r="V1205" s="24" t="n">
        <v>45588</v>
      </c>
      <c r="W1205" s="19" t="inlineStr">
        <is>
          <t>N/A</t>
        </is>
      </c>
      <c r="X1205" s="10">
        <f>+IFERROR(IF(VLOOKUP(Tabla2[[#This Row],[ID]],'EVALUACION DE RIESGO'!A:A,1,FALSE)=Tabla2[[#This Row],[ID]],"SI","NO"),"NO")</f>
        <v/>
      </c>
      <c r="AD1205">
        <f>IF(AND(Y1205="",AA1205=""),"",IF(OR(LEFT(AA1205,2)="L0",LEFT(AA1205,2)="L1",Y1205="No Iniciado"),"CRÍTICO - Incumplimiento Normativo SEPS",IF(AND(OR(LEFT(AA1205,2)="L4",LEFT(AA1205,2)="L5"),AND(AC1205&lt;&gt;"",AC1205&lt;&gt;"N/A")),"CONFORME - Control Efectivo ISO 27001","OBSERVACIÓN - Revisar Controles")))</f>
        <v/>
      </c>
    </row>
    <row r="1206">
      <c r="A1206" s="99" t="inlineStr">
        <is>
          <t>184-GRI</t>
        </is>
      </c>
      <c r="B1206" s="10" t="inlineStr">
        <is>
          <t>ESTRATÉGICO</t>
        </is>
      </c>
      <c r="C1206" s="10" t="inlineStr">
        <is>
          <t>Gestión de Riesgos</t>
        </is>
      </c>
      <c r="D1206" s="10" t="inlineStr">
        <is>
          <t>GRI</t>
        </is>
      </c>
      <c r="E1206" s="10" t="inlineStr">
        <is>
          <t>Gestión de Continuidad del Negocio</t>
        </is>
      </c>
      <c r="F1206" s="10" t="inlineStr">
        <is>
          <t>-</t>
        </is>
      </c>
      <c r="G1206" s="10" t="inlineStr">
        <is>
          <t xml:space="preserve">Gestión Documental de Continuidad del Negocio  </t>
        </is>
      </c>
      <c r="H1206" s="10" t="inlineStr">
        <is>
          <t>Plan de Emergencia Ag. Pimampiro</t>
        </is>
      </c>
      <c r="I1206" s="10" t="inlineStr">
        <is>
          <t>Documento interno</t>
        </is>
      </c>
      <c r="J1206" s="10" t="inlineStr">
        <is>
          <t>GERENTE DE RIESGOS</t>
        </is>
      </c>
      <c r="K1206" s="10" t="inlineStr">
        <is>
          <t>ANALISTA DE RIESGO OPERATIVO</t>
        </is>
      </c>
      <c r="L1206" s="10" t="inlineStr">
        <is>
          <t>UBICACIÓN DIGITAL-EQUIPO DEL RESPONSABLE</t>
        </is>
      </c>
      <c r="M1206" s="10" t="inlineStr">
        <is>
          <t>DOCUMENTO DE ARCHIVO-ELECTRÓNICO</t>
        </is>
      </c>
      <c r="N1206" s="10" t="inlineStr">
        <is>
          <t>PRIMARIOS</t>
        </is>
      </c>
      <c r="O1206" s="10" t="inlineStr">
        <is>
          <t>DOCUMENTOS TÉCNICOS</t>
        </is>
      </c>
      <c r="P1206" s="10" t="inlineStr">
        <is>
          <t>PUBLICA(1)</t>
        </is>
      </c>
      <c r="Q1206" s="10" t="inlineStr">
        <is>
          <t>ALTA(3)</t>
        </is>
      </c>
      <c r="R1206" s="10" t="inlineStr">
        <is>
          <t>MEDIA(2)</t>
        </is>
      </c>
      <c r="S1206" s="10">
        <f>+(IF(P1206="PUBLICA(1)",1,IF(P1206="USO INTERNO(2)",2,IF(P1206="RESTRINGIDO(3)",3,3))))+(IF(Q1206="BAJA(1)",1,IF(Q1206="MEDIA(2)",2,IF(Q1206="ALTA(3)",3,3))))+(IF(R1206="BAJA(1)",1,IF(R1206="MEDIA(2)",2,IF(R1206="ALTA(3)",3,3))))</f>
        <v/>
      </c>
      <c r="T1206" s="10">
        <f>+IF(S1206&lt;6,"BAJA",IF(S1206&lt;8,"MEDIA","ALTA"))</f>
        <v/>
      </c>
      <c r="U1206" s="10" t="inlineStr">
        <is>
          <t>-</t>
        </is>
      </c>
      <c r="V1206" s="24" t="n">
        <v>45588</v>
      </c>
      <c r="W1206" s="19" t="inlineStr">
        <is>
          <t>N/A</t>
        </is>
      </c>
      <c r="X1206" s="10">
        <f>+IFERROR(IF(VLOOKUP(Tabla2[[#This Row],[ID]],'EVALUACION DE RIESGO'!A:A,1,FALSE)=Tabla2[[#This Row],[ID]],"SI","NO"),"NO")</f>
        <v/>
      </c>
      <c r="AD1206">
        <f>IF(AND(Y1206="",AA1206=""),"",IF(OR(LEFT(AA1206,2)="L0",LEFT(AA1206,2)="L1",Y1206="No Iniciado"),"CRÍTICO - Incumplimiento Normativo SEPS",IF(AND(OR(LEFT(AA1206,2)="L4",LEFT(AA1206,2)="L5"),AND(AC1206&lt;&gt;"",AC1206&lt;&gt;"N/A")),"CONFORME - Control Efectivo ISO 27001","OBSERVACIÓN - Revisar Controles")))</f>
        <v/>
      </c>
    </row>
    <row r="1207">
      <c r="A1207" s="99" t="inlineStr">
        <is>
          <t>185-GRI</t>
        </is>
      </c>
      <c r="B1207" s="10" t="inlineStr">
        <is>
          <t>ESTRATÉGICO</t>
        </is>
      </c>
      <c r="C1207" s="10" t="inlineStr">
        <is>
          <t>Gestión de Riesgos</t>
        </is>
      </c>
      <c r="D1207" s="10" t="inlineStr">
        <is>
          <t>GRI</t>
        </is>
      </c>
      <c r="E1207" s="10" t="inlineStr">
        <is>
          <t>Gestión de Continuidad del Negocio</t>
        </is>
      </c>
      <c r="F1207" s="10" t="inlineStr">
        <is>
          <t>-</t>
        </is>
      </c>
      <c r="G1207" s="10" t="inlineStr">
        <is>
          <t xml:space="preserve">Gestión Documental de Continuidad del Negocio  </t>
        </is>
      </c>
      <c r="H1207" s="10" t="inlineStr">
        <is>
          <t>Plan de Emergencia Ag. Cotacachi</t>
        </is>
      </c>
      <c r="I1207" s="10" t="inlineStr">
        <is>
          <t>Documento interno</t>
        </is>
      </c>
      <c r="J1207" s="10" t="inlineStr">
        <is>
          <t>GERENTE DE RIESGOS</t>
        </is>
      </c>
      <c r="K1207" s="10" t="inlineStr">
        <is>
          <t>ANALISTA DE RIESGO OPERATIVO</t>
        </is>
      </c>
      <c r="L1207" s="10" t="inlineStr">
        <is>
          <t>UBICACIÓN DIGITAL-EQUIPO DEL RESPONSABLE</t>
        </is>
      </c>
      <c r="M1207" s="10" t="inlineStr">
        <is>
          <t>DOCUMENTO DE ARCHIVO-ELECTRÓNICO</t>
        </is>
      </c>
      <c r="N1207" s="10" t="inlineStr">
        <is>
          <t>PRIMARIOS</t>
        </is>
      </c>
      <c r="O1207" s="10" t="inlineStr">
        <is>
          <t>DOCUMENTOS TÉCNICOS</t>
        </is>
      </c>
      <c r="P1207" s="10" t="inlineStr">
        <is>
          <t>PUBLICA(1)</t>
        </is>
      </c>
      <c r="Q1207" s="10" t="inlineStr">
        <is>
          <t>ALTA(3)</t>
        </is>
      </c>
      <c r="R1207" s="10" t="inlineStr">
        <is>
          <t>MEDIA(2)</t>
        </is>
      </c>
      <c r="S1207" s="10">
        <f>+(IF(P1207="PUBLICA(1)",1,IF(P1207="USO INTERNO(2)",2,IF(P1207="RESTRINGIDO(3)",3,3))))+(IF(Q1207="BAJA(1)",1,IF(Q1207="MEDIA(2)",2,IF(Q1207="ALTA(3)",3,3))))+(IF(R1207="BAJA(1)",1,IF(R1207="MEDIA(2)",2,IF(R1207="ALTA(3)",3,3))))</f>
        <v/>
      </c>
      <c r="T1207" s="10">
        <f>+IF(S1207&lt;6,"BAJA",IF(S1207&lt;8,"MEDIA","ALTA"))</f>
        <v/>
      </c>
      <c r="U1207" s="10" t="inlineStr">
        <is>
          <t>-</t>
        </is>
      </c>
      <c r="V1207" s="24" t="n">
        <v>45588</v>
      </c>
      <c r="W1207" s="19" t="inlineStr">
        <is>
          <t>N/A</t>
        </is>
      </c>
      <c r="X1207" s="10">
        <f>+IFERROR(IF(VLOOKUP(Tabla2[[#This Row],[ID]],'EVALUACION DE RIESGO'!A:A,1,FALSE)=Tabla2[[#This Row],[ID]],"SI","NO"),"NO")</f>
        <v/>
      </c>
      <c r="AD1207">
        <f>IF(AND(Y1207="",AA1207=""),"",IF(OR(LEFT(AA1207,2)="L0",LEFT(AA1207,2)="L1",Y1207="No Iniciado"),"CRÍTICO - Incumplimiento Normativo SEPS",IF(AND(OR(LEFT(AA1207,2)="L4",LEFT(AA1207,2)="L5"),AND(AC1207&lt;&gt;"",AC1207&lt;&gt;"N/A")),"CONFORME - Control Efectivo ISO 27001","OBSERVACIÓN - Revisar Controles")))</f>
        <v/>
      </c>
    </row>
    <row r="1208">
      <c r="A1208" s="99" t="inlineStr">
        <is>
          <t>186-GRI</t>
        </is>
      </c>
      <c r="B1208" s="10" t="inlineStr">
        <is>
          <t>ESTRATÉGICO</t>
        </is>
      </c>
      <c r="C1208" s="10" t="inlineStr">
        <is>
          <t>Gestión de Riesgos</t>
        </is>
      </c>
      <c r="D1208" s="10" t="inlineStr">
        <is>
          <t>GRI</t>
        </is>
      </c>
      <c r="E1208" s="10" t="inlineStr">
        <is>
          <t>Gestión de Continuidad del Negocio</t>
        </is>
      </c>
      <c r="F1208" s="10" t="inlineStr">
        <is>
          <t>-</t>
        </is>
      </c>
      <c r="G1208" s="10" t="inlineStr">
        <is>
          <t xml:space="preserve">Gestión Documental de Continuidad del Negocio  </t>
        </is>
      </c>
      <c r="H1208" s="10" t="inlineStr">
        <is>
          <t>Plan de Emergencia Ag. Ibarra</t>
        </is>
      </c>
      <c r="I1208" s="10" t="inlineStr">
        <is>
          <t>Documento interno</t>
        </is>
      </c>
      <c r="J1208" s="10" t="inlineStr">
        <is>
          <t>GERENTE DE RIESGOS</t>
        </is>
      </c>
      <c r="K1208" s="10" t="inlineStr">
        <is>
          <t>ANALISTA DE RIESGO OPERATIVO</t>
        </is>
      </c>
      <c r="L1208" s="10" t="inlineStr">
        <is>
          <t>UBICACIÓN DIGITAL-EQUIPO DEL RESPONSABLE</t>
        </is>
      </c>
      <c r="M1208" s="10" t="inlineStr">
        <is>
          <t>DOCUMENTO DE ARCHIVO-ELECTRÓNICO</t>
        </is>
      </c>
      <c r="N1208" s="10" t="inlineStr">
        <is>
          <t>PRIMARIOS</t>
        </is>
      </c>
      <c r="O1208" s="10" t="inlineStr">
        <is>
          <t>DOCUMENTOS TÉCNICOS</t>
        </is>
      </c>
      <c r="P1208" s="10" t="inlineStr">
        <is>
          <t>PUBLICA(1)</t>
        </is>
      </c>
      <c r="Q1208" s="10" t="inlineStr">
        <is>
          <t>ALTA(3)</t>
        </is>
      </c>
      <c r="R1208" s="10" t="inlineStr">
        <is>
          <t>MEDIA(2)</t>
        </is>
      </c>
      <c r="S1208" s="10">
        <f>+(IF(P1208="PUBLICA(1)",1,IF(P1208="USO INTERNO(2)",2,IF(P1208="RESTRINGIDO(3)",3,3))))+(IF(Q1208="BAJA(1)",1,IF(Q1208="MEDIA(2)",2,IF(Q1208="ALTA(3)",3,3))))+(IF(R1208="BAJA(1)",1,IF(R1208="MEDIA(2)",2,IF(R1208="ALTA(3)",3,3))))</f>
        <v/>
      </c>
      <c r="T1208" s="10">
        <f>+IF(S1208&lt;6,"BAJA",IF(S1208&lt;8,"MEDIA","ALTA"))</f>
        <v/>
      </c>
      <c r="U1208" s="10" t="inlineStr">
        <is>
          <t>-</t>
        </is>
      </c>
      <c r="V1208" s="24" t="n">
        <v>45588</v>
      </c>
      <c r="W1208" s="19" t="inlineStr">
        <is>
          <t>N/A</t>
        </is>
      </c>
      <c r="X1208" s="10">
        <f>+IFERROR(IF(VLOOKUP(Tabla2[[#This Row],[ID]],'EVALUACION DE RIESGO'!A:A,1,FALSE)=Tabla2[[#This Row],[ID]],"SI","NO"),"NO")</f>
        <v/>
      </c>
      <c r="AD1208">
        <f>IF(AND(Y1208="",AA1208=""),"",IF(OR(LEFT(AA1208,2)="L0",LEFT(AA1208,2)="L1",Y1208="No Iniciado"),"CRÍTICO - Incumplimiento Normativo SEPS",IF(AND(OR(LEFT(AA1208,2)="L4",LEFT(AA1208,2)="L5"),AND(AC1208&lt;&gt;"",AC1208&lt;&gt;"N/A")),"CONFORME - Control Efectivo ISO 27001","OBSERVACIÓN - Revisar Controles")))</f>
        <v/>
      </c>
    </row>
    <row r="1209">
      <c r="A1209" s="99" t="inlineStr">
        <is>
          <t>187-GRI</t>
        </is>
      </c>
      <c r="B1209" s="10" t="inlineStr">
        <is>
          <t>ESTRATÉGICO</t>
        </is>
      </c>
      <c r="C1209" s="10" t="inlineStr">
        <is>
          <t>Gestión de Riesgos</t>
        </is>
      </c>
      <c r="D1209" s="10" t="inlineStr">
        <is>
          <t>GRI</t>
        </is>
      </c>
      <c r="E1209" s="10" t="inlineStr">
        <is>
          <t>Gestión de Continuidad del Negocio</t>
        </is>
      </c>
      <c r="F1209" s="10" t="inlineStr">
        <is>
          <t>-</t>
        </is>
      </c>
      <c r="G1209" s="10" t="inlineStr">
        <is>
          <t xml:space="preserve">Gestión Documental de Continuidad del Negocio  </t>
        </is>
      </c>
      <c r="H1209" s="10" t="inlineStr">
        <is>
          <t>Plan de Emergencia Ag. Ejido</t>
        </is>
      </c>
      <c r="I1209" s="10" t="inlineStr">
        <is>
          <t>Documento interno</t>
        </is>
      </c>
      <c r="J1209" s="10" t="inlineStr">
        <is>
          <t>GERENTE DE RIESGOS</t>
        </is>
      </c>
      <c r="K1209" s="10" t="inlineStr">
        <is>
          <t>ANALISTA DE RIESGO OPERATIVO</t>
        </is>
      </c>
      <c r="L1209" s="10" t="inlineStr">
        <is>
          <t>UBICACIÓN DIGITAL-EQUIPO DEL RESPONSABLE</t>
        </is>
      </c>
      <c r="M1209" s="10" t="inlineStr">
        <is>
          <t>DOCUMENTO DE ARCHIVO-ELECTRÓNICO</t>
        </is>
      </c>
      <c r="N1209" s="10" t="inlineStr">
        <is>
          <t>PRIMARIOS</t>
        </is>
      </c>
      <c r="O1209" s="10" t="inlineStr">
        <is>
          <t>DOCUMENTOS TÉCNICOS</t>
        </is>
      </c>
      <c r="P1209" s="10" t="inlineStr">
        <is>
          <t>PUBLICA(1)</t>
        </is>
      </c>
      <c r="Q1209" s="10" t="inlineStr">
        <is>
          <t>ALTA(3)</t>
        </is>
      </c>
      <c r="R1209" s="10" t="inlineStr">
        <is>
          <t>MEDIA(2)</t>
        </is>
      </c>
      <c r="S1209" s="10">
        <f>+(IF(P1209="PUBLICA(1)",1,IF(P1209="USO INTERNO(2)",2,IF(P1209="RESTRINGIDO(3)",3,3))))+(IF(Q1209="BAJA(1)",1,IF(Q1209="MEDIA(2)",2,IF(Q1209="ALTA(3)",3,3))))+(IF(R1209="BAJA(1)",1,IF(R1209="MEDIA(2)",2,IF(R1209="ALTA(3)",3,3))))</f>
        <v/>
      </c>
      <c r="T1209" s="10">
        <f>+IF(S1209&lt;6,"BAJA",IF(S1209&lt;8,"MEDIA","ALTA"))</f>
        <v/>
      </c>
      <c r="U1209" s="10" t="inlineStr">
        <is>
          <t>-</t>
        </is>
      </c>
      <c r="V1209" s="24" t="n">
        <v>45588</v>
      </c>
      <c r="W1209" s="19" t="inlineStr">
        <is>
          <t>N/A</t>
        </is>
      </c>
      <c r="X1209" s="10">
        <f>+IFERROR(IF(VLOOKUP(Tabla2[[#This Row],[ID]],'EVALUACION DE RIESGO'!A:A,1,FALSE)=Tabla2[[#This Row],[ID]],"SI","NO"),"NO")</f>
        <v/>
      </c>
      <c r="AD1209">
        <f>IF(AND(Y1209="",AA1209=""),"",IF(OR(LEFT(AA1209,2)="L0",LEFT(AA1209,2)="L1",Y1209="No Iniciado"),"CRÍTICO - Incumplimiento Normativo SEPS",IF(AND(OR(LEFT(AA1209,2)="L4",LEFT(AA1209,2)="L5"),AND(AC1209&lt;&gt;"",AC1209&lt;&gt;"N/A")),"CONFORME - Control Efectivo ISO 27001","OBSERVACIÓN - Revisar Controles")))</f>
        <v/>
      </c>
    </row>
    <row r="1210">
      <c r="A1210" s="99" t="inlineStr">
        <is>
          <t>188-GRI</t>
        </is>
      </c>
      <c r="B1210" s="10" t="inlineStr">
        <is>
          <t>ESTRATÉGICO</t>
        </is>
      </c>
      <c r="C1210" s="10" t="inlineStr">
        <is>
          <t>Gestión de Riesgos</t>
        </is>
      </c>
      <c r="D1210" s="10" t="inlineStr">
        <is>
          <t>GRI</t>
        </is>
      </c>
      <c r="E1210" s="10" t="inlineStr">
        <is>
          <t>Gestión de Continuidad del Negocio</t>
        </is>
      </c>
      <c r="F1210" s="10" t="inlineStr">
        <is>
          <t>-</t>
        </is>
      </c>
      <c r="G1210" s="10" t="inlineStr">
        <is>
          <t xml:space="preserve">Gestión Documental de Continuidad del Negocio  </t>
        </is>
      </c>
      <c r="H1210" s="10" t="inlineStr">
        <is>
          <t>Plan de Emergencia Ag. Villaflora</t>
        </is>
      </c>
      <c r="I1210" s="10" t="inlineStr">
        <is>
          <t>Documento interno</t>
        </is>
      </c>
      <c r="J1210" s="10" t="inlineStr">
        <is>
          <t>GERENTE DE RIESGOS</t>
        </is>
      </c>
      <c r="K1210" s="10" t="inlineStr">
        <is>
          <t>ANALISTA DE RIESGO OPERATIVO</t>
        </is>
      </c>
      <c r="L1210" s="10" t="inlineStr">
        <is>
          <t>UBICACIÓN DIGITAL-EQUIPO DEL RESPONSABLE</t>
        </is>
      </c>
      <c r="M1210" s="10" t="inlineStr">
        <is>
          <t>DOCUMENTO DE ARCHIVO-ELECTRÓNICO</t>
        </is>
      </c>
      <c r="N1210" s="10" t="inlineStr">
        <is>
          <t>PRIMARIOS</t>
        </is>
      </c>
      <c r="O1210" s="10" t="inlineStr">
        <is>
          <t>DOCUMENTOS TÉCNICOS</t>
        </is>
      </c>
      <c r="P1210" s="10" t="inlineStr">
        <is>
          <t>PUBLICA(1)</t>
        </is>
      </c>
      <c r="Q1210" s="10" t="inlineStr">
        <is>
          <t>ALTA(3)</t>
        </is>
      </c>
      <c r="R1210" s="10" t="inlineStr">
        <is>
          <t>MEDIA(2)</t>
        </is>
      </c>
      <c r="S1210" s="10">
        <f>+(IF(P1210="PUBLICA(1)",1,IF(P1210="USO INTERNO(2)",2,IF(P1210="RESTRINGIDO(3)",3,3))))+(IF(Q1210="BAJA(1)",1,IF(Q1210="MEDIA(2)",2,IF(Q1210="ALTA(3)",3,3))))+(IF(R1210="BAJA(1)",1,IF(R1210="MEDIA(2)",2,IF(R1210="ALTA(3)",3,3))))</f>
        <v/>
      </c>
      <c r="T1210" s="10">
        <f>+IF(S1210&lt;6,"BAJA",IF(S1210&lt;8,"MEDIA","ALTA"))</f>
        <v/>
      </c>
      <c r="U1210" s="10" t="inlineStr">
        <is>
          <t>-</t>
        </is>
      </c>
      <c r="V1210" s="24" t="n">
        <v>45588</v>
      </c>
      <c r="W1210" s="19" t="inlineStr">
        <is>
          <t>N/A</t>
        </is>
      </c>
      <c r="X1210" s="10">
        <f>+IFERROR(IF(VLOOKUP(Tabla2[[#This Row],[ID]],'EVALUACION DE RIESGO'!A:A,1,FALSE)=Tabla2[[#This Row],[ID]],"SI","NO"),"NO")</f>
        <v/>
      </c>
      <c r="AD1210">
        <f>IF(AND(Y1210="",AA1210=""),"",IF(OR(LEFT(AA1210,2)="L0",LEFT(AA1210,2)="L1",Y1210="No Iniciado"),"CRÍTICO - Incumplimiento Normativo SEPS",IF(AND(OR(LEFT(AA1210,2)="L4",LEFT(AA1210,2)="L5"),AND(AC1210&lt;&gt;"",AC1210&lt;&gt;"N/A")),"CONFORME - Control Efectivo ISO 27001","OBSERVACIÓN - Revisar Controles")))</f>
        <v/>
      </c>
    </row>
    <row r="1211">
      <c r="A1211" s="99" t="inlineStr">
        <is>
          <t>189-GRI</t>
        </is>
      </c>
      <c r="B1211" s="10" t="inlineStr">
        <is>
          <t>ESTRATÉGICO</t>
        </is>
      </c>
      <c r="C1211" s="10" t="inlineStr">
        <is>
          <t>Gestión de Riesgos</t>
        </is>
      </c>
      <c r="D1211" s="10" t="inlineStr">
        <is>
          <t>GRI</t>
        </is>
      </c>
      <c r="E1211" s="10" t="inlineStr">
        <is>
          <t>Gestión de Continuidad del Negocio</t>
        </is>
      </c>
      <c r="F1211" s="10" t="inlineStr">
        <is>
          <t>-</t>
        </is>
      </c>
      <c r="G1211" s="10" t="inlineStr">
        <is>
          <t xml:space="preserve">Gestión Documental de Continuidad del Negocio  </t>
        </is>
      </c>
      <c r="H1211" s="10" t="inlineStr">
        <is>
          <t>Plan de Emergencia Ag. Carapungo</t>
        </is>
      </c>
      <c r="I1211" s="10" t="inlineStr">
        <is>
          <t>Documento interno</t>
        </is>
      </c>
      <c r="J1211" s="10" t="inlineStr">
        <is>
          <t>GERENTE DE RIESGOS</t>
        </is>
      </c>
      <c r="K1211" s="10" t="inlineStr">
        <is>
          <t>ANALISTA DE RIESGO OPERATIVO</t>
        </is>
      </c>
      <c r="L1211" s="10" t="inlineStr">
        <is>
          <t>UBICACIÓN DIGITAL-EQUIPO DEL RESPONSABLE</t>
        </is>
      </c>
      <c r="M1211" s="10" t="inlineStr">
        <is>
          <t>DOCUMENTO DE ARCHIVO-ELECTRÓNICO</t>
        </is>
      </c>
      <c r="N1211" s="10" t="inlineStr">
        <is>
          <t>PRIMARIOS</t>
        </is>
      </c>
      <c r="O1211" s="10" t="inlineStr">
        <is>
          <t>DOCUMENTOS TÉCNICOS</t>
        </is>
      </c>
      <c r="P1211" s="10" t="inlineStr">
        <is>
          <t>PUBLICA(1)</t>
        </is>
      </c>
      <c r="Q1211" s="10" t="inlineStr">
        <is>
          <t>ALTA(3)</t>
        </is>
      </c>
      <c r="R1211" s="10" t="inlineStr">
        <is>
          <t>MEDIA(2)</t>
        </is>
      </c>
      <c r="S1211" s="10">
        <f>+(IF(P1211="PUBLICA(1)",1,IF(P1211="USO INTERNO(2)",2,IF(P1211="RESTRINGIDO(3)",3,3))))+(IF(Q1211="BAJA(1)",1,IF(Q1211="MEDIA(2)",2,IF(Q1211="ALTA(3)",3,3))))+(IF(R1211="BAJA(1)",1,IF(R1211="MEDIA(2)",2,IF(R1211="ALTA(3)",3,3))))</f>
        <v/>
      </c>
      <c r="T1211" s="10">
        <f>+IF(S1211&lt;6,"BAJA",IF(S1211&lt;8,"MEDIA","ALTA"))</f>
        <v/>
      </c>
      <c r="U1211" s="10" t="inlineStr">
        <is>
          <t>-</t>
        </is>
      </c>
      <c r="V1211" s="24" t="n">
        <v>45588</v>
      </c>
      <c r="W1211" s="19" t="inlineStr">
        <is>
          <t>N/A</t>
        </is>
      </c>
      <c r="X1211" s="10">
        <f>+IFERROR(IF(VLOOKUP(Tabla2[[#This Row],[ID]],'EVALUACION DE RIESGO'!A:A,1,FALSE)=Tabla2[[#This Row],[ID]],"SI","NO"),"NO")</f>
        <v/>
      </c>
      <c r="AD1211">
        <f>IF(AND(Y1211="",AA1211=""),"",IF(OR(LEFT(AA1211,2)="L0",LEFT(AA1211,2)="L1",Y1211="No Iniciado"),"CRÍTICO - Incumplimiento Normativo SEPS",IF(AND(OR(LEFT(AA1211,2)="L4",LEFT(AA1211,2)="L5"),AND(AC1211&lt;&gt;"",AC1211&lt;&gt;"N/A")),"CONFORME - Control Efectivo ISO 27001","OBSERVACIÓN - Revisar Controles")))</f>
        <v/>
      </c>
    </row>
    <row r="1212">
      <c r="A1212" s="99" t="inlineStr">
        <is>
          <t>190-GRI</t>
        </is>
      </c>
      <c r="B1212" s="10" t="inlineStr">
        <is>
          <t>ESTRATÉGICO</t>
        </is>
      </c>
      <c r="C1212" s="10" t="inlineStr">
        <is>
          <t>Gestión de Riesgos</t>
        </is>
      </c>
      <c r="D1212" s="10" t="inlineStr">
        <is>
          <t>GRI</t>
        </is>
      </c>
      <c r="E1212" s="10" t="inlineStr">
        <is>
          <t>Gestión de Continuidad del Negocio</t>
        </is>
      </c>
      <c r="F1212" s="10" t="inlineStr">
        <is>
          <t>-</t>
        </is>
      </c>
      <c r="G1212" s="10" t="inlineStr">
        <is>
          <t xml:space="preserve">Gestión Documental de Continuidad del Negocio  </t>
        </is>
      </c>
      <c r="H1212" s="10" t="inlineStr">
        <is>
          <t>Plan de Emergencia Agencia Cayambe</t>
        </is>
      </c>
      <c r="I1212" s="10" t="inlineStr">
        <is>
          <t>Documento interno</t>
        </is>
      </c>
      <c r="J1212" s="10" t="inlineStr">
        <is>
          <t>GERENTE DE RIESGOS</t>
        </is>
      </c>
      <c r="K1212" s="10" t="inlineStr">
        <is>
          <t>ANALISTA DE RIESGO OPERATIVO</t>
        </is>
      </c>
      <c r="L1212" s="10" t="inlineStr">
        <is>
          <t>UBICACIÓN DIGITAL-EQUIPO DEL RESPONSABLE</t>
        </is>
      </c>
      <c r="M1212" s="10" t="inlineStr">
        <is>
          <t>DOCUMENTO DE ARCHIVO-ELECTRÓNICO</t>
        </is>
      </c>
      <c r="N1212" s="10" t="inlineStr">
        <is>
          <t>PRIMARIOS</t>
        </is>
      </c>
      <c r="O1212" s="10" t="inlineStr">
        <is>
          <t>DOCUMENTOS TÉCNICOS</t>
        </is>
      </c>
      <c r="P1212" s="10" t="inlineStr">
        <is>
          <t>PUBLICA(1)</t>
        </is>
      </c>
      <c r="Q1212" s="10" t="inlineStr">
        <is>
          <t>ALTA(3)</t>
        </is>
      </c>
      <c r="R1212" s="10" t="inlineStr">
        <is>
          <t>MEDIA(2)</t>
        </is>
      </c>
      <c r="S1212" s="10">
        <f>+(IF(P1212="PUBLICA(1)",1,IF(P1212="USO INTERNO(2)",2,IF(P1212="RESTRINGIDO(3)",3,3))))+(IF(Q1212="BAJA(1)",1,IF(Q1212="MEDIA(2)",2,IF(Q1212="ALTA(3)",3,3))))+(IF(R1212="BAJA(1)",1,IF(R1212="MEDIA(2)",2,IF(R1212="ALTA(3)",3,3))))</f>
        <v/>
      </c>
      <c r="T1212" s="10">
        <f>+IF(S1212&lt;6,"BAJA",IF(S1212&lt;8,"MEDIA","ALTA"))</f>
        <v/>
      </c>
      <c r="U1212" s="10" t="inlineStr">
        <is>
          <t>-</t>
        </is>
      </c>
      <c r="V1212" s="24" t="n">
        <v>45588</v>
      </c>
      <c r="W1212" s="19" t="inlineStr">
        <is>
          <t>N/A</t>
        </is>
      </c>
      <c r="X1212" s="10">
        <f>+IFERROR(IF(VLOOKUP(Tabla2[[#This Row],[ID]],'EVALUACION DE RIESGO'!A:A,1,FALSE)=Tabla2[[#This Row],[ID]],"SI","NO"),"NO")</f>
        <v/>
      </c>
      <c r="AD1212">
        <f>IF(AND(Y1212="",AA1212=""),"",IF(OR(LEFT(AA1212,2)="L0",LEFT(AA1212,2)="L1",Y1212="No Iniciado"),"CRÍTICO - Incumplimiento Normativo SEPS",IF(AND(OR(LEFT(AA1212,2)="L4",LEFT(AA1212,2)="L5"),AND(AC1212&lt;&gt;"",AC1212&lt;&gt;"N/A")),"CONFORME - Control Efectivo ISO 27001","OBSERVACIÓN - Revisar Controles")))</f>
        <v/>
      </c>
    </row>
    <row r="1213">
      <c r="A1213" s="99" t="inlineStr">
        <is>
          <t>191-GRI</t>
        </is>
      </c>
      <c r="B1213" s="10" t="inlineStr">
        <is>
          <t>ESTRATÉGICO</t>
        </is>
      </c>
      <c r="C1213" s="10" t="inlineStr">
        <is>
          <t>Gestión de Riesgos</t>
        </is>
      </c>
      <c r="D1213" s="10" t="inlineStr">
        <is>
          <t>GRI</t>
        </is>
      </c>
      <c r="E1213" s="10" t="inlineStr">
        <is>
          <t>Gestión de Continuidad del Negocio</t>
        </is>
      </c>
      <c r="F1213" s="10" t="inlineStr">
        <is>
          <t>-</t>
        </is>
      </c>
      <c r="G1213" s="10" t="inlineStr">
        <is>
          <t xml:space="preserve">Gestión Documental de Continuidad del Negocio  </t>
        </is>
      </c>
      <c r="H1213" s="10" t="inlineStr">
        <is>
          <t>Plan de Emergencia Ag. Ambato</t>
        </is>
      </c>
      <c r="I1213" s="10" t="inlineStr">
        <is>
          <t>Documento interno</t>
        </is>
      </c>
      <c r="J1213" s="10" t="inlineStr">
        <is>
          <t>GERENTE DE RIESGOS</t>
        </is>
      </c>
      <c r="K1213" s="10" t="inlineStr">
        <is>
          <t>ANALISTA DE RIESGO OPERATIVO</t>
        </is>
      </c>
      <c r="L1213" s="10" t="inlineStr">
        <is>
          <t>UBICACIÓN DIGITAL-EQUIPO DEL RESPONSABLE</t>
        </is>
      </c>
      <c r="M1213" s="10" t="inlineStr">
        <is>
          <t>DOCUMENTO DE ARCHIVO-ELECTRÓNICO</t>
        </is>
      </c>
      <c r="N1213" s="10" t="inlineStr">
        <is>
          <t>PRIMARIOS</t>
        </is>
      </c>
      <c r="O1213" s="10" t="inlineStr">
        <is>
          <t>DOCUMENTOS TÉCNICOS</t>
        </is>
      </c>
      <c r="P1213" s="10" t="inlineStr">
        <is>
          <t>PUBLICA(1)</t>
        </is>
      </c>
      <c r="Q1213" s="10" t="inlineStr">
        <is>
          <t>ALTA(3)</t>
        </is>
      </c>
      <c r="R1213" s="10" t="inlineStr">
        <is>
          <t>MEDIA(2)</t>
        </is>
      </c>
      <c r="S1213" s="10">
        <f>+(IF(P1213="PUBLICA(1)",1,IF(P1213="USO INTERNO(2)",2,IF(P1213="RESTRINGIDO(3)",3,3))))+(IF(Q1213="BAJA(1)",1,IF(Q1213="MEDIA(2)",2,IF(Q1213="ALTA(3)",3,3))))+(IF(R1213="BAJA(1)",1,IF(R1213="MEDIA(2)",2,IF(R1213="ALTA(3)",3,3))))</f>
        <v/>
      </c>
      <c r="T1213" s="10">
        <f>+IF(S1213&lt;6,"BAJA",IF(S1213&lt;8,"MEDIA","ALTA"))</f>
        <v/>
      </c>
      <c r="U1213" s="10" t="inlineStr">
        <is>
          <t>-</t>
        </is>
      </c>
      <c r="V1213" s="24" t="n">
        <v>45588</v>
      </c>
      <c r="W1213" s="19" t="inlineStr">
        <is>
          <t>N/A</t>
        </is>
      </c>
      <c r="X1213" s="10">
        <f>+IFERROR(IF(VLOOKUP(Tabla2[[#This Row],[ID]],'EVALUACION DE RIESGO'!A:A,1,FALSE)=Tabla2[[#This Row],[ID]],"SI","NO"),"NO")</f>
        <v/>
      </c>
      <c r="AD1213">
        <f>IF(AND(Y1213="",AA1213=""),"",IF(OR(LEFT(AA1213,2)="L0",LEFT(AA1213,2)="L1",Y1213="No Iniciado"),"CRÍTICO - Incumplimiento Normativo SEPS",IF(AND(OR(LEFT(AA1213,2)="L4",LEFT(AA1213,2)="L5"),AND(AC1213&lt;&gt;"",AC1213&lt;&gt;"N/A")),"CONFORME - Control Efectivo ISO 27001","OBSERVACIÓN - Revisar Controles")))</f>
        <v/>
      </c>
    </row>
    <row r="1214">
      <c r="A1214" s="99" t="inlineStr">
        <is>
          <t>192-GRI</t>
        </is>
      </c>
      <c r="B1214" s="10" t="inlineStr">
        <is>
          <t>ESTRATÉGICO</t>
        </is>
      </c>
      <c r="C1214" s="10" t="inlineStr">
        <is>
          <t>Gestión de Riesgos</t>
        </is>
      </c>
      <c r="D1214" s="10" t="inlineStr">
        <is>
          <t>GRI</t>
        </is>
      </c>
      <c r="E1214" s="10" t="inlineStr">
        <is>
          <t>Gestión de Continuidad del Negocio</t>
        </is>
      </c>
      <c r="F1214" s="10" t="inlineStr">
        <is>
          <t>-</t>
        </is>
      </c>
      <c r="G1214" s="10" t="inlineStr">
        <is>
          <t xml:space="preserve">Gestión Documental de Continuidad del Negocio  </t>
        </is>
      </c>
      <c r="H1214" s="10" t="inlineStr">
        <is>
          <t>Plan de Viabilidad</t>
        </is>
      </c>
      <c r="I1214" s="10" t="inlineStr">
        <is>
          <t>Documento interno</t>
        </is>
      </c>
      <c r="J1214" s="10" t="inlineStr">
        <is>
          <t>GERENTE DE RIESGOS</t>
        </is>
      </c>
      <c r="K1214" s="10" t="inlineStr">
        <is>
          <t>ANALISTA DE RIESGO OPERATIVO</t>
        </is>
      </c>
      <c r="L1214" s="10" t="inlineStr">
        <is>
          <t>UBICACIÓN DIGITAL-EQUIPO DEL RESPONSABLE</t>
        </is>
      </c>
      <c r="M1214" s="10" t="inlineStr">
        <is>
          <t>DOCUMENTO DE ARCHIVO-ELECTRÓNICO</t>
        </is>
      </c>
      <c r="N1214" s="10" t="inlineStr">
        <is>
          <t>PRIMARIOS</t>
        </is>
      </c>
      <c r="O1214" s="10" t="inlineStr">
        <is>
          <t>DOCUMENTOS TÉCNICOS</t>
        </is>
      </c>
      <c r="P1214" s="10" t="inlineStr">
        <is>
          <t>PUBLICA(1)</t>
        </is>
      </c>
      <c r="Q1214" s="10" t="inlineStr">
        <is>
          <t>ALTA(3)</t>
        </is>
      </c>
      <c r="R1214" s="10" t="inlineStr">
        <is>
          <t>MEDIA(2)</t>
        </is>
      </c>
      <c r="S1214" s="10">
        <f>+(IF(P1214="PUBLICA(1)",1,IF(P1214="USO INTERNO(2)",2,IF(P1214="RESTRINGIDO(3)",3,3))))+(IF(Q1214="BAJA(1)",1,IF(Q1214="MEDIA(2)",2,IF(Q1214="ALTA(3)",3,3))))+(IF(R1214="BAJA(1)",1,IF(R1214="MEDIA(2)",2,IF(R1214="ALTA(3)",3,3))))</f>
        <v/>
      </c>
      <c r="T1214" s="10">
        <f>+IF(S1214&lt;6,"BAJA",IF(S1214&lt;8,"MEDIA","ALTA"))</f>
        <v/>
      </c>
      <c r="U1214" s="10" t="inlineStr">
        <is>
          <t>-</t>
        </is>
      </c>
      <c r="V1214" s="24" t="n">
        <v>45588</v>
      </c>
      <c r="W1214" s="19" t="inlineStr">
        <is>
          <t>N/A</t>
        </is>
      </c>
      <c r="X1214" s="10">
        <f>+IFERROR(IF(VLOOKUP(Tabla2[[#This Row],[ID]],'EVALUACION DE RIESGO'!A:A,1,FALSE)=Tabla2[[#This Row],[ID]],"SI","NO"),"NO")</f>
        <v/>
      </c>
      <c r="AD1214">
        <f>IF(AND(Y1214="",AA1214=""),"",IF(OR(LEFT(AA1214,2)="L0",LEFT(AA1214,2)="L1",Y1214="No Iniciado"),"CRÍTICO - Incumplimiento Normativo SEPS",IF(AND(OR(LEFT(AA1214,2)="L4",LEFT(AA1214,2)="L5"),AND(AC1214&lt;&gt;"",AC1214&lt;&gt;"N/A")),"CONFORME - Control Efectivo ISO 27001","OBSERVACIÓN - Revisar Controles")))</f>
        <v/>
      </c>
    </row>
    <row r="1215">
      <c r="A1215" s="99" t="inlineStr">
        <is>
          <t>193-GRI</t>
        </is>
      </c>
      <c r="B1215" s="10" t="inlineStr">
        <is>
          <t>ESTRATÉGICO</t>
        </is>
      </c>
      <c r="C1215" s="10" t="inlineStr">
        <is>
          <t>Gestión de Riesgos</t>
        </is>
      </c>
      <c r="D1215" s="10" t="inlineStr">
        <is>
          <t>GRI</t>
        </is>
      </c>
      <c r="E1215" s="10" t="inlineStr">
        <is>
          <t>Gestión de Continuidad del Negocio</t>
        </is>
      </c>
      <c r="F1215" s="10" t="inlineStr">
        <is>
          <t>-</t>
        </is>
      </c>
      <c r="G1215" s="10" t="inlineStr">
        <is>
          <t xml:space="preserve">Gestión Documental de Continuidad del Negocio  </t>
        </is>
      </c>
      <c r="H1215" s="10" t="inlineStr">
        <is>
          <t>Plan de Acción Fenómeno de "El Niño"</t>
        </is>
      </c>
      <c r="I1215" s="10" t="inlineStr">
        <is>
          <t>Documento interno</t>
        </is>
      </c>
      <c r="J1215" s="10" t="inlineStr">
        <is>
          <t>GERENTE DE RIESGOS</t>
        </is>
      </c>
      <c r="K1215" s="10" t="inlineStr">
        <is>
          <t>ANALISTA DE RIESGO OPERATIVO</t>
        </is>
      </c>
      <c r="L1215" s="10" t="inlineStr">
        <is>
          <t>UBICACIÓN DIGITAL-EQUIPO DEL RESPONSABLE</t>
        </is>
      </c>
      <c r="M1215" s="10" t="inlineStr">
        <is>
          <t>DOCUMENTO DE ARCHIVO-ELECTRÓNICO</t>
        </is>
      </c>
      <c r="N1215" s="10" t="inlineStr">
        <is>
          <t>PRIMARIOS</t>
        </is>
      </c>
      <c r="O1215" s="10" t="inlineStr">
        <is>
          <t>DOCUMENTOS TÉCNICOS</t>
        </is>
      </c>
      <c r="P1215" s="10" t="inlineStr">
        <is>
          <t>PUBLICA(1)</t>
        </is>
      </c>
      <c r="Q1215" s="10" t="inlineStr">
        <is>
          <t>ALTA(3)</t>
        </is>
      </c>
      <c r="R1215" s="10" t="inlineStr">
        <is>
          <t>MEDIA(2)</t>
        </is>
      </c>
      <c r="S1215" s="10">
        <f>+(IF(P1215="PUBLICA(1)",1,IF(P1215="USO INTERNO(2)",2,IF(P1215="RESTRINGIDO(3)",3,3))))+(IF(Q1215="BAJA(1)",1,IF(Q1215="MEDIA(2)",2,IF(Q1215="ALTA(3)",3,3))))+(IF(R1215="BAJA(1)",1,IF(R1215="MEDIA(2)",2,IF(R1215="ALTA(3)",3,3))))</f>
        <v/>
      </c>
      <c r="T1215" s="10">
        <f>+IF(S1215&lt;6,"BAJA",IF(S1215&lt;8,"MEDIA","ALTA"))</f>
        <v/>
      </c>
      <c r="U1215" s="10" t="inlineStr">
        <is>
          <t>-</t>
        </is>
      </c>
      <c r="V1215" s="24" t="n">
        <v>45588</v>
      </c>
      <c r="W1215" s="19" t="inlineStr">
        <is>
          <t>N/A</t>
        </is>
      </c>
      <c r="X1215" s="10">
        <f>+IFERROR(IF(VLOOKUP(Tabla2[[#This Row],[ID]],'EVALUACION DE RIESGO'!A:A,1,FALSE)=Tabla2[[#This Row],[ID]],"SI","NO"),"NO")</f>
        <v/>
      </c>
      <c r="AD1215">
        <f>IF(AND(Y1215="",AA1215=""),"",IF(OR(LEFT(AA1215,2)="L0",LEFT(AA1215,2)="L1",Y1215="No Iniciado"),"CRÍTICO - Incumplimiento Normativo SEPS",IF(AND(OR(LEFT(AA1215,2)="L4",LEFT(AA1215,2)="L5"),AND(AC1215&lt;&gt;"",AC1215&lt;&gt;"N/A")),"CONFORME - Control Efectivo ISO 27001","OBSERVACIÓN - Revisar Controles")))</f>
        <v/>
      </c>
    </row>
    <row r="1216">
      <c r="A1216" s="99" t="inlineStr">
        <is>
          <t>194-GRI</t>
        </is>
      </c>
      <c r="B1216" s="10" t="inlineStr">
        <is>
          <t>ESTRATÉGICO</t>
        </is>
      </c>
      <c r="C1216" s="10" t="inlineStr">
        <is>
          <t>Gestión de Riesgos</t>
        </is>
      </c>
      <c r="D1216" s="10" t="inlineStr">
        <is>
          <t>GRI</t>
        </is>
      </c>
      <c r="E1216" s="10" t="inlineStr">
        <is>
          <t>Gestión de Continuidad del Negocio</t>
        </is>
      </c>
      <c r="F1216" s="10" t="inlineStr">
        <is>
          <t>-</t>
        </is>
      </c>
      <c r="G1216" s="10" t="inlineStr">
        <is>
          <t xml:space="preserve">Gestión Documental de Continuidad del Negocio  </t>
        </is>
      </c>
      <c r="H1216" s="10" t="inlineStr">
        <is>
          <t>Matriz de Actualización de documentos de la Gestión de Continuidad</t>
        </is>
      </c>
      <c r="I1216" s="10" t="inlineStr">
        <is>
          <t>Resumen de la planificacion de CN</t>
        </is>
      </c>
      <c r="J1216" s="10" t="inlineStr">
        <is>
          <t>GERENTE DE RIESGOS</t>
        </is>
      </c>
      <c r="K1216" s="10" t="inlineStr">
        <is>
          <t>ANALISTA DE RIESGO OPERATIVO</t>
        </is>
      </c>
      <c r="L1216" s="10" t="inlineStr">
        <is>
          <t>UBICACIÓN DIGITAL-EQUIPO DEL RESPONSABLE</t>
        </is>
      </c>
      <c r="M1216" s="10" t="inlineStr">
        <is>
          <t>DOCUMENTO DE ARCHIVO-ELECTRÓNICO</t>
        </is>
      </c>
      <c r="N1216" s="10" t="inlineStr">
        <is>
          <t>PRIMARIOS</t>
        </is>
      </c>
      <c r="O1216" s="10" t="inlineStr">
        <is>
          <t>DOCUMENTOS TÉCNICOS</t>
        </is>
      </c>
      <c r="P1216" s="10" t="inlineStr">
        <is>
          <t>PUBLICA(1)</t>
        </is>
      </c>
      <c r="Q1216" s="10" t="inlineStr">
        <is>
          <t>ALTA(3)</t>
        </is>
      </c>
      <c r="R1216" s="10" t="inlineStr">
        <is>
          <t>MEDIA(2)</t>
        </is>
      </c>
      <c r="S1216" s="10">
        <f>+(IF(P1216="PUBLICA(1)",1,IF(P1216="USO INTERNO(2)",2,IF(P1216="RESTRINGIDO(3)",3,3))))+(IF(Q1216="BAJA(1)",1,IF(Q1216="MEDIA(2)",2,IF(Q1216="ALTA(3)",3,3))))+(IF(R1216="BAJA(1)",1,IF(R1216="MEDIA(2)",2,IF(R1216="ALTA(3)",3,3))))</f>
        <v/>
      </c>
      <c r="T1216" s="10">
        <f>+IF(S1216&lt;6,"BAJA",IF(S1216&lt;8,"MEDIA","ALTA"))</f>
        <v/>
      </c>
      <c r="U1216" s="10" t="inlineStr">
        <is>
          <t>-</t>
        </is>
      </c>
      <c r="V1216" s="24" t="n">
        <v>45588</v>
      </c>
      <c r="W1216" s="19" t="inlineStr">
        <is>
          <t>N/A</t>
        </is>
      </c>
      <c r="X1216" s="10">
        <f>+IFERROR(IF(VLOOKUP(Tabla2[[#This Row],[ID]],'EVALUACION DE RIESGO'!A:A,1,FALSE)=Tabla2[[#This Row],[ID]],"SI","NO"),"NO")</f>
        <v/>
      </c>
      <c r="AD1216">
        <f>IF(AND(Y1216="",AA1216=""),"",IF(OR(LEFT(AA1216,2)="L0",LEFT(AA1216,2)="L1",Y1216="No Iniciado"),"CRÍTICO - Incumplimiento Normativo SEPS",IF(AND(OR(LEFT(AA1216,2)="L4",LEFT(AA1216,2)="L5"),AND(AC1216&lt;&gt;"",AC1216&lt;&gt;"N/A")),"CONFORME - Control Efectivo ISO 27001","OBSERVACIÓN - Revisar Controles")))</f>
        <v/>
      </c>
    </row>
    <row r="1217">
      <c r="A1217" s="99" t="inlineStr">
        <is>
          <t>195-GRI</t>
        </is>
      </c>
      <c r="B1217" s="10" t="inlineStr">
        <is>
          <t>ESTRATÉGICO</t>
        </is>
      </c>
      <c r="C1217" s="10" t="inlineStr">
        <is>
          <t>Gestión de Riesgos</t>
        </is>
      </c>
      <c r="D1217" s="10" t="inlineStr">
        <is>
          <t>GRI</t>
        </is>
      </c>
      <c r="E1217" s="10" t="inlineStr">
        <is>
          <t>Gestión de Continuidad del Negocio</t>
        </is>
      </c>
      <c r="F1217" s="10" t="inlineStr">
        <is>
          <t>-</t>
        </is>
      </c>
      <c r="G1217" s="10" t="inlineStr">
        <is>
          <t xml:space="preserve">Pruebas y mantenimiento del Plan                                                                 </t>
        </is>
      </c>
      <c r="H1217" s="10" t="inlineStr">
        <is>
          <t>Cronograma sobre la planificación de la actualización de los documentos de continuidad del Negocio.</t>
        </is>
      </c>
      <c r="I1217" s="10" t="inlineStr">
        <is>
          <t>Resumen de la planificacion de CN</t>
        </is>
      </c>
      <c r="J1217" s="10" t="inlineStr">
        <is>
          <t>GERENTE DE RIESGOS</t>
        </is>
      </c>
      <c r="K1217" s="10" t="inlineStr">
        <is>
          <t>ANALISTA DE RIESGO OPERATIVO</t>
        </is>
      </c>
      <c r="L1217" s="10" t="inlineStr">
        <is>
          <t>UBICACIÓN DIGITAL-EQUIPO DEL RESPONSABLE</t>
        </is>
      </c>
      <c r="M1217" s="10" t="inlineStr">
        <is>
          <t>DOCUMENTO DE ARCHIVO-ELECTRÓNICO</t>
        </is>
      </c>
      <c r="N1217" s="10" t="inlineStr">
        <is>
          <t>PRIMARIOS</t>
        </is>
      </c>
      <c r="O1217" s="10" t="inlineStr">
        <is>
          <t>DOCUMENTOS TÉCNICOS</t>
        </is>
      </c>
      <c r="P1217" s="10" t="inlineStr">
        <is>
          <t>PUBLICA(1)</t>
        </is>
      </c>
      <c r="Q1217" s="10" t="inlineStr">
        <is>
          <t>ALTA(3)</t>
        </is>
      </c>
      <c r="R1217" s="10" t="inlineStr">
        <is>
          <t>MEDIA(2)</t>
        </is>
      </c>
      <c r="S1217" s="10">
        <f>+(IF(P1217="PUBLICA(1)",1,IF(P1217="USO INTERNO(2)",2,IF(P1217="RESTRINGIDO(3)",3,3))))+(IF(Q1217="BAJA(1)",1,IF(Q1217="MEDIA(2)",2,IF(Q1217="ALTA(3)",3,3))))+(IF(R1217="BAJA(1)",1,IF(R1217="MEDIA(2)",2,IF(R1217="ALTA(3)",3,3))))</f>
        <v/>
      </c>
      <c r="T1217" s="10">
        <f>+IF(S1217&lt;6,"BAJA",IF(S1217&lt;8,"MEDIA","ALTA"))</f>
        <v/>
      </c>
      <c r="U1217" s="10" t="inlineStr">
        <is>
          <t>-</t>
        </is>
      </c>
      <c r="V1217" s="24" t="n">
        <v>45588</v>
      </c>
      <c r="W1217" s="19" t="inlineStr">
        <is>
          <t>N/A</t>
        </is>
      </c>
      <c r="X1217" s="10">
        <f>+IFERROR(IF(VLOOKUP(Tabla2[[#This Row],[ID]],'EVALUACION DE RIESGO'!A:A,1,FALSE)=Tabla2[[#This Row],[ID]],"SI","NO"),"NO")</f>
        <v/>
      </c>
      <c r="AD1217">
        <f>IF(AND(Y1217="",AA1217=""),"",IF(OR(LEFT(AA1217,2)="L0",LEFT(AA1217,2)="L1",Y1217="No Iniciado"),"CRÍTICO - Incumplimiento Normativo SEPS",IF(AND(OR(LEFT(AA1217,2)="L4",LEFT(AA1217,2)="L5"),AND(AC1217&lt;&gt;"",AC1217&lt;&gt;"N/A")),"CONFORME - Control Efectivo ISO 27001","OBSERVACIÓN - Revisar Controles")))</f>
        <v/>
      </c>
    </row>
    <row r="1218">
      <c r="A1218" s="99" t="inlineStr">
        <is>
          <t>196-GRI</t>
        </is>
      </c>
      <c r="B1218" s="10" t="inlineStr">
        <is>
          <t>ESTRATÉGICO</t>
        </is>
      </c>
      <c r="C1218" s="10" t="inlineStr">
        <is>
          <t>Gestión de Riesgos</t>
        </is>
      </c>
      <c r="D1218" s="10" t="inlineStr">
        <is>
          <t>GRI</t>
        </is>
      </c>
      <c r="E1218" s="10" t="inlineStr">
        <is>
          <t>Gestión de Continuidad del Negocio</t>
        </is>
      </c>
      <c r="F1218" s="10" t="inlineStr">
        <is>
          <t>-</t>
        </is>
      </c>
      <c r="G1218" s="10" t="inlineStr">
        <is>
          <t xml:space="preserve">Pruebas y mantenimiento del Plan                                                                 </t>
        </is>
      </c>
      <c r="H1218" s="10" t="inlineStr">
        <is>
          <t>Cronograma de pruebas de Continuidad del Negocio</t>
        </is>
      </c>
      <c r="I1218" s="10" t="inlineStr">
        <is>
          <t>Resumen de la planificacion de CN</t>
        </is>
      </c>
      <c r="J1218" s="10" t="inlineStr">
        <is>
          <t>GERENTE DE RIESGOS</t>
        </is>
      </c>
      <c r="K1218" s="10" t="inlineStr">
        <is>
          <t>ANALISTA DE RIESGO OPERATIVO</t>
        </is>
      </c>
      <c r="L1218" s="10" t="inlineStr">
        <is>
          <t>UBICACIÓN DIGITAL-EQUIPO DEL RESPONSABLE</t>
        </is>
      </c>
      <c r="M1218" s="10" t="inlineStr">
        <is>
          <t>DOCUMENTO DE ARCHIVO-ELECTRÓNICO</t>
        </is>
      </c>
      <c r="N1218" s="10" t="inlineStr">
        <is>
          <t>PRIMARIOS</t>
        </is>
      </c>
      <c r="O1218" s="10" t="inlineStr">
        <is>
          <t>DOCUMENTOS TÉCNICOS</t>
        </is>
      </c>
      <c r="P1218" s="10" t="inlineStr">
        <is>
          <t>PUBLICA(1)</t>
        </is>
      </c>
      <c r="Q1218" s="10" t="inlineStr">
        <is>
          <t>ALTA(3)</t>
        </is>
      </c>
      <c r="R1218" s="10" t="inlineStr">
        <is>
          <t>MEDIA(2)</t>
        </is>
      </c>
      <c r="S1218" s="10">
        <f>+(IF(P1218="PUBLICA(1)",1,IF(P1218="USO INTERNO(2)",2,IF(P1218="RESTRINGIDO(3)",3,3))))+(IF(Q1218="BAJA(1)",1,IF(Q1218="MEDIA(2)",2,IF(Q1218="ALTA(3)",3,3))))+(IF(R1218="BAJA(1)",1,IF(R1218="MEDIA(2)",2,IF(R1218="ALTA(3)",3,3))))</f>
        <v/>
      </c>
      <c r="T1218" s="10">
        <f>+IF(S1218&lt;6,"BAJA",IF(S1218&lt;8,"MEDIA","ALTA"))</f>
        <v/>
      </c>
      <c r="U1218" s="10" t="inlineStr">
        <is>
          <t>-</t>
        </is>
      </c>
      <c r="V1218" s="24" t="n">
        <v>45588</v>
      </c>
      <c r="W1218" s="19" t="inlineStr">
        <is>
          <t>N/A</t>
        </is>
      </c>
      <c r="X1218" s="10">
        <f>+IFERROR(IF(VLOOKUP(Tabla2[[#This Row],[ID]],'EVALUACION DE RIESGO'!A:A,1,FALSE)=Tabla2[[#This Row],[ID]],"SI","NO"),"NO")</f>
        <v/>
      </c>
      <c r="AD1218">
        <f>IF(AND(Y1218="",AA1218=""),"",IF(OR(LEFT(AA1218,2)="L0",LEFT(AA1218,2)="L1",Y1218="No Iniciado"),"CRÍTICO - Incumplimiento Normativo SEPS",IF(AND(OR(LEFT(AA1218,2)="L4",LEFT(AA1218,2)="L5"),AND(AC1218&lt;&gt;"",AC1218&lt;&gt;"N/A")),"CONFORME - Control Efectivo ISO 27001","OBSERVACIÓN - Revisar Controles")))</f>
        <v/>
      </c>
    </row>
    <row r="1219">
      <c r="A1219" s="99" t="inlineStr">
        <is>
          <t>197-GRI</t>
        </is>
      </c>
      <c r="B1219" s="10" t="inlineStr">
        <is>
          <t>ESTRATÉGICO</t>
        </is>
      </c>
      <c r="C1219" s="10" t="inlineStr">
        <is>
          <t>Gestión de Riesgos</t>
        </is>
      </c>
      <c r="D1219" s="10" t="inlineStr">
        <is>
          <t>GRI</t>
        </is>
      </c>
      <c r="E1219" s="10" t="inlineStr">
        <is>
          <t>Gestión de Continuidad del Negocio</t>
        </is>
      </c>
      <c r="F1219" s="10" t="inlineStr">
        <is>
          <t>-</t>
        </is>
      </c>
      <c r="G1219" s="10" t="inlineStr">
        <is>
          <t xml:space="preserve">Pruebas y mantenimiento del Plan                                                                 </t>
        </is>
      </c>
      <c r="H1219" s="10" t="inlineStr">
        <is>
          <t xml:space="preserve">Certificación de Consejo de Administración </t>
        </is>
      </c>
      <c r="I1219" s="10" t="inlineStr">
        <is>
          <t>Documento certificado</t>
        </is>
      </c>
      <c r="J1219" s="10" t="inlineStr">
        <is>
          <t>GERENTE DE RIESGOS</t>
        </is>
      </c>
      <c r="K1219" s="10" t="inlineStr">
        <is>
          <t>ANALISTA DE RIESGO OPERATIVO</t>
        </is>
      </c>
      <c r="L1219" s="10" t="inlineStr">
        <is>
          <t>UBICACIÓN DIGITAL-EQUIPO DEL RESPONSABLE</t>
        </is>
      </c>
      <c r="M1219" s="10" t="inlineStr">
        <is>
          <t>DOCUMENTO DE ARCHIVO-ELECTRÓNICO</t>
        </is>
      </c>
      <c r="N1219" s="10" t="inlineStr">
        <is>
          <t>PRIMARIOS</t>
        </is>
      </c>
      <c r="O1219" s="10" t="inlineStr">
        <is>
          <t>DOCUMENTOS TÉCNICOS</t>
        </is>
      </c>
      <c r="P1219" s="10" t="inlineStr">
        <is>
          <t>PUBLICA(1)</t>
        </is>
      </c>
      <c r="Q1219" s="10" t="inlineStr">
        <is>
          <t>ALTA(3)</t>
        </is>
      </c>
      <c r="R1219" s="10" t="inlineStr">
        <is>
          <t>MEDIA(2)</t>
        </is>
      </c>
      <c r="S1219" s="10">
        <f>+(IF(P1219="PUBLICA(1)",1,IF(P1219="USO INTERNO(2)",2,IF(P1219="RESTRINGIDO(3)",3,3))))+(IF(Q1219="BAJA(1)",1,IF(Q1219="MEDIA(2)",2,IF(Q1219="ALTA(3)",3,3))))+(IF(R1219="BAJA(1)",1,IF(R1219="MEDIA(2)",2,IF(R1219="ALTA(3)",3,3))))</f>
        <v/>
      </c>
      <c r="T1219" s="10">
        <f>+IF(S1219&lt;6,"BAJA",IF(S1219&lt;8,"MEDIA","ALTA"))</f>
        <v/>
      </c>
      <c r="U1219" s="10" t="inlineStr">
        <is>
          <t>-</t>
        </is>
      </c>
      <c r="V1219" s="24" t="n">
        <v>45588</v>
      </c>
      <c r="W1219" s="19" t="inlineStr">
        <is>
          <t>N/A</t>
        </is>
      </c>
      <c r="X1219" s="10">
        <f>+IFERROR(IF(VLOOKUP(Tabla2[[#This Row],[ID]],'EVALUACION DE RIESGO'!A:A,1,FALSE)=Tabla2[[#This Row],[ID]],"SI","NO"),"NO")</f>
        <v/>
      </c>
      <c r="AD1219">
        <f>IF(AND(Y1219="",AA1219=""),"",IF(OR(LEFT(AA1219,2)="L0",LEFT(AA1219,2)="L1",Y1219="No Iniciado"),"CRÍTICO - Incumplimiento Normativo SEPS",IF(AND(OR(LEFT(AA1219,2)="L4",LEFT(AA1219,2)="L5"),AND(AC1219&lt;&gt;"",AC1219&lt;&gt;"N/A")),"CONFORME - Control Efectivo ISO 27001","OBSERVACIÓN - Revisar Controles")))</f>
        <v/>
      </c>
    </row>
    <row r="1220">
      <c r="A1220" s="99" t="inlineStr">
        <is>
          <t>198-GRI</t>
        </is>
      </c>
      <c r="B1220" s="10" t="inlineStr">
        <is>
          <t>ESTRATÉGICO</t>
        </is>
      </c>
      <c r="C1220" s="10" t="inlineStr">
        <is>
          <t>Gestión de Riesgos</t>
        </is>
      </c>
      <c r="D1220" s="10" t="inlineStr">
        <is>
          <t>GRI</t>
        </is>
      </c>
      <c r="E1220" s="10" t="inlineStr">
        <is>
          <t>Gestión de Continuidad del Negocio</t>
        </is>
      </c>
      <c r="F1220" s="10" t="inlineStr">
        <is>
          <t>-</t>
        </is>
      </c>
      <c r="G1220" s="10" t="inlineStr">
        <is>
          <t>Difusión y Concientización</t>
        </is>
      </c>
      <c r="H1220" s="10" t="inlineStr">
        <is>
          <t>Cronograma de capacitación</t>
        </is>
      </c>
      <c r="I1220" s="10" t="inlineStr">
        <is>
          <t>Resumen de la planificacion de CN</t>
        </is>
      </c>
      <c r="J1220" s="10" t="inlineStr">
        <is>
          <t>GERENTE DE RIESGOS</t>
        </is>
      </c>
      <c r="K1220" s="10" t="inlineStr">
        <is>
          <t>ANALISTA DE RIESGO OPERATIVO</t>
        </is>
      </c>
      <c r="L1220" s="10" t="inlineStr">
        <is>
          <t>UBICACIÓN DIGITAL-EQUIPO DEL RESPONSABLE</t>
        </is>
      </c>
      <c r="M1220" s="10" t="inlineStr">
        <is>
          <t>DOCUMENTO DE ARCHIVO-ELECTRÓNICO</t>
        </is>
      </c>
      <c r="N1220" s="10" t="inlineStr">
        <is>
          <t>PRIMARIOS</t>
        </is>
      </c>
      <c r="O1220" s="10" t="inlineStr">
        <is>
          <t>DOCUMENTOS TÉCNICOS</t>
        </is>
      </c>
      <c r="P1220" s="10" t="inlineStr">
        <is>
          <t>PUBLICA(1)</t>
        </is>
      </c>
      <c r="Q1220" s="10" t="inlineStr">
        <is>
          <t>ALTA(3)</t>
        </is>
      </c>
      <c r="R1220" s="10" t="inlineStr">
        <is>
          <t>MEDIA(2)</t>
        </is>
      </c>
      <c r="S1220" s="10">
        <f>+(IF(P1220="PUBLICA(1)",1,IF(P1220="USO INTERNO(2)",2,IF(P1220="RESTRINGIDO(3)",3,3))))+(IF(Q1220="BAJA(1)",1,IF(Q1220="MEDIA(2)",2,IF(Q1220="ALTA(3)",3,3))))+(IF(R1220="BAJA(1)",1,IF(R1220="MEDIA(2)",2,IF(R1220="ALTA(3)",3,3))))</f>
        <v/>
      </c>
      <c r="T1220" s="10">
        <f>+IF(S1220&lt;6,"BAJA",IF(S1220&lt;8,"MEDIA","ALTA"))</f>
        <v/>
      </c>
      <c r="U1220" s="10" t="inlineStr">
        <is>
          <t>-</t>
        </is>
      </c>
      <c r="V1220" s="24" t="n">
        <v>45588</v>
      </c>
      <c r="W1220" s="19" t="inlineStr">
        <is>
          <t>N/A</t>
        </is>
      </c>
      <c r="X1220" s="10">
        <f>+IFERROR(IF(VLOOKUP(Tabla2[[#This Row],[ID]],'EVALUACION DE RIESGO'!A:A,1,FALSE)=Tabla2[[#This Row],[ID]],"SI","NO"),"NO")</f>
        <v/>
      </c>
      <c r="AD1220">
        <f>IF(AND(Y1220="",AA1220=""),"",IF(OR(LEFT(AA1220,2)="L0",LEFT(AA1220,2)="L1",Y1220="No Iniciado"),"CRÍTICO - Incumplimiento Normativo SEPS",IF(AND(OR(LEFT(AA1220,2)="L4",LEFT(AA1220,2)="L5"),AND(AC1220&lt;&gt;"",AC1220&lt;&gt;"N/A")),"CONFORME - Control Efectivo ISO 27001","OBSERVACIÓN - Revisar Controles")))</f>
        <v/>
      </c>
    </row>
    <row r="1221">
      <c r="A1221" s="99" t="inlineStr">
        <is>
          <t>199-GRI</t>
        </is>
      </c>
      <c r="B1221" s="10" t="inlineStr">
        <is>
          <t>ESTRATÉGICO</t>
        </is>
      </c>
      <c r="C1221" s="10" t="inlineStr">
        <is>
          <t>Gestión de Riesgos</t>
        </is>
      </c>
      <c r="D1221" s="10" t="inlineStr">
        <is>
          <t>GRI</t>
        </is>
      </c>
      <c r="E1221" s="10" t="inlineStr">
        <is>
          <t>Gestión de Continuidad del Negocio</t>
        </is>
      </c>
      <c r="F1221" s="10" t="inlineStr">
        <is>
          <t>-</t>
        </is>
      </c>
      <c r="G1221" s="10" t="inlineStr">
        <is>
          <t>Difusión y Concientización</t>
        </is>
      </c>
      <c r="H1221" s="10" t="inlineStr">
        <is>
          <t>Evaluación de continuidad del negocio</t>
        </is>
      </c>
      <c r="I1221" s="10" t="inlineStr">
        <is>
          <t>Informe de la Planificación CN</t>
        </is>
      </c>
      <c r="J1221" s="10" t="inlineStr">
        <is>
          <t>GERENTE DE RIESGOS</t>
        </is>
      </c>
      <c r="K1221" s="10" t="inlineStr">
        <is>
          <t>ANALISTA DE RIESGO OPERATIVO</t>
        </is>
      </c>
      <c r="L1221" s="10" t="inlineStr">
        <is>
          <t>UBICACIÓN DIGITAL-EQUIPO DEL RESPONSABLE</t>
        </is>
      </c>
      <c r="M1221" s="10" t="inlineStr">
        <is>
          <t>DOCUMENTO DE ARCHIVO-ELECTRÓNICO</t>
        </is>
      </c>
      <c r="N1221" s="10" t="inlineStr">
        <is>
          <t>PRIMARIOS</t>
        </is>
      </c>
      <c r="O1221" s="10" t="inlineStr">
        <is>
          <t>DOCUMENTOS TÉCNICOS</t>
        </is>
      </c>
      <c r="P1221" s="10" t="inlineStr">
        <is>
          <t>PUBLICA(1)</t>
        </is>
      </c>
      <c r="Q1221" s="10" t="inlineStr">
        <is>
          <t>ALTA(3)</t>
        </is>
      </c>
      <c r="R1221" s="10" t="inlineStr">
        <is>
          <t>MEDIA(2)</t>
        </is>
      </c>
      <c r="S1221" s="10">
        <f>+(IF(P1221="PUBLICA(1)",1,IF(P1221="USO INTERNO(2)",2,IF(P1221="RESTRINGIDO(3)",3,3))))+(IF(Q1221="BAJA(1)",1,IF(Q1221="MEDIA(2)",2,IF(Q1221="ALTA(3)",3,3))))+(IF(R1221="BAJA(1)",1,IF(R1221="MEDIA(2)",2,IF(R1221="ALTA(3)",3,3))))</f>
        <v/>
      </c>
      <c r="T1221" s="10">
        <f>+IF(S1221&lt;6,"BAJA",IF(S1221&lt;8,"MEDIA","ALTA"))</f>
        <v/>
      </c>
      <c r="U1221" s="10" t="inlineStr">
        <is>
          <t>-</t>
        </is>
      </c>
      <c r="V1221" s="24" t="n">
        <v>45588</v>
      </c>
      <c r="W1221" s="19" t="inlineStr">
        <is>
          <t>N/A</t>
        </is>
      </c>
      <c r="X1221" s="10">
        <f>+IFERROR(IF(VLOOKUP(Tabla2[[#This Row],[ID]],'EVALUACION DE RIESGO'!A:A,1,FALSE)=Tabla2[[#This Row],[ID]],"SI","NO"),"NO")</f>
        <v/>
      </c>
      <c r="AD1221">
        <f>IF(AND(Y1221="",AA1221=""),"",IF(OR(LEFT(AA1221,2)="L0",LEFT(AA1221,2)="L1",Y1221="No Iniciado"),"CRÍTICO - Incumplimiento Normativo SEPS",IF(AND(OR(LEFT(AA1221,2)="L4",LEFT(AA1221,2)="L5"),AND(AC1221&lt;&gt;"",AC1221&lt;&gt;"N/A")),"CONFORME - Control Efectivo ISO 27001","OBSERVACIÓN - Revisar Controles")))</f>
        <v/>
      </c>
    </row>
    <row r="1222">
      <c r="A1222" s="99" t="inlineStr">
        <is>
          <t>200-GRI</t>
        </is>
      </c>
      <c r="B1222" s="10" t="inlineStr">
        <is>
          <t>ESTRATÉGICO</t>
        </is>
      </c>
      <c r="C1222" s="10" t="inlineStr">
        <is>
          <t>Gestión de Riesgos</t>
        </is>
      </c>
      <c r="D1222" s="10" t="inlineStr">
        <is>
          <t>GRI</t>
        </is>
      </c>
      <c r="E1222" s="10" t="inlineStr">
        <is>
          <t>Gestión de Presupuestaria</t>
        </is>
      </c>
      <c r="F1222" s="10" t="inlineStr">
        <is>
          <t>-</t>
        </is>
      </c>
      <c r="G1222" s="10" t="inlineStr">
        <is>
          <t>Administración de eventos de riesgo operativo</t>
        </is>
      </c>
      <c r="H1222" s="10" t="inlineStr">
        <is>
          <t>Sistema RDS</t>
        </is>
      </c>
      <c r="I1222" s="10" t="inlineStr">
        <is>
          <t>Sistema de gestion de riesgo operativio</t>
        </is>
      </c>
      <c r="J1222" s="10" t="inlineStr">
        <is>
          <t>GERENTE DE RIESGOS</t>
        </is>
      </c>
      <c r="K1222" s="10" t="inlineStr">
        <is>
          <t>ANALISTA DE RIESGO OPERATIVO</t>
        </is>
      </c>
      <c r="L1222" s="10" t="inlineStr">
        <is>
          <t>UBICACIÓN DIGITAL-EQUIPO DEL RESPONSABLE</t>
        </is>
      </c>
      <c r="M1222" s="10" t="inlineStr">
        <is>
          <t>SISTEMA DE ADMINISTRACIÓN DE DOCUMENTOS</t>
        </is>
      </c>
      <c r="N1222" s="10" t="inlineStr">
        <is>
          <t>APOYO</t>
        </is>
      </c>
      <c r="O1222" s="10" t="inlineStr">
        <is>
          <t>SOFTWARE</t>
        </is>
      </c>
      <c r="P1222" s="10" t="inlineStr">
        <is>
          <t>PUBLICA(1)</t>
        </is>
      </c>
      <c r="Q1222" s="10" t="inlineStr">
        <is>
          <t>ALTA(3)</t>
        </is>
      </c>
      <c r="R1222" s="10" t="inlineStr">
        <is>
          <t>MEDIA(2)</t>
        </is>
      </c>
      <c r="S1222" s="10">
        <f>+(IF(P1222="PUBLICA(1)",1,IF(P1222="USO INTERNO(2)",2,IF(P1222="RESTRINGIDO(3)",3,3))))+(IF(Q1222="BAJA(1)",1,IF(Q1222="MEDIA(2)",2,IF(Q1222="ALTA(3)",3,3))))+(IF(R1222="BAJA(1)",1,IF(R1222="MEDIA(2)",2,IF(R1222="ALTA(3)",3,3))))</f>
        <v/>
      </c>
      <c r="T1222" s="10">
        <f>+IF(S1222&lt;6,"BAJA",IF(S1222&lt;8,"MEDIA","ALTA"))</f>
        <v/>
      </c>
      <c r="U1222" s="10" t="inlineStr">
        <is>
          <t>-</t>
        </is>
      </c>
      <c r="V1222" s="24" t="n">
        <v>45588</v>
      </c>
      <c r="W1222" s="19" t="inlineStr">
        <is>
          <t>N/A</t>
        </is>
      </c>
      <c r="X1222" s="10">
        <f>+IFERROR(IF(VLOOKUP(Tabla2[[#This Row],[ID]],'EVALUACION DE RIESGO'!A:A,1,FALSE)=Tabla2[[#This Row],[ID]],"SI","NO"),"NO")</f>
        <v/>
      </c>
      <c r="AD1222">
        <f>IF(AND(Y1222="",AA1222=""),"",IF(OR(LEFT(AA1222,2)="L0",LEFT(AA1222,2)="L1",Y1222="No Iniciado"),"CRÍTICO - Incumplimiento Normativo SEPS",IF(AND(OR(LEFT(AA1222,2)="L4",LEFT(AA1222,2)="L5"),AND(AC1222&lt;&gt;"",AC1222&lt;&gt;"N/A")),"CONFORME - Control Efectivo ISO 27001","OBSERVACIÓN - Revisar Controles")))</f>
        <v/>
      </c>
    </row>
    <row r="1223">
      <c r="A1223" s="99" t="inlineStr">
        <is>
          <t>201-GRI</t>
        </is>
      </c>
      <c r="B1223" s="10" t="inlineStr">
        <is>
          <t>ESTRATÉGICO</t>
        </is>
      </c>
      <c r="C1223" s="10" t="inlineStr">
        <is>
          <t>Gestión de Riesgos</t>
        </is>
      </c>
      <c r="D1223" s="10" t="inlineStr">
        <is>
          <t>GRI</t>
        </is>
      </c>
      <c r="E1223" s="10" t="inlineStr">
        <is>
          <t>NA</t>
        </is>
      </c>
      <c r="F1223" s="10" t="inlineStr">
        <is>
          <t>-</t>
        </is>
      </c>
      <c r="G1223" s="10" t="inlineStr">
        <is>
          <t>Otros Activos</t>
        </is>
      </c>
      <c r="H1223" s="10" t="inlineStr">
        <is>
          <t>Gerente de Riesgos</t>
        </is>
      </c>
      <c r="I1223" s="10" t="inlineStr">
        <is>
          <t>Empleado privado</t>
        </is>
      </c>
      <c r="J1223" s="10" t="inlineStr">
        <is>
          <t>GERENTE DE RIESGOS</t>
        </is>
      </c>
      <c r="K1223" s="10" t="inlineStr">
        <is>
          <t>COAC ATUNTAQUI</t>
        </is>
      </c>
      <c r="L1223" s="10" t="inlineStr">
        <is>
          <t>UBICACIÓN DIGITAL-WEBCOOP</t>
        </is>
      </c>
      <c r="M1223" s="10" t="inlineStr">
        <is>
          <t>N/A</t>
        </is>
      </c>
      <c r="N1223" s="10" t="inlineStr">
        <is>
          <t>APOYO</t>
        </is>
      </c>
      <c r="O1223" s="10" t="inlineStr">
        <is>
          <t>RECURSO HUMANO</t>
        </is>
      </c>
      <c r="P1223" s="10" t="inlineStr">
        <is>
          <t>PUBLICA(1)</t>
        </is>
      </c>
      <c r="Q1223" s="10" t="inlineStr">
        <is>
          <t>ALTA(3)</t>
        </is>
      </c>
      <c r="R1223" s="10" t="inlineStr">
        <is>
          <t>MEDIA(2)</t>
        </is>
      </c>
      <c r="S1223" s="10">
        <f>+(IF(P1223="PUBLICA(1)",1,IF(P1223="USO INTERNO(2)",2,IF(P1223="RESTRINGIDO(3)",3,3))))+(IF(Q1223="BAJA(1)",1,IF(Q1223="MEDIA(2)",2,IF(Q1223="ALTA(3)",3,3))))+(IF(R1223="BAJA(1)",1,IF(R1223="MEDIA(2)",2,IF(R1223="ALTA(3)",3,3))))</f>
        <v/>
      </c>
      <c r="T1223" s="10">
        <f>+IF(S1223&lt;6,"BAJA",IF(S1223&lt;8,"MEDIA","ALTA"))</f>
        <v/>
      </c>
      <c r="U1223" s="10" t="inlineStr">
        <is>
          <t>-</t>
        </is>
      </c>
      <c r="V1223" s="24" t="n">
        <v>45588</v>
      </c>
      <c r="W1223" s="19" t="inlineStr">
        <is>
          <t>N/A</t>
        </is>
      </c>
      <c r="X1223" s="10">
        <f>+IFERROR(IF(VLOOKUP(Tabla2[[#This Row],[ID]],'EVALUACION DE RIESGO'!A:A,1,FALSE)=Tabla2[[#This Row],[ID]],"SI","NO"),"NO")</f>
        <v/>
      </c>
      <c r="AD1223">
        <f>IF(AND(Y1223="",AA1223=""),"",IF(OR(LEFT(AA1223,2)="L0",LEFT(AA1223,2)="L1",Y1223="No Iniciado"),"CRÍTICO - Incumplimiento Normativo SEPS",IF(AND(OR(LEFT(AA1223,2)="L4",LEFT(AA1223,2)="L5"),AND(AC1223&lt;&gt;"",AC1223&lt;&gt;"N/A")),"CONFORME - Control Efectivo ISO 27001","OBSERVACIÓN - Revisar Controles")))</f>
        <v/>
      </c>
    </row>
    <row r="1224">
      <c r="A1224" s="99" t="inlineStr">
        <is>
          <t>202-GRI</t>
        </is>
      </c>
      <c r="B1224" s="10" t="inlineStr">
        <is>
          <t>ESTRATÉGICO</t>
        </is>
      </c>
      <c r="C1224" s="10" t="inlineStr">
        <is>
          <t>Gestión de Riesgos</t>
        </is>
      </c>
      <c r="D1224" s="10" t="inlineStr">
        <is>
          <t>GRI</t>
        </is>
      </c>
      <c r="E1224" s="10" t="inlineStr">
        <is>
          <t>NA</t>
        </is>
      </c>
      <c r="F1224" s="10" t="inlineStr">
        <is>
          <t>-</t>
        </is>
      </c>
      <c r="G1224" s="10" t="inlineStr">
        <is>
          <t>Otros Activos</t>
        </is>
      </c>
      <c r="H1224" s="10" t="inlineStr">
        <is>
          <t xml:space="preserve">Oficial Analista Integral de Riegos </t>
        </is>
      </c>
      <c r="I1224" s="10" t="inlineStr">
        <is>
          <t>Empleado privado</t>
        </is>
      </c>
      <c r="J1224" s="10" t="inlineStr">
        <is>
          <t>GERENTE DE RIESGOS</t>
        </is>
      </c>
      <c r="K1224" s="10" t="inlineStr">
        <is>
          <t>COAC ATUNTAQUI</t>
        </is>
      </c>
      <c r="L1224" s="10" t="inlineStr">
        <is>
          <t>UBICACIÓN DIGITAL-WEBCOOP</t>
        </is>
      </c>
      <c r="M1224" s="10" t="inlineStr">
        <is>
          <t>N/A</t>
        </is>
      </c>
      <c r="N1224" s="10" t="inlineStr">
        <is>
          <t>APOYO</t>
        </is>
      </c>
      <c r="O1224" s="10" t="inlineStr">
        <is>
          <t>RECURSO HUMANO</t>
        </is>
      </c>
      <c r="P1224" s="10" t="inlineStr">
        <is>
          <t>PUBLICA(1)</t>
        </is>
      </c>
      <c r="Q1224" s="10" t="inlineStr">
        <is>
          <t>ALTA(3)</t>
        </is>
      </c>
      <c r="R1224" s="10" t="inlineStr">
        <is>
          <t>MEDIA(2)</t>
        </is>
      </c>
      <c r="S1224" s="10">
        <f>+(IF(P1224="PUBLICA(1)",1,IF(P1224="USO INTERNO(2)",2,IF(P1224="RESTRINGIDO(3)",3,3))))+(IF(Q1224="BAJA(1)",1,IF(Q1224="MEDIA(2)",2,IF(Q1224="ALTA(3)",3,3))))+(IF(R1224="BAJA(1)",1,IF(R1224="MEDIA(2)",2,IF(R1224="ALTA(3)",3,3))))</f>
        <v/>
      </c>
      <c r="T1224" s="10">
        <f>+IF(S1224&lt;6,"BAJA",IF(S1224&lt;8,"MEDIA","ALTA"))</f>
        <v/>
      </c>
      <c r="U1224" s="10" t="inlineStr">
        <is>
          <t>-</t>
        </is>
      </c>
      <c r="V1224" s="24" t="n">
        <v>45588</v>
      </c>
      <c r="W1224" s="19" t="inlineStr">
        <is>
          <t>N/A</t>
        </is>
      </c>
      <c r="X1224" s="10">
        <f>+IFERROR(IF(VLOOKUP(Tabla2[[#This Row],[ID]],'EVALUACION DE RIESGO'!A:A,1,FALSE)=Tabla2[[#This Row],[ID]],"SI","NO"),"NO")</f>
        <v/>
      </c>
      <c r="AD1224">
        <f>IF(AND(Y1224="",AA1224=""),"",IF(OR(LEFT(AA1224,2)="L0",LEFT(AA1224,2)="L1",Y1224="No Iniciado"),"CRÍTICO - Incumplimiento Normativo SEPS",IF(AND(OR(LEFT(AA1224,2)="L4",LEFT(AA1224,2)="L5"),AND(AC1224&lt;&gt;"",AC1224&lt;&gt;"N/A")),"CONFORME - Control Efectivo ISO 27001","OBSERVACIÓN - Revisar Controles")))</f>
        <v/>
      </c>
    </row>
    <row r="1225">
      <c r="A1225" s="99" t="inlineStr">
        <is>
          <t>203-GRI</t>
        </is>
      </c>
      <c r="B1225" s="10" t="inlineStr">
        <is>
          <t>ESTRATÉGICO</t>
        </is>
      </c>
      <c r="C1225" s="10" t="inlineStr">
        <is>
          <t>Gestión de Riesgos</t>
        </is>
      </c>
      <c r="D1225" s="10" t="inlineStr">
        <is>
          <t>GRI</t>
        </is>
      </c>
      <c r="E1225" s="10" t="inlineStr">
        <is>
          <t>NA</t>
        </is>
      </c>
      <c r="F1225" s="10" t="inlineStr">
        <is>
          <t>-</t>
        </is>
      </c>
      <c r="G1225" s="10" t="inlineStr">
        <is>
          <t>Otros Activos</t>
        </is>
      </c>
      <c r="H1225" s="10" t="inlineStr">
        <is>
          <t>Analista de Riesgo de Credito</t>
        </is>
      </c>
      <c r="I1225" s="10" t="inlineStr">
        <is>
          <t>Empleado privado</t>
        </is>
      </c>
      <c r="J1225" s="10" t="inlineStr">
        <is>
          <t>GERENTE DE RIESGOS</t>
        </is>
      </c>
      <c r="K1225" s="10" t="inlineStr">
        <is>
          <t>COAC ATUNTAQUI</t>
        </is>
      </c>
      <c r="L1225" s="10" t="inlineStr">
        <is>
          <t>UBICACIÓN DIGITAL-WEBCOOP</t>
        </is>
      </c>
      <c r="M1225" s="10" t="inlineStr">
        <is>
          <t>N/A</t>
        </is>
      </c>
      <c r="N1225" s="10" t="inlineStr">
        <is>
          <t>APOYO</t>
        </is>
      </c>
      <c r="O1225" s="10" t="inlineStr">
        <is>
          <t>RECURSO HUMANO</t>
        </is>
      </c>
      <c r="P1225" s="10" t="inlineStr">
        <is>
          <t>PUBLICA(1)</t>
        </is>
      </c>
      <c r="Q1225" s="10" t="inlineStr">
        <is>
          <t>ALTA(3)</t>
        </is>
      </c>
      <c r="R1225" s="10" t="inlineStr">
        <is>
          <t>MEDIA(2)</t>
        </is>
      </c>
      <c r="S1225" s="10">
        <f>+(IF(P1225="PUBLICA(1)",1,IF(P1225="USO INTERNO(2)",2,IF(P1225="RESTRINGIDO(3)",3,3))))+(IF(Q1225="BAJA(1)",1,IF(Q1225="MEDIA(2)",2,IF(Q1225="ALTA(3)",3,3))))+(IF(R1225="BAJA(1)",1,IF(R1225="MEDIA(2)",2,IF(R1225="ALTA(3)",3,3))))</f>
        <v/>
      </c>
      <c r="T1225" s="10">
        <f>+IF(S1225&lt;6,"BAJA",IF(S1225&lt;8,"MEDIA","ALTA"))</f>
        <v/>
      </c>
      <c r="U1225" s="10" t="inlineStr">
        <is>
          <t>-</t>
        </is>
      </c>
      <c r="V1225" s="24" t="n">
        <v>45588</v>
      </c>
      <c r="W1225" s="19" t="inlineStr">
        <is>
          <t>N/A</t>
        </is>
      </c>
      <c r="X1225" s="10">
        <f>+IFERROR(IF(VLOOKUP(Tabla2[[#This Row],[ID]],'EVALUACION DE RIESGO'!A:A,1,FALSE)=Tabla2[[#This Row],[ID]],"SI","NO"),"NO")</f>
        <v/>
      </c>
      <c r="AD1225">
        <f>IF(AND(Y1225="",AA1225=""),"",IF(OR(LEFT(AA1225,2)="L0",LEFT(AA1225,2)="L1",Y1225="No Iniciado"),"CRÍTICO - Incumplimiento Normativo SEPS",IF(AND(OR(LEFT(AA1225,2)="L4",LEFT(AA1225,2)="L5"),AND(AC1225&lt;&gt;"",AC1225&lt;&gt;"N/A")),"CONFORME - Control Efectivo ISO 27001","OBSERVACIÓN - Revisar Controles")))</f>
        <v/>
      </c>
    </row>
    <row r="1226">
      <c r="A1226" s="99" t="inlineStr">
        <is>
          <t>204-GRI</t>
        </is>
      </c>
      <c r="B1226" s="10" t="inlineStr">
        <is>
          <t>ESTRATÉGICO</t>
        </is>
      </c>
      <c r="C1226" s="10" t="inlineStr">
        <is>
          <t>Gestión de Riesgos</t>
        </is>
      </c>
      <c r="D1226" s="10" t="inlineStr">
        <is>
          <t>GRI</t>
        </is>
      </c>
      <c r="E1226" s="10" t="inlineStr">
        <is>
          <t>NA</t>
        </is>
      </c>
      <c r="F1226" s="10" t="inlineStr">
        <is>
          <t>-</t>
        </is>
      </c>
      <c r="G1226" s="10" t="inlineStr">
        <is>
          <t>Otros Activos</t>
        </is>
      </c>
      <c r="H1226" s="10" t="inlineStr">
        <is>
          <t>analista de Riesgo Operativo</t>
        </is>
      </c>
      <c r="I1226" s="10" t="inlineStr">
        <is>
          <t>Empleado privado</t>
        </is>
      </c>
      <c r="J1226" s="10" t="inlineStr">
        <is>
          <t>GERENTE DE RIESGOS</t>
        </is>
      </c>
      <c r="K1226" s="10" t="inlineStr">
        <is>
          <t>COAC ATUNTAQUI</t>
        </is>
      </c>
      <c r="L1226" s="10" t="inlineStr">
        <is>
          <t>UBICACIÓN DIGITAL-WEBCOOP</t>
        </is>
      </c>
      <c r="M1226" s="10" t="inlineStr">
        <is>
          <t>N/A</t>
        </is>
      </c>
      <c r="N1226" s="10" t="inlineStr">
        <is>
          <t>APOYO</t>
        </is>
      </c>
      <c r="O1226" s="10" t="inlineStr">
        <is>
          <t>RECURSO HUMANO</t>
        </is>
      </c>
      <c r="P1226" s="10" t="inlineStr">
        <is>
          <t>PUBLICA(1)</t>
        </is>
      </c>
      <c r="Q1226" s="10" t="inlineStr">
        <is>
          <t>ALTA(3)</t>
        </is>
      </c>
      <c r="R1226" s="10" t="inlineStr">
        <is>
          <t>MEDIA(2)</t>
        </is>
      </c>
      <c r="S1226" s="10">
        <f>+(IF(P1226="PUBLICA(1)",1,IF(P1226="USO INTERNO(2)",2,IF(P1226="RESTRINGIDO(3)",3,3))))+(IF(Q1226="BAJA(1)",1,IF(Q1226="MEDIA(2)",2,IF(Q1226="ALTA(3)",3,3))))+(IF(R1226="BAJA(1)",1,IF(R1226="MEDIA(2)",2,IF(R1226="ALTA(3)",3,3))))</f>
        <v/>
      </c>
      <c r="T1226" s="10">
        <f>+IF(S1226&lt;6,"BAJA",IF(S1226&lt;8,"MEDIA","ALTA"))</f>
        <v/>
      </c>
      <c r="U1226" s="10" t="inlineStr">
        <is>
          <t>-</t>
        </is>
      </c>
      <c r="V1226" s="24" t="n">
        <v>45588</v>
      </c>
      <c r="W1226" s="19" t="inlineStr">
        <is>
          <t>N/A</t>
        </is>
      </c>
      <c r="X1226" s="10">
        <f>+IFERROR(IF(VLOOKUP(Tabla2[[#This Row],[ID]],'EVALUACION DE RIESGO'!A:A,1,FALSE)=Tabla2[[#This Row],[ID]],"SI","NO"),"NO")</f>
        <v/>
      </c>
      <c r="AD1226">
        <f>IF(AND(Y1226="",AA1226=""),"",IF(OR(LEFT(AA1226,2)="L0",LEFT(AA1226,2)="L1",Y1226="No Iniciado"),"CRÍTICO - Incumplimiento Normativo SEPS",IF(AND(OR(LEFT(AA1226,2)="L4",LEFT(AA1226,2)="L5"),AND(AC1226&lt;&gt;"",AC1226&lt;&gt;"N/A")),"CONFORME - Control Efectivo ISO 27001","OBSERVACIÓN - Revisar Controles")))</f>
        <v/>
      </c>
    </row>
    <row r="1227">
      <c r="A1227" s="99" t="inlineStr">
        <is>
          <t>205-GRI</t>
        </is>
      </c>
      <c r="B1227" s="10" t="inlineStr">
        <is>
          <t>ESTRATÉGICO</t>
        </is>
      </c>
      <c r="C1227" s="10" t="inlineStr">
        <is>
          <t>Gestión de Riesgos</t>
        </is>
      </c>
      <c r="D1227" s="10" t="inlineStr">
        <is>
          <t>GRI</t>
        </is>
      </c>
      <c r="E1227" s="10" t="inlineStr">
        <is>
          <t>NA</t>
        </is>
      </c>
      <c r="F1227" s="10" t="inlineStr">
        <is>
          <t>-</t>
        </is>
      </c>
      <c r="G1227" s="10" t="inlineStr">
        <is>
          <t>Otros Activos</t>
        </is>
      </c>
      <c r="H1227" s="10" t="inlineStr">
        <is>
          <t>Analista de Riesgo del Mercado</t>
        </is>
      </c>
      <c r="I1227" s="10" t="inlineStr">
        <is>
          <t>Empleado privado</t>
        </is>
      </c>
      <c r="J1227" s="10" t="inlineStr">
        <is>
          <t>GERENTE DE RIESGOS</t>
        </is>
      </c>
      <c r="K1227" s="10" t="inlineStr">
        <is>
          <t>COAC ATUNTAQUI</t>
        </is>
      </c>
      <c r="L1227" s="10" t="inlineStr">
        <is>
          <t>UBICACIÓN DIGITAL-WEBCOOP</t>
        </is>
      </c>
      <c r="M1227" s="10" t="inlineStr">
        <is>
          <t>N/A</t>
        </is>
      </c>
      <c r="N1227" s="10" t="inlineStr">
        <is>
          <t>APOYO</t>
        </is>
      </c>
      <c r="O1227" s="10" t="inlineStr">
        <is>
          <t>RECURSO HUMANO</t>
        </is>
      </c>
      <c r="P1227" s="10" t="inlineStr">
        <is>
          <t>PUBLICA(1)</t>
        </is>
      </c>
      <c r="Q1227" s="10" t="inlineStr">
        <is>
          <t>ALTA(3)</t>
        </is>
      </c>
      <c r="R1227" s="10" t="inlineStr">
        <is>
          <t>MEDIA(2)</t>
        </is>
      </c>
      <c r="S1227" s="10">
        <f>+(IF(P1227="PUBLICA(1)",1,IF(P1227="USO INTERNO(2)",2,IF(P1227="RESTRINGIDO(3)",3,3))))+(IF(Q1227="BAJA(1)",1,IF(Q1227="MEDIA(2)",2,IF(Q1227="ALTA(3)",3,3))))+(IF(R1227="BAJA(1)",1,IF(R1227="MEDIA(2)",2,IF(R1227="ALTA(3)",3,3))))</f>
        <v/>
      </c>
      <c r="T1227" s="10">
        <f>+IF(S1227&lt;6,"BAJA",IF(S1227&lt;8,"MEDIA","ALTA"))</f>
        <v/>
      </c>
      <c r="U1227" s="10" t="inlineStr">
        <is>
          <t>-</t>
        </is>
      </c>
      <c r="V1227" s="24" t="n">
        <v>45588</v>
      </c>
      <c r="W1227" s="19" t="inlineStr">
        <is>
          <t>N/A</t>
        </is>
      </c>
      <c r="X1227" s="10">
        <f>+IFERROR(IF(VLOOKUP(Tabla2[[#This Row],[ID]],'EVALUACION DE RIESGO'!A:A,1,FALSE)=Tabla2[[#This Row],[ID]],"SI","NO"),"NO")</f>
        <v/>
      </c>
      <c r="AD1227">
        <f>IF(AND(Y1227="",AA1227=""),"",IF(OR(LEFT(AA1227,2)="L0",LEFT(AA1227,2)="L1",Y1227="No Iniciado"),"CRÍTICO - Incumplimiento Normativo SEPS",IF(AND(OR(LEFT(AA1227,2)="L4",LEFT(AA1227,2)="L5"),AND(AC1227&lt;&gt;"",AC1227&lt;&gt;"N/A")),"CONFORME - Control Efectivo ISO 27001","OBSERVACIÓN - Revisar Controles")))</f>
        <v/>
      </c>
    </row>
    <row r="1228">
      <c r="A1228" s="99" t="inlineStr">
        <is>
          <t>206-GRI</t>
        </is>
      </c>
      <c r="B1228" s="10" t="inlineStr">
        <is>
          <t>ESTRATÉGICO</t>
        </is>
      </c>
      <c r="C1228" s="10" t="inlineStr">
        <is>
          <t>Gestión de Riesgos</t>
        </is>
      </c>
      <c r="D1228" s="10" t="inlineStr">
        <is>
          <t>GRI</t>
        </is>
      </c>
      <c r="E1228" s="10" t="inlineStr">
        <is>
          <t>Gestión de Riesgo de Crédito</t>
        </is>
      </c>
      <c r="F1228" s="10" t="inlineStr">
        <is>
          <t>-</t>
        </is>
      </c>
      <c r="G1228" s="10" t="inlineStr">
        <is>
          <t>Otros Activos</t>
        </is>
      </c>
      <c r="H1228" s="10" t="inlineStr">
        <is>
          <t>Metodologías para la Administración de Riesgo de Crédito</t>
        </is>
      </c>
      <c r="I1228" s="10" t="inlineStr">
        <is>
          <t>Para gestionar el riesgo de crédito</t>
        </is>
      </c>
      <c r="J1228" s="10" t="inlineStr">
        <is>
          <t>GERENTE DE RIESGOS</t>
        </is>
      </c>
      <c r="K1228" s="10" t="inlineStr">
        <is>
          <t>JEFE DE PLANIFICACIÓN Y PROCESOS</t>
        </is>
      </c>
      <c r="L1228" s="10" t="inlineStr">
        <is>
          <t>UBICACIÓN DIGITAL-EQUIPO DEL RESPONSABLE</t>
        </is>
      </c>
      <c r="M1228" s="10" t="inlineStr">
        <is>
          <t>DOCUMENTO DE ARCHIVO-ELECTRÓNICO</t>
        </is>
      </c>
      <c r="N1228" s="10" t="inlineStr">
        <is>
          <t>PRIMARIOS</t>
        </is>
      </c>
      <c r="O1228" s="10" t="inlineStr">
        <is>
          <t>DOCUMENTOS TÉCNICOS</t>
        </is>
      </c>
      <c r="P1228" s="10" t="inlineStr">
        <is>
          <t>PUBLICA(1)</t>
        </is>
      </c>
      <c r="Q1228" s="10" t="inlineStr">
        <is>
          <t>ALTA(3)</t>
        </is>
      </c>
      <c r="R1228" s="10" t="inlineStr">
        <is>
          <t>MEDIA(2)</t>
        </is>
      </c>
      <c r="S1228" s="10">
        <f>+(IF(P1228="PUBLICA(1)",1,IF(P1228="USO INTERNO(2)",2,IF(P1228="RESTRINGIDO(3)",3,3))))+(IF(Q1228="BAJA(1)",1,IF(Q1228="MEDIA(2)",2,IF(Q1228="ALTA(3)",3,3))))+(IF(R1228="BAJA(1)",1,IF(R1228="MEDIA(2)",2,IF(R1228="ALTA(3)",3,3))))</f>
        <v/>
      </c>
      <c r="T1228" s="10">
        <f>+IF(S1228&lt;6,"BAJA",IF(S1228&lt;8,"MEDIA","ALTA"))</f>
        <v/>
      </c>
      <c r="U1228" s="10" t="inlineStr">
        <is>
          <t>-</t>
        </is>
      </c>
      <c r="V1228" s="24" t="n">
        <v>45618</v>
      </c>
      <c r="W1228" s="19" t="inlineStr">
        <is>
          <t>N/A</t>
        </is>
      </c>
      <c r="X1228" s="10">
        <f>+IFERROR(IF(VLOOKUP(Tabla2[[#This Row],[ID]],'EVALUACION DE RIESGO'!A:A,1,FALSE)=Tabla2[[#This Row],[ID]],"SI","NO"),"NO")</f>
        <v/>
      </c>
      <c r="AD1228">
        <f>IF(AND(Y1228="",AA1228=""),"",IF(OR(LEFT(AA1228,2)="L0",LEFT(AA1228,2)="L1",Y1228="No Iniciado"),"CRÍTICO - Incumplimiento Normativo SEPS",IF(AND(OR(LEFT(AA1228,2)="L4",LEFT(AA1228,2)="L5"),AND(AC1228&lt;&gt;"",AC1228&lt;&gt;"N/A")),"CONFORME - Control Efectivo ISO 27001","OBSERVACIÓN - Revisar Controles")))</f>
        <v/>
      </c>
    </row>
    <row r="1229">
      <c r="A1229" s="99" t="inlineStr">
        <is>
          <t>207-GRI</t>
        </is>
      </c>
      <c r="B1229" s="10" t="inlineStr">
        <is>
          <t>ESTRATÉGICO</t>
        </is>
      </c>
      <c r="C1229" s="10" t="inlineStr">
        <is>
          <t>Gestión de Riesgos</t>
        </is>
      </c>
      <c r="D1229" s="10" t="inlineStr">
        <is>
          <t>GRI</t>
        </is>
      </c>
      <c r="E1229" s="10" t="inlineStr">
        <is>
          <t>Gestión de Riesgo de Crédito</t>
        </is>
      </c>
      <c r="F1229" s="10" t="inlineStr">
        <is>
          <t>-</t>
        </is>
      </c>
      <c r="G1229" s="10" t="inlineStr">
        <is>
          <t>Otros Activos</t>
        </is>
      </c>
      <c r="H1229" s="10" t="inlineStr">
        <is>
          <t>Manuales de la Gestión de Colocación</t>
        </is>
      </c>
      <c r="I1229" s="10" t="inlineStr">
        <is>
          <t>Manual de procedimientos</t>
        </is>
      </c>
      <c r="J1229" s="10" t="inlineStr">
        <is>
          <t>GERENTE DE RIESGOS</t>
        </is>
      </c>
      <c r="K1229" s="10" t="inlineStr">
        <is>
          <t>JEFE DE PLANIFICACIÓN Y PROCESOS</t>
        </is>
      </c>
      <c r="L1229" s="10" t="inlineStr">
        <is>
          <t>UBICACIÓN DIGITAL-EQUIPO DEL RESPONSABLE</t>
        </is>
      </c>
      <c r="M1229" s="10" t="inlineStr">
        <is>
          <t>DOCUMENTO DE ARCHIVO-ELECTRÓNICO</t>
        </is>
      </c>
      <c r="N1229" s="10" t="inlineStr">
        <is>
          <t>PRIMARIOS</t>
        </is>
      </c>
      <c r="O1229" s="10" t="inlineStr">
        <is>
          <t>DOCUMENTOS TÉCNICOS</t>
        </is>
      </c>
      <c r="P1229" s="10" t="inlineStr">
        <is>
          <t>PUBLICA(1)</t>
        </is>
      </c>
      <c r="Q1229" s="10" t="inlineStr">
        <is>
          <t>ALTA(3)</t>
        </is>
      </c>
      <c r="R1229" s="10" t="inlineStr">
        <is>
          <t>MEDIA(2)</t>
        </is>
      </c>
      <c r="S1229" s="10">
        <f>+(IF(P1229="PUBLICA(1)",1,IF(P1229="USO INTERNO(2)",2,IF(P1229="RESTRINGIDO(3)",3,3))))+(IF(Q1229="BAJA(1)",1,IF(Q1229="MEDIA(2)",2,IF(Q1229="ALTA(3)",3,3))))+(IF(R1229="BAJA(1)",1,IF(R1229="MEDIA(2)",2,IF(R1229="ALTA(3)",3,3))))</f>
        <v/>
      </c>
      <c r="T1229" s="10">
        <f>+IF(S1229&lt;6,"BAJA",IF(S1229&lt;8,"MEDIA","ALTA"))</f>
        <v/>
      </c>
      <c r="U1229" s="10" t="inlineStr">
        <is>
          <t>-</t>
        </is>
      </c>
      <c r="V1229" s="24" t="n">
        <v>45617</v>
      </c>
      <c r="W1229" s="19" t="inlineStr">
        <is>
          <t>N/A</t>
        </is>
      </c>
      <c r="X1229" s="10">
        <f>+IFERROR(IF(VLOOKUP(Tabla2[[#This Row],[ID]],'EVALUACION DE RIESGO'!A:A,1,FALSE)=Tabla2[[#This Row],[ID]],"SI","NO"),"NO")</f>
        <v/>
      </c>
      <c r="AD1229">
        <f>IF(AND(Y1229="",AA1229=""),"",IF(OR(LEFT(AA1229,2)="L0",LEFT(AA1229,2)="L1",Y1229="No Iniciado"),"CRÍTICO - Incumplimiento Normativo SEPS",IF(AND(OR(LEFT(AA1229,2)="L4",LEFT(AA1229,2)="L5"),AND(AC1229&lt;&gt;"",AC1229&lt;&gt;"N/A")),"CONFORME - Control Efectivo ISO 27001","OBSERVACIÓN - Revisar Controles")))</f>
        <v/>
      </c>
    </row>
    <row r="1230">
      <c r="A1230" s="99" t="inlineStr">
        <is>
          <t>208-GRI</t>
        </is>
      </c>
      <c r="B1230" s="10" t="inlineStr">
        <is>
          <t>ESTRATÉGICO</t>
        </is>
      </c>
      <c r="C1230" s="10" t="inlineStr">
        <is>
          <t>Gestión de Riesgos</t>
        </is>
      </c>
      <c r="D1230" s="10" t="inlineStr">
        <is>
          <t>GRI</t>
        </is>
      </c>
      <c r="E1230" s="10" t="inlineStr">
        <is>
          <t>Gestión de Riesgo de Crédito</t>
        </is>
      </c>
      <c r="F1230" s="10" t="inlineStr">
        <is>
          <t>-</t>
        </is>
      </c>
      <c r="G1230" s="10" t="inlineStr">
        <is>
          <t>Otros Activos</t>
        </is>
      </c>
      <c r="H1230" s="10" t="inlineStr">
        <is>
          <t>Manuales de la Gestión de Recuperación</t>
        </is>
      </c>
      <c r="I1230" s="10" t="inlineStr">
        <is>
          <t>Recuperacion de cartera</t>
        </is>
      </c>
      <c r="J1230" s="10" t="inlineStr">
        <is>
          <t>JEFE DE COBRANZA</t>
        </is>
      </c>
      <c r="K1230" s="10" t="inlineStr">
        <is>
          <t>JEFE DE PLANIFICACIÓN Y PROCESOS</t>
        </is>
      </c>
      <c r="L1230" s="10" t="inlineStr">
        <is>
          <t>UBICACIÓN DIGITAL-EQUIPO DEL RESPONSABLE</t>
        </is>
      </c>
      <c r="M1230" s="10" t="inlineStr">
        <is>
          <t>DOCUMENTO DE ARCHIVO-ELECTRÓNICO</t>
        </is>
      </c>
      <c r="N1230" s="10" t="inlineStr">
        <is>
          <t>PRIMARIOS</t>
        </is>
      </c>
      <c r="O1230" s="10" t="inlineStr">
        <is>
          <t>DOCUMENTOS TÉCNICOS</t>
        </is>
      </c>
      <c r="P1230" s="10" t="inlineStr">
        <is>
          <t>PUBLICA(1)</t>
        </is>
      </c>
      <c r="Q1230" s="10" t="inlineStr">
        <is>
          <t>ALTA(3)</t>
        </is>
      </c>
      <c r="R1230" s="10" t="inlineStr">
        <is>
          <t>MEDIA(2)</t>
        </is>
      </c>
      <c r="S1230" s="10">
        <f>+(IF(P1230="PUBLICA(1)",1,IF(P1230="USO INTERNO(2)",2,IF(P1230="RESTRINGIDO(3)",3,3))))+(IF(Q1230="BAJA(1)",1,IF(Q1230="MEDIA(2)",2,IF(Q1230="ALTA(3)",3,3))))+(IF(R1230="BAJA(1)",1,IF(R1230="MEDIA(2)",2,IF(R1230="ALTA(3)",3,3))))</f>
        <v/>
      </c>
      <c r="T1230" s="10">
        <f>+IF(S1230&lt;6,"BAJA",IF(S1230&lt;8,"MEDIA","ALTA"))</f>
        <v/>
      </c>
      <c r="U1230" s="10" t="inlineStr">
        <is>
          <t>-</t>
        </is>
      </c>
      <c r="V1230" s="24" t="n">
        <v>45618</v>
      </c>
      <c r="W1230" s="19" t="inlineStr">
        <is>
          <t>N/A</t>
        </is>
      </c>
      <c r="X1230" s="10">
        <f>+IFERROR(IF(VLOOKUP(Tabla2[[#This Row],[ID]],'EVALUACION DE RIESGO'!A:A,1,FALSE)=Tabla2[[#This Row],[ID]],"SI","NO"),"NO")</f>
        <v/>
      </c>
      <c r="AD1230">
        <f>IF(AND(Y1230="",AA1230=""),"",IF(OR(LEFT(AA1230,2)="L0",LEFT(AA1230,2)="L1",Y1230="No Iniciado"),"CRÍTICO - Incumplimiento Normativo SEPS",IF(AND(OR(LEFT(AA1230,2)="L4",LEFT(AA1230,2)="L5"),AND(AC1230&lt;&gt;"",AC1230&lt;&gt;"N/A")),"CONFORME - Control Efectivo ISO 27001","OBSERVACIÓN - Revisar Controles")))</f>
        <v/>
      </c>
    </row>
    <row r="1231">
      <c r="A1231" s="99" t="inlineStr">
        <is>
          <t>209-GRI</t>
        </is>
      </c>
      <c r="B1231" s="10" t="inlineStr">
        <is>
          <t>ESTRATÉGICO</t>
        </is>
      </c>
      <c r="C1231" s="10" t="inlineStr">
        <is>
          <t>Gestión de Riesgos</t>
        </is>
      </c>
      <c r="D1231" s="10" t="inlineStr">
        <is>
          <t>GRI</t>
        </is>
      </c>
      <c r="E1231" s="10" t="inlineStr">
        <is>
          <t>Gestión de Riesgo de Crédito</t>
        </is>
      </c>
      <c r="F1231" s="10" t="inlineStr">
        <is>
          <t>-</t>
        </is>
      </c>
      <c r="G1231" s="10" t="inlineStr">
        <is>
          <t>Otros Activos</t>
        </is>
      </c>
      <c r="H1231" s="10" t="inlineStr">
        <is>
          <t>Instructivo de Procesos Mensuales Software de Riesgo de Crédito HCRisk</t>
        </is>
      </c>
      <c r="I1231" s="10" t="inlineStr">
        <is>
          <t>Herramienta de Riesgo</t>
        </is>
      </c>
      <c r="J1231" s="10" t="inlineStr">
        <is>
          <t>GERENTE DE RIESGOS</t>
        </is>
      </c>
      <c r="K1231" s="10" t="inlineStr">
        <is>
          <t>GERENTE DE RIESGOS</t>
        </is>
      </c>
      <c r="L1231" s="10" t="inlineStr">
        <is>
          <t>UBICACIÓN DIGITAL-EQUIPO DEL RESPONSABLE</t>
        </is>
      </c>
      <c r="M1231" s="10" t="inlineStr">
        <is>
          <t>SISTEMA DE ADMINISTRACIÓN DE DOCUMENTOS</t>
        </is>
      </c>
      <c r="N1231" s="10" t="inlineStr">
        <is>
          <t>APOYO</t>
        </is>
      </c>
      <c r="O1231" s="10" t="inlineStr">
        <is>
          <t>SOFTWARE</t>
        </is>
      </c>
      <c r="P1231" s="10" t="inlineStr">
        <is>
          <t>PUBLICA(1)</t>
        </is>
      </c>
      <c r="Q1231" s="10" t="inlineStr">
        <is>
          <t>ALTA(3)</t>
        </is>
      </c>
      <c r="R1231" s="10" t="inlineStr">
        <is>
          <t>MEDIA(2)</t>
        </is>
      </c>
      <c r="S1231" s="10">
        <f>+(IF(P1231="PUBLICA(1)",1,IF(P1231="USO INTERNO(2)",2,IF(P1231="RESTRINGIDO(3)",3,3))))+(IF(Q1231="BAJA(1)",1,IF(Q1231="MEDIA(2)",2,IF(Q1231="ALTA(3)",3,3))))+(IF(R1231="BAJA(1)",1,IF(R1231="MEDIA(2)",2,IF(R1231="ALTA(3)",3,3))))</f>
        <v/>
      </c>
      <c r="T1231" s="10">
        <f>+IF(S1231&lt;6,"BAJA",IF(S1231&lt;8,"MEDIA","ALTA"))</f>
        <v/>
      </c>
      <c r="U1231" s="10" t="inlineStr">
        <is>
          <t>-</t>
        </is>
      </c>
      <c r="V1231" s="24" t="n">
        <v>45618</v>
      </c>
      <c r="W1231" s="19" t="inlineStr">
        <is>
          <t>N/A</t>
        </is>
      </c>
      <c r="X1231" s="10">
        <f>+IFERROR(IF(VLOOKUP(Tabla2[[#This Row],[ID]],'EVALUACION DE RIESGO'!A:A,1,FALSE)=Tabla2[[#This Row],[ID]],"SI","NO"),"NO")</f>
        <v/>
      </c>
      <c r="AD1231">
        <f>IF(AND(Y1231="",AA1231=""),"",IF(OR(LEFT(AA1231,2)="L0",LEFT(AA1231,2)="L1",Y1231="No Iniciado"),"CRÍTICO - Incumplimiento Normativo SEPS",IF(AND(OR(LEFT(AA1231,2)="L4",LEFT(AA1231,2)="L5"),AND(AC1231&lt;&gt;"",AC1231&lt;&gt;"N/A")),"CONFORME - Control Efectivo ISO 27001","OBSERVACIÓN - Revisar Controles")))</f>
        <v/>
      </c>
    </row>
    <row r="1232">
      <c r="A1232" s="99" t="inlineStr">
        <is>
          <t>210-GRI</t>
        </is>
      </c>
      <c r="B1232" s="10" t="inlineStr">
        <is>
          <t>ESTRATÉGICO</t>
        </is>
      </c>
      <c r="C1232" s="10" t="inlineStr">
        <is>
          <t>Gestión de Riesgos</t>
        </is>
      </c>
      <c r="D1232" s="10" t="inlineStr">
        <is>
          <t>GRI</t>
        </is>
      </c>
      <c r="E1232" s="10" t="inlineStr">
        <is>
          <t>Gestión de Riesgo de Crédito</t>
        </is>
      </c>
      <c r="F1232" s="10" t="inlineStr">
        <is>
          <t>-</t>
        </is>
      </c>
      <c r="G1232" s="10" t="inlineStr">
        <is>
          <t xml:space="preserve">Análisis a la Matriz de Transición                                                                                                                                                                                                                                                                                                                                                            </t>
        </is>
      </c>
      <c r="H1232" s="10" t="inlineStr">
        <is>
          <t>Reporte basetransición</t>
        </is>
      </c>
      <c r="I1232" s="10" t="inlineStr">
        <is>
          <t>Reporte</t>
        </is>
      </c>
      <c r="J1232" s="10" t="inlineStr">
        <is>
          <t>GERENTE DE RIESGOS</t>
        </is>
      </c>
      <c r="K1232" s="10" t="inlineStr">
        <is>
          <t>ANALISTA DE RIESGO DE CREDITO</t>
        </is>
      </c>
      <c r="L1232" s="10" t="inlineStr">
        <is>
          <t>UBICACIÓN DIGITAL-EQUIPO DEL RESPONSABLE</t>
        </is>
      </c>
      <c r="M1232" s="10" t="inlineStr">
        <is>
          <t>DOCUMENTO DE ARCHIVO-ELECTRÓNICO</t>
        </is>
      </c>
      <c r="N1232" s="10" t="inlineStr">
        <is>
          <t>PRIMARIOS</t>
        </is>
      </c>
      <c r="O1232" s="10" t="inlineStr">
        <is>
          <t>DOCUMENTOS TÉCNICOS</t>
        </is>
      </c>
      <c r="P1232" s="10" t="inlineStr">
        <is>
          <t>PUBLICA(1)</t>
        </is>
      </c>
      <c r="Q1232" s="10" t="inlineStr">
        <is>
          <t>ALTA(3)</t>
        </is>
      </c>
      <c r="R1232" s="10" t="inlineStr">
        <is>
          <t>MEDIA(2)</t>
        </is>
      </c>
      <c r="S1232" s="10">
        <f>+(IF(P1232="PUBLICA(1)",1,IF(P1232="USO INTERNO(2)",2,IF(P1232="RESTRINGIDO(3)",3,3))))+(IF(Q1232="BAJA(1)",1,IF(Q1232="MEDIA(2)",2,IF(Q1232="ALTA(3)",3,3))))+(IF(R1232="BAJA(1)",1,IF(R1232="MEDIA(2)",2,IF(R1232="ALTA(3)",3,3))))</f>
        <v/>
      </c>
      <c r="T1232" s="10">
        <f>+IF(S1232&lt;6,"BAJA",IF(S1232&lt;8,"MEDIA","ALTA"))</f>
        <v/>
      </c>
      <c r="U1232" s="10" t="inlineStr">
        <is>
          <t>-</t>
        </is>
      </c>
      <c r="V1232" s="24" t="n">
        <v>45617</v>
      </c>
      <c r="W1232" s="19" t="inlineStr">
        <is>
          <t>N/A</t>
        </is>
      </c>
      <c r="X1232" s="10">
        <f>+IFERROR(IF(VLOOKUP(Tabla2[[#This Row],[ID]],'EVALUACION DE RIESGO'!A:A,1,FALSE)=Tabla2[[#This Row],[ID]],"SI","NO"),"NO")</f>
        <v/>
      </c>
      <c r="AD1232">
        <f>IF(AND(Y1232="",AA1232=""),"",IF(OR(LEFT(AA1232,2)="L0",LEFT(AA1232,2)="L1",Y1232="No Iniciado"),"CRÍTICO - Incumplimiento Normativo SEPS",IF(AND(OR(LEFT(AA1232,2)="L4",LEFT(AA1232,2)="L5"),AND(AC1232&lt;&gt;"",AC1232&lt;&gt;"N/A")),"CONFORME - Control Efectivo ISO 27001","OBSERVACIÓN - Revisar Controles")))</f>
        <v/>
      </c>
    </row>
    <row r="1233">
      <c r="A1233" s="99" t="inlineStr">
        <is>
          <t>211-GRI</t>
        </is>
      </c>
      <c r="B1233" s="10" t="inlineStr">
        <is>
          <t>ESTRATÉGICO</t>
        </is>
      </c>
      <c r="C1233" s="10" t="inlineStr">
        <is>
          <t>Gestión de Riesgos</t>
        </is>
      </c>
      <c r="D1233" s="10" t="inlineStr">
        <is>
          <t>GRI</t>
        </is>
      </c>
      <c r="E1233" s="10" t="inlineStr">
        <is>
          <t>Gestión de Riesgo de Crédito</t>
        </is>
      </c>
      <c r="F1233" s="10" t="inlineStr">
        <is>
          <t>-</t>
        </is>
      </c>
      <c r="G1233" s="10" t="inlineStr">
        <is>
          <t xml:space="preserve">Análisis a la Matriz de Transición                                                                                                                                                                                                                                                                                                                                                            </t>
        </is>
      </c>
      <c r="H1233" s="10" t="inlineStr">
        <is>
          <t>Reporte de Matrices de Transición</t>
        </is>
      </c>
      <c r="I1233" s="10" t="inlineStr">
        <is>
          <t>Herramienta de matriz de transición en excel</t>
        </is>
      </c>
      <c r="J1233" s="10" t="inlineStr">
        <is>
          <t>GERENTE DE RIESGOS</t>
        </is>
      </c>
      <c r="K1233" s="10" t="inlineStr">
        <is>
          <t>ANALISTA DE RIESGO DE CREDITO</t>
        </is>
      </c>
      <c r="L1233" s="10" t="inlineStr">
        <is>
          <t>UBICACIÓN DIGITAL-EQUIPO DEL RESPONSABLE</t>
        </is>
      </c>
      <c r="M1233" s="10" t="inlineStr">
        <is>
          <t>DOCUMENTO DE ARCHIVO-ELECTRÓNICO</t>
        </is>
      </c>
      <c r="N1233" s="10" t="inlineStr">
        <is>
          <t>PRIMARIOS</t>
        </is>
      </c>
      <c r="O1233" s="10" t="inlineStr">
        <is>
          <t>DOCUMENTOS TÉCNICOS</t>
        </is>
      </c>
      <c r="P1233" s="10" t="inlineStr">
        <is>
          <t>PUBLICA(1)</t>
        </is>
      </c>
      <c r="Q1233" s="10" t="inlineStr">
        <is>
          <t>ALTA(3)</t>
        </is>
      </c>
      <c r="R1233" s="10" t="inlineStr">
        <is>
          <t>MEDIA(2)</t>
        </is>
      </c>
      <c r="S1233" s="10">
        <f>+(IF(P1233="PUBLICA(1)",1,IF(P1233="USO INTERNO(2)",2,IF(P1233="RESTRINGIDO(3)",3,3))))+(IF(Q1233="BAJA(1)",1,IF(Q1233="MEDIA(2)",2,IF(Q1233="ALTA(3)",3,3))))+(IF(R1233="BAJA(1)",1,IF(R1233="MEDIA(2)",2,IF(R1233="ALTA(3)",3,3))))</f>
        <v/>
      </c>
      <c r="T1233" s="10">
        <f>+IF(S1233&lt;6,"BAJA",IF(S1233&lt;8,"MEDIA","ALTA"))</f>
        <v/>
      </c>
      <c r="U1233" s="10" t="inlineStr">
        <is>
          <t>-</t>
        </is>
      </c>
      <c r="V1233" s="24" t="n">
        <v>45618</v>
      </c>
      <c r="W1233" s="19" t="inlineStr">
        <is>
          <t>N/A</t>
        </is>
      </c>
      <c r="X1233" s="10">
        <f>+IFERROR(IF(VLOOKUP(Tabla2[[#This Row],[ID]],'EVALUACION DE RIESGO'!A:A,1,FALSE)=Tabla2[[#This Row],[ID]],"SI","NO"),"NO")</f>
        <v/>
      </c>
      <c r="AD1233">
        <f>IF(AND(Y1233="",AA1233=""),"",IF(OR(LEFT(AA1233,2)="L0",LEFT(AA1233,2)="L1",Y1233="No Iniciado"),"CRÍTICO - Incumplimiento Normativo SEPS",IF(AND(OR(LEFT(AA1233,2)="L4",LEFT(AA1233,2)="L5"),AND(AC1233&lt;&gt;"",AC1233&lt;&gt;"N/A")),"CONFORME - Control Efectivo ISO 27001","OBSERVACIÓN - Revisar Controles")))</f>
        <v/>
      </c>
    </row>
    <row r="1234">
      <c r="A1234" s="99" t="inlineStr">
        <is>
          <t>212-GRI</t>
        </is>
      </c>
      <c r="B1234" s="10" t="inlineStr">
        <is>
          <t>ESTRATÉGICO</t>
        </is>
      </c>
      <c r="C1234" s="10" t="inlineStr">
        <is>
          <t>Gestión de Riesgos</t>
        </is>
      </c>
      <c r="D1234" s="10" t="inlineStr">
        <is>
          <t>GRI</t>
        </is>
      </c>
      <c r="E1234" s="10" t="inlineStr">
        <is>
          <t>Gestión de Riesgo de Crédito</t>
        </is>
      </c>
      <c r="F1234" s="10" t="inlineStr">
        <is>
          <t>-</t>
        </is>
      </c>
      <c r="G1234" s="10" t="inlineStr">
        <is>
          <t xml:space="preserve">Análisis a la Matriz de Transición                                                                                                                                                                                                                                                                                                                                                            </t>
        </is>
      </c>
      <c r="H1234" s="10" t="inlineStr">
        <is>
          <t>Reporte Matriz de Transición y Cosechas para Negocios.</t>
        </is>
      </c>
      <c r="I1234" s="10" t="inlineStr">
        <is>
          <t>Herramienta de matriz de transición y cosecha en excel</t>
        </is>
      </c>
      <c r="J1234" s="10" t="inlineStr">
        <is>
          <t>GERENTE DE RIESGOS</t>
        </is>
      </c>
      <c r="K1234" s="10" t="inlineStr">
        <is>
          <t>ANALISTA DE RIESGO DE CREDITO</t>
        </is>
      </c>
      <c r="L1234" s="10" t="inlineStr">
        <is>
          <t>UBICACIÓN DIGITAL-EQUIPO DEL RESPONSABLE</t>
        </is>
      </c>
      <c r="M1234" s="10" t="inlineStr">
        <is>
          <t>DOCUMENTO DE ARCHIVO-ELECTRÓNICO</t>
        </is>
      </c>
      <c r="N1234" s="10" t="inlineStr">
        <is>
          <t>PRIMARIOS</t>
        </is>
      </c>
      <c r="O1234" s="10" t="inlineStr">
        <is>
          <t>DOCUMENTOS TÉCNICOS</t>
        </is>
      </c>
      <c r="P1234" s="10" t="inlineStr">
        <is>
          <t>PUBLICA(1)</t>
        </is>
      </c>
      <c r="Q1234" s="10" t="inlineStr">
        <is>
          <t>ALTA(3)</t>
        </is>
      </c>
      <c r="R1234" s="10" t="inlineStr">
        <is>
          <t>MEDIA(2)</t>
        </is>
      </c>
      <c r="S1234" s="10">
        <f>+(IF(P1234="PUBLICA(1)",1,IF(P1234="USO INTERNO(2)",2,IF(P1234="RESTRINGIDO(3)",3,3))))+(IF(Q1234="BAJA(1)",1,IF(Q1234="MEDIA(2)",2,IF(Q1234="ALTA(3)",3,3))))+(IF(R1234="BAJA(1)",1,IF(R1234="MEDIA(2)",2,IF(R1234="ALTA(3)",3,3))))</f>
        <v/>
      </c>
      <c r="T1234" s="10">
        <f>+IF(S1234&lt;6,"BAJA",IF(S1234&lt;8,"MEDIA","ALTA"))</f>
        <v/>
      </c>
      <c r="U1234" s="10" t="inlineStr">
        <is>
          <t>-</t>
        </is>
      </c>
      <c r="V1234" s="24" t="n">
        <v>45618</v>
      </c>
      <c r="W1234" s="19" t="inlineStr">
        <is>
          <t>N/A</t>
        </is>
      </c>
      <c r="X1234" s="10">
        <f>+IFERROR(IF(VLOOKUP(Tabla2[[#This Row],[ID]],'EVALUACION DE RIESGO'!A:A,1,FALSE)=Tabla2[[#This Row],[ID]],"SI","NO"),"NO")</f>
        <v/>
      </c>
      <c r="AD1234">
        <f>IF(AND(Y1234="",AA1234=""),"",IF(OR(LEFT(AA1234,2)="L0",LEFT(AA1234,2)="L1",Y1234="No Iniciado"),"CRÍTICO - Incumplimiento Normativo SEPS",IF(AND(OR(LEFT(AA1234,2)="L4",LEFT(AA1234,2)="L5"),AND(AC1234&lt;&gt;"",AC1234&lt;&gt;"N/A")),"CONFORME - Control Efectivo ISO 27001","OBSERVACIÓN - Revisar Controles")))</f>
        <v/>
      </c>
    </row>
    <row r="1235">
      <c r="A1235" s="99" t="inlineStr">
        <is>
          <t>213-GRI</t>
        </is>
      </c>
      <c r="B1235" s="10" t="inlineStr">
        <is>
          <t>ESTRATÉGICO</t>
        </is>
      </c>
      <c r="C1235" s="10" t="inlineStr">
        <is>
          <t>Gestión de Riesgos</t>
        </is>
      </c>
      <c r="D1235" s="10" t="inlineStr">
        <is>
          <t>GRI</t>
        </is>
      </c>
      <c r="E1235" s="10" t="inlineStr">
        <is>
          <t>Gestión de Riesgo de Crédito</t>
        </is>
      </c>
      <c r="F1235" s="10" t="inlineStr">
        <is>
          <t>-</t>
        </is>
      </c>
      <c r="G1235" s="10" t="inlineStr">
        <is>
          <t>Análisis de la Matriz de cosecha crediticia</t>
        </is>
      </c>
      <c r="H1235" s="10" t="inlineStr">
        <is>
          <t>Reporte Credireport</t>
        </is>
      </c>
      <c r="I1235" s="10" t="inlineStr">
        <is>
          <t>Reporte</t>
        </is>
      </c>
      <c r="J1235" s="10" t="inlineStr">
        <is>
          <t>GERENTE DE RIESGOS</t>
        </is>
      </c>
      <c r="K1235" s="10" t="inlineStr">
        <is>
          <t>ANALISTA DE RIESGO DE CREDITO</t>
        </is>
      </c>
      <c r="L1235" s="10" t="inlineStr">
        <is>
          <t>UBICACIÓN DIGITAL-EQUIPO DEL RESPONSABLE</t>
        </is>
      </c>
      <c r="M1235" s="10" t="inlineStr">
        <is>
          <t>DOCUMENTO DE ARCHIVO-ELECTRÓNICO</t>
        </is>
      </c>
      <c r="N1235" s="10" t="inlineStr">
        <is>
          <t>PRIMARIOS</t>
        </is>
      </c>
      <c r="O1235" s="10" t="inlineStr">
        <is>
          <t>DOCUMENTOS TÉCNICOS</t>
        </is>
      </c>
      <c r="P1235" s="10" t="inlineStr">
        <is>
          <t>PUBLICA(1)</t>
        </is>
      </c>
      <c r="Q1235" s="10" t="inlineStr">
        <is>
          <t>ALTA(3)</t>
        </is>
      </c>
      <c r="R1235" s="10" t="inlineStr">
        <is>
          <t>MEDIA(2)</t>
        </is>
      </c>
      <c r="S1235" s="10">
        <f>+(IF(P1235="PUBLICA(1)",1,IF(P1235="USO INTERNO(2)",2,IF(P1235="RESTRINGIDO(3)",3,3))))+(IF(Q1235="BAJA(1)",1,IF(Q1235="MEDIA(2)",2,IF(Q1235="ALTA(3)",3,3))))+(IF(R1235="BAJA(1)",1,IF(R1235="MEDIA(2)",2,IF(R1235="ALTA(3)",3,3))))</f>
        <v/>
      </c>
      <c r="T1235" s="10">
        <f>+IF(S1235&lt;6,"BAJA",IF(S1235&lt;8,"MEDIA","ALTA"))</f>
        <v/>
      </c>
      <c r="U1235" s="10" t="inlineStr">
        <is>
          <t>-</t>
        </is>
      </c>
      <c r="V1235" s="24" t="n">
        <v>45617</v>
      </c>
      <c r="W1235" s="19" t="inlineStr">
        <is>
          <t>N/A</t>
        </is>
      </c>
      <c r="X1235" s="10">
        <f>+IFERROR(IF(VLOOKUP(Tabla2[[#This Row],[ID]],'EVALUACION DE RIESGO'!A:A,1,FALSE)=Tabla2[[#This Row],[ID]],"SI","NO"),"NO")</f>
        <v/>
      </c>
      <c r="AD1235">
        <f>IF(AND(Y1235="",AA1235=""),"",IF(OR(LEFT(AA1235,2)="L0",LEFT(AA1235,2)="L1",Y1235="No Iniciado"),"CRÍTICO - Incumplimiento Normativo SEPS",IF(AND(OR(LEFT(AA1235,2)="L4",LEFT(AA1235,2)="L5"),AND(AC1235&lt;&gt;"",AC1235&lt;&gt;"N/A")),"CONFORME - Control Efectivo ISO 27001","OBSERVACIÓN - Revisar Controles")))</f>
        <v/>
      </c>
    </row>
    <row r="1236">
      <c r="A1236" s="99" t="inlineStr">
        <is>
          <t>214-GRI</t>
        </is>
      </c>
      <c r="B1236" s="10" t="inlineStr">
        <is>
          <t>ESTRATÉGICO</t>
        </is>
      </c>
      <c r="C1236" s="10" t="inlineStr">
        <is>
          <t>Gestión de Riesgos</t>
        </is>
      </c>
      <c r="D1236" s="10" t="inlineStr">
        <is>
          <t>GRI</t>
        </is>
      </c>
      <c r="E1236" s="10" t="inlineStr">
        <is>
          <t>Gestión de Riesgo de Crédito</t>
        </is>
      </c>
      <c r="F1236" s="10" t="inlineStr">
        <is>
          <t>-</t>
        </is>
      </c>
      <c r="G1236" s="10" t="inlineStr">
        <is>
          <t>Análisis de la Matriz de cosecha crediticia</t>
        </is>
      </c>
      <c r="H1236" s="10" t="inlineStr">
        <is>
          <t>Reporte de Cosechas</t>
        </is>
      </c>
      <c r="I1236" s="10" t="inlineStr">
        <is>
          <t>Herramienta de matriz de cosecha en excel</t>
        </is>
      </c>
      <c r="J1236" s="10" t="inlineStr">
        <is>
          <t>GERENTE DE RIESGOS</t>
        </is>
      </c>
      <c r="K1236" s="10" t="inlineStr">
        <is>
          <t>ANALISTA DE RIESGO DE CREDITO</t>
        </is>
      </c>
      <c r="L1236" s="10" t="inlineStr">
        <is>
          <t>UBICACIÓN DIGITAL-EQUIPO DEL RESPONSABLE</t>
        </is>
      </c>
      <c r="M1236" s="10" t="inlineStr">
        <is>
          <t>DOCUMENTO DE ARCHIVO-ELECTRÓNICO</t>
        </is>
      </c>
      <c r="N1236" s="10" t="inlineStr">
        <is>
          <t>PRIMARIOS</t>
        </is>
      </c>
      <c r="O1236" s="10" t="inlineStr">
        <is>
          <t>DOCUMENTOS TÉCNICOS</t>
        </is>
      </c>
      <c r="P1236" s="10" t="inlineStr">
        <is>
          <t>PUBLICA(1)</t>
        </is>
      </c>
      <c r="Q1236" s="10" t="inlineStr">
        <is>
          <t>ALTA(3)</t>
        </is>
      </c>
      <c r="R1236" s="10" t="inlineStr">
        <is>
          <t>MEDIA(2)</t>
        </is>
      </c>
      <c r="S1236" s="10">
        <f>+(IF(P1236="PUBLICA(1)",1,IF(P1236="USO INTERNO(2)",2,IF(P1236="RESTRINGIDO(3)",3,3))))+(IF(Q1236="BAJA(1)",1,IF(Q1236="MEDIA(2)",2,IF(Q1236="ALTA(3)",3,3))))+(IF(R1236="BAJA(1)",1,IF(R1236="MEDIA(2)",2,IF(R1236="ALTA(3)",3,3))))</f>
        <v/>
      </c>
      <c r="T1236" s="10">
        <f>+IF(S1236&lt;6,"BAJA",IF(S1236&lt;8,"MEDIA","ALTA"))</f>
        <v/>
      </c>
      <c r="U1236" s="10" t="inlineStr">
        <is>
          <t>-</t>
        </is>
      </c>
      <c r="V1236" s="24" t="n">
        <v>45617</v>
      </c>
      <c r="W1236" s="19" t="inlineStr">
        <is>
          <t>N/A</t>
        </is>
      </c>
      <c r="X1236" s="10">
        <f>+IFERROR(IF(VLOOKUP(Tabla2[[#This Row],[ID]],'EVALUACION DE RIESGO'!A:A,1,FALSE)=Tabla2[[#This Row],[ID]],"SI","NO"),"NO")</f>
        <v/>
      </c>
      <c r="AD1236">
        <f>IF(AND(Y1236="",AA1236=""),"",IF(OR(LEFT(AA1236,2)="L0",LEFT(AA1236,2)="L1",Y1236="No Iniciado"),"CRÍTICO - Incumplimiento Normativo SEPS",IF(AND(OR(LEFT(AA1236,2)="L4",LEFT(AA1236,2)="L5"),AND(AC1236&lt;&gt;"",AC1236&lt;&gt;"N/A")),"CONFORME - Control Efectivo ISO 27001","OBSERVACIÓN - Revisar Controles")))</f>
        <v/>
      </c>
    </row>
    <row r="1237">
      <c r="A1237" s="99" t="inlineStr">
        <is>
          <t>215-GRI</t>
        </is>
      </c>
      <c r="B1237" s="10" t="inlineStr">
        <is>
          <t>ESTRATÉGICO</t>
        </is>
      </c>
      <c r="C1237" s="10" t="inlineStr">
        <is>
          <t>Gestión de Riesgos</t>
        </is>
      </c>
      <c r="D1237" s="10" t="inlineStr">
        <is>
          <t>GRI</t>
        </is>
      </c>
      <c r="E1237" s="10" t="inlineStr">
        <is>
          <t>Gestión de Riesgo de Crédito</t>
        </is>
      </c>
      <c r="F1237" s="10" t="inlineStr">
        <is>
          <t>-</t>
        </is>
      </c>
      <c r="G1237" s="10" t="inlineStr">
        <is>
          <t>Análisis de la Matriz de cosecha crediticia</t>
        </is>
      </c>
      <c r="H1237" s="10" t="inlineStr">
        <is>
          <t>Reporte Matriz de Transición y Cosechas para Negocios.</t>
        </is>
      </c>
      <c r="I1237" s="10" t="inlineStr">
        <is>
          <t>Herramienta de matriz de transición y cosecha en excel</t>
        </is>
      </c>
      <c r="J1237" s="10" t="inlineStr">
        <is>
          <t>GERENTE DE RIESGOS</t>
        </is>
      </c>
      <c r="K1237" s="10" t="inlineStr">
        <is>
          <t>ANALISTA DE RIESGO DE CREDITO</t>
        </is>
      </c>
      <c r="L1237" s="10" t="inlineStr">
        <is>
          <t>UBICACIÓN DIGITAL-EQUIPO DEL RESPONSABLE</t>
        </is>
      </c>
      <c r="M1237" s="10" t="inlineStr">
        <is>
          <t>DOCUMENTO DE ARCHIVO-ELECTRÓNICO</t>
        </is>
      </c>
      <c r="N1237" s="10" t="inlineStr">
        <is>
          <t>PRIMARIOS</t>
        </is>
      </c>
      <c r="O1237" s="10" t="inlineStr">
        <is>
          <t>DOCUMENTOS TÉCNICOS</t>
        </is>
      </c>
      <c r="P1237" s="10" t="inlineStr">
        <is>
          <t>PUBLICA(1)</t>
        </is>
      </c>
      <c r="Q1237" s="10" t="inlineStr">
        <is>
          <t>ALTA(3)</t>
        </is>
      </c>
      <c r="R1237" s="10" t="inlineStr">
        <is>
          <t>MEDIA(2)</t>
        </is>
      </c>
      <c r="S1237" s="10">
        <f>+(IF(P1237="PUBLICA(1)",1,IF(P1237="USO INTERNO(2)",2,IF(P1237="RESTRINGIDO(3)",3,3))))+(IF(Q1237="BAJA(1)",1,IF(Q1237="MEDIA(2)",2,IF(Q1237="ALTA(3)",3,3))))+(IF(R1237="BAJA(1)",1,IF(R1237="MEDIA(2)",2,IF(R1237="ALTA(3)",3,3))))</f>
        <v/>
      </c>
      <c r="T1237" s="10">
        <f>+IF(S1237&lt;6,"BAJA",IF(S1237&lt;8,"MEDIA","ALTA"))</f>
        <v/>
      </c>
      <c r="U1237" s="10" t="inlineStr">
        <is>
          <t>-</t>
        </is>
      </c>
      <c r="V1237" s="24" t="n">
        <v>45617</v>
      </c>
      <c r="W1237" s="19" t="inlineStr">
        <is>
          <t>N/A</t>
        </is>
      </c>
      <c r="X1237" s="10">
        <f>+IFERROR(IF(VLOOKUP(Tabla2[[#This Row],[ID]],'EVALUACION DE RIESGO'!A:A,1,FALSE)=Tabla2[[#This Row],[ID]],"SI","NO"),"NO")</f>
        <v/>
      </c>
      <c r="AD1237">
        <f>IF(AND(Y1237="",AA1237=""),"",IF(OR(LEFT(AA1237,2)="L0",LEFT(AA1237,2)="L1",Y1237="No Iniciado"),"CRÍTICO - Incumplimiento Normativo SEPS",IF(AND(OR(LEFT(AA1237,2)="L4",LEFT(AA1237,2)="L5"),AND(AC1237&lt;&gt;"",AC1237&lt;&gt;"N/A")),"CONFORME - Control Efectivo ISO 27001","OBSERVACIÓN - Revisar Controles")))</f>
        <v/>
      </c>
    </row>
    <row r="1238">
      <c r="A1238" s="99" t="inlineStr">
        <is>
          <t>216-GRI</t>
        </is>
      </c>
      <c r="B1238" s="10" t="inlineStr">
        <is>
          <t>ESTRATÉGICO</t>
        </is>
      </c>
      <c r="C1238" s="10" t="inlineStr">
        <is>
          <t>Gestión de Riesgos</t>
        </is>
      </c>
      <c r="D1238" s="10" t="inlineStr">
        <is>
          <t>GRI</t>
        </is>
      </c>
      <c r="E1238" s="10" t="inlineStr">
        <is>
          <t>Gestión de Riesgo de Crédito</t>
        </is>
      </c>
      <c r="F1238" s="10" t="inlineStr">
        <is>
          <t>-</t>
        </is>
      </c>
      <c r="G1238" s="10" t="inlineStr">
        <is>
          <t xml:space="preserve">Análisis del reporte altura de vida   </t>
        </is>
      </c>
      <c r="H1238" s="10" t="inlineStr">
        <is>
          <t>Reporte Credireport</t>
        </is>
      </c>
      <c r="I1238" s="10" t="inlineStr">
        <is>
          <t>Reporte</t>
        </is>
      </c>
      <c r="J1238" s="10" t="inlineStr">
        <is>
          <t>GERENTE DE RIESGOS</t>
        </is>
      </c>
      <c r="K1238" s="10" t="inlineStr">
        <is>
          <t>ANALISTA DE RIESGO DE CREDITO</t>
        </is>
      </c>
      <c r="L1238" s="10" t="inlineStr">
        <is>
          <t>UBICACIÓN DIGITAL-EQUIPO DEL RESPONSABLE</t>
        </is>
      </c>
      <c r="M1238" s="10" t="inlineStr">
        <is>
          <t>DOCUMENTO DE ARCHIVO-ELECTRÓNICO</t>
        </is>
      </c>
      <c r="N1238" s="10" t="inlineStr">
        <is>
          <t>PRIMARIOS</t>
        </is>
      </c>
      <c r="O1238" s="10" t="inlineStr">
        <is>
          <t>DOCUMENTOS TÉCNICOS</t>
        </is>
      </c>
      <c r="P1238" s="10" t="inlineStr">
        <is>
          <t>PUBLICA(1)</t>
        </is>
      </c>
      <c r="Q1238" s="10" t="inlineStr">
        <is>
          <t>ALTA(3)</t>
        </is>
      </c>
      <c r="R1238" s="10" t="inlineStr">
        <is>
          <t>MEDIA(2)</t>
        </is>
      </c>
      <c r="S1238" s="10">
        <f>+(IF(P1238="PUBLICA(1)",1,IF(P1238="USO INTERNO(2)",2,IF(P1238="RESTRINGIDO(3)",3,3))))+(IF(Q1238="BAJA(1)",1,IF(Q1238="MEDIA(2)",2,IF(Q1238="ALTA(3)",3,3))))+(IF(R1238="BAJA(1)",1,IF(R1238="MEDIA(2)",2,IF(R1238="ALTA(3)",3,3))))</f>
        <v/>
      </c>
      <c r="T1238" s="10">
        <f>+IF(S1238&lt;6,"BAJA",IF(S1238&lt;8,"MEDIA","ALTA"))</f>
        <v/>
      </c>
      <c r="U1238" s="10" t="inlineStr">
        <is>
          <t>-</t>
        </is>
      </c>
      <c r="V1238" s="24" t="n">
        <v>45617</v>
      </c>
      <c r="W1238" s="19" t="inlineStr">
        <is>
          <t>N/A</t>
        </is>
      </c>
      <c r="X1238" s="10">
        <f>+IFERROR(IF(VLOOKUP(Tabla2[[#This Row],[ID]],'EVALUACION DE RIESGO'!A:A,1,FALSE)=Tabla2[[#This Row],[ID]],"SI","NO"),"NO")</f>
        <v/>
      </c>
      <c r="AD1238">
        <f>IF(AND(Y1238="",AA1238=""),"",IF(OR(LEFT(AA1238,2)="L0",LEFT(AA1238,2)="L1",Y1238="No Iniciado"),"CRÍTICO - Incumplimiento Normativo SEPS",IF(AND(OR(LEFT(AA1238,2)="L4",LEFT(AA1238,2)="L5"),AND(AC1238&lt;&gt;"",AC1238&lt;&gt;"N/A")),"CONFORME - Control Efectivo ISO 27001","OBSERVACIÓN - Revisar Controles")))</f>
        <v/>
      </c>
    </row>
    <row r="1239">
      <c r="A1239" s="99" t="inlineStr">
        <is>
          <t>217-GRI</t>
        </is>
      </c>
      <c r="B1239" s="10" t="inlineStr">
        <is>
          <t>ESTRATÉGICO</t>
        </is>
      </c>
      <c r="C1239" s="10" t="inlineStr">
        <is>
          <t>Gestión de Riesgos</t>
        </is>
      </c>
      <c r="D1239" s="10" t="inlineStr">
        <is>
          <t>GRI</t>
        </is>
      </c>
      <c r="E1239" s="10" t="inlineStr">
        <is>
          <t>Gestión de Riesgo de Crédito</t>
        </is>
      </c>
      <c r="F1239" s="10" t="inlineStr">
        <is>
          <t>-</t>
        </is>
      </c>
      <c r="G1239" s="10" t="inlineStr">
        <is>
          <t xml:space="preserve">Análisis del reporte altura de vida   </t>
        </is>
      </c>
      <c r="H1239" s="10" t="inlineStr">
        <is>
          <t>Reporte de Alturas de Vida</t>
        </is>
      </c>
      <c r="I1239" s="10" t="inlineStr">
        <is>
          <t>Herramienta de matriz de cosecha en excel</t>
        </is>
      </c>
      <c r="J1239" s="10" t="inlineStr">
        <is>
          <t>GERENTE DE RIESGOS</t>
        </is>
      </c>
      <c r="K1239" s="10" t="inlineStr">
        <is>
          <t>ANALISTA DE RIESGO DE CREDITO</t>
        </is>
      </c>
      <c r="L1239" s="10" t="inlineStr">
        <is>
          <t>UBICACIÓN DIGITAL-EQUIPO DEL RESPONSABLE</t>
        </is>
      </c>
      <c r="M1239" s="10" t="inlineStr">
        <is>
          <t>DOCUMENTO DE ARCHIVO-ELECTRÓNICO</t>
        </is>
      </c>
      <c r="N1239" s="10" t="inlineStr">
        <is>
          <t>PRIMARIOS</t>
        </is>
      </c>
      <c r="O1239" s="10" t="inlineStr">
        <is>
          <t>DOCUMENTOS TÉCNICOS</t>
        </is>
      </c>
      <c r="P1239" s="10" t="inlineStr">
        <is>
          <t>PUBLICA(1)</t>
        </is>
      </c>
      <c r="Q1239" s="10" t="inlineStr">
        <is>
          <t>ALTA(3)</t>
        </is>
      </c>
      <c r="R1239" s="10" t="inlineStr">
        <is>
          <t>MEDIA(2)</t>
        </is>
      </c>
      <c r="S1239" s="10">
        <f>+(IF(P1239="PUBLICA(1)",1,IF(P1239="USO INTERNO(2)",2,IF(P1239="RESTRINGIDO(3)",3,3))))+(IF(Q1239="BAJA(1)",1,IF(Q1239="MEDIA(2)",2,IF(Q1239="ALTA(3)",3,3))))+(IF(R1239="BAJA(1)",1,IF(R1239="MEDIA(2)",2,IF(R1239="ALTA(3)",3,3))))</f>
        <v/>
      </c>
      <c r="T1239" s="10">
        <f>+IF(S1239&lt;6,"BAJA",IF(S1239&lt;8,"MEDIA","ALTA"))</f>
        <v/>
      </c>
      <c r="U1239" s="10" t="inlineStr">
        <is>
          <t>-</t>
        </is>
      </c>
      <c r="V1239" s="24" t="n">
        <v>45617</v>
      </c>
      <c r="W1239" s="19" t="inlineStr">
        <is>
          <t>N/A</t>
        </is>
      </c>
      <c r="X1239" s="10">
        <f>+IFERROR(IF(VLOOKUP(Tabla2[[#This Row],[ID]],'EVALUACION DE RIESGO'!A:A,1,FALSE)=Tabla2[[#This Row],[ID]],"SI","NO"),"NO")</f>
        <v/>
      </c>
      <c r="AD1239">
        <f>IF(AND(Y1239="",AA1239=""),"",IF(OR(LEFT(AA1239,2)="L0",LEFT(AA1239,2)="L1",Y1239="No Iniciado"),"CRÍTICO - Incumplimiento Normativo SEPS",IF(AND(OR(LEFT(AA1239,2)="L4",LEFT(AA1239,2)="L5"),AND(AC1239&lt;&gt;"",AC1239&lt;&gt;"N/A")),"CONFORME - Control Efectivo ISO 27001","OBSERVACIÓN - Revisar Controles")))</f>
        <v/>
      </c>
    </row>
    <row r="1240">
      <c r="A1240" s="99" t="inlineStr">
        <is>
          <t>218-GRI</t>
        </is>
      </c>
      <c r="B1240" s="10" t="inlineStr">
        <is>
          <t>ESTRATÉGICO</t>
        </is>
      </c>
      <c r="C1240" s="10" t="inlineStr">
        <is>
          <t>Gestión de Riesgos</t>
        </is>
      </c>
      <c r="D1240" s="10" t="inlineStr">
        <is>
          <t>GRI</t>
        </is>
      </c>
      <c r="E1240" s="10" t="inlineStr">
        <is>
          <t>Gestión de Riesgo de Crédito</t>
        </is>
      </c>
      <c r="F1240" s="10" t="inlineStr">
        <is>
          <t>-</t>
        </is>
      </c>
      <c r="G1240" s="10" t="inlineStr">
        <is>
          <t xml:space="preserve">Validación de  la calificación de cartera y valor de provisión    </t>
        </is>
      </c>
      <c r="H1240" s="10" t="inlineStr">
        <is>
          <t>Reporte Cali_Of</t>
        </is>
      </c>
      <c r="I1240" s="10" t="inlineStr">
        <is>
          <t>Reporte</t>
        </is>
      </c>
      <c r="J1240" s="10" t="inlineStr">
        <is>
          <t>GERENTE DE RIESGOS</t>
        </is>
      </c>
      <c r="K1240" s="10" t="inlineStr">
        <is>
          <t>ANALISTA DE RIESGO DE CREDITO</t>
        </is>
      </c>
      <c r="L1240" s="10" t="inlineStr">
        <is>
          <t>UBICACIÓN DIGITAL-EQUIPO DEL RESPONSABLE</t>
        </is>
      </c>
      <c r="M1240" s="10" t="inlineStr">
        <is>
          <t>DOCUMENTO DE ARCHIVO-ELECTRÓNICO</t>
        </is>
      </c>
      <c r="N1240" s="10" t="inlineStr">
        <is>
          <t>PRIMARIOS</t>
        </is>
      </c>
      <c r="O1240" s="10" t="inlineStr">
        <is>
          <t>DOCUMENTOS TÉCNICOS</t>
        </is>
      </c>
      <c r="P1240" s="10" t="inlineStr">
        <is>
          <t>PUBLICA(1)</t>
        </is>
      </c>
      <c r="Q1240" s="10" t="inlineStr">
        <is>
          <t>ALTA(3)</t>
        </is>
      </c>
      <c r="R1240" s="10" t="inlineStr">
        <is>
          <t>MEDIA(2)</t>
        </is>
      </c>
      <c r="S1240" s="10">
        <f>+(IF(P1240="PUBLICA(1)",1,IF(P1240="USO INTERNO(2)",2,IF(P1240="RESTRINGIDO(3)",3,3))))+(IF(Q1240="BAJA(1)",1,IF(Q1240="MEDIA(2)",2,IF(Q1240="ALTA(3)",3,3))))+(IF(R1240="BAJA(1)",1,IF(R1240="MEDIA(2)",2,IF(R1240="ALTA(3)",3,3))))</f>
        <v/>
      </c>
      <c r="T1240" s="10">
        <f>+IF(S1240&lt;6,"BAJA",IF(S1240&lt;8,"MEDIA","ALTA"))</f>
        <v/>
      </c>
      <c r="U1240" s="10" t="inlineStr">
        <is>
          <t>-</t>
        </is>
      </c>
      <c r="V1240" s="24" t="n">
        <v>45617</v>
      </c>
      <c r="W1240" s="19" t="inlineStr">
        <is>
          <t>N/A</t>
        </is>
      </c>
      <c r="X1240" s="10">
        <f>+IFERROR(IF(VLOOKUP(Tabla2[[#This Row],[ID]],'EVALUACION DE RIESGO'!A:A,1,FALSE)=Tabla2[[#This Row],[ID]],"SI","NO"),"NO")</f>
        <v/>
      </c>
      <c r="AD1240">
        <f>IF(AND(Y1240="",AA1240=""),"",IF(OR(LEFT(AA1240,2)="L0",LEFT(AA1240,2)="L1",Y1240="No Iniciado"),"CRÍTICO - Incumplimiento Normativo SEPS",IF(AND(OR(LEFT(AA1240,2)="L4",LEFT(AA1240,2)="L5"),AND(AC1240&lt;&gt;"",AC1240&lt;&gt;"N/A")),"CONFORME - Control Efectivo ISO 27001","OBSERVACIÓN - Revisar Controles")))</f>
        <v/>
      </c>
    </row>
    <row r="1241">
      <c r="A1241" s="99" t="inlineStr">
        <is>
          <t>219-GRI</t>
        </is>
      </c>
      <c r="B1241" s="10" t="inlineStr">
        <is>
          <t>ESTRATÉGICO</t>
        </is>
      </c>
      <c r="C1241" s="10" t="inlineStr">
        <is>
          <t>Gestión de Riesgos</t>
        </is>
      </c>
      <c r="D1241" s="10" t="inlineStr">
        <is>
          <t>GRI</t>
        </is>
      </c>
      <c r="E1241" s="10" t="inlineStr">
        <is>
          <t>Gestión de Riesgo de Crédito</t>
        </is>
      </c>
      <c r="F1241" s="10" t="inlineStr">
        <is>
          <t>-</t>
        </is>
      </c>
      <c r="G1241" s="10" t="inlineStr">
        <is>
          <t xml:space="preserve">Validación de  la calificación de cartera y valor de provisión    </t>
        </is>
      </c>
      <c r="H1241" s="10" t="inlineStr">
        <is>
          <t>Reporte Cartera_Total</t>
        </is>
      </c>
      <c r="I1241" s="10" t="inlineStr">
        <is>
          <t>Reporte</t>
        </is>
      </c>
      <c r="J1241" s="10" t="inlineStr">
        <is>
          <t>GERENTE DE RIESGOS</t>
        </is>
      </c>
      <c r="K1241" s="10" t="inlineStr">
        <is>
          <t>ANALISTA DE RIESGO DE CREDITO</t>
        </is>
      </c>
      <c r="L1241" s="10" t="inlineStr">
        <is>
          <t>UBICACIÓN DIGITAL-EQUIPO DEL RESPONSABLE</t>
        </is>
      </c>
      <c r="M1241" s="10" t="inlineStr">
        <is>
          <t>DOCUMENTO DE ARCHIVO-ELECTRÓNICO</t>
        </is>
      </c>
      <c r="N1241" s="10" t="inlineStr">
        <is>
          <t>PRIMARIOS</t>
        </is>
      </c>
      <c r="O1241" s="10" t="inlineStr">
        <is>
          <t>DOCUMENTOS TÉCNICOS</t>
        </is>
      </c>
      <c r="P1241" s="10" t="inlineStr">
        <is>
          <t>PUBLICA(1)</t>
        </is>
      </c>
      <c r="Q1241" s="10" t="inlineStr">
        <is>
          <t>ALTA(3)</t>
        </is>
      </c>
      <c r="R1241" s="10" t="inlineStr">
        <is>
          <t>MEDIA(2)</t>
        </is>
      </c>
      <c r="S1241" s="10">
        <f>+(IF(P1241="PUBLICA(1)",1,IF(P1241="USO INTERNO(2)",2,IF(P1241="RESTRINGIDO(3)",3,3))))+(IF(Q1241="BAJA(1)",1,IF(Q1241="MEDIA(2)",2,IF(Q1241="ALTA(3)",3,3))))+(IF(R1241="BAJA(1)",1,IF(R1241="MEDIA(2)",2,IF(R1241="ALTA(3)",3,3))))</f>
        <v/>
      </c>
      <c r="T1241" s="10">
        <f>+IF(S1241&lt;6,"BAJA",IF(S1241&lt;8,"MEDIA","ALTA"))</f>
        <v/>
      </c>
      <c r="U1241" s="10" t="inlineStr">
        <is>
          <t>-</t>
        </is>
      </c>
      <c r="V1241" s="24" t="n">
        <v>45617</v>
      </c>
      <c r="W1241" s="19" t="inlineStr">
        <is>
          <t>N/A</t>
        </is>
      </c>
      <c r="X1241" s="10">
        <f>+IFERROR(IF(VLOOKUP(Tabla2[[#This Row],[ID]],'EVALUACION DE RIESGO'!A:A,1,FALSE)=Tabla2[[#This Row],[ID]],"SI","NO"),"NO")</f>
        <v/>
      </c>
      <c r="AD1241">
        <f>IF(AND(Y1241="",AA1241=""),"",IF(OR(LEFT(AA1241,2)="L0",LEFT(AA1241,2)="L1",Y1241="No Iniciado"),"CRÍTICO - Incumplimiento Normativo SEPS",IF(AND(OR(LEFT(AA1241,2)="L4",LEFT(AA1241,2)="L5"),AND(AC1241&lt;&gt;"",AC1241&lt;&gt;"N/A")),"CONFORME - Control Efectivo ISO 27001","OBSERVACIÓN - Revisar Controles")))</f>
        <v/>
      </c>
    </row>
    <row r="1242">
      <c r="A1242" s="99" t="inlineStr">
        <is>
          <t>220-GRI</t>
        </is>
      </c>
      <c r="B1242" s="10" t="inlineStr">
        <is>
          <t>ESTRATÉGICO</t>
        </is>
      </c>
      <c r="C1242" s="10" t="inlineStr">
        <is>
          <t>Gestión de Riesgos</t>
        </is>
      </c>
      <c r="D1242" s="10" t="inlineStr">
        <is>
          <t>GRI</t>
        </is>
      </c>
      <c r="E1242" s="10" t="inlineStr">
        <is>
          <t>Gestión de Riesgo de Crédito</t>
        </is>
      </c>
      <c r="F1242" s="10" t="inlineStr">
        <is>
          <t>-</t>
        </is>
      </c>
      <c r="G1242" s="10" t="inlineStr">
        <is>
          <t xml:space="preserve">Validación de  la calificación de cartera y valor de provisión    </t>
        </is>
      </c>
      <c r="H1242" s="10" t="inlineStr">
        <is>
          <t>Reporte Credireport</t>
        </is>
      </c>
      <c r="I1242" s="10" t="inlineStr">
        <is>
          <t>Reporte</t>
        </is>
      </c>
      <c r="J1242" s="10" t="inlineStr">
        <is>
          <t>GERENTE DE RIESGOS</t>
        </is>
      </c>
      <c r="K1242" s="10" t="inlineStr">
        <is>
          <t>ANALISTA DE RIESGO DE CREDITO</t>
        </is>
      </c>
      <c r="L1242" s="10" t="inlineStr">
        <is>
          <t>UBICACIÓN DIGITAL-EQUIPO DEL RESPONSABLE</t>
        </is>
      </c>
      <c r="M1242" s="10" t="inlineStr">
        <is>
          <t>DOCUMENTO DE ARCHIVO-ELECTRÓNICO</t>
        </is>
      </c>
      <c r="N1242" s="10" t="inlineStr">
        <is>
          <t>PRIMARIOS</t>
        </is>
      </c>
      <c r="O1242" s="10" t="inlineStr">
        <is>
          <t>DOCUMENTOS TÉCNICOS</t>
        </is>
      </c>
      <c r="P1242" s="10" t="inlineStr">
        <is>
          <t>PUBLICA(1)</t>
        </is>
      </c>
      <c r="Q1242" s="10" t="inlineStr">
        <is>
          <t>ALTA(3)</t>
        </is>
      </c>
      <c r="R1242" s="10" t="inlineStr">
        <is>
          <t>MEDIA(2)</t>
        </is>
      </c>
      <c r="S1242" s="10">
        <f>+(IF(P1242="PUBLICA(1)",1,IF(P1242="USO INTERNO(2)",2,IF(P1242="RESTRINGIDO(3)",3,3))))+(IF(Q1242="BAJA(1)",1,IF(Q1242="MEDIA(2)",2,IF(Q1242="ALTA(3)",3,3))))+(IF(R1242="BAJA(1)",1,IF(R1242="MEDIA(2)",2,IF(R1242="ALTA(3)",3,3))))</f>
        <v/>
      </c>
      <c r="T1242" s="10">
        <f>+IF(S1242&lt;6,"BAJA",IF(S1242&lt;8,"MEDIA","ALTA"))</f>
        <v/>
      </c>
      <c r="U1242" s="10" t="inlineStr">
        <is>
          <t>-</t>
        </is>
      </c>
      <c r="V1242" s="24" t="n">
        <v>45617</v>
      </c>
      <c r="W1242" s="19" t="inlineStr">
        <is>
          <t>N/A</t>
        </is>
      </c>
      <c r="X1242" s="10">
        <f>+IFERROR(IF(VLOOKUP(Tabla2[[#This Row],[ID]],'EVALUACION DE RIESGO'!A:A,1,FALSE)=Tabla2[[#This Row],[ID]],"SI","NO"),"NO")</f>
        <v/>
      </c>
      <c r="AD1242">
        <f>IF(AND(Y1242="",AA1242=""),"",IF(OR(LEFT(AA1242,2)="L0",LEFT(AA1242,2)="L1",Y1242="No Iniciado"),"CRÍTICO - Incumplimiento Normativo SEPS",IF(AND(OR(LEFT(AA1242,2)="L4",LEFT(AA1242,2)="L5"),AND(AC1242&lt;&gt;"",AC1242&lt;&gt;"N/A")),"CONFORME - Control Efectivo ISO 27001","OBSERVACIÓN - Revisar Controles")))</f>
        <v/>
      </c>
    </row>
    <row r="1243">
      <c r="A1243" s="99" t="inlineStr">
        <is>
          <t>221-GRI</t>
        </is>
      </c>
      <c r="B1243" s="10" t="inlineStr">
        <is>
          <t>ESTRATÉGICO</t>
        </is>
      </c>
      <c r="C1243" s="10" t="inlineStr">
        <is>
          <t>Gestión de Riesgos</t>
        </is>
      </c>
      <c r="D1243" s="10" t="inlineStr">
        <is>
          <t>GRI</t>
        </is>
      </c>
      <c r="E1243" s="10" t="inlineStr">
        <is>
          <t>Gestión de Riesgo de Crédito</t>
        </is>
      </c>
      <c r="F1243" s="10" t="inlineStr">
        <is>
          <t>-</t>
        </is>
      </c>
      <c r="G1243" s="10" t="inlineStr">
        <is>
          <t xml:space="preserve">Validación de  la calificación de cartera y valor de provisión    </t>
        </is>
      </c>
      <c r="H1243" s="10" t="inlineStr">
        <is>
          <t>Balance del mes actual</t>
        </is>
      </c>
      <c r="I1243" s="10" t="inlineStr">
        <is>
          <t>Balance</t>
        </is>
      </c>
      <c r="J1243" s="10" t="inlineStr">
        <is>
          <t>GERENTE DE RIESGOS</t>
        </is>
      </c>
      <c r="K1243" s="10" t="inlineStr">
        <is>
          <t>ANALISTA DE RIESGO DE CREDITO</t>
        </is>
      </c>
      <c r="L1243" s="10" t="inlineStr">
        <is>
          <t>UBICACIÓN DIGITAL-EQUIPO DEL RESPONSABLE</t>
        </is>
      </c>
      <c r="M1243" s="10" t="inlineStr">
        <is>
          <t>DOCUMENTO DE ARCHIVO-ELECTRÓNICO</t>
        </is>
      </c>
      <c r="N1243" s="10" t="inlineStr">
        <is>
          <t>PRIMARIOS</t>
        </is>
      </c>
      <c r="O1243" s="10" t="inlineStr">
        <is>
          <t>DOCUMENTOS TÉCNICOS</t>
        </is>
      </c>
      <c r="P1243" s="10" t="inlineStr">
        <is>
          <t>PUBLICA(1)</t>
        </is>
      </c>
      <c r="Q1243" s="10" t="inlineStr">
        <is>
          <t>ALTA(3)</t>
        </is>
      </c>
      <c r="R1243" s="10" t="inlineStr">
        <is>
          <t>MEDIA(2)</t>
        </is>
      </c>
      <c r="S1243" s="10">
        <f>+(IF(P1243="PUBLICA(1)",1,IF(P1243="USO INTERNO(2)",2,IF(P1243="RESTRINGIDO(3)",3,3))))+(IF(Q1243="BAJA(1)",1,IF(Q1243="MEDIA(2)",2,IF(Q1243="ALTA(3)",3,3))))+(IF(R1243="BAJA(1)",1,IF(R1243="MEDIA(2)",2,IF(R1243="ALTA(3)",3,3))))</f>
        <v/>
      </c>
      <c r="T1243" s="10">
        <f>+IF(S1243&lt;6,"BAJA",IF(S1243&lt;8,"MEDIA","ALTA"))</f>
        <v/>
      </c>
      <c r="U1243" s="10" t="inlineStr">
        <is>
          <t>-</t>
        </is>
      </c>
      <c r="V1243" s="24" t="n">
        <v>45617</v>
      </c>
      <c r="W1243" s="19" t="inlineStr">
        <is>
          <t>N/A</t>
        </is>
      </c>
      <c r="X1243" s="10">
        <f>+IFERROR(IF(VLOOKUP(Tabla2[[#This Row],[ID]],'EVALUACION DE RIESGO'!A:A,1,FALSE)=Tabla2[[#This Row],[ID]],"SI","NO"),"NO")</f>
        <v/>
      </c>
      <c r="AD1243">
        <f>IF(AND(Y1243="",AA1243=""),"",IF(OR(LEFT(AA1243,2)="L0",LEFT(AA1243,2)="L1",Y1243="No Iniciado"),"CRÍTICO - Incumplimiento Normativo SEPS",IF(AND(OR(LEFT(AA1243,2)="L4",LEFT(AA1243,2)="L5"),AND(AC1243&lt;&gt;"",AC1243&lt;&gt;"N/A")),"CONFORME - Control Efectivo ISO 27001","OBSERVACIÓN - Revisar Controles")))</f>
        <v/>
      </c>
    </row>
    <row r="1244">
      <c r="A1244" s="99" t="inlineStr">
        <is>
          <t>222-GRI</t>
        </is>
      </c>
      <c r="B1244" s="10" t="inlineStr">
        <is>
          <t>ESTRATÉGICO</t>
        </is>
      </c>
      <c r="C1244" s="10" t="inlineStr">
        <is>
          <t>Gestión de Riesgos</t>
        </is>
      </c>
      <c r="D1244" s="10" t="inlineStr">
        <is>
          <t>GRI</t>
        </is>
      </c>
      <c r="E1244" s="10" t="inlineStr">
        <is>
          <t>Gestión de Riesgo de Crédito</t>
        </is>
      </c>
      <c r="F1244" s="10" t="inlineStr">
        <is>
          <t>-</t>
        </is>
      </c>
      <c r="G1244" s="10" t="inlineStr">
        <is>
          <t xml:space="preserve">Validación de  la calificación de cartera y valor de provisión    </t>
        </is>
      </c>
      <c r="H1244" s="10" t="inlineStr">
        <is>
          <t>Reporte Cali_tot</t>
        </is>
      </c>
      <c r="I1244" s="10" t="inlineStr">
        <is>
          <t>Reporte</t>
        </is>
      </c>
      <c r="J1244" s="10" t="inlineStr">
        <is>
          <t>GERENTE DE RIESGOS</t>
        </is>
      </c>
      <c r="K1244" s="10" t="inlineStr">
        <is>
          <t>ANALISTA DE RIESGO DE CREDITO</t>
        </is>
      </c>
      <c r="L1244" s="10" t="inlineStr">
        <is>
          <t>UBICACIÓN DIGITAL-EQUIPO DEL RESPONSABLE</t>
        </is>
      </c>
      <c r="M1244" s="10" t="inlineStr">
        <is>
          <t>DOCUMENTO DE ARCHIVO-ELECTRÓNICO</t>
        </is>
      </c>
      <c r="N1244" s="10" t="inlineStr">
        <is>
          <t>PRIMARIOS</t>
        </is>
      </c>
      <c r="O1244" s="10" t="inlineStr">
        <is>
          <t>DOCUMENTOS TÉCNICOS</t>
        </is>
      </c>
      <c r="P1244" s="10" t="inlineStr">
        <is>
          <t>PUBLICA(1)</t>
        </is>
      </c>
      <c r="Q1244" s="10" t="inlineStr">
        <is>
          <t>ALTA(3)</t>
        </is>
      </c>
      <c r="R1244" s="10" t="inlineStr">
        <is>
          <t>MEDIA(2)</t>
        </is>
      </c>
      <c r="S1244" s="10">
        <f>+(IF(P1244="PUBLICA(1)",1,IF(P1244="USO INTERNO(2)",2,IF(P1244="RESTRINGIDO(3)",3,3))))+(IF(Q1244="BAJA(1)",1,IF(Q1244="MEDIA(2)",2,IF(Q1244="ALTA(3)",3,3))))+(IF(R1244="BAJA(1)",1,IF(R1244="MEDIA(2)",2,IF(R1244="ALTA(3)",3,3))))</f>
        <v/>
      </c>
      <c r="T1244" s="10">
        <f>+IF(S1244&lt;6,"BAJA",IF(S1244&lt;8,"MEDIA","ALTA"))</f>
        <v/>
      </c>
      <c r="U1244" s="10" t="inlineStr">
        <is>
          <t>-</t>
        </is>
      </c>
      <c r="V1244" s="24" t="n">
        <v>45617</v>
      </c>
      <c r="W1244" s="19" t="inlineStr">
        <is>
          <t>N/A</t>
        </is>
      </c>
      <c r="X1244" s="10">
        <f>+IFERROR(IF(VLOOKUP(Tabla2[[#This Row],[ID]],'EVALUACION DE RIESGO'!A:A,1,FALSE)=Tabla2[[#This Row],[ID]],"SI","NO"),"NO")</f>
        <v/>
      </c>
      <c r="AD1244">
        <f>IF(AND(Y1244="",AA1244=""),"",IF(OR(LEFT(AA1244,2)="L0",LEFT(AA1244,2)="L1",Y1244="No Iniciado"),"CRÍTICO - Incumplimiento Normativo SEPS",IF(AND(OR(LEFT(AA1244,2)="L4",LEFT(AA1244,2)="L5"),AND(AC1244&lt;&gt;"",AC1244&lt;&gt;"N/A")),"CONFORME - Control Efectivo ISO 27001","OBSERVACIÓN - Revisar Controles")))</f>
        <v/>
      </c>
    </row>
    <row r="1245">
      <c r="A1245" s="99" t="inlineStr">
        <is>
          <t>223-GRI</t>
        </is>
      </c>
      <c r="B1245" s="10" t="inlineStr">
        <is>
          <t>ESTRATÉGICO</t>
        </is>
      </c>
      <c r="C1245" s="10" t="inlineStr">
        <is>
          <t>Gestión de Riesgos</t>
        </is>
      </c>
      <c r="D1245" s="10" t="inlineStr">
        <is>
          <t>GRI</t>
        </is>
      </c>
      <c r="E1245" s="10" t="inlineStr">
        <is>
          <t>Gestión de Riesgo de Crédito</t>
        </is>
      </c>
      <c r="F1245" s="10" t="inlineStr">
        <is>
          <t>-</t>
        </is>
      </c>
      <c r="G1245" s="10" t="inlineStr">
        <is>
          <t xml:space="preserve">Validación de  la calificación de cartera y valor de provisión    </t>
        </is>
      </c>
      <c r="H1245" s="10" t="inlineStr">
        <is>
          <t>Reporte de Calificación de Reestructurados y Refinanciados</t>
        </is>
      </c>
      <c r="I1245" s="10" t="inlineStr">
        <is>
          <t>Herramienta de calificación - excel</t>
        </is>
      </c>
      <c r="J1245" s="10" t="inlineStr">
        <is>
          <t>GERENTE DE RIESGOS</t>
        </is>
      </c>
      <c r="K1245" s="10" t="inlineStr">
        <is>
          <t>ANALISTA DE RIESGO DE CREDITO</t>
        </is>
      </c>
      <c r="L1245" s="10" t="inlineStr">
        <is>
          <t>UBICACIÓN DIGITAL-EQUIPO DEL RESPONSABLE</t>
        </is>
      </c>
      <c r="M1245" s="10" t="inlineStr">
        <is>
          <t>DOCUMENTO DE ARCHIVO-ELECTRÓNICO</t>
        </is>
      </c>
      <c r="N1245" s="10" t="inlineStr">
        <is>
          <t>PRIMARIOS</t>
        </is>
      </c>
      <c r="O1245" s="10" t="inlineStr">
        <is>
          <t>DOCUMENTOS TÉCNICOS</t>
        </is>
      </c>
      <c r="P1245" s="10" t="inlineStr">
        <is>
          <t>PUBLICA(1)</t>
        </is>
      </c>
      <c r="Q1245" s="10" t="inlineStr">
        <is>
          <t>ALTA(3)</t>
        </is>
      </c>
      <c r="R1245" s="10" t="inlineStr">
        <is>
          <t>MEDIA(2)</t>
        </is>
      </c>
      <c r="S1245" s="10">
        <f>+(IF(P1245="PUBLICA(1)",1,IF(P1245="USO INTERNO(2)",2,IF(P1245="RESTRINGIDO(3)",3,3))))+(IF(Q1245="BAJA(1)",1,IF(Q1245="MEDIA(2)",2,IF(Q1245="ALTA(3)",3,3))))+(IF(R1245="BAJA(1)",1,IF(R1245="MEDIA(2)",2,IF(R1245="ALTA(3)",3,3))))</f>
        <v/>
      </c>
      <c r="T1245" s="10">
        <f>+IF(S1245&lt;6,"BAJA",IF(S1245&lt;8,"MEDIA","ALTA"))</f>
        <v/>
      </c>
      <c r="U1245" s="10" t="inlineStr">
        <is>
          <t>-</t>
        </is>
      </c>
      <c r="V1245" s="24" t="n">
        <v>45617</v>
      </c>
      <c r="W1245" s="19" t="inlineStr">
        <is>
          <t>N/A</t>
        </is>
      </c>
      <c r="X1245" s="10">
        <f>+IFERROR(IF(VLOOKUP(Tabla2[[#This Row],[ID]],'EVALUACION DE RIESGO'!A:A,1,FALSE)=Tabla2[[#This Row],[ID]],"SI","NO"),"NO")</f>
        <v/>
      </c>
      <c r="AD1245">
        <f>IF(AND(Y1245="",AA1245=""),"",IF(OR(LEFT(AA1245,2)="L0",LEFT(AA1245,2)="L1",Y1245="No Iniciado"),"CRÍTICO - Incumplimiento Normativo SEPS",IF(AND(OR(LEFT(AA1245,2)="L4",LEFT(AA1245,2)="L5"),AND(AC1245&lt;&gt;"",AC1245&lt;&gt;"N/A")),"CONFORME - Control Efectivo ISO 27001","OBSERVACIÓN - Revisar Controles")))</f>
        <v/>
      </c>
    </row>
    <row r="1246">
      <c r="A1246" s="99" t="inlineStr">
        <is>
          <t>224-GRI</t>
        </is>
      </c>
      <c r="B1246" s="10" t="inlineStr">
        <is>
          <t>ESTRATÉGICO</t>
        </is>
      </c>
      <c r="C1246" s="10" t="inlineStr">
        <is>
          <t>Gestión de Riesgos</t>
        </is>
      </c>
      <c r="D1246" s="10" t="inlineStr">
        <is>
          <t>GRI</t>
        </is>
      </c>
      <c r="E1246" s="10" t="inlineStr">
        <is>
          <t>Gestión de Riesgo de Crédito</t>
        </is>
      </c>
      <c r="F1246" s="10" t="inlineStr">
        <is>
          <t>-</t>
        </is>
      </c>
      <c r="G1246" s="10" t="inlineStr">
        <is>
          <t xml:space="preserve">Validación de  la calificación de cartera y valor de provisión    </t>
        </is>
      </c>
      <c r="H1246" s="10" t="inlineStr">
        <is>
          <t>Reporte Cartera Provisión</t>
        </is>
      </c>
      <c r="I1246" s="10" t="inlineStr">
        <is>
          <t>Hoja de trabajo</t>
        </is>
      </c>
      <c r="J1246" s="10" t="inlineStr">
        <is>
          <t>GERENTE DE RIESGOS</t>
        </is>
      </c>
      <c r="K1246" s="10" t="inlineStr">
        <is>
          <t>ANALISTA DE RIESGO DE CREDITO</t>
        </is>
      </c>
      <c r="L1246" s="10" t="inlineStr">
        <is>
          <t>UBICACIÓN DIGITAL-EQUIPO DEL RESPONSABLE</t>
        </is>
      </c>
      <c r="M1246" s="10" t="inlineStr">
        <is>
          <t>DOCUMENTO DE ARCHIVO-ELECTRÓNICO</t>
        </is>
      </c>
      <c r="N1246" s="10" t="inlineStr">
        <is>
          <t>PRIMARIOS</t>
        </is>
      </c>
      <c r="O1246" s="10" t="inlineStr">
        <is>
          <t>DOCUMENTOS TÉCNICOS</t>
        </is>
      </c>
      <c r="P1246" s="10" t="inlineStr">
        <is>
          <t>PUBLICA(1)</t>
        </is>
      </c>
      <c r="Q1246" s="10" t="inlineStr">
        <is>
          <t>ALTA(3)</t>
        </is>
      </c>
      <c r="R1246" s="10" t="inlineStr">
        <is>
          <t>MEDIA(2)</t>
        </is>
      </c>
      <c r="S1246" s="10">
        <f>+(IF(P1246="PUBLICA(1)",1,IF(P1246="USO INTERNO(2)",2,IF(P1246="RESTRINGIDO(3)",3,3))))+(IF(Q1246="BAJA(1)",1,IF(Q1246="MEDIA(2)",2,IF(Q1246="ALTA(3)",3,3))))+(IF(R1246="BAJA(1)",1,IF(R1246="MEDIA(2)",2,IF(R1246="ALTA(3)",3,3))))</f>
        <v/>
      </c>
      <c r="T1246" s="10">
        <f>+IF(S1246&lt;6,"BAJA",IF(S1246&lt;8,"MEDIA","ALTA"))</f>
        <v/>
      </c>
      <c r="U1246" s="10" t="inlineStr">
        <is>
          <t>-</t>
        </is>
      </c>
      <c r="V1246" s="24" t="n">
        <v>45618</v>
      </c>
      <c r="W1246" s="19" t="inlineStr">
        <is>
          <t>N/A</t>
        </is>
      </c>
      <c r="X1246" s="10">
        <f>+IFERROR(IF(VLOOKUP(Tabla2[[#This Row],[ID]],'EVALUACION DE RIESGO'!A:A,1,FALSE)=Tabla2[[#This Row],[ID]],"SI","NO"),"NO")</f>
        <v/>
      </c>
      <c r="AD1246">
        <f>IF(AND(Y1246="",AA1246=""),"",IF(OR(LEFT(AA1246,2)="L0",LEFT(AA1246,2)="L1",Y1246="No Iniciado"),"CRÍTICO - Incumplimiento Normativo SEPS",IF(AND(OR(LEFT(AA1246,2)="L4",LEFT(AA1246,2)="L5"),AND(AC1246&lt;&gt;"",AC1246&lt;&gt;"N/A")),"CONFORME - Control Efectivo ISO 27001","OBSERVACIÓN - Revisar Controles")))</f>
        <v/>
      </c>
    </row>
    <row r="1247">
      <c r="A1247" s="99" t="inlineStr">
        <is>
          <t>225-GRI</t>
        </is>
      </c>
      <c r="B1247" s="10" t="inlineStr">
        <is>
          <t>ESTRATÉGICO</t>
        </is>
      </c>
      <c r="C1247" s="10" t="inlineStr">
        <is>
          <t>Gestión de Riesgos</t>
        </is>
      </c>
      <c r="D1247" s="10" t="inlineStr">
        <is>
          <t>GRI</t>
        </is>
      </c>
      <c r="E1247" s="10" t="inlineStr">
        <is>
          <t>Gestión de Riesgo de Crédito</t>
        </is>
      </c>
      <c r="F1247" s="10" t="inlineStr">
        <is>
          <t>-</t>
        </is>
      </c>
      <c r="G1247" s="10" t="inlineStr">
        <is>
          <t xml:space="preserve">Validación de  la calificación de cartera y valor de provisión    </t>
        </is>
      </c>
      <c r="H1247" s="10" t="inlineStr">
        <is>
          <t>Reporte Aux Contable</t>
        </is>
      </c>
      <c r="I1247" s="10" t="inlineStr">
        <is>
          <t>Hoja de trabajo</t>
        </is>
      </c>
      <c r="J1247" s="10" t="inlineStr">
        <is>
          <t>GERENTE DE RIESGOS</t>
        </is>
      </c>
      <c r="K1247" s="10" t="inlineStr">
        <is>
          <t>ANALISTA DE RIESGO DE CREDITO</t>
        </is>
      </c>
      <c r="L1247" s="10" t="inlineStr">
        <is>
          <t>UBICACIÓN DIGITAL-EQUIPO DEL RESPONSABLE</t>
        </is>
      </c>
      <c r="M1247" s="10" t="inlineStr">
        <is>
          <t>DOCUMENTO DE ARCHIVO-ELECTRÓNICO</t>
        </is>
      </c>
      <c r="N1247" s="10" t="inlineStr">
        <is>
          <t>PRIMARIOS</t>
        </is>
      </c>
      <c r="O1247" s="10" t="inlineStr">
        <is>
          <t>DOCUMENTOS TÉCNICOS</t>
        </is>
      </c>
      <c r="P1247" s="10" t="inlineStr">
        <is>
          <t>PUBLICA(1)</t>
        </is>
      </c>
      <c r="Q1247" s="10" t="inlineStr">
        <is>
          <t>ALTA(3)</t>
        </is>
      </c>
      <c r="R1247" s="10" t="inlineStr">
        <is>
          <t>MEDIA(2)</t>
        </is>
      </c>
      <c r="S1247" s="10">
        <f>+(IF(P1247="PUBLICA(1)",1,IF(P1247="USO INTERNO(2)",2,IF(P1247="RESTRINGIDO(3)",3,3))))+(IF(Q1247="BAJA(1)",1,IF(Q1247="MEDIA(2)",2,IF(Q1247="ALTA(3)",3,3))))+(IF(R1247="BAJA(1)",1,IF(R1247="MEDIA(2)",2,IF(R1247="ALTA(3)",3,3))))</f>
        <v/>
      </c>
      <c r="T1247" s="10">
        <f>+IF(S1247&lt;6,"BAJA",IF(S1247&lt;8,"MEDIA","ALTA"))</f>
        <v/>
      </c>
      <c r="U1247" s="10" t="inlineStr">
        <is>
          <t>-</t>
        </is>
      </c>
      <c r="V1247" s="24" t="n">
        <v>45618</v>
      </c>
      <c r="W1247" s="19" t="inlineStr">
        <is>
          <t>N/A</t>
        </is>
      </c>
      <c r="X1247" s="10">
        <f>+IFERROR(IF(VLOOKUP(Tabla2[[#This Row],[ID]],'EVALUACION DE RIESGO'!A:A,1,FALSE)=Tabla2[[#This Row],[ID]],"SI","NO"),"NO")</f>
        <v/>
      </c>
      <c r="AD1247">
        <f>IF(AND(Y1247="",AA1247=""),"",IF(OR(LEFT(AA1247,2)="L0",LEFT(AA1247,2)="L1",Y1247="No Iniciado"),"CRÍTICO - Incumplimiento Normativo SEPS",IF(AND(OR(LEFT(AA1247,2)="L4",LEFT(AA1247,2)="L5"),AND(AC1247&lt;&gt;"",AC1247&lt;&gt;"N/A")),"CONFORME - Control Efectivo ISO 27001","OBSERVACIÓN - Revisar Controles")))</f>
        <v/>
      </c>
    </row>
    <row r="1248">
      <c r="A1248" s="99" t="inlineStr">
        <is>
          <t>226-GRI</t>
        </is>
      </c>
      <c r="B1248" s="10" t="inlineStr">
        <is>
          <t>ESTRATÉGICO</t>
        </is>
      </c>
      <c r="C1248" s="10" t="inlineStr">
        <is>
          <t>Gestión de Riesgos</t>
        </is>
      </c>
      <c r="D1248" s="10" t="inlineStr">
        <is>
          <t>GRI</t>
        </is>
      </c>
      <c r="E1248" s="10" t="inlineStr">
        <is>
          <t>Gestión de Riesgo de Crédito</t>
        </is>
      </c>
      <c r="F1248" s="10" t="inlineStr">
        <is>
          <t>-</t>
        </is>
      </c>
      <c r="G1248" s="10" t="inlineStr">
        <is>
          <t xml:space="preserve">Validación de  la calificación de cartera y valor de provisión    </t>
        </is>
      </c>
      <c r="H1248" s="10" t="inlineStr">
        <is>
          <t>Informe de activos de riesgos y constitución de provisiones</t>
        </is>
      </c>
      <c r="I1248" s="10" t="inlineStr">
        <is>
          <t>Informe</t>
        </is>
      </c>
      <c r="J1248" s="10" t="inlineStr">
        <is>
          <t>GERENTE DE RIESGOS</t>
        </is>
      </c>
      <c r="K1248" s="10" t="inlineStr">
        <is>
          <t>ANALISTA DE RIESGO DE CREDITO</t>
        </is>
      </c>
      <c r="L1248" s="10" t="inlineStr">
        <is>
          <t>UBICACIÓN DIGITAL-EQUIPO DEL RESPONSABLE</t>
        </is>
      </c>
      <c r="M1248" s="10" t="inlineStr">
        <is>
          <t>DOCUMENTO DE ARCHIVO-ELECTRÓNICO</t>
        </is>
      </c>
      <c r="N1248" s="10" t="inlineStr">
        <is>
          <t>PRIMARIOS</t>
        </is>
      </c>
      <c r="O1248" s="10" t="inlineStr">
        <is>
          <t>DOCUMENTOS TÉCNICOS</t>
        </is>
      </c>
      <c r="P1248" s="10" t="inlineStr">
        <is>
          <t>PUBLICA(1)</t>
        </is>
      </c>
      <c r="Q1248" s="10" t="inlineStr">
        <is>
          <t>ALTA(3)</t>
        </is>
      </c>
      <c r="R1248" s="10" t="inlineStr">
        <is>
          <t>MEDIA(2)</t>
        </is>
      </c>
      <c r="S1248" s="10">
        <f>+(IF(P1248="PUBLICA(1)",1,IF(P1248="USO INTERNO(2)",2,IF(P1248="RESTRINGIDO(3)",3,3))))+(IF(Q1248="BAJA(1)",1,IF(Q1248="MEDIA(2)",2,IF(Q1248="ALTA(3)",3,3))))+(IF(R1248="BAJA(1)",1,IF(R1248="MEDIA(2)",2,IF(R1248="ALTA(3)",3,3))))</f>
        <v/>
      </c>
      <c r="T1248" s="10">
        <f>+IF(S1248&lt;6,"BAJA",IF(S1248&lt;8,"MEDIA","ALTA"))</f>
        <v/>
      </c>
      <c r="U1248" s="10" t="inlineStr">
        <is>
          <t>-</t>
        </is>
      </c>
      <c r="V1248" s="24" t="n">
        <v>45617</v>
      </c>
      <c r="W1248" s="19" t="inlineStr">
        <is>
          <t>N/A</t>
        </is>
      </c>
      <c r="X1248" s="10">
        <f>+IFERROR(IF(VLOOKUP(Tabla2[[#This Row],[ID]],'EVALUACION DE RIESGO'!A:A,1,FALSE)=Tabla2[[#This Row],[ID]],"SI","NO"),"NO")</f>
        <v/>
      </c>
      <c r="AD1248">
        <f>IF(AND(Y1248="",AA1248=""),"",IF(OR(LEFT(AA1248,2)="L0",LEFT(AA1248,2)="L1",Y1248="No Iniciado"),"CRÍTICO - Incumplimiento Normativo SEPS",IF(AND(OR(LEFT(AA1248,2)="L4",LEFT(AA1248,2)="L5"),AND(AC1248&lt;&gt;"",AC1248&lt;&gt;"N/A")),"CONFORME - Control Efectivo ISO 27001","OBSERVACIÓN - Revisar Controles")))</f>
        <v/>
      </c>
    </row>
    <row r="1249">
      <c r="A1249" s="99" t="inlineStr">
        <is>
          <t>227-GRI</t>
        </is>
      </c>
      <c r="B1249" s="10" t="inlineStr">
        <is>
          <t>ESTRATÉGICO</t>
        </is>
      </c>
      <c r="C1249" s="10" t="inlineStr">
        <is>
          <t>Gestión de Riesgos</t>
        </is>
      </c>
      <c r="D1249" s="10" t="inlineStr">
        <is>
          <t>GRI</t>
        </is>
      </c>
      <c r="E1249" s="10" t="inlineStr">
        <is>
          <t>Gestión de Riesgo de Crédito</t>
        </is>
      </c>
      <c r="F1249" s="10" t="inlineStr">
        <is>
          <t>-</t>
        </is>
      </c>
      <c r="G1249" s="10" t="inlineStr">
        <is>
          <t>Seguimiento al valor de provisiones</t>
        </is>
      </c>
      <c r="H1249" s="10" t="inlineStr">
        <is>
          <t>Reporte Cadetaca</t>
        </is>
      </c>
      <c r="I1249" s="10" t="inlineStr">
        <is>
          <t>Reporte</t>
        </is>
      </c>
      <c r="J1249" s="10" t="inlineStr">
        <is>
          <t>GERENTE DE RIESGOS</t>
        </is>
      </c>
      <c r="K1249" s="10" t="inlineStr">
        <is>
          <t>ANALISTA DE RIESGO DE CREDITO</t>
        </is>
      </c>
      <c r="L1249" s="10" t="inlineStr">
        <is>
          <t>UBICACIÓN DIGITAL-EQUIPO DEL RESPONSABLE</t>
        </is>
      </c>
      <c r="M1249" s="10" t="inlineStr">
        <is>
          <t>DOCUMENTO DE ARCHIVO-ELECTRÓNICO</t>
        </is>
      </c>
      <c r="N1249" s="10" t="inlineStr">
        <is>
          <t>PRIMARIOS</t>
        </is>
      </c>
      <c r="O1249" s="10" t="inlineStr">
        <is>
          <t>DOCUMENTOS TÉCNICOS</t>
        </is>
      </c>
      <c r="P1249" s="10" t="inlineStr">
        <is>
          <t>PUBLICA(1)</t>
        </is>
      </c>
      <c r="Q1249" s="10" t="inlineStr">
        <is>
          <t>ALTA(3)</t>
        </is>
      </c>
      <c r="R1249" s="10" t="inlineStr">
        <is>
          <t>MEDIA(2)</t>
        </is>
      </c>
      <c r="S1249" s="10">
        <f>+(IF(P1249="PUBLICA(1)",1,IF(P1249="USO INTERNO(2)",2,IF(P1249="RESTRINGIDO(3)",3,3))))+(IF(Q1249="BAJA(1)",1,IF(Q1249="MEDIA(2)",2,IF(Q1249="ALTA(3)",3,3))))+(IF(R1249="BAJA(1)",1,IF(R1249="MEDIA(2)",2,IF(R1249="ALTA(3)",3,3))))</f>
        <v/>
      </c>
      <c r="T1249" s="10">
        <f>+IF(S1249&lt;6,"BAJA",IF(S1249&lt;8,"MEDIA","ALTA"))</f>
        <v/>
      </c>
      <c r="U1249" s="10" t="inlineStr">
        <is>
          <t>-</t>
        </is>
      </c>
      <c r="V1249" s="24" t="n">
        <v>45618</v>
      </c>
      <c r="W1249" s="19" t="inlineStr">
        <is>
          <t>N/A</t>
        </is>
      </c>
      <c r="X1249" s="10">
        <f>+IFERROR(IF(VLOOKUP(Tabla2[[#This Row],[ID]],'EVALUACION DE RIESGO'!A:A,1,FALSE)=Tabla2[[#This Row],[ID]],"SI","NO"),"NO")</f>
        <v/>
      </c>
      <c r="AD1249">
        <f>IF(AND(Y1249="",AA1249=""),"",IF(OR(LEFT(AA1249,2)="L0",LEFT(AA1249,2)="L1",Y1249="No Iniciado"),"CRÍTICO - Incumplimiento Normativo SEPS",IF(AND(OR(LEFT(AA1249,2)="L4",LEFT(AA1249,2)="L5"),AND(AC1249&lt;&gt;"",AC1249&lt;&gt;"N/A")),"CONFORME - Control Efectivo ISO 27001","OBSERVACIÓN - Revisar Controles")))</f>
        <v/>
      </c>
    </row>
    <row r="1250">
      <c r="A1250" s="99" t="inlineStr">
        <is>
          <t>228-GRI</t>
        </is>
      </c>
      <c r="B1250" s="10" t="inlineStr">
        <is>
          <t>ESTRATÉGICO</t>
        </is>
      </c>
      <c r="C1250" s="10" t="inlineStr">
        <is>
          <t>Gestión de Riesgos</t>
        </is>
      </c>
      <c r="D1250" s="10" t="inlineStr">
        <is>
          <t>GRI</t>
        </is>
      </c>
      <c r="E1250" s="10" t="inlineStr">
        <is>
          <t>Gestión de Riesgo de Crédito</t>
        </is>
      </c>
      <c r="F1250" s="10" t="inlineStr">
        <is>
          <t>-</t>
        </is>
      </c>
      <c r="G1250" s="10" t="inlineStr">
        <is>
          <t>Seguimiento al valor de provisiones</t>
        </is>
      </c>
      <c r="H1250" s="10" t="inlineStr">
        <is>
          <t xml:space="preserve">Reporte de calificación y provisión semanal </t>
        </is>
      </c>
      <c r="I1250" s="10" t="inlineStr">
        <is>
          <t>Hoja de trabajo</t>
        </is>
      </c>
      <c r="J1250" s="10" t="inlineStr">
        <is>
          <t>GERENTE DE RIESGOS</t>
        </is>
      </c>
      <c r="K1250" s="10" t="inlineStr">
        <is>
          <t>ANALISTA DE RIESGO DE CREDITO</t>
        </is>
      </c>
      <c r="L1250" s="10" t="inlineStr">
        <is>
          <t>UBICACIÓN DIGITAL-EQUIPO DEL RESPONSABLE</t>
        </is>
      </c>
      <c r="M1250" s="10" t="inlineStr">
        <is>
          <t>DOCUMENTO DE ARCHIVO-ELECTRÓNICO</t>
        </is>
      </c>
      <c r="N1250" s="10" t="inlineStr">
        <is>
          <t>PRIMARIOS</t>
        </is>
      </c>
      <c r="O1250" s="10" t="inlineStr">
        <is>
          <t>DOCUMENTOS TÉCNICOS</t>
        </is>
      </c>
      <c r="P1250" s="10" t="inlineStr">
        <is>
          <t>PUBLICA(1)</t>
        </is>
      </c>
      <c r="Q1250" s="10" t="inlineStr">
        <is>
          <t>ALTA(3)</t>
        </is>
      </c>
      <c r="R1250" s="10" t="inlineStr">
        <is>
          <t>MEDIA(2)</t>
        </is>
      </c>
      <c r="S1250" s="10">
        <f>+(IF(P1250="PUBLICA(1)",1,IF(P1250="USO INTERNO(2)",2,IF(P1250="RESTRINGIDO(3)",3,3))))+(IF(Q1250="BAJA(1)",1,IF(Q1250="MEDIA(2)",2,IF(Q1250="ALTA(3)",3,3))))+(IF(R1250="BAJA(1)",1,IF(R1250="MEDIA(2)",2,IF(R1250="ALTA(3)",3,3))))</f>
        <v/>
      </c>
      <c r="T1250" s="10">
        <f>+IF(S1250&lt;6,"BAJA",IF(S1250&lt;8,"MEDIA","ALTA"))</f>
        <v/>
      </c>
      <c r="U1250" s="10" t="inlineStr">
        <is>
          <t>-</t>
        </is>
      </c>
      <c r="V1250" s="24" t="n">
        <v>45618</v>
      </c>
      <c r="W1250" s="19" t="inlineStr">
        <is>
          <t>N/A</t>
        </is>
      </c>
      <c r="X1250" s="10">
        <f>+IFERROR(IF(VLOOKUP(Tabla2[[#This Row],[ID]],'EVALUACION DE RIESGO'!A:A,1,FALSE)=Tabla2[[#This Row],[ID]],"SI","NO"),"NO")</f>
        <v/>
      </c>
      <c r="AD1250">
        <f>IF(AND(Y1250="",AA1250=""),"",IF(OR(LEFT(AA1250,2)="L0",LEFT(AA1250,2)="L1",Y1250="No Iniciado"),"CRÍTICO - Incumplimiento Normativo SEPS",IF(AND(OR(LEFT(AA1250,2)="L4",LEFT(AA1250,2)="L5"),AND(AC1250&lt;&gt;"",AC1250&lt;&gt;"N/A")),"CONFORME - Control Efectivo ISO 27001","OBSERVACIÓN - Revisar Controles")))</f>
        <v/>
      </c>
    </row>
    <row r="1251">
      <c r="A1251" s="99" t="inlineStr">
        <is>
          <t>229-GRI</t>
        </is>
      </c>
      <c r="B1251" s="10" t="inlineStr">
        <is>
          <t>ESTRATÉGICO</t>
        </is>
      </c>
      <c r="C1251" s="10" t="inlineStr">
        <is>
          <t>Gestión de Riesgos</t>
        </is>
      </c>
      <c r="D1251" s="10" t="inlineStr">
        <is>
          <t>GRI</t>
        </is>
      </c>
      <c r="E1251" s="10" t="inlineStr">
        <is>
          <t>Gestión de Riesgo de Crédito</t>
        </is>
      </c>
      <c r="F1251" s="10" t="inlineStr">
        <is>
          <t>-</t>
        </is>
      </c>
      <c r="G1251" s="10" t="inlineStr">
        <is>
          <t>Gestión de Indicadores de Riesgo y Reportes</t>
        </is>
      </c>
      <c r="H1251" s="10" t="inlineStr">
        <is>
          <t>Tabla rc_cliente_variable</t>
        </is>
      </c>
      <c r="I1251" s="10" t="inlineStr">
        <is>
          <t>Reporte</t>
        </is>
      </c>
      <c r="J1251" s="10" t="inlineStr">
        <is>
          <t>GERENTE DE RIESGOS</t>
        </is>
      </c>
      <c r="K1251" s="10" t="inlineStr">
        <is>
          <t>ANALISTA DE RIESGO DE CREDITO</t>
        </is>
      </c>
      <c r="L1251" s="10" t="inlineStr">
        <is>
          <t>UBICACIÓN DIGITAL-EQUIPO DEL RESPONSABLE</t>
        </is>
      </c>
      <c r="M1251" s="10" t="inlineStr">
        <is>
          <t>DOCUMENTO DE ARCHIVO-ELECTRÓNICO</t>
        </is>
      </c>
      <c r="N1251" s="10" t="inlineStr">
        <is>
          <t>PRIMARIOS</t>
        </is>
      </c>
      <c r="O1251" s="10" t="inlineStr">
        <is>
          <t>DOCUMENTOS TÉCNICOS</t>
        </is>
      </c>
      <c r="P1251" s="10" t="inlineStr">
        <is>
          <t>PUBLICA(1)</t>
        </is>
      </c>
      <c r="Q1251" s="10" t="inlineStr">
        <is>
          <t>ALTA(3)</t>
        </is>
      </c>
      <c r="R1251" s="10" t="inlineStr">
        <is>
          <t>MEDIA(2)</t>
        </is>
      </c>
      <c r="S1251" s="10">
        <f>+(IF(P1251="PUBLICA(1)",1,IF(P1251="USO INTERNO(2)",2,IF(P1251="RESTRINGIDO(3)",3,3))))+(IF(Q1251="BAJA(1)",1,IF(Q1251="MEDIA(2)",2,IF(Q1251="ALTA(3)",3,3))))+(IF(R1251="BAJA(1)",1,IF(R1251="MEDIA(2)",2,IF(R1251="ALTA(3)",3,3))))</f>
        <v/>
      </c>
      <c r="T1251" s="10">
        <f>+IF(S1251&lt;6,"BAJA",IF(S1251&lt;8,"MEDIA","ALTA"))</f>
        <v/>
      </c>
      <c r="U1251" s="10" t="inlineStr">
        <is>
          <t>-</t>
        </is>
      </c>
      <c r="V1251" s="24" t="n">
        <v>45617</v>
      </c>
      <c r="W1251" s="19" t="inlineStr">
        <is>
          <t>N/A</t>
        </is>
      </c>
      <c r="X1251" s="10">
        <f>+IFERROR(IF(VLOOKUP(Tabla2[[#This Row],[ID]],'EVALUACION DE RIESGO'!A:A,1,FALSE)=Tabla2[[#This Row],[ID]],"SI","NO"),"NO")</f>
        <v/>
      </c>
      <c r="AD1251">
        <f>IF(AND(Y1251="",AA1251=""),"",IF(OR(LEFT(AA1251,2)="L0",LEFT(AA1251,2)="L1",Y1251="No Iniciado"),"CRÍTICO - Incumplimiento Normativo SEPS",IF(AND(OR(LEFT(AA1251,2)="L4",LEFT(AA1251,2)="L5"),AND(AC1251&lt;&gt;"",AC1251&lt;&gt;"N/A")),"CONFORME - Control Efectivo ISO 27001","OBSERVACIÓN - Revisar Controles")))</f>
        <v/>
      </c>
    </row>
    <row r="1252">
      <c r="A1252" s="99" t="inlineStr">
        <is>
          <t>230-GRI</t>
        </is>
      </c>
      <c r="B1252" s="10" t="inlineStr">
        <is>
          <t>ESTRATÉGICO</t>
        </is>
      </c>
      <c r="C1252" s="10" t="inlineStr">
        <is>
          <t>Gestión de Riesgos</t>
        </is>
      </c>
      <c r="D1252" s="10" t="inlineStr">
        <is>
          <t>GRI</t>
        </is>
      </c>
      <c r="E1252" s="10" t="inlineStr">
        <is>
          <t>Gestión de Riesgo de Crédito</t>
        </is>
      </c>
      <c r="F1252" s="10" t="inlineStr">
        <is>
          <t>-</t>
        </is>
      </c>
      <c r="G1252" s="10" t="inlineStr">
        <is>
          <t>Gestión de Indicadores de Riesgo y Reportes</t>
        </is>
      </c>
      <c r="H1252" s="10" t="inlineStr">
        <is>
          <t>Indicadores y Reportes para: Seguimiento y Control Rentabilidad ajustada al riesgo Requerimiento de Capital Reforzar el otorgamiento</t>
        </is>
      </c>
      <c r="I1252" s="10" t="inlineStr">
        <is>
          <t>Herramienta</t>
        </is>
      </c>
      <c r="J1252" s="10" t="inlineStr">
        <is>
          <t>GERENTE DE RIESGOS</t>
        </is>
      </c>
      <c r="K1252" s="10" t="inlineStr">
        <is>
          <t>ANALISTA DE RIESGO DE CREDITO</t>
        </is>
      </c>
      <c r="L1252" s="10" t="inlineStr">
        <is>
          <t>UBICACIÓN DIGITAL-WEBCOOP</t>
        </is>
      </c>
      <c r="M1252" s="10" t="inlineStr">
        <is>
          <t>SISTEMA DE ADMINISTRACIÓN DE DOCUMENTOS</t>
        </is>
      </c>
      <c r="N1252" s="10" t="inlineStr">
        <is>
          <t>APOYO</t>
        </is>
      </c>
      <c r="O1252" s="10" t="inlineStr">
        <is>
          <t>SOFTWARE</t>
        </is>
      </c>
      <c r="P1252" s="10" t="inlineStr">
        <is>
          <t>PUBLICA(1)</t>
        </is>
      </c>
      <c r="Q1252" s="10" t="inlineStr">
        <is>
          <t>ALTA(3)</t>
        </is>
      </c>
      <c r="R1252" s="10" t="inlineStr">
        <is>
          <t>MEDIA(2)</t>
        </is>
      </c>
      <c r="S1252" s="10">
        <f>+(IF(P1252="PUBLICA(1)",1,IF(P1252="USO INTERNO(2)",2,IF(P1252="RESTRINGIDO(3)",3,3))))+(IF(Q1252="BAJA(1)",1,IF(Q1252="MEDIA(2)",2,IF(Q1252="ALTA(3)",3,3))))+(IF(R1252="BAJA(1)",1,IF(R1252="MEDIA(2)",2,IF(R1252="ALTA(3)",3,3))))</f>
        <v/>
      </c>
      <c r="T1252" s="10">
        <f>+IF(S1252&lt;6,"BAJA",IF(S1252&lt;8,"MEDIA","ALTA"))</f>
        <v/>
      </c>
      <c r="U1252" s="10" t="inlineStr">
        <is>
          <t>-</t>
        </is>
      </c>
      <c r="V1252" s="24" t="n">
        <v>45618</v>
      </c>
      <c r="W1252" s="19" t="inlineStr">
        <is>
          <t>N/A</t>
        </is>
      </c>
      <c r="X1252" s="10">
        <f>+IFERROR(IF(VLOOKUP(Tabla2[[#This Row],[ID]],'EVALUACION DE RIESGO'!A:A,1,FALSE)=Tabla2[[#This Row],[ID]],"SI","NO"),"NO")</f>
        <v/>
      </c>
      <c r="AD1252">
        <f>IF(AND(Y1252="",AA1252=""),"",IF(OR(LEFT(AA1252,2)="L0",LEFT(AA1252,2)="L1",Y1252="No Iniciado"),"CRÍTICO - Incumplimiento Normativo SEPS",IF(AND(OR(LEFT(AA1252,2)="L4",LEFT(AA1252,2)="L5"),AND(AC1252&lt;&gt;"",AC1252&lt;&gt;"N/A")),"CONFORME - Control Efectivo ISO 27001","OBSERVACIÓN - Revisar Controles")))</f>
        <v/>
      </c>
    </row>
    <row r="1253">
      <c r="A1253" s="99" t="inlineStr">
        <is>
          <t>231-GRI</t>
        </is>
      </c>
      <c r="B1253" s="10" t="inlineStr">
        <is>
          <t>ESTRATÉGICO</t>
        </is>
      </c>
      <c r="C1253" s="10" t="inlineStr">
        <is>
          <t>Gestión de Riesgos</t>
        </is>
      </c>
      <c r="D1253" s="10" t="inlineStr">
        <is>
          <t>GRI</t>
        </is>
      </c>
      <c r="E1253" s="10" t="inlineStr">
        <is>
          <t>Gestión de Riesgo de Crédito</t>
        </is>
      </c>
      <c r="F1253" s="10" t="inlineStr">
        <is>
          <t>-</t>
        </is>
      </c>
      <c r="G1253" s="10" t="inlineStr">
        <is>
          <t xml:space="preserve">Análisis de Cartera Vigente </t>
        </is>
      </c>
      <c r="H1253" s="10" t="inlineStr">
        <is>
          <t>Reporte de Matrices de Transición</t>
        </is>
      </c>
      <c r="I1253" s="10" t="inlineStr">
        <is>
          <t>Herramienta de matriz de transición en excel</t>
        </is>
      </c>
      <c r="J1253" s="10" t="inlineStr">
        <is>
          <t>GERENTE DE RIESGOS</t>
        </is>
      </c>
      <c r="K1253" s="10" t="inlineStr">
        <is>
          <t>ANALISTA DE RIESGO DE CREDITO</t>
        </is>
      </c>
      <c r="L1253" s="10" t="inlineStr">
        <is>
          <t>UBICACIÓN DIGITAL-EQUIPO DEL RESPONSABLE</t>
        </is>
      </c>
      <c r="M1253" s="10" t="inlineStr">
        <is>
          <t>DOCUMENTO DE ARCHIVO-ELECTRÓNICO</t>
        </is>
      </c>
      <c r="N1253" s="10" t="inlineStr">
        <is>
          <t>PRIMARIOS</t>
        </is>
      </c>
      <c r="O1253" s="10" t="inlineStr">
        <is>
          <t>DOCUMENTOS TÉCNICOS</t>
        </is>
      </c>
      <c r="P1253" s="10" t="inlineStr">
        <is>
          <t>PUBLICA(1)</t>
        </is>
      </c>
      <c r="Q1253" s="10" t="inlineStr">
        <is>
          <t>ALTA(3)</t>
        </is>
      </c>
      <c r="R1253" s="10" t="inlineStr">
        <is>
          <t>MEDIA(2)</t>
        </is>
      </c>
      <c r="S1253" s="10">
        <f>+(IF(P1253="PUBLICA(1)",1,IF(P1253="USO INTERNO(2)",2,IF(P1253="RESTRINGIDO(3)",3,3))))+(IF(Q1253="BAJA(1)",1,IF(Q1253="MEDIA(2)",2,IF(Q1253="ALTA(3)",3,3))))+(IF(R1253="BAJA(1)",1,IF(R1253="MEDIA(2)",2,IF(R1253="ALTA(3)",3,3))))</f>
        <v/>
      </c>
      <c r="T1253" s="10">
        <f>+IF(S1253&lt;6,"BAJA",IF(S1253&lt;8,"MEDIA","ALTA"))</f>
        <v/>
      </c>
      <c r="U1253" s="10" t="inlineStr">
        <is>
          <t>-</t>
        </is>
      </c>
      <c r="V1253" s="24" t="n">
        <v>45617</v>
      </c>
      <c r="W1253" s="19" t="inlineStr">
        <is>
          <t>N/A</t>
        </is>
      </c>
      <c r="X1253" s="10">
        <f>+IFERROR(IF(VLOOKUP(Tabla2[[#This Row],[ID]],'EVALUACION DE RIESGO'!A:A,1,FALSE)=Tabla2[[#This Row],[ID]],"SI","NO"),"NO")</f>
        <v/>
      </c>
      <c r="AD1253">
        <f>IF(AND(Y1253="",AA1253=""),"",IF(OR(LEFT(AA1253,2)="L0",LEFT(AA1253,2)="L1",Y1253="No Iniciado"),"CRÍTICO - Incumplimiento Normativo SEPS",IF(AND(OR(LEFT(AA1253,2)="L4",LEFT(AA1253,2)="L5"),AND(AC1253&lt;&gt;"",AC1253&lt;&gt;"N/A")),"CONFORME - Control Efectivo ISO 27001","OBSERVACIÓN - Revisar Controles")))</f>
        <v/>
      </c>
    </row>
    <row r="1254">
      <c r="A1254" s="99" t="inlineStr">
        <is>
          <t>232-GRI</t>
        </is>
      </c>
      <c r="B1254" s="10" t="inlineStr">
        <is>
          <t>ESTRATÉGICO</t>
        </is>
      </c>
      <c r="C1254" s="10" t="inlineStr">
        <is>
          <t>Gestión de Riesgos</t>
        </is>
      </c>
      <c r="D1254" s="10" t="inlineStr">
        <is>
          <t>GRI</t>
        </is>
      </c>
      <c r="E1254" s="10" t="inlineStr">
        <is>
          <t>Gestión de Riesgo de Crédito</t>
        </is>
      </c>
      <c r="F1254" s="10" t="inlineStr">
        <is>
          <t>-</t>
        </is>
      </c>
      <c r="G1254" s="10" t="inlineStr">
        <is>
          <t xml:space="preserve">Análisis de Cartera Vigente </t>
        </is>
      </c>
      <c r="H1254" s="10" t="inlineStr">
        <is>
          <t>Reporte de Cosechas</t>
        </is>
      </c>
      <c r="I1254" s="10" t="inlineStr">
        <is>
          <t>Herramienta de matriz de cosecha en excel</t>
        </is>
      </c>
      <c r="J1254" s="10" t="inlineStr">
        <is>
          <t>GERENTE DE RIESGOS</t>
        </is>
      </c>
      <c r="K1254" s="10" t="inlineStr">
        <is>
          <t>ANALISTA DE RIESGO DE CREDITO</t>
        </is>
      </c>
      <c r="L1254" s="10" t="inlineStr">
        <is>
          <t>UBICACIÓN DIGITAL-EQUIPO DEL RESPONSABLE</t>
        </is>
      </c>
      <c r="M1254" s="10" t="inlineStr">
        <is>
          <t>DOCUMENTO DE ARCHIVO-ELECTRÓNICO</t>
        </is>
      </c>
      <c r="N1254" s="10" t="inlineStr">
        <is>
          <t>PRIMARIOS</t>
        </is>
      </c>
      <c r="O1254" s="10" t="inlineStr">
        <is>
          <t>DOCUMENTOS TÉCNICOS</t>
        </is>
      </c>
      <c r="P1254" s="10" t="inlineStr">
        <is>
          <t>PUBLICA(1)</t>
        </is>
      </c>
      <c r="Q1254" s="10" t="inlineStr">
        <is>
          <t>ALTA(3)</t>
        </is>
      </c>
      <c r="R1254" s="10" t="inlineStr">
        <is>
          <t>MEDIA(2)</t>
        </is>
      </c>
      <c r="S1254" s="10">
        <f>+(IF(P1254="PUBLICA(1)",1,IF(P1254="USO INTERNO(2)",2,IF(P1254="RESTRINGIDO(3)",3,3))))+(IF(Q1254="BAJA(1)",1,IF(Q1254="MEDIA(2)",2,IF(Q1254="ALTA(3)",3,3))))+(IF(R1254="BAJA(1)",1,IF(R1254="MEDIA(2)",2,IF(R1254="ALTA(3)",3,3))))</f>
        <v/>
      </c>
      <c r="T1254" s="10">
        <f>+IF(S1254&lt;6,"BAJA",IF(S1254&lt;8,"MEDIA","ALTA"))</f>
        <v/>
      </c>
      <c r="U1254" s="10" t="inlineStr">
        <is>
          <t>-</t>
        </is>
      </c>
      <c r="V1254" s="24" t="n">
        <v>45618</v>
      </c>
      <c r="W1254" s="19" t="inlineStr">
        <is>
          <t>N/A</t>
        </is>
      </c>
      <c r="X1254" s="10">
        <f>+IFERROR(IF(VLOOKUP(Tabla2[[#This Row],[ID]],'EVALUACION DE RIESGO'!A:A,1,FALSE)=Tabla2[[#This Row],[ID]],"SI","NO"),"NO")</f>
        <v/>
      </c>
      <c r="AD1254">
        <f>IF(AND(Y1254="",AA1254=""),"",IF(OR(LEFT(AA1254,2)="L0",LEFT(AA1254,2)="L1",Y1254="No Iniciado"),"CRÍTICO - Incumplimiento Normativo SEPS",IF(AND(OR(LEFT(AA1254,2)="L4",LEFT(AA1254,2)="L5"),AND(AC1254&lt;&gt;"",AC1254&lt;&gt;"N/A")),"CONFORME - Control Efectivo ISO 27001","OBSERVACIÓN - Revisar Controles")))</f>
        <v/>
      </c>
    </row>
    <row r="1255">
      <c r="A1255" s="99" t="inlineStr">
        <is>
          <t>233-GRI</t>
        </is>
      </c>
      <c r="B1255" s="10" t="inlineStr">
        <is>
          <t>ESTRATÉGICO</t>
        </is>
      </c>
      <c r="C1255" s="10" t="inlineStr">
        <is>
          <t>Gestión de Riesgos</t>
        </is>
      </c>
      <c r="D1255" s="10" t="inlineStr">
        <is>
          <t>GRI</t>
        </is>
      </c>
      <c r="E1255" s="10" t="inlineStr">
        <is>
          <t>Gestión de Riesgo de Crédito</t>
        </is>
      </c>
      <c r="F1255" s="10" t="inlineStr">
        <is>
          <t>-</t>
        </is>
      </c>
      <c r="G1255" s="10" t="inlineStr">
        <is>
          <t xml:space="preserve">Análisis de Cartera Vigente </t>
        </is>
      </c>
      <c r="H1255" s="10" t="inlineStr">
        <is>
          <t>Reporte Cartera_Total</t>
        </is>
      </c>
      <c r="I1255" s="10" t="inlineStr">
        <is>
          <t>Reporte</t>
        </is>
      </c>
      <c r="J1255" s="10" t="inlineStr">
        <is>
          <t>GERENTE DE RIESGOS</t>
        </is>
      </c>
      <c r="K1255" s="10" t="inlineStr">
        <is>
          <t>ANALISTA DE RIESGO DE CREDITO</t>
        </is>
      </c>
      <c r="L1255" s="10" t="inlineStr">
        <is>
          <t>UBICACIÓN DIGITAL-EQUIPO DEL RESPONSABLE</t>
        </is>
      </c>
      <c r="M1255" s="10" t="inlineStr">
        <is>
          <t>DOCUMENTO DE ARCHIVO-ELECTRÓNICO</t>
        </is>
      </c>
      <c r="N1255" s="10" t="inlineStr">
        <is>
          <t>PRIMARIOS</t>
        </is>
      </c>
      <c r="O1255" s="10" t="inlineStr">
        <is>
          <t>DOCUMENTOS TÉCNICOS</t>
        </is>
      </c>
      <c r="P1255" s="10" t="inlineStr">
        <is>
          <t>PUBLICA(1)</t>
        </is>
      </c>
      <c r="Q1255" s="10" t="inlineStr">
        <is>
          <t>ALTA(3)</t>
        </is>
      </c>
      <c r="R1255" s="10" t="inlineStr">
        <is>
          <t>MEDIA(2)</t>
        </is>
      </c>
      <c r="S1255" s="10">
        <f>+(IF(P1255="PUBLICA(1)",1,IF(P1255="USO INTERNO(2)",2,IF(P1255="RESTRINGIDO(3)",3,3))))+(IF(Q1255="BAJA(1)",1,IF(Q1255="MEDIA(2)",2,IF(Q1255="ALTA(3)",3,3))))+(IF(R1255="BAJA(1)",1,IF(R1255="MEDIA(2)",2,IF(R1255="ALTA(3)",3,3))))</f>
        <v/>
      </c>
      <c r="T1255" s="10">
        <f>+IF(S1255&lt;6,"BAJA",IF(S1255&lt;8,"MEDIA","ALTA"))</f>
        <v/>
      </c>
      <c r="U1255" s="10" t="inlineStr">
        <is>
          <t>-</t>
        </is>
      </c>
      <c r="V1255" s="24" t="n">
        <v>45618</v>
      </c>
      <c r="W1255" s="19" t="inlineStr">
        <is>
          <t>N/A</t>
        </is>
      </c>
      <c r="X1255" s="10">
        <f>+IFERROR(IF(VLOOKUP(Tabla2[[#This Row],[ID]],'EVALUACION DE RIESGO'!A:A,1,FALSE)=Tabla2[[#This Row],[ID]],"SI","NO"),"NO")</f>
        <v/>
      </c>
      <c r="AD1255">
        <f>IF(AND(Y1255="",AA1255=""),"",IF(OR(LEFT(AA1255,2)="L0",LEFT(AA1255,2)="L1",Y1255="No Iniciado"),"CRÍTICO - Incumplimiento Normativo SEPS",IF(AND(OR(LEFT(AA1255,2)="L4",LEFT(AA1255,2)="L5"),AND(AC1255&lt;&gt;"",AC1255&lt;&gt;"N/A")),"CONFORME - Control Efectivo ISO 27001","OBSERVACIÓN - Revisar Controles")))</f>
        <v/>
      </c>
    </row>
    <row r="1256">
      <c r="A1256" s="99" t="inlineStr">
        <is>
          <t>234-GRI</t>
        </is>
      </c>
      <c r="B1256" s="10" t="inlineStr">
        <is>
          <t>ESTRATÉGICO</t>
        </is>
      </c>
      <c r="C1256" s="10" t="inlineStr">
        <is>
          <t>Gestión de Riesgos</t>
        </is>
      </c>
      <c r="D1256" s="10" t="inlineStr">
        <is>
          <t>GRI</t>
        </is>
      </c>
      <c r="E1256" s="10" t="inlineStr">
        <is>
          <t>Gestión de Riesgo de Crédito</t>
        </is>
      </c>
      <c r="F1256" s="10" t="inlineStr">
        <is>
          <t>-</t>
        </is>
      </c>
      <c r="G1256" s="10" t="inlineStr">
        <is>
          <t xml:space="preserve">Análisis de Cartera Vigente </t>
        </is>
      </c>
      <c r="H1256" s="10" t="inlineStr">
        <is>
          <t>Hoja de Trabajo de Revisión de Créditos vigentes Normativa Interna</t>
        </is>
      </c>
      <c r="I1256" s="10" t="inlineStr">
        <is>
          <t>Hoja de trabajo</t>
        </is>
      </c>
      <c r="J1256" s="10" t="inlineStr">
        <is>
          <t>GERENTE DE RIESGOS</t>
        </is>
      </c>
      <c r="K1256" s="10" t="inlineStr">
        <is>
          <t>ANALISTA DE RIESGO DE CREDITO</t>
        </is>
      </c>
      <c r="L1256" s="10" t="inlineStr">
        <is>
          <t>UBICACIÓN DIGITAL-EQUIPO DEL RESPONSABLE</t>
        </is>
      </c>
      <c r="M1256" s="10" t="inlineStr">
        <is>
          <t>DOCUMENTO DE ARCHIVO-ELECTRÓNICO</t>
        </is>
      </c>
      <c r="N1256" s="10" t="inlineStr">
        <is>
          <t>PRIMARIOS</t>
        </is>
      </c>
      <c r="O1256" s="10" t="inlineStr">
        <is>
          <t>DOCUMENTOS TÉCNICOS</t>
        </is>
      </c>
      <c r="P1256" s="10" t="inlineStr">
        <is>
          <t>PUBLICA(1)</t>
        </is>
      </c>
      <c r="Q1256" s="10" t="inlineStr">
        <is>
          <t>ALTA(3)</t>
        </is>
      </c>
      <c r="R1256" s="10" t="inlineStr">
        <is>
          <t>MEDIA(2)</t>
        </is>
      </c>
      <c r="S1256" s="10">
        <f>+(IF(P1256="PUBLICA(1)",1,IF(P1256="USO INTERNO(2)",2,IF(P1256="RESTRINGIDO(3)",3,3))))+(IF(Q1256="BAJA(1)",1,IF(Q1256="MEDIA(2)",2,IF(Q1256="ALTA(3)",3,3))))+(IF(R1256="BAJA(1)",1,IF(R1256="MEDIA(2)",2,IF(R1256="ALTA(3)",3,3))))</f>
        <v/>
      </c>
      <c r="T1256" s="10">
        <f>+IF(S1256&lt;6,"BAJA",IF(S1256&lt;8,"MEDIA","ALTA"))</f>
        <v/>
      </c>
      <c r="U1256" s="10" t="inlineStr">
        <is>
          <t>-</t>
        </is>
      </c>
      <c r="V1256" s="24" t="n">
        <v>45617</v>
      </c>
      <c r="W1256" s="19" t="inlineStr">
        <is>
          <t>N/A</t>
        </is>
      </c>
      <c r="X1256" s="10">
        <f>+IFERROR(IF(VLOOKUP(Tabla2[[#This Row],[ID]],'EVALUACION DE RIESGO'!A:A,1,FALSE)=Tabla2[[#This Row],[ID]],"SI","NO"),"NO")</f>
        <v/>
      </c>
      <c r="AD1256">
        <f>IF(AND(Y1256="",AA1256=""),"",IF(OR(LEFT(AA1256,2)="L0",LEFT(AA1256,2)="L1",Y1256="No Iniciado"),"CRÍTICO - Incumplimiento Normativo SEPS",IF(AND(OR(LEFT(AA1256,2)="L4",LEFT(AA1256,2)="L5"),AND(AC1256&lt;&gt;"",AC1256&lt;&gt;"N/A")),"CONFORME - Control Efectivo ISO 27001","OBSERVACIÓN - Revisar Controles")))</f>
        <v/>
      </c>
    </row>
    <row r="1257">
      <c r="A1257" s="99" t="inlineStr">
        <is>
          <t>235-GRI</t>
        </is>
      </c>
      <c r="B1257" s="10" t="inlineStr">
        <is>
          <t>ESTRATÉGICO</t>
        </is>
      </c>
      <c r="C1257" s="10" t="inlineStr">
        <is>
          <t>Gestión de Riesgos</t>
        </is>
      </c>
      <c r="D1257" s="10" t="inlineStr">
        <is>
          <t>GRI</t>
        </is>
      </c>
      <c r="E1257" s="10" t="inlineStr">
        <is>
          <t>Gestión de Riesgo de Crédito</t>
        </is>
      </c>
      <c r="F1257" s="10" t="inlineStr">
        <is>
          <t>-</t>
        </is>
      </c>
      <c r="G1257" s="10" t="inlineStr">
        <is>
          <t>Análisis de las Operaciones con Cupo (vinculadas)</t>
        </is>
      </c>
      <c r="H1257" s="10" t="inlineStr">
        <is>
          <t>Reporte Cartera_Total</t>
        </is>
      </c>
      <c r="I1257" s="10" t="inlineStr">
        <is>
          <t>Reporte</t>
        </is>
      </c>
      <c r="J1257" s="10" t="inlineStr">
        <is>
          <t>GERENTE DE RIESGOS</t>
        </is>
      </c>
      <c r="K1257" s="10" t="inlineStr">
        <is>
          <t>ANALISTA DE RIESGO DE CREDITO</t>
        </is>
      </c>
      <c r="L1257" s="10" t="inlineStr">
        <is>
          <t>UBICACIÓN DIGITAL-EQUIPO DEL RESPONSABLE</t>
        </is>
      </c>
      <c r="M1257" s="10" t="inlineStr">
        <is>
          <t>DOCUMENTO DE ARCHIVO-ELECTRÓNICO</t>
        </is>
      </c>
      <c r="N1257" s="10" t="inlineStr">
        <is>
          <t>PRIMARIOS</t>
        </is>
      </c>
      <c r="O1257" s="10" t="inlineStr">
        <is>
          <t>DOCUMENTOS TÉCNICOS</t>
        </is>
      </c>
      <c r="P1257" s="10" t="inlineStr">
        <is>
          <t>PUBLICA(1)</t>
        </is>
      </c>
      <c r="Q1257" s="10" t="inlineStr">
        <is>
          <t>ALTA(3)</t>
        </is>
      </c>
      <c r="R1257" s="10" t="inlineStr">
        <is>
          <t>MEDIA(2)</t>
        </is>
      </c>
      <c r="S1257" s="10">
        <f>+(IF(P1257="PUBLICA(1)",1,IF(P1257="USO INTERNO(2)",2,IF(P1257="RESTRINGIDO(3)",3,3))))+(IF(Q1257="BAJA(1)",1,IF(Q1257="MEDIA(2)",2,IF(Q1257="ALTA(3)",3,3))))+(IF(R1257="BAJA(1)",1,IF(R1257="MEDIA(2)",2,IF(R1257="ALTA(3)",3,3))))</f>
        <v/>
      </c>
      <c r="T1257" s="10">
        <f>+IF(S1257&lt;6,"BAJA",IF(S1257&lt;8,"MEDIA","ALTA"))</f>
        <v/>
      </c>
      <c r="U1257" s="10" t="inlineStr">
        <is>
          <t>-</t>
        </is>
      </c>
      <c r="V1257" s="24" t="n">
        <v>45618</v>
      </c>
      <c r="W1257" s="19" t="inlineStr">
        <is>
          <t>N/A</t>
        </is>
      </c>
      <c r="X1257" s="10">
        <f>+IFERROR(IF(VLOOKUP(Tabla2[[#This Row],[ID]],'EVALUACION DE RIESGO'!A:A,1,FALSE)=Tabla2[[#This Row],[ID]],"SI","NO"),"NO")</f>
        <v/>
      </c>
      <c r="AD1257">
        <f>IF(AND(Y1257="",AA1257=""),"",IF(OR(LEFT(AA1257,2)="L0",LEFT(AA1257,2)="L1",Y1257="No Iniciado"),"CRÍTICO - Incumplimiento Normativo SEPS",IF(AND(OR(LEFT(AA1257,2)="L4",LEFT(AA1257,2)="L5"),AND(AC1257&lt;&gt;"",AC1257&lt;&gt;"N/A")),"CONFORME - Control Efectivo ISO 27001","OBSERVACIÓN - Revisar Controles")))</f>
        <v/>
      </c>
    </row>
    <row r="1258">
      <c r="A1258" s="99" t="inlineStr">
        <is>
          <t>236-GRI</t>
        </is>
      </c>
      <c r="B1258" s="10" t="inlineStr">
        <is>
          <t>ESTRATÉGICO</t>
        </is>
      </c>
      <c r="C1258" s="10" t="inlineStr">
        <is>
          <t>Gestión de Riesgos</t>
        </is>
      </c>
      <c r="D1258" s="10" t="inlineStr">
        <is>
          <t>GRI</t>
        </is>
      </c>
      <c r="E1258" s="10" t="inlineStr">
        <is>
          <t>Gestión de Riesgo de Crédito</t>
        </is>
      </c>
      <c r="F1258" s="10" t="inlineStr">
        <is>
          <t>-</t>
        </is>
      </c>
      <c r="G1258" s="10" t="inlineStr">
        <is>
          <t>Análisis de las Operaciones con Cupo (vinculadas)</t>
        </is>
      </c>
      <c r="H1258" s="10" t="inlineStr">
        <is>
          <t>Reporte de vinculados y familiares de las personas reportadas en el formulario 250</t>
        </is>
      </c>
      <c r="I1258" s="10" t="inlineStr">
        <is>
          <t>Reporte</t>
        </is>
      </c>
      <c r="J1258" s="10" t="inlineStr">
        <is>
          <t>GERENTE DE RIESGOS</t>
        </is>
      </c>
      <c r="K1258" s="10" t="inlineStr">
        <is>
          <t>ANALISTA DE RIESGO DE CREDITO</t>
        </is>
      </c>
      <c r="L1258" s="10" t="inlineStr">
        <is>
          <t>UBICACIÓN DIGITAL-EQUIPO DEL RESPONSABLE</t>
        </is>
      </c>
      <c r="M1258" s="10" t="inlineStr">
        <is>
          <t>DOCUMENTO DE ARCHIVO-ELECTRÓNICO</t>
        </is>
      </c>
      <c r="N1258" s="10" t="inlineStr">
        <is>
          <t>PRIMARIOS</t>
        </is>
      </c>
      <c r="O1258" s="10" t="inlineStr">
        <is>
          <t>DOCUMENTOS TÉCNICOS</t>
        </is>
      </c>
      <c r="P1258" s="10" t="inlineStr">
        <is>
          <t>PUBLICA(1)</t>
        </is>
      </c>
      <c r="Q1258" s="10" t="inlineStr">
        <is>
          <t>ALTA(3)</t>
        </is>
      </c>
      <c r="R1258" s="10" t="inlineStr">
        <is>
          <t>MEDIA(2)</t>
        </is>
      </c>
      <c r="S1258" s="10">
        <f>+(IF(P1258="PUBLICA(1)",1,IF(P1258="USO INTERNO(2)",2,IF(P1258="RESTRINGIDO(3)",3,3))))+(IF(Q1258="BAJA(1)",1,IF(Q1258="MEDIA(2)",2,IF(Q1258="ALTA(3)",3,3))))+(IF(R1258="BAJA(1)",1,IF(R1258="MEDIA(2)",2,IF(R1258="ALTA(3)",3,3))))</f>
        <v/>
      </c>
      <c r="T1258" s="10">
        <f>+IF(S1258&lt;6,"BAJA",IF(S1258&lt;8,"MEDIA","ALTA"))</f>
        <v/>
      </c>
      <c r="U1258" s="10" t="inlineStr">
        <is>
          <t>-</t>
        </is>
      </c>
      <c r="V1258" s="24" t="n">
        <v>45618</v>
      </c>
      <c r="W1258" s="19" t="inlineStr">
        <is>
          <t>N/A</t>
        </is>
      </c>
      <c r="X1258" s="10">
        <f>+IFERROR(IF(VLOOKUP(Tabla2[[#This Row],[ID]],'EVALUACION DE RIESGO'!A:A,1,FALSE)=Tabla2[[#This Row],[ID]],"SI","NO"),"NO")</f>
        <v/>
      </c>
      <c r="AD1258">
        <f>IF(AND(Y1258="",AA1258=""),"",IF(OR(LEFT(AA1258,2)="L0",LEFT(AA1258,2)="L1",Y1258="No Iniciado"),"CRÍTICO - Incumplimiento Normativo SEPS",IF(AND(OR(LEFT(AA1258,2)="L4",LEFT(AA1258,2)="L5"),AND(AC1258&lt;&gt;"",AC1258&lt;&gt;"N/A")),"CONFORME - Control Efectivo ISO 27001","OBSERVACIÓN - Revisar Controles")))</f>
        <v/>
      </c>
    </row>
    <row r="1259">
      <c r="A1259" s="99" t="inlineStr">
        <is>
          <t>237-GRI</t>
        </is>
      </c>
      <c r="B1259" s="10" t="inlineStr">
        <is>
          <t>ESTRATÉGICO</t>
        </is>
      </c>
      <c r="C1259" s="10" t="inlineStr">
        <is>
          <t>Gestión de Riesgos</t>
        </is>
      </c>
      <c r="D1259" s="10" t="inlineStr">
        <is>
          <t>GRI</t>
        </is>
      </c>
      <c r="E1259" s="10" t="inlineStr">
        <is>
          <t>Gestión de Riesgo de Crédito</t>
        </is>
      </c>
      <c r="F1259" s="10" t="inlineStr">
        <is>
          <t>-</t>
        </is>
      </c>
      <c r="G1259" s="10" t="inlineStr">
        <is>
          <t>Análisis de las Operaciones con Cupo (vinculadas)</t>
        </is>
      </c>
      <c r="H1259" s="10" t="inlineStr">
        <is>
          <t>Formulario 250B</t>
        </is>
      </c>
      <c r="I1259" s="10" t="inlineStr">
        <is>
          <t>Formulario</t>
        </is>
      </c>
      <c r="J1259" s="10" t="inlineStr">
        <is>
          <t>GERENTE DE RIESGOS</t>
        </is>
      </c>
      <c r="K1259" s="10" t="inlineStr">
        <is>
          <t>ANALISTA DE RIESGO DE CREDITO</t>
        </is>
      </c>
      <c r="L1259" s="10" t="inlineStr">
        <is>
          <t>UBICACIÓN DIGITAL-EQUIPO DEL RESPONSABLE</t>
        </is>
      </c>
      <c r="M1259" s="10" t="inlineStr">
        <is>
          <t>DOCUMENTO DE ARCHIVO-ELECTRÓNICO</t>
        </is>
      </c>
      <c r="N1259" s="10" t="inlineStr">
        <is>
          <t>PRIMARIOS</t>
        </is>
      </c>
      <c r="O1259" s="10" t="inlineStr">
        <is>
          <t>DOCUMENTOS TÉCNICOS</t>
        </is>
      </c>
      <c r="P1259" s="10" t="inlineStr">
        <is>
          <t>PUBLICA(1)</t>
        </is>
      </c>
      <c r="Q1259" s="10" t="inlineStr">
        <is>
          <t>ALTA(3)</t>
        </is>
      </c>
      <c r="R1259" s="10" t="inlineStr">
        <is>
          <t>MEDIA(2)</t>
        </is>
      </c>
      <c r="S1259" s="10">
        <f>+(IF(P1259="PUBLICA(1)",1,IF(P1259="USO INTERNO(2)",2,IF(P1259="RESTRINGIDO(3)",3,3))))+(IF(Q1259="BAJA(1)",1,IF(Q1259="MEDIA(2)",2,IF(Q1259="ALTA(3)",3,3))))+(IF(R1259="BAJA(1)",1,IF(R1259="MEDIA(2)",2,IF(R1259="ALTA(3)",3,3))))</f>
        <v/>
      </c>
      <c r="T1259" s="10">
        <f>+IF(S1259&lt;6,"BAJA",IF(S1259&lt;8,"MEDIA","ALTA"))</f>
        <v/>
      </c>
      <c r="U1259" s="10" t="inlineStr">
        <is>
          <t>-</t>
        </is>
      </c>
      <c r="V1259" s="24" t="n">
        <v>45617</v>
      </c>
      <c r="W1259" s="19" t="inlineStr">
        <is>
          <t>N/A</t>
        </is>
      </c>
      <c r="X1259" s="10">
        <f>+IFERROR(IF(VLOOKUP(Tabla2[[#This Row],[ID]],'EVALUACION DE RIESGO'!A:A,1,FALSE)=Tabla2[[#This Row],[ID]],"SI","NO"),"NO")</f>
        <v/>
      </c>
      <c r="AD1259">
        <f>IF(AND(Y1259="",AA1259=""),"",IF(OR(LEFT(AA1259,2)="L0",LEFT(AA1259,2)="L1",Y1259="No Iniciado"),"CRÍTICO - Incumplimiento Normativo SEPS",IF(AND(OR(LEFT(AA1259,2)="L4",LEFT(AA1259,2)="L5"),AND(AC1259&lt;&gt;"",AC1259&lt;&gt;"N/A")),"CONFORME - Control Efectivo ISO 27001","OBSERVACIÓN - Revisar Controles")))</f>
        <v/>
      </c>
    </row>
    <row r="1260">
      <c r="A1260" s="99" t="inlineStr">
        <is>
          <t>238-GRI</t>
        </is>
      </c>
      <c r="B1260" s="10" t="inlineStr">
        <is>
          <t>ESTRATÉGICO</t>
        </is>
      </c>
      <c r="C1260" s="10" t="inlineStr">
        <is>
          <t>Gestión de Riesgos</t>
        </is>
      </c>
      <c r="D1260" s="10" t="inlineStr">
        <is>
          <t>GRI</t>
        </is>
      </c>
      <c r="E1260" s="10" t="inlineStr">
        <is>
          <t>Gestión de Riesgo de Crédito</t>
        </is>
      </c>
      <c r="F1260" s="10" t="inlineStr">
        <is>
          <t>-</t>
        </is>
      </c>
      <c r="G1260" s="10" t="inlineStr">
        <is>
          <t>Análisis de las Operaciones con Cupo (vinculadas)</t>
        </is>
      </c>
      <c r="H1260" s="10" t="inlineStr">
        <is>
          <t>Reporte de Gestión de Recuperación de Créditos Vinculados</t>
        </is>
      </c>
      <c r="I1260" s="10" t="inlineStr">
        <is>
          <t>Reporte</t>
        </is>
      </c>
      <c r="J1260" s="10" t="inlineStr">
        <is>
          <t>GERENTE DE RIESGOS</t>
        </is>
      </c>
      <c r="K1260" s="10" t="inlineStr">
        <is>
          <t>ANALISTA DE RIESGO DE CREDITO</t>
        </is>
      </c>
      <c r="L1260" s="10" t="inlineStr">
        <is>
          <t>UBICACIÓN DIGITAL-EQUIPO DEL RESPONSABLE</t>
        </is>
      </c>
      <c r="M1260" s="10" t="inlineStr">
        <is>
          <t>DOCUMENTO DE ARCHIVO-ELECTRÓNICO</t>
        </is>
      </c>
      <c r="N1260" s="10" t="inlineStr">
        <is>
          <t>PRIMARIOS</t>
        </is>
      </c>
      <c r="O1260" s="10" t="inlineStr">
        <is>
          <t>DOCUMENTOS TÉCNICOS</t>
        </is>
      </c>
      <c r="P1260" s="10" t="inlineStr">
        <is>
          <t>PUBLICA(1)</t>
        </is>
      </c>
      <c r="Q1260" s="10" t="inlineStr">
        <is>
          <t>ALTA(3)</t>
        </is>
      </c>
      <c r="R1260" s="10" t="inlineStr">
        <is>
          <t>MEDIA(2)</t>
        </is>
      </c>
      <c r="S1260" s="10">
        <f>+(IF(P1260="PUBLICA(1)",1,IF(P1260="USO INTERNO(2)",2,IF(P1260="RESTRINGIDO(3)",3,3))))+(IF(Q1260="BAJA(1)",1,IF(Q1260="MEDIA(2)",2,IF(Q1260="ALTA(3)",3,3))))+(IF(R1260="BAJA(1)",1,IF(R1260="MEDIA(2)",2,IF(R1260="ALTA(3)",3,3))))</f>
        <v/>
      </c>
      <c r="T1260" s="10">
        <f>+IF(S1260&lt;6,"BAJA",IF(S1260&lt;8,"MEDIA","ALTA"))</f>
        <v/>
      </c>
      <c r="U1260" s="10" t="inlineStr">
        <is>
          <t>-</t>
        </is>
      </c>
      <c r="V1260" s="24" t="n">
        <v>45618</v>
      </c>
      <c r="W1260" s="19" t="inlineStr">
        <is>
          <t>N/A</t>
        </is>
      </c>
      <c r="X1260" s="10">
        <f>+IFERROR(IF(VLOOKUP(Tabla2[[#This Row],[ID]],'EVALUACION DE RIESGO'!A:A,1,FALSE)=Tabla2[[#This Row],[ID]],"SI","NO"),"NO")</f>
        <v/>
      </c>
      <c r="AD1260">
        <f>IF(AND(Y1260="",AA1260=""),"",IF(OR(LEFT(AA1260,2)="L0",LEFT(AA1260,2)="L1",Y1260="No Iniciado"),"CRÍTICO - Incumplimiento Normativo SEPS",IF(AND(OR(LEFT(AA1260,2)="L4",LEFT(AA1260,2)="L5"),AND(AC1260&lt;&gt;"",AC1260&lt;&gt;"N/A")),"CONFORME - Control Efectivo ISO 27001","OBSERVACIÓN - Revisar Controles")))</f>
        <v/>
      </c>
    </row>
    <row r="1261">
      <c r="A1261" s="99" t="inlineStr">
        <is>
          <t>239-GRI</t>
        </is>
      </c>
      <c r="B1261" s="10" t="inlineStr">
        <is>
          <t>ESTRATÉGICO</t>
        </is>
      </c>
      <c r="C1261" s="10" t="inlineStr">
        <is>
          <t>Gestión de Riesgos</t>
        </is>
      </c>
      <c r="D1261" s="10" t="inlineStr">
        <is>
          <t>GRI</t>
        </is>
      </c>
      <c r="E1261" s="10" t="inlineStr">
        <is>
          <t>Gestión de Riesgo de Crédito</t>
        </is>
      </c>
      <c r="F1261" s="10" t="inlineStr">
        <is>
          <t>-</t>
        </is>
      </c>
      <c r="G1261" s="10" t="inlineStr">
        <is>
          <t>Análisis de las Operaciones con Cupo (vinculadas)</t>
        </is>
      </c>
      <c r="H1261" s="10" t="inlineStr">
        <is>
          <t>Reporte Credireport</t>
        </is>
      </c>
      <c r="I1261" s="10" t="inlineStr">
        <is>
          <t>Reporte</t>
        </is>
      </c>
      <c r="J1261" s="10" t="inlineStr">
        <is>
          <t>GERENTE DE RIESGOS</t>
        </is>
      </c>
      <c r="K1261" s="10" t="inlineStr">
        <is>
          <t>ANALISTA DE RIESGO DE CREDITO</t>
        </is>
      </c>
      <c r="L1261" s="10" t="inlineStr">
        <is>
          <t>UBICACIÓN DIGITAL-EQUIPO DEL RESPONSABLE</t>
        </is>
      </c>
      <c r="M1261" s="10" t="inlineStr">
        <is>
          <t>DOCUMENTO DE ARCHIVO-ELECTRÓNICO</t>
        </is>
      </c>
      <c r="N1261" s="10" t="inlineStr">
        <is>
          <t>PRIMARIOS</t>
        </is>
      </c>
      <c r="O1261" s="10" t="inlineStr">
        <is>
          <t>DOCUMENTOS TÉCNICOS</t>
        </is>
      </c>
      <c r="P1261" s="10" t="inlineStr">
        <is>
          <t>PUBLICA(1)</t>
        </is>
      </c>
      <c r="Q1261" s="10" t="inlineStr">
        <is>
          <t>ALTA(3)</t>
        </is>
      </c>
      <c r="R1261" s="10" t="inlineStr">
        <is>
          <t>MEDIA(2)</t>
        </is>
      </c>
      <c r="S1261" s="10">
        <f>+(IF(P1261="PUBLICA(1)",1,IF(P1261="USO INTERNO(2)",2,IF(P1261="RESTRINGIDO(3)",3,3))))+(IF(Q1261="BAJA(1)",1,IF(Q1261="MEDIA(2)",2,IF(Q1261="ALTA(3)",3,3))))+(IF(R1261="BAJA(1)",1,IF(R1261="MEDIA(2)",2,IF(R1261="ALTA(3)",3,3))))</f>
        <v/>
      </c>
      <c r="T1261" s="10">
        <f>+IF(S1261&lt;6,"BAJA",IF(S1261&lt;8,"MEDIA","ALTA"))</f>
        <v/>
      </c>
      <c r="U1261" s="10" t="inlineStr">
        <is>
          <t>-</t>
        </is>
      </c>
      <c r="V1261" s="24" t="n">
        <v>45617</v>
      </c>
      <c r="W1261" s="19" t="inlineStr">
        <is>
          <t>N/A</t>
        </is>
      </c>
      <c r="X1261" s="10">
        <f>+IFERROR(IF(VLOOKUP(Tabla2[[#This Row],[ID]],'EVALUACION DE RIESGO'!A:A,1,FALSE)=Tabla2[[#This Row],[ID]],"SI","NO"),"NO")</f>
        <v/>
      </c>
      <c r="AD1261">
        <f>IF(AND(Y1261="",AA1261=""),"",IF(OR(LEFT(AA1261,2)="L0",LEFT(AA1261,2)="L1",Y1261="No Iniciado"),"CRÍTICO - Incumplimiento Normativo SEPS",IF(AND(OR(LEFT(AA1261,2)="L4",LEFT(AA1261,2)="L5"),AND(AC1261&lt;&gt;"",AC1261&lt;&gt;"N/A")),"CONFORME - Control Efectivo ISO 27001","OBSERVACIÓN - Revisar Controles")))</f>
        <v/>
      </c>
    </row>
    <row r="1262">
      <c r="A1262" s="99" t="inlineStr">
        <is>
          <t>240-GRI</t>
        </is>
      </c>
      <c r="B1262" s="10" t="inlineStr">
        <is>
          <t>ESTRATÉGICO</t>
        </is>
      </c>
      <c r="C1262" s="10" t="inlineStr">
        <is>
          <t>Gestión de Riesgos</t>
        </is>
      </c>
      <c r="D1262" s="10" t="inlineStr">
        <is>
          <t>GRI</t>
        </is>
      </c>
      <c r="E1262" s="10" t="inlineStr">
        <is>
          <t>Gestión de Riesgo de Crédito</t>
        </is>
      </c>
      <c r="F1262" s="10" t="inlineStr">
        <is>
          <t>-</t>
        </is>
      </c>
      <c r="G1262" s="10" t="inlineStr">
        <is>
          <t>Análisis de las Operaciones con Cupo (vinculadas)</t>
        </is>
      </c>
      <c r="H1262" s="10" t="inlineStr">
        <is>
          <t>Reporte de Vinculados</t>
        </is>
      </c>
      <c r="I1262" s="10" t="inlineStr">
        <is>
          <t>Reporte</t>
        </is>
      </c>
      <c r="J1262" s="10" t="inlineStr">
        <is>
          <t>GERENTE DE RIESGOS</t>
        </is>
      </c>
      <c r="K1262" s="10" t="inlineStr">
        <is>
          <t>ANALISTA DE RIESGO DE CREDITO</t>
        </is>
      </c>
      <c r="L1262" s="10" t="inlineStr">
        <is>
          <t>UBICACIÓN DIGITAL-EQUIPO DEL RESPONSABLE</t>
        </is>
      </c>
      <c r="M1262" s="10" t="inlineStr">
        <is>
          <t>DOCUMENTO DE ARCHIVO-ELECTRÓNICO</t>
        </is>
      </c>
      <c r="N1262" s="10" t="inlineStr">
        <is>
          <t>PRIMARIOS</t>
        </is>
      </c>
      <c r="O1262" s="10" t="inlineStr">
        <is>
          <t>DOCUMENTOS TÉCNICOS</t>
        </is>
      </c>
      <c r="P1262" s="10" t="inlineStr">
        <is>
          <t>PUBLICA(1)</t>
        </is>
      </c>
      <c r="Q1262" s="10" t="inlineStr">
        <is>
          <t>ALTA(3)</t>
        </is>
      </c>
      <c r="R1262" s="10" t="inlineStr">
        <is>
          <t>MEDIA(2)</t>
        </is>
      </c>
      <c r="S1262" s="10">
        <f>+(IF(P1262="PUBLICA(1)",1,IF(P1262="USO INTERNO(2)",2,IF(P1262="RESTRINGIDO(3)",3,3))))+(IF(Q1262="BAJA(1)",1,IF(Q1262="MEDIA(2)",2,IF(Q1262="ALTA(3)",3,3))))+(IF(R1262="BAJA(1)",1,IF(R1262="MEDIA(2)",2,IF(R1262="ALTA(3)",3,3))))</f>
        <v/>
      </c>
      <c r="T1262" s="10">
        <f>+IF(S1262&lt;6,"BAJA",IF(S1262&lt;8,"MEDIA","ALTA"))</f>
        <v/>
      </c>
      <c r="U1262" s="10" t="inlineStr">
        <is>
          <t>-</t>
        </is>
      </c>
      <c r="V1262" s="24" t="n">
        <v>45618</v>
      </c>
      <c r="W1262" s="19" t="inlineStr">
        <is>
          <t>N/A</t>
        </is>
      </c>
      <c r="X1262" s="10">
        <f>+IFERROR(IF(VLOOKUP(Tabla2[[#This Row],[ID]],'EVALUACION DE RIESGO'!A:A,1,FALSE)=Tabla2[[#This Row],[ID]],"SI","NO"),"NO")</f>
        <v/>
      </c>
      <c r="AD1262">
        <f>IF(AND(Y1262="",AA1262=""),"",IF(OR(LEFT(AA1262,2)="L0",LEFT(AA1262,2)="L1",Y1262="No Iniciado"),"CRÍTICO - Incumplimiento Normativo SEPS",IF(AND(OR(LEFT(AA1262,2)="L4",LEFT(AA1262,2)="L5"),AND(AC1262&lt;&gt;"",AC1262&lt;&gt;"N/A")),"CONFORME - Control Efectivo ISO 27001","OBSERVACIÓN - Revisar Controles")))</f>
        <v/>
      </c>
    </row>
    <row r="1263">
      <c r="A1263" s="99" t="inlineStr">
        <is>
          <t>241-GRI</t>
        </is>
      </c>
      <c r="B1263" s="10" t="inlineStr">
        <is>
          <t>ESTRATÉGICO</t>
        </is>
      </c>
      <c r="C1263" s="10" t="inlineStr">
        <is>
          <t>Gestión de Riesgos</t>
        </is>
      </c>
      <c r="D1263" s="10" t="inlineStr">
        <is>
          <t>GRI</t>
        </is>
      </c>
      <c r="E1263" s="10" t="inlineStr">
        <is>
          <t>Gestión de Riesgo de Crédito</t>
        </is>
      </c>
      <c r="F1263" s="10" t="inlineStr">
        <is>
          <t>-</t>
        </is>
      </c>
      <c r="G1263" s="10" t="inlineStr">
        <is>
          <t>Análisis de las Operaciones con Cupo (vinculadas)</t>
        </is>
      </c>
      <c r="H1263" s="10" t="inlineStr">
        <is>
          <t xml:space="preserve">Reporte de validación del listado 250 </t>
        </is>
      </c>
      <c r="I1263" s="10" t="inlineStr">
        <is>
          <t>Hoja de trabajo</t>
        </is>
      </c>
      <c r="J1263" s="10" t="inlineStr">
        <is>
          <t>GERENTE DE RIESGOS</t>
        </is>
      </c>
      <c r="K1263" s="10" t="inlineStr">
        <is>
          <t>ANALISTA DE RIESGO DE CREDITO</t>
        </is>
      </c>
      <c r="L1263" s="10" t="inlineStr">
        <is>
          <t>UBICACIÓN DIGITAL-EQUIPO DEL RESPONSABLE</t>
        </is>
      </c>
      <c r="M1263" s="10" t="inlineStr">
        <is>
          <t>DOCUMENTO DE ARCHIVO-ELECTRÓNICO</t>
        </is>
      </c>
      <c r="N1263" s="10" t="inlineStr">
        <is>
          <t>PRIMARIOS</t>
        </is>
      </c>
      <c r="O1263" s="10" t="inlineStr">
        <is>
          <t>DOCUMENTOS TÉCNICOS</t>
        </is>
      </c>
      <c r="P1263" s="10" t="inlineStr">
        <is>
          <t>PUBLICA(1)</t>
        </is>
      </c>
      <c r="Q1263" s="10" t="inlineStr">
        <is>
          <t>ALTA(3)</t>
        </is>
      </c>
      <c r="R1263" s="10" t="inlineStr">
        <is>
          <t>MEDIA(2)</t>
        </is>
      </c>
      <c r="S1263" s="10">
        <f>+(IF(P1263="PUBLICA(1)",1,IF(P1263="USO INTERNO(2)",2,IF(P1263="RESTRINGIDO(3)",3,3))))+(IF(Q1263="BAJA(1)",1,IF(Q1263="MEDIA(2)",2,IF(Q1263="ALTA(3)",3,3))))+(IF(R1263="BAJA(1)",1,IF(R1263="MEDIA(2)",2,IF(R1263="ALTA(3)",3,3))))</f>
        <v/>
      </c>
      <c r="T1263" s="10">
        <f>+IF(S1263&lt;6,"BAJA",IF(S1263&lt;8,"MEDIA","ALTA"))</f>
        <v/>
      </c>
      <c r="U1263" s="10" t="inlineStr">
        <is>
          <t>-</t>
        </is>
      </c>
      <c r="V1263" s="24" t="n">
        <v>45618</v>
      </c>
      <c r="W1263" s="19" t="inlineStr">
        <is>
          <t>N/A</t>
        </is>
      </c>
      <c r="X1263" s="10">
        <f>+IFERROR(IF(VLOOKUP(Tabla2[[#This Row],[ID]],'EVALUACION DE RIESGO'!A:A,1,FALSE)=Tabla2[[#This Row],[ID]],"SI","NO"),"NO")</f>
        <v/>
      </c>
      <c r="AD1263">
        <f>IF(AND(Y1263="",AA1263=""),"",IF(OR(LEFT(AA1263,2)="L0",LEFT(AA1263,2)="L1",Y1263="No Iniciado"),"CRÍTICO - Incumplimiento Normativo SEPS",IF(AND(OR(LEFT(AA1263,2)="L4",LEFT(AA1263,2)="L5"),AND(AC1263&lt;&gt;"",AC1263&lt;&gt;"N/A")),"CONFORME - Control Efectivo ISO 27001","OBSERVACIÓN - Revisar Controles")))</f>
        <v/>
      </c>
    </row>
    <row r="1264">
      <c r="A1264" s="99" t="inlineStr">
        <is>
          <t>242-GRI</t>
        </is>
      </c>
      <c r="B1264" s="10" t="inlineStr">
        <is>
          <t>ESTRATÉGICO</t>
        </is>
      </c>
      <c r="C1264" s="10" t="inlineStr">
        <is>
          <t>Gestión de Riesgos</t>
        </is>
      </c>
      <c r="D1264" s="10" t="inlineStr">
        <is>
          <t>GRI</t>
        </is>
      </c>
      <c r="E1264" s="10" t="inlineStr">
        <is>
          <t>Gestión de Riesgo de Crédito</t>
        </is>
      </c>
      <c r="F1264" s="10" t="inlineStr">
        <is>
          <t>-</t>
        </is>
      </c>
      <c r="G1264" s="10" t="inlineStr">
        <is>
          <t xml:space="preserve">Análisis de las Operaciones Reestructuradas y Refinanciadas  </t>
        </is>
      </c>
      <c r="H1264" s="10" t="inlineStr">
        <is>
          <t>Reporte restrucfin</t>
        </is>
      </c>
      <c r="I1264" s="10" t="inlineStr">
        <is>
          <t>Reporte</t>
        </is>
      </c>
      <c r="J1264" s="10" t="inlineStr">
        <is>
          <t>GERENTE DE RIESGOS</t>
        </is>
      </c>
      <c r="K1264" s="10" t="inlineStr">
        <is>
          <t>ANALISTA DE RIESGO DE CREDITO</t>
        </is>
      </c>
      <c r="L1264" s="10" t="inlineStr">
        <is>
          <t>UBICACIÓN DIGITAL-EQUIPO DEL RESPONSABLE</t>
        </is>
      </c>
      <c r="M1264" s="10" t="inlineStr">
        <is>
          <t>DOCUMENTO DE ARCHIVO-ELECTRÓNICO</t>
        </is>
      </c>
      <c r="N1264" s="10" t="inlineStr">
        <is>
          <t>PRIMARIOS</t>
        </is>
      </c>
      <c r="O1264" s="10" t="inlineStr">
        <is>
          <t>DOCUMENTOS TÉCNICOS</t>
        </is>
      </c>
      <c r="P1264" s="10" t="inlineStr">
        <is>
          <t>PUBLICA(1)</t>
        </is>
      </c>
      <c r="Q1264" s="10" t="inlineStr">
        <is>
          <t>ALTA(3)</t>
        </is>
      </c>
      <c r="R1264" s="10" t="inlineStr">
        <is>
          <t>MEDIA(2)</t>
        </is>
      </c>
      <c r="S1264" s="10">
        <f>+(IF(P1264="PUBLICA(1)",1,IF(P1264="USO INTERNO(2)",2,IF(P1264="RESTRINGIDO(3)",3,3))))+(IF(Q1264="BAJA(1)",1,IF(Q1264="MEDIA(2)",2,IF(Q1264="ALTA(3)",3,3))))+(IF(R1264="BAJA(1)",1,IF(R1264="MEDIA(2)",2,IF(R1264="ALTA(3)",3,3))))</f>
        <v/>
      </c>
      <c r="T1264" s="10">
        <f>+IF(S1264&lt;6,"BAJA",IF(S1264&lt;8,"MEDIA","ALTA"))</f>
        <v/>
      </c>
      <c r="U1264" s="10" t="inlineStr">
        <is>
          <t>-</t>
        </is>
      </c>
      <c r="V1264" s="24" t="n">
        <v>45617</v>
      </c>
      <c r="W1264" s="19" t="inlineStr">
        <is>
          <t>N/A</t>
        </is>
      </c>
      <c r="X1264" s="10">
        <f>+IFERROR(IF(VLOOKUP(Tabla2[[#This Row],[ID]],'EVALUACION DE RIESGO'!A:A,1,FALSE)=Tabla2[[#This Row],[ID]],"SI","NO"),"NO")</f>
        <v/>
      </c>
      <c r="AD1264">
        <f>IF(AND(Y1264="",AA1264=""),"",IF(OR(LEFT(AA1264,2)="L0",LEFT(AA1264,2)="L1",Y1264="No Iniciado"),"CRÍTICO - Incumplimiento Normativo SEPS",IF(AND(OR(LEFT(AA1264,2)="L4",LEFT(AA1264,2)="L5"),AND(AC1264&lt;&gt;"",AC1264&lt;&gt;"N/A")),"CONFORME - Control Efectivo ISO 27001","OBSERVACIÓN - Revisar Controles")))</f>
        <v/>
      </c>
    </row>
    <row r="1265">
      <c r="A1265" s="99" t="inlineStr">
        <is>
          <t>243-GRI</t>
        </is>
      </c>
      <c r="B1265" s="10" t="inlineStr">
        <is>
          <t>ESTRATÉGICO</t>
        </is>
      </c>
      <c r="C1265" s="10" t="inlineStr">
        <is>
          <t>Gestión de Riesgos</t>
        </is>
      </c>
      <c r="D1265" s="10" t="inlineStr">
        <is>
          <t>GRI</t>
        </is>
      </c>
      <c r="E1265" s="10" t="inlineStr">
        <is>
          <t>Gestión de Riesgo de Crédito</t>
        </is>
      </c>
      <c r="F1265" s="10" t="inlineStr">
        <is>
          <t>-</t>
        </is>
      </c>
      <c r="G1265" s="10" t="inlineStr">
        <is>
          <t xml:space="preserve">Análisis de las Operaciones Reestructuradas y Refinanciadas  </t>
        </is>
      </c>
      <c r="H1265" s="10" t="inlineStr">
        <is>
          <t>Reporte de calificación créditos restructurados y refinanciados</t>
        </is>
      </c>
      <c r="I1265" s="10" t="inlineStr">
        <is>
          <t>Hoja de trabajo</t>
        </is>
      </c>
      <c r="J1265" s="10" t="inlineStr">
        <is>
          <t>GERENTE DE RIESGOS</t>
        </is>
      </c>
      <c r="K1265" s="10" t="inlineStr">
        <is>
          <t>ANALISTA DE RIESGO DE CREDITO</t>
        </is>
      </c>
      <c r="L1265" s="10" t="inlineStr">
        <is>
          <t>UBICACIÓN DIGITAL-EQUIPO DEL RESPONSABLE</t>
        </is>
      </c>
      <c r="M1265" s="10" t="inlineStr">
        <is>
          <t>DOCUMENTO DE ARCHIVO-ELECTRÓNICO</t>
        </is>
      </c>
      <c r="N1265" s="10" t="inlineStr">
        <is>
          <t>PRIMARIOS</t>
        </is>
      </c>
      <c r="O1265" s="10" t="inlineStr">
        <is>
          <t>DOCUMENTOS TÉCNICOS</t>
        </is>
      </c>
      <c r="P1265" s="10" t="inlineStr">
        <is>
          <t>PUBLICA(1)</t>
        </is>
      </c>
      <c r="Q1265" s="10" t="inlineStr">
        <is>
          <t>ALTA(3)</t>
        </is>
      </c>
      <c r="R1265" s="10" t="inlineStr">
        <is>
          <t>MEDIA(2)</t>
        </is>
      </c>
      <c r="S1265" s="10">
        <f>+(IF(P1265="PUBLICA(1)",1,IF(P1265="USO INTERNO(2)",2,IF(P1265="RESTRINGIDO(3)",3,3))))+(IF(Q1265="BAJA(1)",1,IF(Q1265="MEDIA(2)",2,IF(Q1265="ALTA(3)",3,3))))+(IF(R1265="BAJA(1)",1,IF(R1265="MEDIA(2)",2,IF(R1265="ALTA(3)",3,3))))</f>
        <v/>
      </c>
      <c r="T1265" s="10">
        <f>+IF(S1265&lt;6,"BAJA",IF(S1265&lt;8,"MEDIA","ALTA"))</f>
        <v/>
      </c>
      <c r="U1265" s="10" t="inlineStr">
        <is>
          <t>-</t>
        </is>
      </c>
      <c r="V1265" s="24" t="n">
        <v>45618</v>
      </c>
      <c r="W1265" s="19" t="inlineStr">
        <is>
          <t>N/A</t>
        </is>
      </c>
      <c r="X1265" s="10">
        <f>+IFERROR(IF(VLOOKUP(Tabla2[[#This Row],[ID]],'EVALUACION DE RIESGO'!A:A,1,FALSE)=Tabla2[[#This Row],[ID]],"SI","NO"),"NO")</f>
        <v/>
      </c>
      <c r="AD1265">
        <f>IF(AND(Y1265="",AA1265=""),"",IF(OR(LEFT(AA1265,2)="L0",LEFT(AA1265,2)="L1",Y1265="No Iniciado"),"CRÍTICO - Incumplimiento Normativo SEPS",IF(AND(OR(LEFT(AA1265,2)="L4",LEFT(AA1265,2)="L5"),AND(AC1265&lt;&gt;"",AC1265&lt;&gt;"N/A")),"CONFORME - Control Efectivo ISO 27001","OBSERVACIÓN - Revisar Controles")))</f>
        <v/>
      </c>
    </row>
    <row r="1266">
      <c r="A1266" s="99" t="inlineStr">
        <is>
          <t>244-GRI</t>
        </is>
      </c>
      <c r="B1266" s="10" t="inlineStr">
        <is>
          <t>ESTRATÉGICO</t>
        </is>
      </c>
      <c r="C1266" s="10" t="inlineStr">
        <is>
          <t>Gestión de Riesgos</t>
        </is>
      </c>
      <c r="D1266" s="10" t="inlineStr">
        <is>
          <t>GRI</t>
        </is>
      </c>
      <c r="E1266" s="10" t="inlineStr">
        <is>
          <t>Gestión de Riesgo de Crédito</t>
        </is>
      </c>
      <c r="F1266" s="10" t="inlineStr">
        <is>
          <t>-</t>
        </is>
      </c>
      <c r="G1266" s="10" t="inlineStr">
        <is>
          <t xml:space="preserve">Análisis de las Operaciones Reestructuradas y Refinanciadas  </t>
        </is>
      </c>
      <c r="H1266" s="10" t="inlineStr">
        <is>
          <t xml:space="preserve">Solicitud de Crédito de operaciones Reestructuras y Refinanciadas </t>
        </is>
      </c>
      <c r="I1266" s="10" t="inlineStr">
        <is>
          <t>solicitud de credito</t>
        </is>
      </c>
      <c r="J1266" s="10" t="inlineStr">
        <is>
          <t>GERENTE DE RIESGOS</t>
        </is>
      </c>
      <c r="K1266" s="10" t="inlineStr">
        <is>
          <t>ANALISTA DE RIESGO DE CREDITO</t>
        </is>
      </c>
      <c r="L1266" s="10" t="inlineStr">
        <is>
          <t>UBICACIÓN DIGITAL-EQUIPO DEL RESPONSABLE</t>
        </is>
      </c>
      <c r="M1266" s="10" t="inlineStr">
        <is>
          <t>DOCUMENTO DE ARCHIVO-ELECTRÓNICO</t>
        </is>
      </c>
      <c r="N1266" s="10" t="inlineStr">
        <is>
          <t>PRIMARIOS</t>
        </is>
      </c>
      <c r="O1266" s="10" t="inlineStr">
        <is>
          <t>DOCUMENTOS TÉCNICOS</t>
        </is>
      </c>
      <c r="P1266" s="10" t="inlineStr">
        <is>
          <t>PUBLICA(1)</t>
        </is>
      </c>
      <c r="Q1266" s="10" t="inlineStr">
        <is>
          <t>ALTA(3)</t>
        </is>
      </c>
      <c r="R1266" s="10" t="inlineStr">
        <is>
          <t>MEDIA(2)</t>
        </is>
      </c>
      <c r="S1266" s="10">
        <f>+(IF(P1266="PUBLICA(1)",1,IF(P1266="USO INTERNO(2)",2,IF(P1266="RESTRINGIDO(3)",3,3))))+(IF(Q1266="BAJA(1)",1,IF(Q1266="MEDIA(2)",2,IF(Q1266="ALTA(3)",3,3))))+(IF(R1266="BAJA(1)",1,IF(R1266="MEDIA(2)",2,IF(R1266="ALTA(3)",3,3))))</f>
        <v/>
      </c>
      <c r="T1266" s="10">
        <f>+IF(S1266&lt;6,"BAJA",IF(S1266&lt;8,"MEDIA","ALTA"))</f>
        <v/>
      </c>
      <c r="U1266" s="10" t="inlineStr">
        <is>
          <t>-</t>
        </is>
      </c>
      <c r="V1266" s="24" t="n">
        <v>45618</v>
      </c>
      <c r="W1266" s="19" t="inlineStr">
        <is>
          <t>N/A</t>
        </is>
      </c>
      <c r="X1266" s="10">
        <f>+IFERROR(IF(VLOOKUP(Tabla2[[#This Row],[ID]],'EVALUACION DE RIESGO'!A:A,1,FALSE)=Tabla2[[#This Row],[ID]],"SI","NO"),"NO")</f>
        <v/>
      </c>
      <c r="AD1266">
        <f>IF(AND(Y1266="",AA1266=""),"",IF(OR(LEFT(AA1266,2)="L0",LEFT(AA1266,2)="L1",Y1266="No Iniciado"),"CRÍTICO - Incumplimiento Normativo SEPS",IF(AND(OR(LEFT(AA1266,2)="L4",LEFT(AA1266,2)="L5"),AND(AC1266&lt;&gt;"",AC1266&lt;&gt;"N/A")),"CONFORME - Control Efectivo ISO 27001","OBSERVACIÓN - Revisar Controles")))</f>
        <v/>
      </c>
    </row>
    <row r="1267">
      <c r="A1267" s="99" t="inlineStr">
        <is>
          <t>245-GRI</t>
        </is>
      </c>
      <c r="B1267" s="10" t="inlineStr">
        <is>
          <t>ESTRATÉGICO</t>
        </is>
      </c>
      <c r="C1267" s="10" t="inlineStr">
        <is>
          <t>Gestión de Riesgos</t>
        </is>
      </c>
      <c r="D1267" s="10" t="inlineStr">
        <is>
          <t>GRI</t>
        </is>
      </c>
      <c r="E1267" s="10" t="inlineStr">
        <is>
          <t>Gestión de Riesgo de Crédito</t>
        </is>
      </c>
      <c r="F1267" s="10" t="inlineStr">
        <is>
          <t>-</t>
        </is>
      </c>
      <c r="G1267" s="10" t="inlineStr">
        <is>
          <t xml:space="preserve">Análisis de las Operaciones Reestructuradas y Refinanciadas  </t>
        </is>
      </c>
      <c r="H1267" s="10" t="inlineStr">
        <is>
          <t>Reporte de Seguimiento Reestr-Ref</t>
        </is>
      </c>
      <c r="I1267" s="10" t="inlineStr">
        <is>
          <t>Hoja de trabajo</t>
        </is>
      </c>
      <c r="J1267" s="10" t="inlineStr">
        <is>
          <t>GERENTE DE RIESGOS</t>
        </is>
      </c>
      <c r="K1267" s="10" t="inlineStr">
        <is>
          <t>ANALISTA DE RIESGO DE CREDITO</t>
        </is>
      </c>
      <c r="L1267" s="10" t="inlineStr">
        <is>
          <t>UBICACIÓN DIGITAL-EQUIPO DEL RESPONSABLE</t>
        </is>
      </c>
      <c r="M1267" s="10" t="inlineStr">
        <is>
          <t>DOCUMENTO DE ARCHIVO-ELECTRÓNICO</t>
        </is>
      </c>
      <c r="N1267" s="10" t="inlineStr">
        <is>
          <t>PRIMARIOS</t>
        </is>
      </c>
      <c r="O1267" s="10" t="inlineStr">
        <is>
          <t>DOCUMENTOS TÉCNICOS</t>
        </is>
      </c>
      <c r="P1267" s="10" t="inlineStr">
        <is>
          <t>PUBLICA(1)</t>
        </is>
      </c>
      <c r="Q1267" s="10" t="inlineStr">
        <is>
          <t>ALTA(3)</t>
        </is>
      </c>
      <c r="R1267" s="10" t="inlineStr">
        <is>
          <t>MEDIA(2)</t>
        </is>
      </c>
      <c r="S1267" s="10">
        <f>+(IF(P1267="PUBLICA(1)",1,IF(P1267="USO INTERNO(2)",2,IF(P1267="RESTRINGIDO(3)",3,3))))+(IF(Q1267="BAJA(1)",1,IF(Q1267="MEDIA(2)",2,IF(Q1267="ALTA(3)",3,3))))+(IF(R1267="BAJA(1)",1,IF(R1267="MEDIA(2)",2,IF(R1267="ALTA(3)",3,3))))</f>
        <v/>
      </c>
      <c r="T1267" s="10">
        <f>+IF(S1267&lt;6,"BAJA",IF(S1267&lt;8,"MEDIA","ALTA"))</f>
        <v/>
      </c>
      <c r="U1267" s="10" t="inlineStr">
        <is>
          <t>-</t>
        </is>
      </c>
      <c r="V1267" s="24" t="n">
        <v>45617</v>
      </c>
      <c r="W1267" s="19" t="inlineStr">
        <is>
          <t>N/A</t>
        </is>
      </c>
      <c r="X1267" s="10">
        <f>+IFERROR(IF(VLOOKUP(Tabla2[[#This Row],[ID]],'EVALUACION DE RIESGO'!A:A,1,FALSE)=Tabla2[[#This Row],[ID]],"SI","NO"),"NO")</f>
        <v/>
      </c>
      <c r="AD1267">
        <f>IF(AND(Y1267="",AA1267=""),"",IF(OR(LEFT(AA1267,2)="L0",LEFT(AA1267,2)="L1",Y1267="No Iniciado"),"CRÍTICO - Incumplimiento Normativo SEPS",IF(AND(OR(LEFT(AA1267,2)="L4",LEFT(AA1267,2)="L5"),AND(AC1267&lt;&gt;"",AC1267&lt;&gt;"N/A")),"CONFORME - Control Efectivo ISO 27001","OBSERVACIÓN - Revisar Controles")))</f>
        <v/>
      </c>
    </row>
    <row r="1268">
      <c r="A1268" s="99" t="inlineStr">
        <is>
          <t>246-GRI</t>
        </is>
      </c>
      <c r="B1268" s="10" t="inlineStr">
        <is>
          <t>ESTRATÉGICO</t>
        </is>
      </c>
      <c r="C1268" s="10" t="inlineStr">
        <is>
          <t>Gestión de Riesgos</t>
        </is>
      </c>
      <c r="D1268" s="10" t="inlineStr">
        <is>
          <t>GRI</t>
        </is>
      </c>
      <c r="E1268" s="10" t="inlineStr">
        <is>
          <t>Gestión de Riesgo de Crédito</t>
        </is>
      </c>
      <c r="F1268" s="10" t="inlineStr">
        <is>
          <t>-</t>
        </is>
      </c>
      <c r="G1268" s="10" t="inlineStr">
        <is>
          <t xml:space="preserve">Análisis de las Operaciones Reestructuradas y Refinanciadas  </t>
        </is>
      </c>
      <c r="H1268" s="10" t="inlineStr">
        <is>
          <t xml:space="preserve">Recomendación de aprobación o negación de las operaciones reestructuradas y refinanciadas </t>
        </is>
      </c>
      <c r="I1268" s="10" t="inlineStr">
        <is>
          <t>comentario de negacion y aprobación del credito en Fitbank</t>
        </is>
      </c>
      <c r="J1268" s="10" t="inlineStr">
        <is>
          <t>GERENTE DE RIESGOS</t>
        </is>
      </c>
      <c r="K1268" s="10" t="inlineStr">
        <is>
          <t>GERENTE DE RIESGOS</t>
        </is>
      </c>
      <c r="L1268" s="10" t="inlineStr">
        <is>
          <t>UBICACIÓN DIGITAL-EQUIPO DEL RESPONSABLE</t>
        </is>
      </c>
      <c r="M1268" s="10" t="inlineStr">
        <is>
          <t>DOCUMENTO DE ARCHIVO-ELECTRÓNICO</t>
        </is>
      </c>
      <c r="N1268" s="10" t="inlineStr">
        <is>
          <t>PRIMARIOS</t>
        </is>
      </c>
      <c r="O1268" s="10" t="inlineStr">
        <is>
          <t>DOCUMENTOS TÉCNICOS</t>
        </is>
      </c>
      <c r="P1268" s="10" t="inlineStr">
        <is>
          <t>PUBLICA(1)</t>
        </is>
      </c>
      <c r="Q1268" s="10" t="inlineStr">
        <is>
          <t>ALTA(3)</t>
        </is>
      </c>
      <c r="R1268" s="10" t="inlineStr">
        <is>
          <t>MEDIA(2)</t>
        </is>
      </c>
      <c r="S1268" s="10">
        <f>+(IF(P1268="PUBLICA(1)",1,IF(P1268="USO INTERNO(2)",2,IF(P1268="RESTRINGIDO(3)",3,3))))+(IF(Q1268="BAJA(1)",1,IF(Q1268="MEDIA(2)",2,IF(Q1268="ALTA(3)",3,3))))+(IF(R1268="BAJA(1)",1,IF(R1268="MEDIA(2)",2,IF(R1268="ALTA(3)",3,3))))</f>
        <v/>
      </c>
      <c r="T1268" s="10">
        <f>+IF(S1268&lt;6,"BAJA",IF(S1268&lt;8,"MEDIA","ALTA"))</f>
        <v/>
      </c>
      <c r="U1268" s="10" t="inlineStr">
        <is>
          <t>-</t>
        </is>
      </c>
      <c r="V1268" s="24" t="n">
        <v>45618</v>
      </c>
      <c r="W1268" s="19" t="inlineStr">
        <is>
          <t>N/A</t>
        </is>
      </c>
      <c r="X1268" s="10">
        <f>+IFERROR(IF(VLOOKUP(Tabla2[[#This Row],[ID]],'EVALUACION DE RIESGO'!A:A,1,FALSE)=Tabla2[[#This Row],[ID]],"SI","NO"),"NO")</f>
        <v/>
      </c>
      <c r="AD1268">
        <f>IF(AND(Y1268="",AA1268=""),"",IF(OR(LEFT(AA1268,2)="L0",LEFT(AA1268,2)="L1",Y1268="No Iniciado"),"CRÍTICO - Incumplimiento Normativo SEPS",IF(AND(OR(LEFT(AA1268,2)="L4",LEFT(AA1268,2)="L5"),AND(AC1268&lt;&gt;"",AC1268&lt;&gt;"N/A")),"CONFORME - Control Efectivo ISO 27001","OBSERVACIÓN - Revisar Controles")))</f>
        <v/>
      </c>
    </row>
    <row r="1269">
      <c r="A1269" s="99" t="inlineStr">
        <is>
          <t>247-GRI</t>
        </is>
      </c>
      <c r="B1269" s="10" t="inlineStr">
        <is>
          <t>ESTRATÉGICO</t>
        </is>
      </c>
      <c r="C1269" s="10" t="inlineStr">
        <is>
          <t>Gestión de Riesgos</t>
        </is>
      </c>
      <c r="D1269" s="10" t="inlineStr">
        <is>
          <t>GRI</t>
        </is>
      </c>
      <c r="E1269" s="10" t="inlineStr">
        <is>
          <t>Gestión de Riesgo de Crédito</t>
        </is>
      </c>
      <c r="F1269" s="10" t="inlineStr">
        <is>
          <t>-</t>
        </is>
      </c>
      <c r="G1269" s="10" t="inlineStr">
        <is>
          <t xml:space="preserve">Análisis e Interpretación de las Alertas Tempranas de Crédito y Seguimiento de Límites de Tolerancia </t>
        </is>
      </c>
      <c r="H1269" s="10" t="inlineStr">
        <is>
          <t>Balance Mensual validado</t>
        </is>
      </c>
      <c r="I1269" s="10" t="inlineStr">
        <is>
          <t>Balance</t>
        </is>
      </c>
      <c r="J1269" s="10" t="inlineStr">
        <is>
          <t>GERENTE DE RIESGOS</t>
        </is>
      </c>
      <c r="K1269" s="10" t="inlineStr">
        <is>
          <t>ANALISTA DE RIESGO DE CREDITO</t>
        </is>
      </c>
      <c r="L1269" s="10" t="inlineStr">
        <is>
          <t>UBICACIÓN DIGITAL-EQUIPO DEL RESPONSABLE</t>
        </is>
      </c>
      <c r="M1269" s="10" t="inlineStr">
        <is>
          <t>DOCUMENTO DE ARCHIVO-ELECTRÓNICO</t>
        </is>
      </c>
      <c r="N1269" s="10" t="inlineStr">
        <is>
          <t>PRIMARIOS</t>
        </is>
      </c>
      <c r="O1269" s="10" t="inlineStr">
        <is>
          <t>DOCUMENTOS TÉCNICOS</t>
        </is>
      </c>
      <c r="P1269" s="10" t="inlineStr">
        <is>
          <t>PUBLICA(1)</t>
        </is>
      </c>
      <c r="Q1269" s="10" t="inlineStr">
        <is>
          <t>ALTA(3)</t>
        </is>
      </c>
      <c r="R1269" s="10" t="inlineStr">
        <is>
          <t>MEDIA(2)</t>
        </is>
      </c>
      <c r="S1269" s="10">
        <f>+(IF(P1269="PUBLICA(1)",1,IF(P1269="USO INTERNO(2)",2,IF(P1269="RESTRINGIDO(3)",3,3))))+(IF(Q1269="BAJA(1)",1,IF(Q1269="MEDIA(2)",2,IF(Q1269="ALTA(3)",3,3))))+(IF(R1269="BAJA(1)",1,IF(R1269="MEDIA(2)",2,IF(R1269="ALTA(3)",3,3))))</f>
        <v/>
      </c>
      <c r="T1269" s="10">
        <f>+IF(S1269&lt;6,"BAJA",IF(S1269&lt;8,"MEDIA","ALTA"))</f>
        <v/>
      </c>
      <c r="U1269" s="10" t="inlineStr">
        <is>
          <t>-</t>
        </is>
      </c>
      <c r="V1269" s="24" t="n">
        <v>45617</v>
      </c>
      <c r="W1269" s="19" t="inlineStr">
        <is>
          <t>N/A</t>
        </is>
      </c>
      <c r="X1269" s="10">
        <f>+IFERROR(IF(VLOOKUP(Tabla2[[#This Row],[ID]],'EVALUACION DE RIESGO'!A:A,1,FALSE)=Tabla2[[#This Row],[ID]],"SI","NO"),"NO")</f>
        <v/>
      </c>
      <c r="AD1269">
        <f>IF(AND(Y1269="",AA1269=""),"",IF(OR(LEFT(AA1269,2)="L0",LEFT(AA1269,2)="L1",Y1269="No Iniciado"),"CRÍTICO - Incumplimiento Normativo SEPS",IF(AND(OR(LEFT(AA1269,2)="L4",LEFT(AA1269,2)="L5"),AND(AC1269&lt;&gt;"",AC1269&lt;&gt;"N/A")),"CONFORME - Control Efectivo ISO 27001","OBSERVACIÓN - Revisar Controles")))</f>
        <v/>
      </c>
    </row>
    <row r="1270">
      <c r="A1270" s="99" t="inlineStr">
        <is>
          <t>248-GRI</t>
        </is>
      </c>
      <c r="B1270" s="10" t="inlineStr">
        <is>
          <t>ESTRATÉGICO</t>
        </is>
      </c>
      <c r="C1270" s="10" t="inlineStr">
        <is>
          <t>Gestión de Riesgos</t>
        </is>
      </c>
      <c r="D1270" s="10" t="inlineStr">
        <is>
          <t>GRI</t>
        </is>
      </c>
      <c r="E1270" s="10" t="inlineStr">
        <is>
          <t>Gestión de Riesgo de Crédito</t>
        </is>
      </c>
      <c r="F1270" s="10" t="inlineStr">
        <is>
          <t>-</t>
        </is>
      </c>
      <c r="G1270" s="10" t="inlineStr">
        <is>
          <t xml:space="preserve">Análisis e Interpretación de las Alertas Tempranas de Crédito y Seguimiento de Límites de Tolerancia </t>
        </is>
      </c>
      <c r="H1270" s="10" t="inlineStr">
        <is>
          <t>Registro de definición indicadores y límites de riesgos</t>
        </is>
      </c>
      <c r="I1270" s="10" t="inlineStr">
        <is>
          <t>Registro</t>
        </is>
      </c>
      <c r="J1270" s="10" t="inlineStr">
        <is>
          <t>GERENTE DE RIESGOS</t>
        </is>
      </c>
      <c r="K1270" s="10" t="inlineStr">
        <is>
          <t>ANALISTA DE RIESGO DE CREDITO</t>
        </is>
      </c>
      <c r="L1270" s="10" t="inlineStr">
        <is>
          <t>UBICACIÓN DIGITAL-EQUIPO DEL RESPONSABLE</t>
        </is>
      </c>
      <c r="M1270" s="10" t="inlineStr">
        <is>
          <t>DOCUMENTO DE ARCHIVO-ELECTRÓNICO</t>
        </is>
      </c>
      <c r="N1270" s="10" t="inlineStr">
        <is>
          <t>PRIMARIOS</t>
        </is>
      </c>
      <c r="O1270" s="10" t="inlineStr">
        <is>
          <t>DOCUMENTOS TÉCNICOS</t>
        </is>
      </c>
      <c r="P1270" s="10" t="inlineStr">
        <is>
          <t>PUBLICA(1)</t>
        </is>
      </c>
      <c r="Q1270" s="10" t="inlineStr">
        <is>
          <t>ALTA(3)</t>
        </is>
      </c>
      <c r="R1270" s="10" t="inlineStr">
        <is>
          <t>MEDIA(2)</t>
        </is>
      </c>
      <c r="S1270" s="10">
        <f>+(IF(P1270="PUBLICA(1)",1,IF(P1270="USO INTERNO(2)",2,IF(P1270="RESTRINGIDO(3)",3,3))))+(IF(Q1270="BAJA(1)",1,IF(Q1270="MEDIA(2)",2,IF(Q1270="ALTA(3)",3,3))))+(IF(R1270="BAJA(1)",1,IF(R1270="MEDIA(2)",2,IF(R1270="ALTA(3)",3,3))))</f>
        <v/>
      </c>
      <c r="T1270" s="10">
        <f>+IF(S1270&lt;6,"BAJA",IF(S1270&lt;8,"MEDIA","ALTA"))</f>
        <v/>
      </c>
      <c r="U1270" s="10" t="inlineStr">
        <is>
          <t>-</t>
        </is>
      </c>
      <c r="V1270" s="24" t="n">
        <v>45618</v>
      </c>
      <c r="W1270" s="19" t="inlineStr">
        <is>
          <t>N/A</t>
        </is>
      </c>
      <c r="X1270" s="10">
        <f>+IFERROR(IF(VLOOKUP(Tabla2[[#This Row],[ID]],'EVALUACION DE RIESGO'!A:A,1,FALSE)=Tabla2[[#This Row],[ID]],"SI","NO"),"NO")</f>
        <v/>
      </c>
      <c r="AD1270">
        <f>IF(AND(Y1270="",AA1270=""),"",IF(OR(LEFT(AA1270,2)="L0",LEFT(AA1270,2)="L1",Y1270="No Iniciado"),"CRÍTICO - Incumplimiento Normativo SEPS",IF(AND(OR(LEFT(AA1270,2)="L4",LEFT(AA1270,2)="L5"),AND(AC1270&lt;&gt;"",AC1270&lt;&gt;"N/A")),"CONFORME - Control Efectivo ISO 27001","OBSERVACIÓN - Revisar Controles")))</f>
        <v/>
      </c>
    </row>
    <row r="1271">
      <c r="A1271" s="99" t="inlineStr">
        <is>
          <t>249-GRI</t>
        </is>
      </c>
      <c r="B1271" s="10" t="inlineStr">
        <is>
          <t>ESTRATÉGICO</t>
        </is>
      </c>
      <c r="C1271" s="10" t="inlineStr">
        <is>
          <t>Gestión de Riesgos</t>
        </is>
      </c>
      <c r="D1271" s="10" t="inlineStr">
        <is>
          <t>GRI</t>
        </is>
      </c>
      <c r="E1271" s="10" t="inlineStr">
        <is>
          <t>Gestión de Riesgo de Crédito</t>
        </is>
      </c>
      <c r="F1271" s="10" t="inlineStr">
        <is>
          <t>-</t>
        </is>
      </c>
      <c r="G1271" s="10" t="inlineStr">
        <is>
          <t xml:space="preserve">Análisis e Interpretación de las Alertas Tempranas de Crédito y Seguimiento de Límites de Tolerancia </t>
        </is>
      </c>
      <c r="H1271" s="10" t="inlineStr">
        <is>
          <t>Reporte Cartera_Vigente</t>
        </is>
      </c>
      <c r="I1271" s="10" t="inlineStr">
        <is>
          <t>Reporte</t>
        </is>
      </c>
      <c r="J1271" s="10" t="inlineStr">
        <is>
          <t>GERENTE DE RIESGOS</t>
        </is>
      </c>
      <c r="K1271" s="10" t="inlineStr">
        <is>
          <t>ANALISTA DE RIESGO DE CREDITO</t>
        </is>
      </c>
      <c r="L1271" s="10" t="inlineStr">
        <is>
          <t>UBICACIÓN DIGITAL-EQUIPO DEL RESPONSABLE</t>
        </is>
      </c>
      <c r="M1271" s="10" t="inlineStr">
        <is>
          <t>DOCUMENTO DE ARCHIVO-ELECTRÓNICO</t>
        </is>
      </c>
      <c r="N1271" s="10" t="inlineStr">
        <is>
          <t>PRIMARIOS</t>
        </is>
      </c>
      <c r="O1271" s="10" t="inlineStr">
        <is>
          <t>DOCUMENTOS TÉCNICOS</t>
        </is>
      </c>
      <c r="P1271" s="10" t="inlineStr">
        <is>
          <t>PUBLICA(1)</t>
        </is>
      </c>
      <c r="Q1271" s="10" t="inlineStr">
        <is>
          <t>ALTA(3)</t>
        </is>
      </c>
      <c r="R1271" s="10" t="inlineStr">
        <is>
          <t>MEDIA(2)</t>
        </is>
      </c>
      <c r="S1271" s="10">
        <f>+(IF(P1271="PUBLICA(1)",1,IF(P1271="USO INTERNO(2)",2,IF(P1271="RESTRINGIDO(3)",3,3))))+(IF(Q1271="BAJA(1)",1,IF(Q1271="MEDIA(2)",2,IF(Q1271="ALTA(3)",3,3))))+(IF(R1271="BAJA(1)",1,IF(R1271="MEDIA(2)",2,IF(R1271="ALTA(3)",3,3))))</f>
        <v/>
      </c>
      <c r="T1271" s="10">
        <f>+IF(S1271&lt;6,"BAJA",IF(S1271&lt;8,"MEDIA","ALTA"))</f>
        <v/>
      </c>
      <c r="U1271" s="10" t="inlineStr">
        <is>
          <t>-</t>
        </is>
      </c>
      <c r="V1271" s="24" t="n">
        <v>45618</v>
      </c>
      <c r="W1271" s="19" t="inlineStr">
        <is>
          <t>N/A</t>
        </is>
      </c>
      <c r="X1271" s="10">
        <f>+IFERROR(IF(VLOOKUP(Tabla2[[#This Row],[ID]],'EVALUACION DE RIESGO'!A:A,1,FALSE)=Tabla2[[#This Row],[ID]],"SI","NO"),"NO")</f>
        <v/>
      </c>
      <c r="AD1271">
        <f>IF(AND(Y1271="",AA1271=""),"",IF(OR(LEFT(AA1271,2)="L0",LEFT(AA1271,2)="L1",Y1271="No Iniciado"),"CRÍTICO - Incumplimiento Normativo SEPS",IF(AND(OR(LEFT(AA1271,2)="L4",LEFT(AA1271,2)="L5"),AND(AC1271&lt;&gt;"",AC1271&lt;&gt;"N/A")),"CONFORME - Control Efectivo ISO 27001","OBSERVACIÓN - Revisar Controles")))</f>
        <v/>
      </c>
    </row>
    <row r="1272">
      <c r="A1272" s="99" t="inlineStr">
        <is>
          <t>250-GRI</t>
        </is>
      </c>
      <c r="B1272" s="10" t="inlineStr">
        <is>
          <t>ESTRATÉGICO</t>
        </is>
      </c>
      <c r="C1272" s="10" t="inlineStr">
        <is>
          <t>Gestión de Riesgos</t>
        </is>
      </c>
      <c r="D1272" s="10" t="inlineStr">
        <is>
          <t>GRI</t>
        </is>
      </c>
      <c r="E1272" s="10" t="inlineStr">
        <is>
          <t>Gestión de Riesgo de Crédito</t>
        </is>
      </c>
      <c r="F1272" s="10" t="inlineStr">
        <is>
          <t>-</t>
        </is>
      </c>
      <c r="G1272" s="10" t="inlineStr">
        <is>
          <t xml:space="preserve">Análisis e Interpretación de las Alertas Tempranas de Crédito y Seguimiento de Límites de Tolerancia </t>
        </is>
      </c>
      <c r="H1272" s="10" t="inlineStr">
        <is>
          <t>Reporte Credireport</t>
        </is>
      </c>
      <c r="I1272" s="10" t="inlineStr">
        <is>
          <t>Reporte</t>
        </is>
      </c>
      <c r="J1272" s="10" t="inlineStr">
        <is>
          <t>GERENTE DE RIESGOS</t>
        </is>
      </c>
      <c r="K1272" s="10" t="inlineStr">
        <is>
          <t>ANALISTA DE RIESGO DE CREDITO</t>
        </is>
      </c>
      <c r="L1272" s="10" t="inlineStr">
        <is>
          <t>UBICACIÓN DIGITAL-EQUIPO DEL RESPONSABLE</t>
        </is>
      </c>
      <c r="M1272" s="10" t="inlineStr">
        <is>
          <t>DOCUMENTO DE ARCHIVO-ELECTRÓNICO</t>
        </is>
      </c>
      <c r="N1272" s="10" t="inlineStr">
        <is>
          <t>PRIMARIOS</t>
        </is>
      </c>
      <c r="O1272" s="10" t="inlineStr">
        <is>
          <t>DOCUMENTOS TÉCNICOS</t>
        </is>
      </c>
      <c r="P1272" s="10" t="inlineStr">
        <is>
          <t>PUBLICA(1)</t>
        </is>
      </c>
      <c r="Q1272" s="10" t="inlineStr">
        <is>
          <t>ALTA(3)</t>
        </is>
      </c>
      <c r="R1272" s="10" t="inlineStr">
        <is>
          <t>MEDIA(2)</t>
        </is>
      </c>
      <c r="S1272" s="10">
        <f>+(IF(P1272="PUBLICA(1)",1,IF(P1272="USO INTERNO(2)",2,IF(P1272="RESTRINGIDO(3)",3,3))))+(IF(Q1272="BAJA(1)",1,IF(Q1272="MEDIA(2)",2,IF(Q1272="ALTA(3)",3,3))))+(IF(R1272="BAJA(1)",1,IF(R1272="MEDIA(2)",2,IF(R1272="ALTA(3)",3,3))))</f>
        <v/>
      </c>
      <c r="T1272" s="10">
        <f>+IF(S1272&lt;6,"BAJA",IF(S1272&lt;8,"MEDIA","ALTA"))</f>
        <v/>
      </c>
      <c r="U1272" s="10" t="inlineStr">
        <is>
          <t>-</t>
        </is>
      </c>
      <c r="V1272" s="24" t="n">
        <v>45617</v>
      </c>
      <c r="W1272" s="19" t="inlineStr">
        <is>
          <t>N/A</t>
        </is>
      </c>
      <c r="X1272" s="10">
        <f>+IFERROR(IF(VLOOKUP(Tabla2[[#This Row],[ID]],'EVALUACION DE RIESGO'!A:A,1,FALSE)=Tabla2[[#This Row],[ID]],"SI","NO"),"NO")</f>
        <v/>
      </c>
      <c r="AD1272">
        <f>IF(AND(Y1272="",AA1272=""),"",IF(OR(LEFT(AA1272,2)="L0",LEFT(AA1272,2)="L1",Y1272="No Iniciado"),"CRÍTICO - Incumplimiento Normativo SEPS",IF(AND(OR(LEFT(AA1272,2)="L4",LEFT(AA1272,2)="L5"),AND(AC1272&lt;&gt;"",AC1272&lt;&gt;"N/A")),"CONFORME - Control Efectivo ISO 27001","OBSERVACIÓN - Revisar Controles")))</f>
        <v/>
      </c>
    </row>
    <row r="1273">
      <c r="A1273" s="99" t="inlineStr">
        <is>
          <t>251-GRI</t>
        </is>
      </c>
      <c r="B1273" s="10" t="inlineStr">
        <is>
          <t>ESTRATÉGICO</t>
        </is>
      </c>
      <c r="C1273" s="10" t="inlineStr">
        <is>
          <t>Gestión de Riesgos</t>
        </is>
      </c>
      <c r="D1273" s="10" t="inlineStr">
        <is>
          <t>GRI</t>
        </is>
      </c>
      <c r="E1273" s="10" t="inlineStr">
        <is>
          <t>Gestión de Riesgo de Crédito</t>
        </is>
      </c>
      <c r="F1273" s="10" t="inlineStr">
        <is>
          <t>-</t>
        </is>
      </c>
      <c r="G1273" s="10" t="inlineStr">
        <is>
          <t xml:space="preserve">Análisis e Interpretación de las Alertas Tempranas de Crédito y Seguimiento de Límites de Tolerancia </t>
        </is>
      </c>
      <c r="H1273" s="10" t="inlineStr">
        <is>
          <t>Reporte de Alertas Tempranas de Crédito</t>
        </is>
      </c>
      <c r="I1273" s="10" t="inlineStr">
        <is>
          <t>Herramienta de alertas tempranas en excel</t>
        </is>
      </c>
      <c r="J1273" s="10" t="inlineStr">
        <is>
          <t>GERENTE DE RIESGOS</t>
        </is>
      </c>
      <c r="K1273" s="10" t="inlineStr">
        <is>
          <t>ANALISTA DE RIESGO DE CREDITO</t>
        </is>
      </c>
      <c r="L1273" s="10" t="inlineStr">
        <is>
          <t>UBICACIÓN DIGITAL-EQUIPO DEL RESPONSABLE</t>
        </is>
      </c>
      <c r="M1273" s="10" t="inlineStr">
        <is>
          <t>DOCUMENTO DE ARCHIVO-ELECTRÓNICO</t>
        </is>
      </c>
      <c r="N1273" s="10" t="inlineStr">
        <is>
          <t>PRIMARIOS</t>
        </is>
      </c>
      <c r="O1273" s="10" t="inlineStr">
        <is>
          <t>DOCUMENTOS TÉCNICOS</t>
        </is>
      </c>
      <c r="P1273" s="10" t="inlineStr">
        <is>
          <t>PUBLICA(1)</t>
        </is>
      </c>
      <c r="Q1273" s="10" t="inlineStr">
        <is>
          <t>ALTA(3)</t>
        </is>
      </c>
      <c r="R1273" s="10" t="inlineStr">
        <is>
          <t>MEDIA(2)</t>
        </is>
      </c>
      <c r="S1273" s="10">
        <f>+(IF(P1273="PUBLICA(1)",1,IF(P1273="USO INTERNO(2)",2,IF(P1273="RESTRINGIDO(3)",3,3))))+(IF(Q1273="BAJA(1)",1,IF(Q1273="MEDIA(2)",2,IF(Q1273="ALTA(3)",3,3))))+(IF(R1273="BAJA(1)",1,IF(R1273="MEDIA(2)",2,IF(R1273="ALTA(3)",3,3))))</f>
        <v/>
      </c>
      <c r="T1273" s="10">
        <f>+IF(S1273&lt;6,"BAJA",IF(S1273&lt;8,"MEDIA","ALTA"))</f>
        <v/>
      </c>
      <c r="U1273" s="10" t="inlineStr">
        <is>
          <t>-</t>
        </is>
      </c>
      <c r="V1273" s="24" t="n">
        <v>45618</v>
      </c>
      <c r="W1273" s="19" t="inlineStr">
        <is>
          <t>N/A</t>
        </is>
      </c>
      <c r="X1273" s="10">
        <f>+IFERROR(IF(VLOOKUP(Tabla2[[#This Row],[ID]],'EVALUACION DE RIESGO'!A:A,1,FALSE)=Tabla2[[#This Row],[ID]],"SI","NO"),"NO")</f>
        <v/>
      </c>
      <c r="AD1273">
        <f>IF(AND(Y1273="",AA1273=""),"",IF(OR(LEFT(AA1273,2)="L0",LEFT(AA1273,2)="L1",Y1273="No Iniciado"),"CRÍTICO - Incumplimiento Normativo SEPS",IF(AND(OR(LEFT(AA1273,2)="L4",LEFT(AA1273,2)="L5"),AND(AC1273&lt;&gt;"",AC1273&lt;&gt;"N/A")),"CONFORME - Control Efectivo ISO 27001","OBSERVACIÓN - Revisar Controles")))</f>
        <v/>
      </c>
    </row>
    <row r="1274">
      <c r="A1274" s="99" t="inlineStr">
        <is>
          <t>252-GRI</t>
        </is>
      </c>
      <c r="B1274" s="10" t="inlineStr">
        <is>
          <t>ESTRATÉGICO</t>
        </is>
      </c>
      <c r="C1274" s="10" t="inlineStr">
        <is>
          <t>Gestión de Riesgos</t>
        </is>
      </c>
      <c r="D1274" s="10" t="inlineStr">
        <is>
          <t>GRI</t>
        </is>
      </c>
      <c r="E1274" s="10" t="inlineStr">
        <is>
          <t>Gestión de Riesgo de Crédito</t>
        </is>
      </c>
      <c r="F1274" s="10" t="inlineStr">
        <is>
          <t>-</t>
        </is>
      </c>
      <c r="G1274" s="10" t="inlineStr">
        <is>
          <t xml:space="preserve">Análisis e Interpretación de las Alertas Tempranas de Crédito y Seguimiento de Límites de Tolerancia </t>
        </is>
      </c>
      <c r="H1274" s="10" t="inlineStr">
        <is>
          <t>Reporte de Seguimiento de límites</t>
        </is>
      </c>
      <c r="I1274" s="10" t="inlineStr">
        <is>
          <t>Hoja de trabajo</t>
        </is>
      </c>
      <c r="J1274" s="10" t="inlineStr">
        <is>
          <t>GERENTE DE RIESGOS</t>
        </is>
      </c>
      <c r="K1274" s="10" t="inlineStr">
        <is>
          <t>ANALISTA DE RIESGO DE CREDITO</t>
        </is>
      </c>
      <c r="L1274" s="10" t="inlineStr">
        <is>
          <t>UBICACIÓN DIGITAL-EQUIPO DEL RESPONSABLE</t>
        </is>
      </c>
      <c r="M1274" s="10" t="inlineStr">
        <is>
          <t>DOCUMENTO DE ARCHIVO-ELECTRÓNICO</t>
        </is>
      </c>
      <c r="N1274" s="10" t="inlineStr">
        <is>
          <t>PRIMARIOS</t>
        </is>
      </c>
      <c r="O1274" s="10" t="inlineStr">
        <is>
          <t>DOCUMENTOS TÉCNICOS</t>
        </is>
      </c>
      <c r="P1274" s="10" t="inlineStr">
        <is>
          <t>PUBLICA(1)</t>
        </is>
      </c>
      <c r="Q1274" s="10" t="inlineStr">
        <is>
          <t>ALTA(3)</t>
        </is>
      </c>
      <c r="R1274" s="10" t="inlineStr">
        <is>
          <t>MEDIA(2)</t>
        </is>
      </c>
      <c r="S1274" s="10">
        <f>+(IF(P1274="PUBLICA(1)",1,IF(P1274="USO INTERNO(2)",2,IF(P1274="RESTRINGIDO(3)",3,3))))+(IF(Q1274="BAJA(1)",1,IF(Q1274="MEDIA(2)",2,IF(Q1274="ALTA(3)",3,3))))+(IF(R1274="BAJA(1)",1,IF(R1274="MEDIA(2)",2,IF(R1274="ALTA(3)",3,3))))</f>
        <v/>
      </c>
      <c r="T1274" s="10">
        <f>+IF(S1274&lt;6,"BAJA",IF(S1274&lt;8,"MEDIA","ALTA"))</f>
        <v/>
      </c>
      <c r="U1274" s="10" t="inlineStr">
        <is>
          <t>-</t>
        </is>
      </c>
      <c r="V1274" s="24" t="n">
        <v>45618</v>
      </c>
      <c r="W1274" s="19" t="inlineStr">
        <is>
          <t>N/A</t>
        </is>
      </c>
      <c r="X1274" s="10">
        <f>+IFERROR(IF(VLOOKUP(Tabla2[[#This Row],[ID]],'EVALUACION DE RIESGO'!A:A,1,FALSE)=Tabla2[[#This Row],[ID]],"SI","NO"),"NO")</f>
        <v/>
      </c>
      <c r="AD1274">
        <f>IF(AND(Y1274="",AA1274=""),"",IF(OR(LEFT(AA1274,2)="L0",LEFT(AA1274,2)="L1",Y1274="No Iniciado"),"CRÍTICO - Incumplimiento Normativo SEPS",IF(AND(OR(LEFT(AA1274,2)="L4",LEFT(AA1274,2)="L5"),AND(AC1274&lt;&gt;"",AC1274&lt;&gt;"N/A")),"CONFORME - Control Efectivo ISO 27001","OBSERVACIÓN - Revisar Controles")))</f>
        <v/>
      </c>
    </row>
    <row r="1275">
      <c r="A1275" s="99" t="inlineStr">
        <is>
          <t>253-GRI</t>
        </is>
      </c>
      <c r="B1275" s="10" t="inlineStr">
        <is>
          <t>ESTRATÉGICO</t>
        </is>
      </c>
      <c r="C1275" s="10" t="inlineStr">
        <is>
          <t>Gestión de Riesgos</t>
        </is>
      </c>
      <c r="D1275" s="10" t="inlineStr">
        <is>
          <t>GRI</t>
        </is>
      </c>
      <c r="E1275" s="10" t="inlineStr">
        <is>
          <t>Gestión de Riesgo de Crédito</t>
        </is>
      </c>
      <c r="F1275" s="10" t="inlineStr">
        <is>
          <t>-</t>
        </is>
      </c>
      <c r="G1275" s="10" t="inlineStr">
        <is>
          <t xml:space="preserve">Análisis e Interpretación de las Alertas Tempranas de Crédito y Seguimiento de Límites de Tolerancia </t>
        </is>
      </c>
      <c r="H1275" s="10" t="inlineStr">
        <is>
          <t xml:space="preserve">Reporte Maduración de Cartera </t>
        </is>
      </c>
      <c r="I1275" s="10" t="inlineStr">
        <is>
          <t>Hoja de trabajo</t>
        </is>
      </c>
      <c r="J1275" s="10" t="inlineStr">
        <is>
          <t>GERENTE DE RIESGOS</t>
        </is>
      </c>
      <c r="K1275" s="10" t="inlineStr">
        <is>
          <t>ANALISTA DE RIESGO DE CREDITO</t>
        </is>
      </c>
      <c r="L1275" s="10" t="inlineStr">
        <is>
          <t>UBICACIÓN DIGITAL-EQUIPO DEL RESPONSABLE</t>
        </is>
      </c>
      <c r="M1275" s="10" t="inlineStr">
        <is>
          <t>DOCUMENTO DE ARCHIVO-ELECTRÓNICO</t>
        </is>
      </c>
      <c r="N1275" s="10" t="inlineStr">
        <is>
          <t>PRIMARIOS</t>
        </is>
      </c>
      <c r="O1275" s="10" t="inlineStr">
        <is>
          <t>DOCUMENTOS TÉCNICOS</t>
        </is>
      </c>
      <c r="P1275" s="10" t="inlineStr">
        <is>
          <t>PUBLICA(1)</t>
        </is>
      </c>
      <c r="Q1275" s="10" t="inlineStr">
        <is>
          <t>ALTA(3)</t>
        </is>
      </c>
      <c r="R1275" s="10" t="inlineStr">
        <is>
          <t>MEDIA(2)</t>
        </is>
      </c>
      <c r="S1275" s="10">
        <f>+(IF(P1275="PUBLICA(1)",1,IF(P1275="USO INTERNO(2)",2,IF(P1275="RESTRINGIDO(3)",3,3))))+(IF(Q1275="BAJA(1)",1,IF(Q1275="MEDIA(2)",2,IF(Q1275="ALTA(3)",3,3))))+(IF(R1275="BAJA(1)",1,IF(R1275="MEDIA(2)",2,IF(R1275="ALTA(3)",3,3))))</f>
        <v/>
      </c>
      <c r="T1275" s="10">
        <f>+IF(S1275&lt;6,"BAJA",IF(S1275&lt;8,"MEDIA","ALTA"))</f>
        <v/>
      </c>
      <c r="U1275" s="10" t="inlineStr">
        <is>
          <t>-</t>
        </is>
      </c>
      <c r="V1275" s="24" t="n">
        <v>45617</v>
      </c>
      <c r="W1275" s="19" t="inlineStr">
        <is>
          <t>N/A</t>
        </is>
      </c>
      <c r="X1275" s="10">
        <f>+IFERROR(IF(VLOOKUP(Tabla2[[#This Row],[ID]],'EVALUACION DE RIESGO'!A:A,1,FALSE)=Tabla2[[#This Row],[ID]],"SI","NO"),"NO")</f>
        <v/>
      </c>
      <c r="AD1275">
        <f>IF(AND(Y1275="",AA1275=""),"",IF(OR(LEFT(AA1275,2)="L0",LEFT(AA1275,2)="L1",Y1275="No Iniciado"),"CRÍTICO - Incumplimiento Normativo SEPS",IF(AND(OR(LEFT(AA1275,2)="L4",LEFT(AA1275,2)="L5"),AND(AC1275&lt;&gt;"",AC1275&lt;&gt;"N/A")),"CONFORME - Control Efectivo ISO 27001","OBSERVACIÓN - Revisar Controles")))</f>
        <v/>
      </c>
    </row>
    <row r="1276">
      <c r="A1276" s="99" t="inlineStr">
        <is>
          <t>254-GRI</t>
        </is>
      </c>
      <c r="B1276" s="10" t="inlineStr">
        <is>
          <t>ESTRATÉGICO</t>
        </is>
      </c>
      <c r="C1276" s="10" t="inlineStr">
        <is>
          <t>Gestión de Riesgos</t>
        </is>
      </c>
      <c r="D1276" s="10" t="inlineStr">
        <is>
          <t>GRI</t>
        </is>
      </c>
      <c r="E1276" s="10" t="inlineStr">
        <is>
          <t>Gestión de Riesgo de Crédito</t>
        </is>
      </c>
      <c r="F1276" s="10" t="inlineStr">
        <is>
          <t>-</t>
        </is>
      </c>
      <c r="G1276" s="10" t="inlineStr">
        <is>
          <t>Consolidación de la información</t>
        </is>
      </c>
      <c r="H1276" s="10" t="inlineStr">
        <is>
          <t>Reporte de Matrices de Transición</t>
        </is>
      </c>
      <c r="I1276" s="10" t="inlineStr">
        <is>
          <t>Herramienta de matriz de transición en excel</t>
        </is>
      </c>
      <c r="J1276" s="10" t="inlineStr">
        <is>
          <t>GERENTE DE RIESGOS</t>
        </is>
      </c>
      <c r="K1276" s="10" t="inlineStr">
        <is>
          <t>ANALISTA DE RIESGO DE CREDITO</t>
        </is>
      </c>
      <c r="L1276" s="10" t="inlineStr">
        <is>
          <t>UBICACIÓN DIGITAL-EQUIPO DEL RESPONSABLE</t>
        </is>
      </c>
      <c r="M1276" s="10" t="inlineStr">
        <is>
          <t>DOCUMENTO DE ARCHIVO-ELECTRÓNICO</t>
        </is>
      </c>
      <c r="N1276" s="10" t="inlineStr">
        <is>
          <t>PRIMARIOS</t>
        </is>
      </c>
      <c r="O1276" s="10" t="inlineStr">
        <is>
          <t>DOCUMENTOS TÉCNICOS</t>
        </is>
      </c>
      <c r="P1276" s="10" t="inlineStr">
        <is>
          <t>PUBLICA(1)</t>
        </is>
      </c>
      <c r="Q1276" s="10" t="inlineStr">
        <is>
          <t>ALTA(3)</t>
        </is>
      </c>
      <c r="R1276" s="10" t="inlineStr">
        <is>
          <t>MEDIA(2)</t>
        </is>
      </c>
      <c r="S1276" s="10">
        <f>+(IF(P1276="PUBLICA(1)",1,IF(P1276="USO INTERNO(2)",2,IF(P1276="RESTRINGIDO(3)",3,3))))+(IF(Q1276="BAJA(1)",1,IF(Q1276="MEDIA(2)",2,IF(Q1276="ALTA(3)",3,3))))+(IF(R1276="BAJA(1)",1,IF(R1276="MEDIA(2)",2,IF(R1276="ALTA(3)",3,3))))</f>
        <v/>
      </c>
      <c r="T1276" s="10">
        <f>+IF(S1276&lt;6,"BAJA",IF(S1276&lt;8,"MEDIA","ALTA"))</f>
        <v/>
      </c>
      <c r="U1276" s="10" t="inlineStr">
        <is>
          <t>-</t>
        </is>
      </c>
      <c r="V1276" s="24" t="n">
        <v>45618</v>
      </c>
      <c r="W1276" s="19" t="inlineStr">
        <is>
          <t>N/A</t>
        </is>
      </c>
      <c r="X1276" s="10">
        <f>+IFERROR(IF(VLOOKUP(Tabla2[[#This Row],[ID]],'EVALUACION DE RIESGO'!A:A,1,FALSE)=Tabla2[[#This Row],[ID]],"SI","NO"),"NO")</f>
        <v/>
      </c>
      <c r="AD1276">
        <f>IF(AND(Y1276="",AA1276=""),"",IF(OR(LEFT(AA1276,2)="L0",LEFT(AA1276,2)="L1",Y1276="No Iniciado"),"CRÍTICO - Incumplimiento Normativo SEPS",IF(AND(OR(LEFT(AA1276,2)="L4",LEFT(AA1276,2)="L5"),AND(AC1276&lt;&gt;"",AC1276&lt;&gt;"N/A")),"CONFORME - Control Efectivo ISO 27001","OBSERVACIÓN - Revisar Controles")))</f>
        <v/>
      </c>
    </row>
    <row r="1277">
      <c r="A1277" s="99" t="inlineStr">
        <is>
          <t>255-GRI</t>
        </is>
      </c>
      <c r="B1277" s="10" t="inlineStr">
        <is>
          <t>ESTRATÉGICO</t>
        </is>
      </c>
      <c r="C1277" s="10" t="inlineStr">
        <is>
          <t>Gestión de Riesgos</t>
        </is>
      </c>
      <c r="D1277" s="10" t="inlineStr">
        <is>
          <t>GRI</t>
        </is>
      </c>
      <c r="E1277" s="10" t="inlineStr">
        <is>
          <t>Gestión de Riesgo de Crédito</t>
        </is>
      </c>
      <c r="F1277" s="10" t="inlineStr">
        <is>
          <t>-</t>
        </is>
      </c>
      <c r="G1277" s="10" t="inlineStr">
        <is>
          <t>Consolidación de la información</t>
        </is>
      </c>
      <c r="H1277" s="10" t="inlineStr">
        <is>
          <t>Reporte de Cosechas</t>
        </is>
      </c>
      <c r="I1277" s="10" t="inlineStr">
        <is>
          <t>Herramienta de matriz de cosecha en excel</t>
        </is>
      </c>
      <c r="J1277" s="10" t="inlineStr">
        <is>
          <t>GERENTE DE RIESGOS</t>
        </is>
      </c>
      <c r="K1277" s="10" t="inlineStr">
        <is>
          <t>ANALISTA DE RIESGO DE CREDITO</t>
        </is>
      </c>
      <c r="L1277" s="10" t="inlineStr">
        <is>
          <t>UBICACIÓN DIGITAL-EQUIPO DEL RESPONSABLE</t>
        </is>
      </c>
      <c r="M1277" s="10" t="inlineStr">
        <is>
          <t>DOCUMENTO DE ARCHIVO-ELECTRÓNICO</t>
        </is>
      </c>
      <c r="N1277" s="10" t="inlineStr">
        <is>
          <t>PRIMARIOS</t>
        </is>
      </c>
      <c r="O1277" s="10" t="inlineStr">
        <is>
          <t>DOCUMENTOS TÉCNICOS</t>
        </is>
      </c>
      <c r="P1277" s="10" t="inlineStr">
        <is>
          <t>PUBLICA(1)</t>
        </is>
      </c>
      <c r="Q1277" s="10" t="inlineStr">
        <is>
          <t>ALTA(3)</t>
        </is>
      </c>
      <c r="R1277" s="10" t="inlineStr">
        <is>
          <t>MEDIA(2)</t>
        </is>
      </c>
      <c r="S1277" s="10">
        <f>+(IF(P1277="PUBLICA(1)",1,IF(P1277="USO INTERNO(2)",2,IF(P1277="RESTRINGIDO(3)",3,3))))+(IF(Q1277="BAJA(1)",1,IF(Q1277="MEDIA(2)",2,IF(Q1277="ALTA(3)",3,3))))+(IF(R1277="BAJA(1)",1,IF(R1277="MEDIA(2)",2,IF(R1277="ALTA(3)",3,3))))</f>
        <v/>
      </c>
      <c r="T1277" s="10">
        <f>+IF(S1277&lt;6,"BAJA",IF(S1277&lt;8,"MEDIA","ALTA"))</f>
        <v/>
      </c>
      <c r="U1277" s="10" t="inlineStr">
        <is>
          <t>-</t>
        </is>
      </c>
      <c r="V1277" s="24" t="n">
        <v>45617</v>
      </c>
      <c r="W1277" s="19" t="inlineStr">
        <is>
          <t>N/A</t>
        </is>
      </c>
      <c r="X1277" s="10">
        <f>+IFERROR(IF(VLOOKUP(Tabla2[[#This Row],[ID]],'EVALUACION DE RIESGO'!A:A,1,FALSE)=Tabla2[[#This Row],[ID]],"SI","NO"),"NO")</f>
        <v/>
      </c>
      <c r="AD1277">
        <f>IF(AND(Y1277="",AA1277=""),"",IF(OR(LEFT(AA1277,2)="L0",LEFT(AA1277,2)="L1",Y1277="No Iniciado"),"CRÍTICO - Incumplimiento Normativo SEPS",IF(AND(OR(LEFT(AA1277,2)="L4",LEFT(AA1277,2)="L5"),AND(AC1277&lt;&gt;"",AC1277&lt;&gt;"N/A")),"CONFORME - Control Efectivo ISO 27001","OBSERVACIÓN - Revisar Controles")))</f>
        <v/>
      </c>
    </row>
    <row r="1278">
      <c r="A1278" s="99" t="inlineStr">
        <is>
          <t>256-GRI</t>
        </is>
      </c>
      <c r="B1278" s="10" t="inlineStr">
        <is>
          <t>ESTRATÉGICO</t>
        </is>
      </c>
      <c r="C1278" s="10" t="inlineStr">
        <is>
          <t>Gestión de Riesgos</t>
        </is>
      </c>
      <c r="D1278" s="10" t="inlineStr">
        <is>
          <t>GRI</t>
        </is>
      </c>
      <c r="E1278" s="10" t="inlineStr">
        <is>
          <t>Gestión de Riesgo de Crédito</t>
        </is>
      </c>
      <c r="F1278" s="10" t="inlineStr">
        <is>
          <t>-</t>
        </is>
      </c>
      <c r="G1278" s="10" t="inlineStr">
        <is>
          <t>Consolidación de la información</t>
        </is>
      </c>
      <c r="H1278" s="10" t="inlineStr">
        <is>
          <t>Reporte de Alturas de Vida</t>
        </is>
      </c>
      <c r="I1278" s="10" t="inlineStr">
        <is>
          <t>Herramienta de matriz de cosecha en excel</t>
        </is>
      </c>
      <c r="J1278" s="10" t="inlineStr">
        <is>
          <t>GERENTE DE RIESGOS</t>
        </is>
      </c>
      <c r="K1278" s="10" t="inlineStr">
        <is>
          <t>ANALISTA DE RIESGO DE CREDITO</t>
        </is>
      </c>
      <c r="L1278" s="10" t="inlineStr">
        <is>
          <t>UBICACIÓN DIGITAL-EQUIPO DEL RESPONSABLE</t>
        </is>
      </c>
      <c r="M1278" s="10" t="inlineStr">
        <is>
          <t>DOCUMENTO DE ARCHIVO-ELECTRÓNICO</t>
        </is>
      </c>
      <c r="N1278" s="10" t="inlineStr">
        <is>
          <t>PRIMARIOS</t>
        </is>
      </c>
      <c r="O1278" s="10" t="inlineStr">
        <is>
          <t>DOCUMENTOS TÉCNICOS</t>
        </is>
      </c>
      <c r="P1278" s="10" t="inlineStr">
        <is>
          <t>PUBLICA(1)</t>
        </is>
      </c>
      <c r="Q1278" s="10" t="inlineStr">
        <is>
          <t>ALTA(3)</t>
        </is>
      </c>
      <c r="R1278" s="10" t="inlineStr">
        <is>
          <t>MEDIA(2)</t>
        </is>
      </c>
      <c r="S1278" s="10">
        <f>+(IF(P1278="PUBLICA(1)",1,IF(P1278="USO INTERNO(2)",2,IF(P1278="RESTRINGIDO(3)",3,3))))+(IF(Q1278="BAJA(1)",1,IF(Q1278="MEDIA(2)",2,IF(Q1278="ALTA(3)",3,3))))+(IF(R1278="BAJA(1)",1,IF(R1278="MEDIA(2)",2,IF(R1278="ALTA(3)",3,3))))</f>
        <v/>
      </c>
      <c r="T1278" s="10">
        <f>+IF(S1278&lt;6,"BAJA",IF(S1278&lt;8,"MEDIA","ALTA"))</f>
        <v/>
      </c>
      <c r="U1278" s="10" t="inlineStr">
        <is>
          <t>-</t>
        </is>
      </c>
      <c r="V1278" s="24" t="n">
        <v>45618</v>
      </c>
      <c r="W1278" s="19" t="inlineStr">
        <is>
          <t>N/A</t>
        </is>
      </c>
      <c r="X1278" s="10">
        <f>+IFERROR(IF(VLOOKUP(Tabla2[[#This Row],[ID]],'EVALUACION DE RIESGO'!A:A,1,FALSE)=Tabla2[[#This Row],[ID]],"SI","NO"),"NO")</f>
        <v/>
      </c>
      <c r="AD1278">
        <f>IF(AND(Y1278="",AA1278=""),"",IF(OR(LEFT(AA1278,2)="L0",LEFT(AA1278,2)="L1",Y1278="No Iniciado"),"CRÍTICO - Incumplimiento Normativo SEPS",IF(AND(OR(LEFT(AA1278,2)="L4",LEFT(AA1278,2)="L5"),AND(AC1278&lt;&gt;"",AC1278&lt;&gt;"N/A")),"CONFORME - Control Efectivo ISO 27001","OBSERVACIÓN - Revisar Controles")))</f>
        <v/>
      </c>
    </row>
    <row r="1279">
      <c r="A1279" s="99" t="inlineStr">
        <is>
          <t>257-GRI</t>
        </is>
      </c>
      <c r="B1279" s="10" t="inlineStr">
        <is>
          <t>ESTRATÉGICO</t>
        </is>
      </c>
      <c r="C1279" s="10" t="inlineStr">
        <is>
          <t>Gestión de Riesgos</t>
        </is>
      </c>
      <c r="D1279" s="10" t="inlineStr">
        <is>
          <t>GRI</t>
        </is>
      </c>
      <c r="E1279" s="10" t="inlineStr">
        <is>
          <t>Gestión de Riesgo de Crédito</t>
        </is>
      </c>
      <c r="F1279" s="10" t="inlineStr">
        <is>
          <t>-</t>
        </is>
      </c>
      <c r="G1279" s="10" t="inlineStr">
        <is>
          <t>Consolidación de la información</t>
        </is>
      </c>
      <c r="H1279" s="10" t="inlineStr">
        <is>
          <t>Resumen de Cumplimiento de políticas y normativa interna</t>
        </is>
      </c>
      <c r="I1279" s="10" t="inlineStr">
        <is>
          <t>Hoja de trabajo</t>
        </is>
      </c>
      <c r="J1279" s="10" t="inlineStr">
        <is>
          <t>GERENTE DE RIESGOS</t>
        </is>
      </c>
      <c r="K1279" s="10" t="inlineStr">
        <is>
          <t>ANALISTA DE RIESGO DE CREDITO</t>
        </is>
      </c>
      <c r="L1279" s="10" t="inlineStr">
        <is>
          <t>UBICACIÓN DIGITAL-EQUIPO DEL RESPONSABLE</t>
        </is>
      </c>
      <c r="M1279" s="10" t="inlineStr">
        <is>
          <t>DOCUMENTO DE ARCHIVO-ELECTRÓNICO</t>
        </is>
      </c>
      <c r="N1279" s="10" t="inlineStr">
        <is>
          <t>PRIMARIOS</t>
        </is>
      </c>
      <c r="O1279" s="10" t="inlineStr">
        <is>
          <t>DOCUMENTOS TÉCNICOS</t>
        </is>
      </c>
      <c r="P1279" s="10" t="inlineStr">
        <is>
          <t>PUBLICA(1)</t>
        </is>
      </c>
      <c r="Q1279" s="10" t="inlineStr">
        <is>
          <t>ALTA(3)</t>
        </is>
      </c>
      <c r="R1279" s="10" t="inlineStr">
        <is>
          <t>MEDIA(2)</t>
        </is>
      </c>
      <c r="S1279" s="10">
        <f>+(IF(P1279="PUBLICA(1)",1,IF(P1279="USO INTERNO(2)",2,IF(P1279="RESTRINGIDO(3)",3,3))))+(IF(Q1279="BAJA(1)",1,IF(Q1279="MEDIA(2)",2,IF(Q1279="ALTA(3)",3,3))))+(IF(R1279="BAJA(1)",1,IF(R1279="MEDIA(2)",2,IF(R1279="ALTA(3)",3,3))))</f>
        <v/>
      </c>
      <c r="T1279" s="10">
        <f>+IF(S1279&lt;6,"BAJA",IF(S1279&lt;8,"MEDIA","ALTA"))</f>
        <v/>
      </c>
      <c r="U1279" s="10" t="inlineStr">
        <is>
          <t>-</t>
        </is>
      </c>
      <c r="V1279" s="24" t="n">
        <v>45618</v>
      </c>
      <c r="W1279" s="19" t="inlineStr">
        <is>
          <t>N/A</t>
        </is>
      </c>
      <c r="X1279" s="10">
        <f>+IFERROR(IF(VLOOKUP(Tabla2[[#This Row],[ID]],'EVALUACION DE RIESGO'!A:A,1,FALSE)=Tabla2[[#This Row],[ID]],"SI","NO"),"NO")</f>
        <v/>
      </c>
      <c r="AD1279">
        <f>IF(AND(Y1279="",AA1279=""),"",IF(OR(LEFT(AA1279,2)="L0",LEFT(AA1279,2)="L1",Y1279="No Iniciado"),"CRÍTICO - Incumplimiento Normativo SEPS",IF(AND(OR(LEFT(AA1279,2)="L4",LEFT(AA1279,2)="L5"),AND(AC1279&lt;&gt;"",AC1279&lt;&gt;"N/A")),"CONFORME - Control Efectivo ISO 27001","OBSERVACIÓN - Revisar Controles")))</f>
        <v/>
      </c>
    </row>
    <row r="1280">
      <c r="A1280" s="99" t="inlineStr">
        <is>
          <t>258-GRI</t>
        </is>
      </c>
      <c r="B1280" s="10" t="inlineStr">
        <is>
          <t>ESTRATÉGICO</t>
        </is>
      </c>
      <c r="C1280" s="10" t="inlineStr">
        <is>
          <t>Gestión de Riesgos</t>
        </is>
      </c>
      <c r="D1280" s="10" t="inlineStr">
        <is>
          <t>GRI</t>
        </is>
      </c>
      <c r="E1280" s="10" t="inlineStr">
        <is>
          <t>Gestión de Riesgo de Crédito</t>
        </is>
      </c>
      <c r="F1280" s="10" t="inlineStr">
        <is>
          <t>-</t>
        </is>
      </c>
      <c r="G1280" s="10" t="inlineStr">
        <is>
          <t>Consolidación de la información</t>
        </is>
      </c>
      <c r="H1280" s="10" t="inlineStr">
        <is>
          <t xml:space="preserve">Reporte de Vinculados </t>
        </is>
      </c>
      <c r="I1280" s="10" t="inlineStr">
        <is>
          <t>Reporte</t>
        </is>
      </c>
      <c r="J1280" s="10" t="inlineStr">
        <is>
          <t>GERENTE DE RIESGOS</t>
        </is>
      </c>
      <c r="K1280" s="10" t="inlineStr">
        <is>
          <t>ANALISTA DE RIESGO DE CREDITO</t>
        </is>
      </c>
      <c r="L1280" s="10" t="inlineStr">
        <is>
          <t>UBICACIÓN DIGITAL-EQUIPO DEL RESPONSABLE</t>
        </is>
      </c>
      <c r="M1280" s="10" t="inlineStr">
        <is>
          <t>DOCUMENTO DE ARCHIVO-ELECTRÓNICO</t>
        </is>
      </c>
      <c r="N1280" s="10" t="inlineStr">
        <is>
          <t>PRIMARIOS</t>
        </is>
      </c>
      <c r="O1280" s="10" t="inlineStr">
        <is>
          <t>DOCUMENTOS TÉCNICOS</t>
        </is>
      </c>
      <c r="P1280" s="10" t="inlineStr">
        <is>
          <t>PUBLICA(1)</t>
        </is>
      </c>
      <c r="Q1280" s="10" t="inlineStr">
        <is>
          <t>ALTA(3)</t>
        </is>
      </c>
      <c r="R1280" s="10" t="inlineStr">
        <is>
          <t>MEDIA(2)</t>
        </is>
      </c>
      <c r="S1280" s="10">
        <f>+(IF(P1280="PUBLICA(1)",1,IF(P1280="USO INTERNO(2)",2,IF(P1280="RESTRINGIDO(3)",3,3))))+(IF(Q1280="BAJA(1)",1,IF(Q1280="MEDIA(2)",2,IF(Q1280="ALTA(3)",3,3))))+(IF(R1280="BAJA(1)",1,IF(R1280="MEDIA(2)",2,IF(R1280="ALTA(3)",3,3))))</f>
        <v/>
      </c>
      <c r="T1280" s="10">
        <f>+IF(S1280&lt;6,"BAJA",IF(S1280&lt;8,"MEDIA","ALTA"))</f>
        <v/>
      </c>
      <c r="U1280" s="10" t="inlineStr">
        <is>
          <t>-</t>
        </is>
      </c>
      <c r="V1280" s="24" t="n">
        <v>45617</v>
      </c>
      <c r="W1280" s="19" t="inlineStr">
        <is>
          <t>N/A</t>
        </is>
      </c>
      <c r="X1280" s="10">
        <f>+IFERROR(IF(VLOOKUP(Tabla2[[#This Row],[ID]],'EVALUACION DE RIESGO'!A:A,1,FALSE)=Tabla2[[#This Row],[ID]],"SI","NO"),"NO")</f>
        <v/>
      </c>
      <c r="AD1280">
        <f>IF(AND(Y1280="",AA1280=""),"",IF(OR(LEFT(AA1280,2)="L0",LEFT(AA1280,2)="L1",Y1280="No Iniciado"),"CRÍTICO - Incumplimiento Normativo SEPS",IF(AND(OR(LEFT(AA1280,2)="L4",LEFT(AA1280,2)="L5"),AND(AC1280&lt;&gt;"",AC1280&lt;&gt;"N/A")),"CONFORME - Control Efectivo ISO 27001","OBSERVACIÓN - Revisar Controles")))</f>
        <v/>
      </c>
    </row>
    <row r="1281">
      <c r="A1281" s="99" t="inlineStr">
        <is>
          <t>259-GRI</t>
        </is>
      </c>
      <c r="B1281" s="10" t="inlineStr">
        <is>
          <t>ESTRATÉGICO</t>
        </is>
      </c>
      <c r="C1281" s="10" t="inlineStr">
        <is>
          <t>Gestión de Riesgos</t>
        </is>
      </c>
      <c r="D1281" s="10" t="inlineStr">
        <is>
          <t>GRI</t>
        </is>
      </c>
      <c r="E1281" s="10" t="inlineStr">
        <is>
          <t>Gestión de Riesgo de Crédito</t>
        </is>
      </c>
      <c r="F1281" s="10" t="inlineStr">
        <is>
          <t>-</t>
        </is>
      </c>
      <c r="G1281" s="10" t="inlineStr">
        <is>
          <t>Consolidación de la información</t>
        </is>
      </c>
      <c r="H1281" s="10" t="inlineStr">
        <is>
          <t xml:space="preserve">Reporte de validación del listado 250 </t>
        </is>
      </c>
      <c r="I1281" s="10" t="inlineStr">
        <is>
          <t>Hoja de trabajo</t>
        </is>
      </c>
      <c r="J1281" s="10" t="inlineStr">
        <is>
          <t>GERENTE DE RIESGOS</t>
        </is>
      </c>
      <c r="K1281" s="10" t="inlineStr">
        <is>
          <t>ANALISTA DE RIESGO DE CREDITO</t>
        </is>
      </c>
      <c r="L1281" s="10" t="inlineStr">
        <is>
          <t>UBICACIÓN DIGITAL-EQUIPO DEL RESPONSABLE</t>
        </is>
      </c>
      <c r="M1281" s="10" t="inlineStr">
        <is>
          <t>DOCUMENTO DE ARCHIVO-ELECTRÓNICO</t>
        </is>
      </c>
      <c r="N1281" s="10" t="inlineStr">
        <is>
          <t>PRIMARIOS</t>
        </is>
      </c>
      <c r="O1281" s="10" t="inlineStr">
        <is>
          <t>DOCUMENTOS TÉCNICOS</t>
        </is>
      </c>
      <c r="P1281" s="10" t="inlineStr">
        <is>
          <t>PUBLICA(1)</t>
        </is>
      </c>
      <c r="Q1281" s="10" t="inlineStr">
        <is>
          <t>ALTA(3)</t>
        </is>
      </c>
      <c r="R1281" s="10" t="inlineStr">
        <is>
          <t>MEDIA(2)</t>
        </is>
      </c>
      <c r="S1281" s="10">
        <f>+(IF(P1281="PUBLICA(1)",1,IF(P1281="USO INTERNO(2)",2,IF(P1281="RESTRINGIDO(3)",3,3))))+(IF(Q1281="BAJA(1)",1,IF(Q1281="MEDIA(2)",2,IF(Q1281="ALTA(3)",3,3))))+(IF(R1281="BAJA(1)",1,IF(R1281="MEDIA(2)",2,IF(R1281="ALTA(3)",3,3))))</f>
        <v/>
      </c>
      <c r="T1281" s="10">
        <f>+IF(S1281&lt;6,"BAJA",IF(S1281&lt;8,"MEDIA","ALTA"))</f>
        <v/>
      </c>
      <c r="U1281" s="10" t="inlineStr">
        <is>
          <t>-</t>
        </is>
      </c>
      <c r="V1281" s="24" t="n">
        <v>45618</v>
      </c>
      <c r="W1281" s="19" t="inlineStr">
        <is>
          <t>N/A</t>
        </is>
      </c>
      <c r="X1281" s="10">
        <f>+IFERROR(IF(VLOOKUP(Tabla2[[#This Row],[ID]],'EVALUACION DE RIESGO'!A:A,1,FALSE)=Tabla2[[#This Row],[ID]],"SI","NO"),"NO")</f>
        <v/>
      </c>
      <c r="AD1281">
        <f>IF(AND(Y1281="",AA1281=""),"",IF(OR(LEFT(AA1281,2)="L0",LEFT(AA1281,2)="L1",Y1281="No Iniciado"),"CRÍTICO - Incumplimiento Normativo SEPS",IF(AND(OR(LEFT(AA1281,2)="L4",LEFT(AA1281,2)="L5"),AND(AC1281&lt;&gt;"",AC1281&lt;&gt;"N/A")),"CONFORME - Control Efectivo ISO 27001","OBSERVACIÓN - Revisar Controles")))</f>
        <v/>
      </c>
    </row>
    <row r="1282">
      <c r="A1282" s="99" t="inlineStr">
        <is>
          <t>260-GRI</t>
        </is>
      </c>
      <c r="B1282" s="10" t="inlineStr">
        <is>
          <t>ESTRATÉGICO</t>
        </is>
      </c>
      <c r="C1282" s="10" t="inlineStr">
        <is>
          <t>Gestión de Riesgos</t>
        </is>
      </c>
      <c r="D1282" s="10" t="inlineStr">
        <is>
          <t>GRI</t>
        </is>
      </c>
      <c r="E1282" s="10" t="inlineStr">
        <is>
          <t>Gestión de Riesgo de Crédito</t>
        </is>
      </c>
      <c r="F1282" s="10" t="inlineStr">
        <is>
          <t>-</t>
        </is>
      </c>
      <c r="G1282" s="10" t="inlineStr">
        <is>
          <t>Consolidación de la información</t>
        </is>
      </c>
      <c r="H1282" s="10" t="inlineStr">
        <is>
          <t>Reporte de Seguimiento Reestr-Ref</t>
        </is>
      </c>
      <c r="I1282" s="10" t="inlineStr">
        <is>
          <t>Hoja de trabajo</t>
        </is>
      </c>
      <c r="J1282" s="10" t="inlineStr">
        <is>
          <t>GERENTE DE RIESGOS</t>
        </is>
      </c>
      <c r="K1282" s="10" t="inlineStr">
        <is>
          <t>ANALISTA DE RIESGO DE CREDITO</t>
        </is>
      </c>
      <c r="L1282" s="10" t="inlineStr">
        <is>
          <t>UBICACIÓN DIGITAL-EQUIPO DEL RESPONSABLE</t>
        </is>
      </c>
      <c r="M1282" s="10" t="inlineStr">
        <is>
          <t>DOCUMENTO DE ARCHIVO-ELECTRÓNICO</t>
        </is>
      </c>
      <c r="N1282" s="10" t="inlineStr">
        <is>
          <t>PRIMARIOS</t>
        </is>
      </c>
      <c r="O1282" s="10" t="inlineStr">
        <is>
          <t>DOCUMENTOS TÉCNICOS</t>
        </is>
      </c>
      <c r="P1282" s="10" t="inlineStr">
        <is>
          <t>PUBLICA(1)</t>
        </is>
      </c>
      <c r="Q1282" s="10" t="inlineStr">
        <is>
          <t>ALTA(3)</t>
        </is>
      </c>
      <c r="R1282" s="10" t="inlineStr">
        <is>
          <t>MEDIA(2)</t>
        </is>
      </c>
      <c r="S1282" s="10">
        <f>+(IF(P1282="PUBLICA(1)",1,IF(P1282="USO INTERNO(2)",2,IF(P1282="RESTRINGIDO(3)",3,3))))+(IF(Q1282="BAJA(1)",1,IF(Q1282="MEDIA(2)",2,IF(Q1282="ALTA(3)",3,3))))+(IF(R1282="BAJA(1)",1,IF(R1282="MEDIA(2)",2,IF(R1282="ALTA(3)",3,3))))</f>
        <v/>
      </c>
      <c r="T1282" s="10">
        <f>+IF(S1282&lt;6,"BAJA",IF(S1282&lt;8,"MEDIA","ALTA"))</f>
        <v/>
      </c>
      <c r="U1282" s="10" t="inlineStr">
        <is>
          <t>-</t>
        </is>
      </c>
      <c r="V1282" s="24" t="n">
        <v>45618</v>
      </c>
      <c r="W1282" s="19" t="inlineStr">
        <is>
          <t>N/A</t>
        </is>
      </c>
      <c r="X1282" s="10">
        <f>+IFERROR(IF(VLOOKUP(Tabla2[[#This Row],[ID]],'EVALUACION DE RIESGO'!A:A,1,FALSE)=Tabla2[[#This Row],[ID]],"SI","NO"),"NO")</f>
        <v/>
      </c>
      <c r="AD1282">
        <f>IF(AND(Y1282="",AA1282=""),"",IF(OR(LEFT(AA1282,2)="L0",LEFT(AA1282,2)="L1",Y1282="No Iniciado"),"CRÍTICO - Incumplimiento Normativo SEPS",IF(AND(OR(LEFT(AA1282,2)="L4",LEFT(AA1282,2)="L5"),AND(AC1282&lt;&gt;"",AC1282&lt;&gt;"N/A")),"CONFORME - Control Efectivo ISO 27001","OBSERVACIÓN - Revisar Controles")))</f>
        <v/>
      </c>
    </row>
    <row r="1283">
      <c r="A1283" s="99" t="inlineStr">
        <is>
          <t>261-GRI</t>
        </is>
      </c>
      <c r="B1283" s="10" t="inlineStr">
        <is>
          <t>ESTRATÉGICO</t>
        </is>
      </c>
      <c r="C1283" s="10" t="inlineStr">
        <is>
          <t>Gestión de Riesgos</t>
        </is>
      </c>
      <c r="D1283" s="10" t="inlineStr">
        <is>
          <t>GRI</t>
        </is>
      </c>
      <c r="E1283" s="10" t="inlineStr">
        <is>
          <t>Gestión de Riesgo de Crédito</t>
        </is>
      </c>
      <c r="F1283" s="10" t="inlineStr">
        <is>
          <t>-</t>
        </is>
      </c>
      <c r="G1283" s="10" t="inlineStr">
        <is>
          <t>Consolidación de la información</t>
        </is>
      </c>
      <c r="H1283" s="10" t="inlineStr">
        <is>
          <t>Reporte de Alertas Tempranas de Crédito</t>
        </is>
      </c>
      <c r="I1283" s="10" t="inlineStr">
        <is>
          <t>Herramienta de alertas tempranas en excel</t>
        </is>
      </c>
      <c r="J1283" s="10" t="inlineStr">
        <is>
          <t>GERENTE DE RIESGOS</t>
        </is>
      </c>
      <c r="K1283" s="10" t="inlineStr">
        <is>
          <t>ANALISTA DE RIESGO DE CREDITO</t>
        </is>
      </c>
      <c r="L1283" s="10" t="inlineStr">
        <is>
          <t>UBICACIÓN DIGITAL-EQUIPO DEL RESPONSABLE</t>
        </is>
      </c>
      <c r="M1283" s="10" t="inlineStr">
        <is>
          <t>DOCUMENTO DE ARCHIVO-ELECTRÓNICO</t>
        </is>
      </c>
      <c r="N1283" s="10" t="inlineStr">
        <is>
          <t>PRIMARIOS</t>
        </is>
      </c>
      <c r="O1283" s="10" t="inlineStr">
        <is>
          <t>DOCUMENTOS TÉCNICOS</t>
        </is>
      </c>
      <c r="P1283" s="10" t="inlineStr">
        <is>
          <t>PUBLICA(1)</t>
        </is>
      </c>
      <c r="Q1283" s="10" t="inlineStr">
        <is>
          <t>ALTA(3)</t>
        </is>
      </c>
      <c r="R1283" s="10" t="inlineStr">
        <is>
          <t>MEDIA(2)</t>
        </is>
      </c>
      <c r="S1283" s="10">
        <f>+(IF(P1283="PUBLICA(1)",1,IF(P1283="USO INTERNO(2)",2,IF(P1283="RESTRINGIDO(3)",3,3))))+(IF(Q1283="BAJA(1)",1,IF(Q1283="MEDIA(2)",2,IF(Q1283="ALTA(3)",3,3))))+(IF(R1283="BAJA(1)",1,IF(R1283="MEDIA(2)",2,IF(R1283="ALTA(3)",3,3))))</f>
        <v/>
      </c>
      <c r="T1283" s="10">
        <f>+IF(S1283&lt;6,"BAJA",IF(S1283&lt;8,"MEDIA","ALTA"))</f>
        <v/>
      </c>
      <c r="U1283" s="10" t="inlineStr">
        <is>
          <t>-</t>
        </is>
      </c>
      <c r="V1283" s="24" t="n">
        <v>45617</v>
      </c>
      <c r="W1283" s="19" t="inlineStr">
        <is>
          <t>N/A</t>
        </is>
      </c>
      <c r="X1283" s="10">
        <f>+IFERROR(IF(VLOOKUP(Tabla2[[#This Row],[ID]],'EVALUACION DE RIESGO'!A:A,1,FALSE)=Tabla2[[#This Row],[ID]],"SI","NO"),"NO")</f>
        <v/>
      </c>
      <c r="AD1283">
        <f>IF(AND(Y1283="",AA1283=""),"",IF(OR(LEFT(AA1283,2)="L0",LEFT(AA1283,2)="L1",Y1283="No Iniciado"),"CRÍTICO - Incumplimiento Normativo SEPS",IF(AND(OR(LEFT(AA1283,2)="L4",LEFT(AA1283,2)="L5"),AND(AC1283&lt;&gt;"",AC1283&lt;&gt;"N/A")),"CONFORME - Control Efectivo ISO 27001","OBSERVACIÓN - Revisar Controles")))</f>
        <v/>
      </c>
    </row>
    <row r="1284">
      <c r="A1284" s="99" t="inlineStr">
        <is>
          <t>262-GRI</t>
        </is>
      </c>
      <c r="B1284" s="10" t="inlineStr">
        <is>
          <t>ESTRATÉGICO</t>
        </is>
      </c>
      <c r="C1284" s="10" t="inlineStr">
        <is>
          <t>Gestión de Riesgos</t>
        </is>
      </c>
      <c r="D1284" s="10" t="inlineStr">
        <is>
          <t>GRI</t>
        </is>
      </c>
      <c r="E1284" s="10" t="inlineStr">
        <is>
          <t>Gestión de Riesgo de Crédito</t>
        </is>
      </c>
      <c r="F1284" s="10" t="inlineStr">
        <is>
          <t>-</t>
        </is>
      </c>
      <c r="G1284" s="10" t="inlineStr">
        <is>
          <t>Consolidación de la información</t>
        </is>
      </c>
      <c r="H1284" s="10" t="inlineStr">
        <is>
          <t>Balances Mensuales</t>
        </is>
      </c>
      <c r="I1284" s="10" t="inlineStr">
        <is>
          <t>Balance</t>
        </is>
      </c>
      <c r="J1284" s="10" t="inlineStr">
        <is>
          <t>GERENTE DE RIESGOS</t>
        </is>
      </c>
      <c r="K1284" s="10" t="inlineStr">
        <is>
          <t>ANALISTA DE RIESGO DE CREDITO</t>
        </is>
      </c>
      <c r="L1284" s="10" t="inlineStr">
        <is>
          <t>UBICACIÓN DIGITAL-EQUIPO DEL RESPONSABLE</t>
        </is>
      </c>
      <c r="M1284" s="10" t="inlineStr">
        <is>
          <t>DOCUMENTO DE ARCHIVO-ELECTRÓNICO</t>
        </is>
      </c>
      <c r="N1284" s="10" t="inlineStr">
        <is>
          <t>PRIMARIOS</t>
        </is>
      </c>
      <c r="O1284" s="10" t="inlineStr">
        <is>
          <t>DOCUMENTOS TÉCNICOS</t>
        </is>
      </c>
      <c r="P1284" s="10" t="inlineStr">
        <is>
          <t>PUBLICA(1)</t>
        </is>
      </c>
      <c r="Q1284" s="10" t="inlineStr">
        <is>
          <t>ALTA(3)</t>
        </is>
      </c>
      <c r="R1284" s="10" t="inlineStr">
        <is>
          <t>MEDIA(2)</t>
        </is>
      </c>
      <c r="S1284" s="10">
        <f>+(IF(P1284="PUBLICA(1)",1,IF(P1284="USO INTERNO(2)",2,IF(P1284="RESTRINGIDO(3)",3,3))))+(IF(Q1284="BAJA(1)",1,IF(Q1284="MEDIA(2)",2,IF(Q1284="ALTA(3)",3,3))))+(IF(R1284="BAJA(1)",1,IF(R1284="MEDIA(2)",2,IF(R1284="ALTA(3)",3,3))))</f>
        <v/>
      </c>
      <c r="T1284" s="10">
        <f>+IF(S1284&lt;6,"BAJA",IF(S1284&lt;8,"MEDIA","ALTA"))</f>
        <v/>
      </c>
      <c r="U1284" s="10" t="inlineStr">
        <is>
          <t>-</t>
        </is>
      </c>
      <c r="V1284" s="24" t="n">
        <v>45618</v>
      </c>
      <c r="W1284" s="19" t="inlineStr">
        <is>
          <t>N/A</t>
        </is>
      </c>
      <c r="X1284" s="10">
        <f>+IFERROR(IF(VLOOKUP(Tabla2[[#This Row],[ID]],'EVALUACION DE RIESGO'!A:A,1,FALSE)=Tabla2[[#This Row],[ID]],"SI","NO"),"NO")</f>
        <v/>
      </c>
      <c r="AD1284">
        <f>IF(AND(Y1284="",AA1284=""),"",IF(OR(LEFT(AA1284,2)="L0",LEFT(AA1284,2)="L1",Y1284="No Iniciado"),"CRÍTICO - Incumplimiento Normativo SEPS",IF(AND(OR(LEFT(AA1284,2)="L4",LEFT(AA1284,2)="L5"),AND(AC1284&lt;&gt;"",AC1284&lt;&gt;"N/A")),"CONFORME - Control Efectivo ISO 27001","OBSERVACIÓN - Revisar Controles")))</f>
        <v/>
      </c>
    </row>
    <row r="1285">
      <c r="A1285" s="99" t="inlineStr">
        <is>
          <t>263-GRI</t>
        </is>
      </c>
      <c r="B1285" s="10" t="inlineStr">
        <is>
          <t>ESTRATÉGICO</t>
        </is>
      </c>
      <c r="C1285" s="10" t="inlineStr">
        <is>
          <t>Gestión de Riesgos</t>
        </is>
      </c>
      <c r="D1285" s="10" t="inlineStr">
        <is>
          <t>GRI</t>
        </is>
      </c>
      <c r="E1285" s="10" t="inlineStr">
        <is>
          <t>Gestión de Riesgo de Crédito</t>
        </is>
      </c>
      <c r="F1285" s="10" t="inlineStr">
        <is>
          <t>-</t>
        </is>
      </c>
      <c r="G1285" s="10" t="inlineStr">
        <is>
          <t>Consolidación de la información</t>
        </is>
      </c>
      <c r="H1285" s="10" t="inlineStr">
        <is>
          <t>Reporte Seguimiento de Límites</t>
        </is>
      </c>
      <c r="I1285" s="10" t="inlineStr">
        <is>
          <t>Hoja de trabajo</t>
        </is>
      </c>
      <c r="J1285" s="10" t="inlineStr">
        <is>
          <t>GERENTE DE RIESGOS</t>
        </is>
      </c>
      <c r="K1285" s="10" t="inlineStr">
        <is>
          <t>ANALISTA DE RIESGO DE CREDITO</t>
        </is>
      </c>
      <c r="L1285" s="10" t="inlineStr">
        <is>
          <t>UBICACIÓN DIGITAL-EQUIPO DEL RESPONSABLE</t>
        </is>
      </c>
      <c r="M1285" s="10" t="inlineStr">
        <is>
          <t>DOCUMENTO DE ARCHIVO-ELECTRÓNICO</t>
        </is>
      </c>
      <c r="N1285" s="10" t="inlineStr">
        <is>
          <t>PRIMARIOS</t>
        </is>
      </c>
      <c r="O1285" s="10" t="inlineStr">
        <is>
          <t>DOCUMENTOS TÉCNICOS</t>
        </is>
      </c>
      <c r="P1285" s="10" t="inlineStr">
        <is>
          <t>PUBLICA(1)</t>
        </is>
      </c>
      <c r="Q1285" s="10" t="inlineStr">
        <is>
          <t>ALTA(3)</t>
        </is>
      </c>
      <c r="R1285" s="10" t="inlineStr">
        <is>
          <t>MEDIA(2)</t>
        </is>
      </c>
      <c r="S1285" s="10">
        <f>+(IF(P1285="PUBLICA(1)",1,IF(P1285="USO INTERNO(2)",2,IF(P1285="RESTRINGIDO(3)",3,3))))+(IF(Q1285="BAJA(1)",1,IF(Q1285="MEDIA(2)",2,IF(Q1285="ALTA(3)",3,3))))+(IF(R1285="BAJA(1)",1,IF(R1285="MEDIA(2)",2,IF(R1285="ALTA(3)",3,3))))</f>
        <v/>
      </c>
      <c r="T1285" s="10">
        <f>+IF(S1285&lt;6,"BAJA",IF(S1285&lt;8,"MEDIA","ALTA"))</f>
        <v/>
      </c>
      <c r="U1285" s="10" t="inlineStr">
        <is>
          <t>-</t>
        </is>
      </c>
      <c r="V1285" s="24" t="n">
        <v>45617</v>
      </c>
      <c r="W1285" s="19" t="inlineStr">
        <is>
          <t>N/A</t>
        </is>
      </c>
      <c r="X1285" s="10">
        <f>+IFERROR(IF(VLOOKUP(Tabla2[[#This Row],[ID]],'EVALUACION DE RIESGO'!A:A,1,FALSE)=Tabla2[[#This Row],[ID]],"SI","NO"),"NO")</f>
        <v/>
      </c>
      <c r="AD1285">
        <f>IF(AND(Y1285="",AA1285=""),"",IF(OR(LEFT(AA1285,2)="L0",LEFT(AA1285,2)="L1",Y1285="No Iniciado"),"CRÍTICO - Incumplimiento Normativo SEPS",IF(AND(OR(LEFT(AA1285,2)="L4",LEFT(AA1285,2)="L5"),AND(AC1285&lt;&gt;"",AC1285&lt;&gt;"N/A")),"CONFORME - Control Efectivo ISO 27001","OBSERVACIÓN - Revisar Controles")))</f>
        <v/>
      </c>
    </row>
    <row r="1286">
      <c r="A1286" s="99" t="inlineStr">
        <is>
          <t>264-GRI</t>
        </is>
      </c>
      <c r="B1286" s="10" t="inlineStr">
        <is>
          <t>ESTRATÉGICO</t>
        </is>
      </c>
      <c r="C1286" s="10" t="inlineStr">
        <is>
          <t>Gestión de Riesgos</t>
        </is>
      </c>
      <c r="D1286" s="10" t="inlineStr">
        <is>
          <t>GRI</t>
        </is>
      </c>
      <c r="E1286" s="10" t="inlineStr">
        <is>
          <t>Gestión de Riesgo de Crédito</t>
        </is>
      </c>
      <c r="F1286" s="10" t="inlineStr">
        <is>
          <t>-</t>
        </is>
      </c>
      <c r="G1286" s="10" t="inlineStr">
        <is>
          <t>Consolidación de la información</t>
        </is>
      </c>
      <c r="H1286" s="10" t="inlineStr">
        <is>
          <t>Reporte Credireport</t>
        </is>
      </c>
      <c r="I1286" s="10" t="inlineStr">
        <is>
          <t>Reporte</t>
        </is>
      </c>
      <c r="J1286" s="10" t="inlineStr">
        <is>
          <t>GERENTE DE RIESGOS</t>
        </is>
      </c>
      <c r="K1286" s="10" t="inlineStr">
        <is>
          <t>ANALISTA DE RIESGO DE CREDITO</t>
        </is>
      </c>
      <c r="L1286" s="10" t="inlineStr">
        <is>
          <t>UBICACIÓN DIGITAL-EQUIPO DEL RESPONSABLE</t>
        </is>
      </c>
      <c r="M1286" s="10" t="inlineStr">
        <is>
          <t>DOCUMENTO DE ARCHIVO-ELECTRÓNICO</t>
        </is>
      </c>
      <c r="N1286" s="10" t="inlineStr">
        <is>
          <t>PRIMARIOS</t>
        </is>
      </c>
      <c r="O1286" s="10" t="inlineStr">
        <is>
          <t>DOCUMENTOS TÉCNICOS</t>
        </is>
      </c>
      <c r="P1286" s="10" t="inlineStr">
        <is>
          <t>PUBLICA(1)</t>
        </is>
      </c>
      <c r="Q1286" s="10" t="inlineStr">
        <is>
          <t>ALTA(3)</t>
        </is>
      </c>
      <c r="R1286" s="10" t="inlineStr">
        <is>
          <t>MEDIA(2)</t>
        </is>
      </c>
      <c r="S1286" s="10">
        <f>+(IF(P1286="PUBLICA(1)",1,IF(P1286="USO INTERNO(2)",2,IF(P1286="RESTRINGIDO(3)",3,3))))+(IF(Q1286="BAJA(1)",1,IF(Q1286="MEDIA(2)",2,IF(Q1286="ALTA(3)",3,3))))+(IF(R1286="BAJA(1)",1,IF(R1286="MEDIA(2)",2,IF(R1286="ALTA(3)",3,3))))</f>
        <v/>
      </c>
      <c r="T1286" s="10">
        <f>+IF(S1286&lt;6,"BAJA",IF(S1286&lt;8,"MEDIA","ALTA"))</f>
        <v/>
      </c>
      <c r="U1286" s="10" t="inlineStr">
        <is>
          <t>-</t>
        </is>
      </c>
      <c r="V1286" s="24" t="n">
        <v>45618</v>
      </c>
      <c r="W1286" s="19" t="inlineStr">
        <is>
          <t>N/A</t>
        </is>
      </c>
      <c r="X1286" s="10">
        <f>+IFERROR(IF(VLOOKUP(Tabla2[[#This Row],[ID]],'EVALUACION DE RIESGO'!A:A,1,FALSE)=Tabla2[[#This Row],[ID]],"SI","NO"),"NO")</f>
        <v/>
      </c>
      <c r="AD1286">
        <f>IF(AND(Y1286="",AA1286=""),"",IF(OR(LEFT(AA1286,2)="L0",LEFT(AA1286,2)="L1",Y1286="No Iniciado"),"CRÍTICO - Incumplimiento Normativo SEPS",IF(AND(OR(LEFT(AA1286,2)="L4",LEFT(AA1286,2)="L5"),AND(AC1286&lt;&gt;"",AC1286&lt;&gt;"N/A")),"CONFORME - Control Efectivo ISO 27001","OBSERVACIÓN - Revisar Controles")))</f>
        <v/>
      </c>
    </row>
    <row r="1287">
      <c r="A1287" s="99" t="inlineStr">
        <is>
          <t>265-GRI</t>
        </is>
      </c>
      <c r="B1287" s="10" t="inlineStr">
        <is>
          <t>ESTRATÉGICO</t>
        </is>
      </c>
      <c r="C1287" s="10" t="inlineStr">
        <is>
          <t>Gestión de Riesgos</t>
        </is>
      </c>
      <c r="D1287" s="10" t="inlineStr">
        <is>
          <t>GRI</t>
        </is>
      </c>
      <c r="E1287" s="10" t="inlineStr">
        <is>
          <t>Gestión de Riesgo de Crédito</t>
        </is>
      </c>
      <c r="F1287" s="10" t="inlineStr">
        <is>
          <t>-</t>
        </is>
      </c>
      <c r="G1287" s="10" t="inlineStr">
        <is>
          <t>Consolidación de la información</t>
        </is>
      </c>
      <c r="H1287" s="10" t="inlineStr">
        <is>
          <t>Reporte Cartera_vig</t>
        </is>
      </c>
      <c r="I1287" s="10" t="inlineStr">
        <is>
          <t>reporte</t>
        </is>
      </c>
      <c r="J1287" s="10" t="inlineStr">
        <is>
          <t>GERENTE DE RIESGOS</t>
        </is>
      </c>
      <c r="K1287" s="10" t="inlineStr">
        <is>
          <t>ANALISTA DE RIESGO DE CREDITO</t>
        </is>
      </c>
      <c r="L1287" s="10" t="inlineStr">
        <is>
          <t>UBICACIÓN DIGITAL-EQUIPO DEL RESPONSABLE</t>
        </is>
      </c>
      <c r="M1287" s="10" t="inlineStr">
        <is>
          <t>DOCUMENTO DE ARCHIVO-ELECTRÓNICO</t>
        </is>
      </c>
      <c r="N1287" s="10" t="inlineStr">
        <is>
          <t>PRIMARIOS</t>
        </is>
      </c>
      <c r="O1287" s="10" t="inlineStr">
        <is>
          <t>DOCUMENTOS TÉCNICOS</t>
        </is>
      </c>
      <c r="P1287" s="10" t="inlineStr">
        <is>
          <t>PUBLICA(1)</t>
        </is>
      </c>
      <c r="Q1287" s="10" t="inlineStr">
        <is>
          <t>ALTA(3)</t>
        </is>
      </c>
      <c r="R1287" s="10" t="inlineStr">
        <is>
          <t>MEDIA(2)</t>
        </is>
      </c>
      <c r="S1287" s="10">
        <f>+(IF(P1287="PUBLICA(1)",1,IF(P1287="USO INTERNO(2)",2,IF(P1287="RESTRINGIDO(3)",3,3))))+(IF(Q1287="BAJA(1)",1,IF(Q1287="MEDIA(2)",2,IF(Q1287="ALTA(3)",3,3))))+(IF(R1287="BAJA(1)",1,IF(R1287="MEDIA(2)",2,IF(R1287="ALTA(3)",3,3))))</f>
        <v/>
      </c>
      <c r="T1287" s="10">
        <f>+IF(S1287&lt;6,"BAJA",IF(S1287&lt;8,"MEDIA","ALTA"))</f>
        <v/>
      </c>
      <c r="U1287" s="10" t="inlineStr">
        <is>
          <t>-</t>
        </is>
      </c>
      <c r="V1287" s="24" t="n">
        <v>45618</v>
      </c>
      <c r="W1287" s="19" t="inlineStr">
        <is>
          <t>N/A</t>
        </is>
      </c>
      <c r="X1287" s="10">
        <f>+IFERROR(IF(VLOOKUP(Tabla2[[#This Row],[ID]],'EVALUACION DE RIESGO'!A:A,1,FALSE)=Tabla2[[#This Row],[ID]],"SI","NO"),"NO")</f>
        <v/>
      </c>
      <c r="AD1287">
        <f>IF(AND(Y1287="",AA1287=""),"",IF(OR(LEFT(AA1287,2)="L0",LEFT(AA1287,2)="L1",Y1287="No Iniciado"),"CRÍTICO - Incumplimiento Normativo SEPS",IF(AND(OR(LEFT(AA1287,2)="L4",LEFT(AA1287,2)="L5"),AND(AC1287&lt;&gt;"",AC1287&lt;&gt;"N/A")),"CONFORME - Control Efectivo ISO 27001","OBSERVACIÓN - Revisar Controles")))</f>
        <v/>
      </c>
    </row>
    <row r="1288">
      <c r="A1288" s="99" t="inlineStr">
        <is>
          <t>266-GRI</t>
        </is>
      </c>
      <c r="B1288" s="10" t="inlineStr">
        <is>
          <t>ESTRATÉGICO</t>
        </is>
      </c>
      <c r="C1288" s="10" t="inlineStr">
        <is>
          <t>Gestión de Riesgos</t>
        </is>
      </c>
      <c r="D1288" s="10" t="inlineStr">
        <is>
          <t>GRI</t>
        </is>
      </c>
      <c r="E1288" s="10" t="inlineStr">
        <is>
          <t>Gestión de Riesgo de Crédito</t>
        </is>
      </c>
      <c r="F1288" s="10" t="inlineStr">
        <is>
          <t>-</t>
        </is>
      </c>
      <c r="G1288" s="10" t="inlineStr">
        <is>
          <t>Consolidación de la información</t>
        </is>
      </c>
      <c r="H1288" s="10" t="inlineStr">
        <is>
          <t>Indicadores de Riesgos, seguimiento y rentabilidad generados en el Software de Riesgo de Crédito HCRISK</t>
        </is>
      </c>
      <c r="I1288" s="10" t="inlineStr">
        <is>
          <t>Herramienta de Riesgo de Credito</t>
        </is>
      </c>
      <c r="J1288" s="10" t="inlineStr">
        <is>
          <t>GERENTE DE RIESGOS</t>
        </is>
      </c>
      <c r="K1288" s="10" t="inlineStr">
        <is>
          <t>ANALISTA DE RIESGO DE CREDITO</t>
        </is>
      </c>
      <c r="L1288" s="10" t="inlineStr">
        <is>
          <t>UBICACIÓN DIGITAL-WEBCOOP</t>
        </is>
      </c>
      <c r="M1288" s="10" t="inlineStr">
        <is>
          <t>DOCUMENTO DE ARCHIVO-ELECTRÓNICO</t>
        </is>
      </c>
      <c r="N1288" s="10" t="inlineStr">
        <is>
          <t>PRIMARIOS</t>
        </is>
      </c>
      <c r="O1288" s="10" t="inlineStr">
        <is>
          <t>DOCUMENTOS TÉCNICOS</t>
        </is>
      </c>
      <c r="P1288" s="10" t="inlineStr">
        <is>
          <t>PUBLICA(1)</t>
        </is>
      </c>
      <c r="Q1288" s="10" t="inlineStr">
        <is>
          <t>ALTA(3)</t>
        </is>
      </c>
      <c r="R1288" s="10" t="inlineStr">
        <is>
          <t>MEDIA(2)</t>
        </is>
      </c>
      <c r="S1288" s="10">
        <f>+(IF(P1288="PUBLICA(1)",1,IF(P1288="USO INTERNO(2)",2,IF(P1288="RESTRINGIDO(3)",3,3))))+(IF(Q1288="BAJA(1)",1,IF(Q1288="MEDIA(2)",2,IF(Q1288="ALTA(3)",3,3))))+(IF(R1288="BAJA(1)",1,IF(R1288="MEDIA(2)",2,IF(R1288="ALTA(3)",3,3))))</f>
        <v/>
      </c>
      <c r="T1288" s="10">
        <f>+IF(S1288&lt;6,"BAJA",IF(S1288&lt;8,"MEDIA","ALTA"))</f>
        <v/>
      </c>
      <c r="U1288" s="10" t="inlineStr">
        <is>
          <t>-</t>
        </is>
      </c>
      <c r="V1288" s="24" t="n">
        <v>45617</v>
      </c>
      <c r="W1288" s="19" t="inlineStr">
        <is>
          <t>N/A</t>
        </is>
      </c>
      <c r="X1288" s="10">
        <f>+IFERROR(IF(VLOOKUP(Tabla2[[#This Row],[ID]],'EVALUACION DE RIESGO'!A:A,1,FALSE)=Tabla2[[#This Row],[ID]],"SI","NO"),"NO")</f>
        <v/>
      </c>
      <c r="AD1288">
        <f>IF(AND(Y1288="",AA1288=""),"",IF(OR(LEFT(AA1288,2)="L0",LEFT(AA1288,2)="L1",Y1288="No Iniciado"),"CRÍTICO - Incumplimiento Normativo SEPS",IF(AND(OR(LEFT(AA1288,2)="L4",LEFT(AA1288,2)="L5"),AND(AC1288&lt;&gt;"",AC1288&lt;&gt;"N/A")),"CONFORME - Control Efectivo ISO 27001","OBSERVACIÓN - Revisar Controles")))</f>
        <v/>
      </c>
    </row>
    <row r="1289">
      <c r="A1289" s="99" t="inlineStr">
        <is>
          <t>267-GRI</t>
        </is>
      </c>
      <c r="B1289" s="10" t="inlineStr">
        <is>
          <t>ESTRATÉGICO</t>
        </is>
      </c>
      <c r="C1289" s="10" t="inlineStr">
        <is>
          <t>Gestión de Riesgos</t>
        </is>
      </c>
      <c r="D1289" s="10" t="inlineStr">
        <is>
          <t>GRI</t>
        </is>
      </c>
      <c r="E1289" s="10" t="inlineStr">
        <is>
          <t>Gestión de Riesgo de Crédito</t>
        </is>
      </c>
      <c r="F1289" s="10" t="inlineStr">
        <is>
          <t>-</t>
        </is>
      </c>
      <c r="G1289" s="10" t="inlineStr">
        <is>
          <t>Consolidación de la información</t>
        </is>
      </c>
      <c r="H1289" s="10" t="inlineStr">
        <is>
          <t>Reporte Aux Contable</t>
        </is>
      </c>
      <c r="I1289" s="10" t="inlineStr">
        <is>
          <t>Hoja de trabajo</t>
        </is>
      </c>
      <c r="J1289" s="10" t="inlineStr">
        <is>
          <t>GERENTE DE RIESGOS</t>
        </is>
      </c>
      <c r="K1289" s="10" t="inlineStr">
        <is>
          <t>ANALISTA DE RIESGO DE CREDITO</t>
        </is>
      </c>
      <c r="L1289" s="10" t="inlineStr">
        <is>
          <t>UBICACIÓN DIGITAL-EQUIPO DEL RESPONSABLE</t>
        </is>
      </c>
      <c r="M1289" s="10" t="inlineStr">
        <is>
          <t>DOCUMENTO DE ARCHIVO-ELECTRÓNICO</t>
        </is>
      </c>
      <c r="N1289" s="10" t="inlineStr">
        <is>
          <t>PRIMARIOS</t>
        </is>
      </c>
      <c r="O1289" s="10" t="inlineStr">
        <is>
          <t>DOCUMENTOS TÉCNICOS</t>
        </is>
      </c>
      <c r="P1289" s="10" t="inlineStr">
        <is>
          <t>PUBLICA(1)</t>
        </is>
      </c>
      <c r="Q1289" s="10" t="inlineStr">
        <is>
          <t>ALTA(3)</t>
        </is>
      </c>
      <c r="R1289" s="10" t="inlineStr">
        <is>
          <t>MEDIA(2)</t>
        </is>
      </c>
      <c r="S1289" s="10">
        <f>+(IF(P1289="PUBLICA(1)",1,IF(P1289="USO INTERNO(2)",2,IF(P1289="RESTRINGIDO(3)",3,3))))+(IF(Q1289="BAJA(1)",1,IF(Q1289="MEDIA(2)",2,IF(Q1289="ALTA(3)",3,3))))+(IF(R1289="BAJA(1)",1,IF(R1289="MEDIA(2)",2,IF(R1289="ALTA(3)",3,3))))</f>
        <v/>
      </c>
      <c r="T1289" s="10">
        <f>+IF(S1289&lt;6,"BAJA",IF(S1289&lt;8,"MEDIA","ALTA"))</f>
        <v/>
      </c>
      <c r="U1289" s="10" t="inlineStr">
        <is>
          <t>-</t>
        </is>
      </c>
      <c r="V1289" s="24" t="n">
        <v>45618</v>
      </c>
      <c r="W1289" s="19" t="inlineStr">
        <is>
          <t>N/A</t>
        </is>
      </c>
      <c r="X1289" s="10">
        <f>+IFERROR(IF(VLOOKUP(Tabla2[[#This Row],[ID]],'EVALUACION DE RIESGO'!A:A,1,FALSE)=Tabla2[[#This Row],[ID]],"SI","NO"),"NO")</f>
        <v/>
      </c>
      <c r="AD1289">
        <f>IF(AND(Y1289="",AA1289=""),"",IF(OR(LEFT(AA1289,2)="L0",LEFT(AA1289,2)="L1",Y1289="No Iniciado"),"CRÍTICO - Incumplimiento Normativo SEPS",IF(AND(OR(LEFT(AA1289,2)="L4",LEFT(AA1289,2)="L5"),AND(AC1289&lt;&gt;"",AC1289&lt;&gt;"N/A")),"CONFORME - Control Efectivo ISO 27001","OBSERVACIÓN - Revisar Controles")))</f>
        <v/>
      </c>
    </row>
    <row r="1290">
      <c r="A1290" s="99" t="inlineStr">
        <is>
          <t>268-GRI</t>
        </is>
      </c>
      <c r="B1290" s="10" t="inlineStr">
        <is>
          <t>ESTRATÉGICO</t>
        </is>
      </c>
      <c r="C1290" s="10" t="inlineStr">
        <is>
          <t>Gestión de Riesgos</t>
        </is>
      </c>
      <c r="D1290" s="10" t="inlineStr">
        <is>
          <t>GRI</t>
        </is>
      </c>
      <c r="E1290" s="10" t="inlineStr">
        <is>
          <t>Gestión de Riesgo de Crédito</t>
        </is>
      </c>
      <c r="F1290" s="10" t="inlineStr">
        <is>
          <t>-</t>
        </is>
      </c>
      <c r="G1290" s="10" t="inlineStr">
        <is>
          <t>Consolidación de la información</t>
        </is>
      </c>
      <c r="H1290" s="10" t="inlineStr">
        <is>
          <t>Reporte Gestión Crédito</t>
        </is>
      </c>
      <c r="I1290" s="10" t="inlineStr">
        <is>
          <t>Hoja de trabajo</t>
        </is>
      </c>
      <c r="J1290" s="10" t="inlineStr">
        <is>
          <t>GERENTE DE RIESGOS</t>
        </is>
      </c>
      <c r="K1290" s="10" t="inlineStr">
        <is>
          <t>ANALISTA DE RIESGO DE CREDITO</t>
        </is>
      </c>
      <c r="L1290" s="10" t="inlineStr">
        <is>
          <t>UBICACIÓN DIGITAL-EQUIPO DEL RESPONSABLE</t>
        </is>
      </c>
      <c r="M1290" s="10" t="inlineStr">
        <is>
          <t>DOCUMENTO DE ARCHIVO-ELECTRÓNICO</t>
        </is>
      </c>
      <c r="N1290" s="10" t="inlineStr">
        <is>
          <t>PRIMARIOS</t>
        </is>
      </c>
      <c r="O1290" s="10" t="inlineStr">
        <is>
          <t>DOCUMENTOS TÉCNICOS</t>
        </is>
      </c>
      <c r="P1290" s="10" t="inlineStr">
        <is>
          <t>PUBLICA(1)</t>
        </is>
      </c>
      <c r="Q1290" s="10" t="inlineStr">
        <is>
          <t>ALTA(3)</t>
        </is>
      </c>
      <c r="R1290" s="10" t="inlineStr">
        <is>
          <t>MEDIA(2)</t>
        </is>
      </c>
      <c r="S1290" s="10">
        <f>+(IF(P1290="PUBLICA(1)",1,IF(P1290="USO INTERNO(2)",2,IF(P1290="RESTRINGIDO(3)",3,3))))+(IF(Q1290="BAJA(1)",1,IF(Q1290="MEDIA(2)",2,IF(Q1290="ALTA(3)",3,3))))+(IF(R1290="BAJA(1)",1,IF(R1290="MEDIA(2)",2,IF(R1290="ALTA(3)",3,3))))</f>
        <v/>
      </c>
      <c r="T1290" s="10">
        <f>+IF(S1290&lt;6,"BAJA",IF(S1290&lt;8,"MEDIA","ALTA"))</f>
        <v/>
      </c>
      <c r="U1290" s="10" t="inlineStr">
        <is>
          <t>-</t>
        </is>
      </c>
      <c r="V1290" s="24" t="n">
        <v>45618</v>
      </c>
      <c r="W1290" s="19" t="inlineStr">
        <is>
          <t>N/A</t>
        </is>
      </c>
      <c r="X1290" s="10">
        <f>+IFERROR(IF(VLOOKUP(Tabla2[[#This Row],[ID]],'EVALUACION DE RIESGO'!A:A,1,FALSE)=Tabla2[[#This Row],[ID]],"SI","NO"),"NO")</f>
        <v/>
      </c>
      <c r="AD1290">
        <f>IF(AND(Y1290="",AA1290=""),"",IF(OR(LEFT(AA1290,2)="L0",LEFT(AA1290,2)="L1",Y1290="No Iniciado"),"CRÍTICO - Incumplimiento Normativo SEPS",IF(AND(OR(LEFT(AA1290,2)="L4",LEFT(AA1290,2)="L5"),AND(AC1290&lt;&gt;"",AC1290&lt;&gt;"N/A")),"CONFORME - Control Efectivo ISO 27001","OBSERVACIÓN - Revisar Controles")))</f>
        <v/>
      </c>
    </row>
    <row r="1291">
      <c r="A1291" s="99" t="inlineStr">
        <is>
          <t>269-GRI</t>
        </is>
      </c>
      <c r="B1291" s="10" t="inlineStr">
        <is>
          <t>ESTRATÉGICO</t>
        </is>
      </c>
      <c r="C1291" s="10" t="inlineStr">
        <is>
          <t>Gestión de Riesgos</t>
        </is>
      </c>
      <c r="D1291" s="10" t="inlineStr">
        <is>
          <t>GRI</t>
        </is>
      </c>
      <c r="E1291" s="10" t="inlineStr">
        <is>
          <t>Gestión de Riesgo de Crédito</t>
        </is>
      </c>
      <c r="F1291" s="10" t="inlineStr">
        <is>
          <t>-</t>
        </is>
      </c>
      <c r="G1291" s="10" t="inlineStr">
        <is>
          <t>Consolidación de la información</t>
        </is>
      </c>
      <c r="H1291" s="10" t="inlineStr">
        <is>
          <t>Reporte Mora Asesores</t>
        </is>
      </c>
      <c r="I1291" s="10" t="inlineStr">
        <is>
          <t>Hoja de trabajo</t>
        </is>
      </c>
      <c r="J1291" s="10" t="inlineStr">
        <is>
          <t>GERENTE DE RIESGOS</t>
        </is>
      </c>
      <c r="K1291" s="10" t="inlineStr">
        <is>
          <t>ANALISTA DE RIESGO DE CREDITO</t>
        </is>
      </c>
      <c r="L1291" s="10" t="inlineStr">
        <is>
          <t>UBICACIÓN DIGITAL-EQUIPO DEL RESPONSABLE</t>
        </is>
      </c>
      <c r="M1291" s="10" t="inlineStr">
        <is>
          <t>DOCUMENTO DE ARCHIVO-ELECTRÓNICO</t>
        </is>
      </c>
      <c r="N1291" s="10" t="inlineStr">
        <is>
          <t>PRIMARIOS</t>
        </is>
      </c>
      <c r="O1291" s="10" t="inlineStr">
        <is>
          <t>DOCUMENTOS TÉCNICOS</t>
        </is>
      </c>
      <c r="P1291" s="10" t="inlineStr">
        <is>
          <t>PUBLICA(1)</t>
        </is>
      </c>
      <c r="Q1291" s="10" t="inlineStr">
        <is>
          <t>ALTA(3)</t>
        </is>
      </c>
      <c r="R1291" s="10" t="inlineStr">
        <is>
          <t>MEDIA(2)</t>
        </is>
      </c>
      <c r="S1291" s="10">
        <f>+(IF(P1291="PUBLICA(1)",1,IF(P1291="USO INTERNO(2)",2,IF(P1291="RESTRINGIDO(3)",3,3))))+(IF(Q1291="BAJA(1)",1,IF(Q1291="MEDIA(2)",2,IF(Q1291="ALTA(3)",3,3))))+(IF(R1291="BAJA(1)",1,IF(R1291="MEDIA(2)",2,IF(R1291="ALTA(3)",3,3))))</f>
        <v/>
      </c>
      <c r="T1291" s="10">
        <f>+IF(S1291&lt;6,"BAJA",IF(S1291&lt;8,"MEDIA","ALTA"))</f>
        <v/>
      </c>
      <c r="U1291" s="10" t="inlineStr">
        <is>
          <t>-</t>
        </is>
      </c>
      <c r="V1291" s="24" t="n">
        <v>45617</v>
      </c>
      <c r="W1291" s="19" t="inlineStr">
        <is>
          <t>N/A</t>
        </is>
      </c>
      <c r="X1291" s="10">
        <f>+IFERROR(IF(VLOOKUP(Tabla2[[#This Row],[ID]],'EVALUACION DE RIESGO'!A:A,1,FALSE)=Tabla2[[#This Row],[ID]],"SI","NO"),"NO")</f>
        <v/>
      </c>
      <c r="AD1291">
        <f>IF(AND(Y1291="",AA1291=""),"",IF(OR(LEFT(AA1291,2)="L0",LEFT(AA1291,2)="L1",Y1291="No Iniciado"),"CRÍTICO - Incumplimiento Normativo SEPS",IF(AND(OR(LEFT(AA1291,2)="L4",LEFT(AA1291,2)="L5"),AND(AC1291&lt;&gt;"",AC1291&lt;&gt;"N/A")),"CONFORME - Control Efectivo ISO 27001","OBSERVACIÓN - Revisar Controles")))</f>
        <v/>
      </c>
    </row>
    <row r="1292">
      <c r="A1292" s="99" t="inlineStr">
        <is>
          <t>270-GRI</t>
        </is>
      </c>
      <c r="B1292" s="10" t="inlineStr">
        <is>
          <t>ESTRATÉGICO</t>
        </is>
      </c>
      <c r="C1292" s="10" t="inlineStr">
        <is>
          <t>Gestión de Riesgos</t>
        </is>
      </c>
      <c r="D1292" s="10" t="inlineStr">
        <is>
          <t>GRI</t>
        </is>
      </c>
      <c r="E1292" s="10" t="inlineStr">
        <is>
          <t>Gestión de Riesgo de Crédito</t>
        </is>
      </c>
      <c r="F1292" s="10" t="inlineStr">
        <is>
          <t>-</t>
        </is>
      </c>
      <c r="G1292" s="10" t="inlineStr">
        <is>
          <t>Consolidación de la información</t>
        </is>
      </c>
      <c r="H1292" s="10" t="inlineStr">
        <is>
          <t>Reporte Colocación</t>
        </is>
      </c>
      <c r="I1292" s="10" t="inlineStr">
        <is>
          <t>Hoja de trabajo</t>
        </is>
      </c>
      <c r="J1292" s="10" t="inlineStr">
        <is>
          <t>GERENTE DE RIESGOS</t>
        </is>
      </c>
      <c r="K1292" s="10" t="inlineStr">
        <is>
          <t>ANALISTA DE RIESGO DE CREDITO</t>
        </is>
      </c>
      <c r="L1292" s="10" t="inlineStr">
        <is>
          <t>UBICACIÓN DIGITAL-EQUIPO DEL RESPONSABLE</t>
        </is>
      </c>
      <c r="M1292" s="10" t="inlineStr">
        <is>
          <t>DOCUMENTO DE ARCHIVO-ELECTRÓNICO</t>
        </is>
      </c>
      <c r="N1292" s="10" t="inlineStr">
        <is>
          <t>PRIMARIOS</t>
        </is>
      </c>
      <c r="O1292" s="10" t="inlineStr">
        <is>
          <t>DOCUMENTOS TÉCNICOS</t>
        </is>
      </c>
      <c r="P1292" s="10" t="inlineStr">
        <is>
          <t>PUBLICA(1)</t>
        </is>
      </c>
      <c r="Q1292" s="10" t="inlineStr">
        <is>
          <t>ALTA(3)</t>
        </is>
      </c>
      <c r="R1292" s="10" t="inlineStr">
        <is>
          <t>MEDIA(2)</t>
        </is>
      </c>
      <c r="S1292" s="10">
        <f>+(IF(P1292="PUBLICA(1)",1,IF(P1292="USO INTERNO(2)",2,IF(P1292="RESTRINGIDO(3)",3,3))))+(IF(Q1292="BAJA(1)",1,IF(Q1292="MEDIA(2)",2,IF(Q1292="ALTA(3)",3,3))))+(IF(R1292="BAJA(1)",1,IF(R1292="MEDIA(2)",2,IF(R1292="ALTA(3)",3,3))))</f>
        <v/>
      </c>
      <c r="T1292" s="10">
        <f>+IF(S1292&lt;6,"BAJA",IF(S1292&lt;8,"MEDIA","ALTA"))</f>
        <v/>
      </c>
      <c r="U1292" s="10" t="inlineStr">
        <is>
          <t>-</t>
        </is>
      </c>
      <c r="V1292" s="24" t="n">
        <v>45618</v>
      </c>
      <c r="W1292" s="19" t="inlineStr">
        <is>
          <t>N/A</t>
        </is>
      </c>
      <c r="X1292" s="10">
        <f>+IFERROR(IF(VLOOKUP(Tabla2[[#This Row],[ID]],'EVALUACION DE RIESGO'!A:A,1,FALSE)=Tabla2[[#This Row],[ID]],"SI","NO"),"NO")</f>
        <v/>
      </c>
      <c r="AD1292">
        <f>IF(AND(Y1292="",AA1292=""),"",IF(OR(LEFT(AA1292,2)="L0",LEFT(AA1292,2)="L1",Y1292="No Iniciado"),"CRÍTICO - Incumplimiento Normativo SEPS",IF(AND(OR(LEFT(AA1292,2)="L4",LEFT(AA1292,2)="L5"),AND(AC1292&lt;&gt;"",AC1292&lt;&gt;"N/A")),"CONFORME - Control Efectivo ISO 27001","OBSERVACIÓN - Revisar Controles")))</f>
        <v/>
      </c>
    </row>
    <row r="1293">
      <c r="A1293" s="99" t="inlineStr">
        <is>
          <t>271-GRI</t>
        </is>
      </c>
      <c r="B1293" s="10" t="inlineStr">
        <is>
          <t>ESTRATÉGICO</t>
        </is>
      </c>
      <c r="C1293" s="10" t="inlineStr">
        <is>
          <t>Gestión de Riesgos</t>
        </is>
      </c>
      <c r="D1293" s="10" t="inlineStr">
        <is>
          <t>GRI</t>
        </is>
      </c>
      <c r="E1293" s="10" t="inlineStr">
        <is>
          <t>Gestión de Riesgo de Crédito</t>
        </is>
      </c>
      <c r="F1293" s="10" t="inlineStr">
        <is>
          <t>-</t>
        </is>
      </c>
      <c r="G1293" s="10" t="inlineStr">
        <is>
          <t>Consolidación de la información</t>
        </is>
      </c>
      <c r="H1293" s="10" t="inlineStr">
        <is>
          <t>Hojas de Trabajo</t>
        </is>
      </c>
      <c r="I1293" s="10" t="inlineStr">
        <is>
          <t>Hoja de trabajo</t>
        </is>
      </c>
      <c r="J1293" s="10" t="inlineStr">
        <is>
          <t>GERENTE DE RIESGOS</t>
        </is>
      </c>
      <c r="K1293" s="10" t="inlineStr">
        <is>
          <t>ANALISTA DE RIESGO DE CREDITO</t>
        </is>
      </c>
      <c r="L1293" s="10" t="inlineStr">
        <is>
          <t>UBICACIÓN DIGITAL-EQUIPO DEL RESPONSABLE</t>
        </is>
      </c>
      <c r="M1293" s="10" t="inlineStr">
        <is>
          <t>DOCUMENTO DE ARCHIVO-ELECTRÓNICO</t>
        </is>
      </c>
      <c r="N1293" s="10" t="inlineStr">
        <is>
          <t>PRIMARIOS</t>
        </is>
      </c>
      <c r="O1293" s="10" t="inlineStr">
        <is>
          <t>DOCUMENTOS TÉCNICOS</t>
        </is>
      </c>
      <c r="P1293" s="10" t="inlineStr">
        <is>
          <t>PUBLICA(1)</t>
        </is>
      </c>
      <c r="Q1293" s="10" t="inlineStr">
        <is>
          <t>ALTA(3)</t>
        </is>
      </c>
      <c r="R1293" s="10" t="inlineStr">
        <is>
          <t>MEDIA(2)</t>
        </is>
      </c>
      <c r="S1293" s="10">
        <f>+(IF(P1293="PUBLICA(1)",1,IF(P1293="USO INTERNO(2)",2,IF(P1293="RESTRINGIDO(3)",3,3))))+(IF(Q1293="BAJA(1)",1,IF(Q1293="MEDIA(2)",2,IF(Q1293="ALTA(3)",3,3))))+(IF(R1293="BAJA(1)",1,IF(R1293="MEDIA(2)",2,IF(R1293="ALTA(3)",3,3))))</f>
        <v/>
      </c>
      <c r="T1293" s="10">
        <f>+IF(S1293&lt;6,"BAJA",IF(S1293&lt;8,"MEDIA","ALTA"))</f>
        <v/>
      </c>
      <c r="U1293" s="10" t="inlineStr">
        <is>
          <t>-</t>
        </is>
      </c>
      <c r="V1293" s="24" t="n">
        <v>45617</v>
      </c>
      <c r="W1293" s="19" t="inlineStr">
        <is>
          <t>N/A</t>
        </is>
      </c>
      <c r="X1293" s="10">
        <f>+IFERROR(IF(VLOOKUP(Tabla2[[#This Row],[ID]],'EVALUACION DE RIESGO'!A:A,1,FALSE)=Tabla2[[#This Row],[ID]],"SI","NO"),"NO")</f>
        <v/>
      </c>
      <c r="AD1293">
        <f>IF(AND(Y1293="",AA1293=""),"",IF(OR(LEFT(AA1293,2)="L0",LEFT(AA1293,2)="L1",Y1293="No Iniciado"),"CRÍTICO - Incumplimiento Normativo SEPS",IF(AND(OR(LEFT(AA1293,2)="L4",LEFT(AA1293,2)="L5"),AND(AC1293&lt;&gt;"",AC1293&lt;&gt;"N/A")),"CONFORME - Control Efectivo ISO 27001","OBSERVACIÓN - Revisar Controles")))</f>
        <v/>
      </c>
    </row>
    <row r="1294">
      <c r="A1294" s="99" t="inlineStr">
        <is>
          <t>272-GRI</t>
        </is>
      </c>
      <c r="B1294" s="10" t="inlineStr">
        <is>
          <t>ESTRATÉGICO</t>
        </is>
      </c>
      <c r="C1294" s="10" t="inlineStr">
        <is>
          <t>Gestión de Riesgos</t>
        </is>
      </c>
      <c r="D1294" s="10" t="inlineStr">
        <is>
          <t>GRI</t>
        </is>
      </c>
      <c r="E1294" s="10" t="inlineStr">
        <is>
          <t>Gestión de Riesgo de Crédito</t>
        </is>
      </c>
      <c r="F1294" s="10" t="inlineStr">
        <is>
          <t>-</t>
        </is>
      </c>
      <c r="G1294" s="10" t="inlineStr">
        <is>
          <t>Consolidación de la información</t>
        </is>
      </c>
      <c r="H1294" s="10" t="inlineStr">
        <is>
          <t>Informe mensual del Departamento de Riesgos</t>
        </is>
      </c>
      <c r="I1294" s="10" t="inlineStr">
        <is>
          <t>Informe de Riesgos</t>
        </is>
      </c>
      <c r="J1294" s="10" t="inlineStr">
        <is>
          <t>GERENTE DE RIESGOS</t>
        </is>
      </c>
      <c r="K1294" s="10" t="inlineStr">
        <is>
          <t>GERENTE DE RIESGOS</t>
        </is>
      </c>
      <c r="L1294" s="10" t="inlineStr">
        <is>
          <t>UBICACIÓN DIGITAL-EQUIPO DEL RESPONSABLE</t>
        </is>
      </c>
      <c r="M1294" s="10" t="inlineStr">
        <is>
          <t>DOCUMENTO DE ARCHIVO-ELECTRÓNICO</t>
        </is>
      </c>
      <c r="N1294" s="10" t="inlineStr">
        <is>
          <t>PRIMARIOS</t>
        </is>
      </c>
      <c r="O1294" s="10" t="inlineStr">
        <is>
          <t>DOCUMENTOS TÉCNICOS</t>
        </is>
      </c>
      <c r="P1294" s="10" t="inlineStr">
        <is>
          <t>PUBLICA(1)</t>
        </is>
      </c>
      <c r="Q1294" s="10" t="inlineStr">
        <is>
          <t>ALTA(3)</t>
        </is>
      </c>
      <c r="R1294" s="10" t="inlineStr">
        <is>
          <t>MEDIA(2)</t>
        </is>
      </c>
      <c r="S1294" s="10">
        <f>+(IF(P1294="PUBLICA(1)",1,IF(P1294="USO INTERNO(2)",2,IF(P1294="RESTRINGIDO(3)",3,3))))+(IF(Q1294="BAJA(1)",1,IF(Q1294="MEDIA(2)",2,IF(Q1294="ALTA(3)",3,3))))+(IF(R1294="BAJA(1)",1,IF(R1294="MEDIA(2)",2,IF(R1294="ALTA(3)",3,3))))</f>
        <v/>
      </c>
      <c r="T1294" s="10">
        <f>+IF(S1294&lt;6,"BAJA",IF(S1294&lt;8,"MEDIA","ALTA"))</f>
        <v/>
      </c>
      <c r="U1294" s="10" t="inlineStr">
        <is>
          <t>-</t>
        </is>
      </c>
      <c r="V1294" s="24" t="n">
        <v>45618</v>
      </c>
      <c r="W1294" s="19" t="inlineStr">
        <is>
          <t>N/A</t>
        </is>
      </c>
      <c r="X1294" s="10">
        <f>+IFERROR(IF(VLOOKUP(Tabla2[[#This Row],[ID]],'EVALUACION DE RIESGO'!A:A,1,FALSE)=Tabla2[[#This Row],[ID]],"SI","NO"),"NO")</f>
        <v/>
      </c>
      <c r="AD1294">
        <f>IF(AND(Y1294="",AA1294=""),"",IF(OR(LEFT(AA1294,2)="L0",LEFT(AA1294,2)="L1",Y1294="No Iniciado"),"CRÍTICO - Incumplimiento Normativo SEPS",IF(AND(OR(LEFT(AA1294,2)="L4",LEFT(AA1294,2)="L5"),AND(AC1294&lt;&gt;"",AC1294&lt;&gt;"N/A")),"CONFORME - Control Efectivo ISO 27001","OBSERVACIÓN - Revisar Controles")))</f>
        <v/>
      </c>
    </row>
    <row r="1295">
      <c r="A1295" s="99" t="inlineStr">
        <is>
          <t>273-GRI</t>
        </is>
      </c>
      <c r="B1295" s="10" t="inlineStr">
        <is>
          <t>ESTRATÉGICO</t>
        </is>
      </c>
      <c r="C1295" s="10" t="inlineStr">
        <is>
          <t>Gestión de Riesgos</t>
        </is>
      </c>
      <c r="D1295" s="10" t="inlineStr">
        <is>
          <t>GRI</t>
        </is>
      </c>
      <c r="E1295" s="10" t="inlineStr">
        <is>
          <t>Gestión de Riesgo de Crédito</t>
        </is>
      </c>
      <c r="F1295" s="10" t="inlineStr">
        <is>
          <t>-</t>
        </is>
      </c>
      <c r="G1295" s="10" t="inlineStr">
        <is>
          <t>Comunicación</t>
        </is>
      </c>
      <c r="H1295" s="10" t="inlineStr">
        <is>
          <t>Informe mensual del Departamento de Riesgos</t>
        </is>
      </c>
      <c r="I1295" s="10" t="inlineStr">
        <is>
          <t>Informe de Riesgos</t>
        </is>
      </c>
      <c r="J1295" s="10" t="inlineStr">
        <is>
          <t>GERENTE DE RIESGOS</t>
        </is>
      </c>
      <c r="K1295" s="10" t="inlineStr">
        <is>
          <t>GERENTE DE RIESGOS</t>
        </is>
      </c>
      <c r="L1295" s="10" t="inlineStr">
        <is>
          <t>UBICACIÓN DIGITAL-EQUIPO DEL RESPONSABLE</t>
        </is>
      </c>
      <c r="M1295" s="10" t="inlineStr">
        <is>
          <t>DOCUMENTO DE ARCHIVO-ELECTRÓNICO</t>
        </is>
      </c>
      <c r="N1295" s="10" t="inlineStr">
        <is>
          <t>PRIMARIOS</t>
        </is>
      </c>
      <c r="O1295" s="10" t="inlineStr">
        <is>
          <t>DOCUMENTOS TÉCNICOS</t>
        </is>
      </c>
      <c r="P1295" s="10" t="inlineStr">
        <is>
          <t>PUBLICA(1)</t>
        </is>
      </c>
      <c r="Q1295" s="10" t="inlineStr">
        <is>
          <t>ALTA(3)</t>
        </is>
      </c>
      <c r="R1295" s="10" t="inlineStr">
        <is>
          <t>MEDIA(2)</t>
        </is>
      </c>
      <c r="S1295" s="10">
        <f>+(IF(P1295="PUBLICA(1)",1,IF(P1295="USO INTERNO(2)",2,IF(P1295="RESTRINGIDO(3)",3,3))))+(IF(Q1295="BAJA(1)",1,IF(Q1295="MEDIA(2)",2,IF(Q1295="ALTA(3)",3,3))))+(IF(R1295="BAJA(1)",1,IF(R1295="MEDIA(2)",2,IF(R1295="ALTA(3)",3,3))))</f>
        <v/>
      </c>
      <c r="T1295" s="10">
        <f>+IF(S1295&lt;6,"BAJA",IF(S1295&lt;8,"MEDIA","ALTA"))</f>
        <v/>
      </c>
      <c r="U1295" s="10" t="inlineStr">
        <is>
          <t>-</t>
        </is>
      </c>
      <c r="V1295" s="24" t="n">
        <v>45618</v>
      </c>
      <c r="W1295" s="19" t="inlineStr">
        <is>
          <t>N/A</t>
        </is>
      </c>
      <c r="X1295" s="10">
        <f>+IFERROR(IF(VLOOKUP(Tabla2[[#This Row],[ID]],'EVALUACION DE RIESGO'!A:A,1,FALSE)=Tabla2[[#This Row],[ID]],"SI","NO"),"NO")</f>
        <v/>
      </c>
      <c r="AD1295">
        <f>IF(AND(Y1295="",AA1295=""),"",IF(OR(LEFT(AA1295,2)="L0",LEFT(AA1295,2)="L1",Y1295="No Iniciado"),"CRÍTICO - Incumplimiento Normativo SEPS",IF(AND(OR(LEFT(AA1295,2)="L4",LEFT(AA1295,2)="L5"),AND(AC1295&lt;&gt;"",AC1295&lt;&gt;"N/A")),"CONFORME - Control Efectivo ISO 27001","OBSERVACIÓN - Revisar Controles")))</f>
        <v/>
      </c>
    </row>
    <row r="1296">
      <c r="A1296" s="99" t="inlineStr">
        <is>
          <t>274-GRI</t>
        </is>
      </c>
      <c r="B1296" s="10" t="inlineStr">
        <is>
          <t>ESTRATÉGICO</t>
        </is>
      </c>
      <c r="C1296" s="10" t="inlineStr">
        <is>
          <t>Gestión de Riesgos</t>
        </is>
      </c>
      <c r="D1296" s="10" t="inlineStr">
        <is>
          <t>GRI</t>
        </is>
      </c>
      <c r="E1296" s="10" t="inlineStr">
        <is>
          <t>Gestión de Riesgo de Crédito</t>
        </is>
      </c>
      <c r="F1296" s="10" t="inlineStr">
        <is>
          <t>-</t>
        </is>
      </c>
      <c r="G1296" s="10" t="inlineStr">
        <is>
          <t>Comunicación</t>
        </is>
      </c>
      <c r="H1296" s="10" t="inlineStr">
        <is>
          <t>Resolución del CAIR</t>
        </is>
      </c>
      <c r="I1296" s="10" t="inlineStr">
        <is>
          <t>Resoluciones</t>
        </is>
      </c>
      <c r="J1296" s="10" t="inlineStr">
        <is>
          <t>GERENTE DE RIESGOS</t>
        </is>
      </c>
      <c r="K1296" s="10" t="inlineStr">
        <is>
          <t>ANALISTA DE RIESGO DE CREDITO</t>
        </is>
      </c>
      <c r="L1296" s="10" t="inlineStr">
        <is>
          <t>UBICACIÓN DIGITAL-EQUIPO DEL RESPONSABLE</t>
        </is>
      </c>
      <c r="M1296" s="10" t="inlineStr">
        <is>
          <t>DOCUMENTO DE ARCHIVO-ELECTRÓNICO</t>
        </is>
      </c>
      <c r="N1296" s="10" t="inlineStr">
        <is>
          <t>PRIMARIOS</t>
        </is>
      </c>
      <c r="O1296" s="10" t="inlineStr">
        <is>
          <t>DOCUMENTOS TÉCNICOS</t>
        </is>
      </c>
      <c r="P1296" s="10" t="inlineStr">
        <is>
          <t>PUBLICA(1)</t>
        </is>
      </c>
      <c r="Q1296" s="10" t="inlineStr">
        <is>
          <t>ALTA(3)</t>
        </is>
      </c>
      <c r="R1296" s="10" t="inlineStr">
        <is>
          <t>MEDIA(2)</t>
        </is>
      </c>
      <c r="S1296" s="10">
        <f>+(IF(P1296="PUBLICA(1)",1,IF(P1296="USO INTERNO(2)",2,IF(P1296="RESTRINGIDO(3)",3,3))))+(IF(Q1296="BAJA(1)",1,IF(Q1296="MEDIA(2)",2,IF(Q1296="ALTA(3)",3,3))))+(IF(R1296="BAJA(1)",1,IF(R1296="MEDIA(2)",2,IF(R1296="ALTA(3)",3,3))))</f>
        <v/>
      </c>
      <c r="T1296" s="10">
        <f>+IF(S1296&lt;6,"BAJA",IF(S1296&lt;8,"MEDIA","ALTA"))</f>
        <v/>
      </c>
      <c r="U1296" s="10" t="inlineStr">
        <is>
          <t>-</t>
        </is>
      </c>
      <c r="V1296" s="24" t="n">
        <v>45617</v>
      </c>
      <c r="W1296" s="19" t="inlineStr">
        <is>
          <t>N/A</t>
        </is>
      </c>
      <c r="X1296" s="10">
        <f>+IFERROR(IF(VLOOKUP(Tabla2[[#This Row],[ID]],'EVALUACION DE RIESGO'!A:A,1,FALSE)=Tabla2[[#This Row],[ID]],"SI","NO"),"NO")</f>
        <v/>
      </c>
      <c r="AD1296">
        <f>IF(AND(Y1296="",AA1296=""),"",IF(OR(LEFT(AA1296,2)="L0",LEFT(AA1296,2)="L1",Y1296="No Iniciado"),"CRÍTICO - Incumplimiento Normativo SEPS",IF(AND(OR(LEFT(AA1296,2)="L4",LEFT(AA1296,2)="L5"),AND(AC1296&lt;&gt;"",AC1296&lt;&gt;"N/A")),"CONFORME - Control Efectivo ISO 27001","OBSERVACIÓN - Revisar Controles")))</f>
        <v/>
      </c>
    </row>
    <row r="1297">
      <c r="A1297" s="99" t="inlineStr">
        <is>
          <t>275-GRI</t>
        </is>
      </c>
      <c r="B1297" s="10" t="inlineStr">
        <is>
          <t>ESTRATÉGICO</t>
        </is>
      </c>
      <c r="C1297" s="10" t="inlineStr">
        <is>
          <t>Gestión de Riesgos</t>
        </is>
      </c>
      <c r="D1297" s="10" t="inlineStr">
        <is>
          <t>GRI</t>
        </is>
      </c>
      <c r="E1297" s="10" t="inlineStr">
        <is>
          <t>Gestión de Riesgo de Crédito</t>
        </is>
      </c>
      <c r="F1297" s="10" t="inlineStr">
        <is>
          <t>-</t>
        </is>
      </c>
      <c r="G1297" s="10" t="inlineStr">
        <is>
          <t>Comunicación</t>
        </is>
      </c>
      <c r="H1297" s="10" t="inlineStr">
        <is>
          <t>Resolución del Consejo de Administración</t>
        </is>
      </c>
      <c r="I1297" s="10" t="inlineStr">
        <is>
          <t>Resoluciones</t>
        </is>
      </c>
      <c r="J1297" s="10" t="inlineStr">
        <is>
          <t>GERENTE DE RIESGOS</t>
        </is>
      </c>
      <c r="K1297" s="10" t="inlineStr">
        <is>
          <t>ANALISTA DE RIESGO DE CREDITO</t>
        </is>
      </c>
      <c r="L1297" s="10" t="inlineStr">
        <is>
          <t>UBICACIÓN DIGITAL-EQUIPO DEL RESPONSABLE</t>
        </is>
      </c>
      <c r="M1297" s="10" t="inlineStr">
        <is>
          <t>DOCUMENTO DE ARCHIVO-ELECTRÓNICO</t>
        </is>
      </c>
      <c r="N1297" s="10" t="inlineStr">
        <is>
          <t>PRIMARIOS</t>
        </is>
      </c>
      <c r="O1297" s="10" t="inlineStr">
        <is>
          <t>DOCUMENTOS TÉCNICOS</t>
        </is>
      </c>
      <c r="P1297" s="10" t="inlineStr">
        <is>
          <t>PUBLICA(1)</t>
        </is>
      </c>
      <c r="Q1297" s="10" t="inlineStr">
        <is>
          <t>ALTA(3)</t>
        </is>
      </c>
      <c r="R1297" s="10" t="inlineStr">
        <is>
          <t>MEDIA(2)</t>
        </is>
      </c>
      <c r="S1297" s="10">
        <f>+(IF(P1297="PUBLICA(1)",1,IF(P1297="USO INTERNO(2)",2,IF(P1297="RESTRINGIDO(3)",3,3))))+(IF(Q1297="BAJA(1)",1,IF(Q1297="MEDIA(2)",2,IF(Q1297="ALTA(3)",3,3))))+(IF(R1297="BAJA(1)",1,IF(R1297="MEDIA(2)",2,IF(R1297="ALTA(3)",3,3))))</f>
        <v/>
      </c>
      <c r="T1297" s="10">
        <f>+IF(S1297&lt;6,"BAJA",IF(S1297&lt;8,"MEDIA","ALTA"))</f>
        <v/>
      </c>
      <c r="U1297" s="10" t="inlineStr">
        <is>
          <t>-</t>
        </is>
      </c>
      <c r="V1297" s="24" t="n">
        <v>45618</v>
      </c>
      <c r="W1297" s="19" t="inlineStr">
        <is>
          <t>N/A</t>
        </is>
      </c>
      <c r="X1297" s="10">
        <f>+IFERROR(IF(VLOOKUP(Tabla2[[#This Row],[ID]],'EVALUACION DE RIESGO'!A:A,1,FALSE)=Tabla2[[#This Row],[ID]],"SI","NO"),"NO")</f>
        <v/>
      </c>
      <c r="AD1297">
        <f>IF(AND(Y1297="",AA1297=""),"",IF(OR(LEFT(AA1297,2)="L0",LEFT(AA1297,2)="L1",Y1297="No Iniciado"),"CRÍTICO - Incumplimiento Normativo SEPS",IF(AND(OR(LEFT(AA1297,2)="L4",LEFT(AA1297,2)="L5"),AND(AC1297&lt;&gt;"",AC1297&lt;&gt;"N/A")),"CONFORME - Control Efectivo ISO 27001","OBSERVACIÓN - Revisar Controles")))</f>
        <v/>
      </c>
    </row>
    <row r="1298">
      <c r="A1298" s="99" t="inlineStr">
        <is>
          <t>276-GRI</t>
        </is>
      </c>
      <c r="B1298" s="10" t="inlineStr">
        <is>
          <t>ESTRATÉGICO</t>
        </is>
      </c>
      <c r="C1298" s="10" t="inlineStr">
        <is>
          <t>Gestión de Riesgos</t>
        </is>
      </c>
      <c r="D1298" s="10" t="inlineStr">
        <is>
          <t>GRI</t>
        </is>
      </c>
      <c r="E1298" s="10" t="inlineStr">
        <is>
          <t>Gestión de Riesgo de Crédito</t>
        </is>
      </c>
      <c r="F1298" s="10" t="inlineStr">
        <is>
          <t>-</t>
        </is>
      </c>
      <c r="G1298" s="10" t="inlineStr">
        <is>
          <t xml:space="preserve">Comunicación </t>
        </is>
      </c>
      <c r="H1298" s="10" t="inlineStr">
        <is>
          <t>Resolución del Consejo de Vigilancia</t>
        </is>
      </c>
      <c r="I1298" s="10" t="inlineStr">
        <is>
          <t>Resoluciones</t>
        </is>
      </c>
      <c r="J1298" s="10" t="inlineStr">
        <is>
          <t>GERENTE DE RIESGOS</t>
        </is>
      </c>
      <c r="K1298" s="10" t="inlineStr">
        <is>
          <t>ANALISTA DE RIESGO DE CREDITO</t>
        </is>
      </c>
      <c r="L1298" s="10" t="inlineStr">
        <is>
          <t>UBICACIÓN DIGITAL-EQUIPO DEL RESPONSABLE</t>
        </is>
      </c>
      <c r="M1298" s="10" t="inlineStr">
        <is>
          <t>DOCUMENTO DE ARCHIVO-ELECTRÓNICO</t>
        </is>
      </c>
      <c r="N1298" s="10" t="inlineStr">
        <is>
          <t>PRIMARIOS</t>
        </is>
      </c>
      <c r="O1298" s="10" t="inlineStr">
        <is>
          <t>DOCUMENTOS TÉCNICOS</t>
        </is>
      </c>
      <c r="P1298" s="10" t="inlineStr">
        <is>
          <t>PUBLICA(1)</t>
        </is>
      </c>
      <c r="Q1298" s="10" t="inlineStr">
        <is>
          <t>ALTA(3)</t>
        </is>
      </c>
      <c r="R1298" s="10" t="inlineStr">
        <is>
          <t>MEDIA(2)</t>
        </is>
      </c>
      <c r="S1298" s="10">
        <f>+(IF(P1298="PUBLICA(1)",1,IF(P1298="USO INTERNO(2)",2,IF(P1298="RESTRINGIDO(3)",3,3))))+(IF(Q1298="BAJA(1)",1,IF(Q1298="MEDIA(2)",2,IF(Q1298="ALTA(3)",3,3))))+(IF(R1298="BAJA(1)",1,IF(R1298="MEDIA(2)",2,IF(R1298="ALTA(3)",3,3))))</f>
        <v/>
      </c>
      <c r="T1298" s="10">
        <f>+IF(S1298&lt;6,"BAJA",IF(S1298&lt;8,"MEDIA","ALTA"))</f>
        <v/>
      </c>
      <c r="U1298" s="10" t="inlineStr">
        <is>
          <t>-</t>
        </is>
      </c>
      <c r="V1298" s="24" t="n">
        <v>45618</v>
      </c>
      <c r="W1298" s="19" t="inlineStr">
        <is>
          <t>N/A</t>
        </is>
      </c>
      <c r="X1298" s="10">
        <f>+IFERROR(IF(VLOOKUP(Tabla2[[#This Row],[ID]],'EVALUACION DE RIESGO'!A:A,1,FALSE)=Tabla2[[#This Row],[ID]],"SI","NO"),"NO")</f>
        <v/>
      </c>
      <c r="AD1298">
        <f>IF(AND(Y1298="",AA1298=""),"",IF(OR(LEFT(AA1298,2)="L0",LEFT(AA1298,2)="L1",Y1298="No Iniciado"),"CRÍTICO - Incumplimiento Normativo SEPS",IF(AND(OR(LEFT(AA1298,2)="L4",LEFT(AA1298,2)="L5"),AND(AC1298&lt;&gt;"",AC1298&lt;&gt;"N/A")),"CONFORME - Control Efectivo ISO 27001","OBSERVACIÓN - Revisar Controles")))</f>
        <v/>
      </c>
    </row>
    <row r="1299">
      <c r="A1299" s="99" t="inlineStr">
        <is>
          <t>277-GRI</t>
        </is>
      </c>
      <c r="B1299" s="10" t="inlineStr">
        <is>
          <t>ESTRATÉGICO</t>
        </is>
      </c>
      <c r="C1299" s="10" t="inlineStr">
        <is>
          <t>Gestión de Riesgos</t>
        </is>
      </c>
      <c r="D1299" s="10" t="inlineStr">
        <is>
          <t>GRI</t>
        </is>
      </c>
      <c r="E1299" s="10" t="inlineStr">
        <is>
          <t>Gestión de Riesgo de Crédito</t>
        </is>
      </c>
      <c r="F1299" s="10" t="inlineStr">
        <is>
          <t>-</t>
        </is>
      </c>
      <c r="G1299" s="10" t="inlineStr">
        <is>
          <t xml:space="preserve">Análisis de Calificación de Empresas para Compra de Cartera </t>
        </is>
      </c>
      <c r="H1299" s="10" t="inlineStr">
        <is>
          <t>Solicitud de calificación de empresa proveedora</t>
        </is>
      </c>
      <c r="I1299" s="10" t="inlineStr">
        <is>
          <t>correo</t>
        </is>
      </c>
      <c r="J1299" s="10" t="inlineStr">
        <is>
          <t>GERENTE DE RIESGOS</t>
        </is>
      </c>
      <c r="K1299" s="10" t="inlineStr">
        <is>
          <t>ANALISTA DE RIESGO DE CREDITO</t>
        </is>
      </c>
      <c r="L1299" s="10" t="inlineStr">
        <is>
          <t>UBICACIÓN DIGITAL-EQUIPO DEL RESPONSABLE</t>
        </is>
      </c>
      <c r="M1299" s="10" t="inlineStr">
        <is>
          <t>DOCUMENTO DE ARCHIVO-ELECTRÓNICO</t>
        </is>
      </c>
      <c r="N1299" s="10" t="inlineStr">
        <is>
          <t>PRIMARIOS</t>
        </is>
      </c>
      <c r="O1299" s="10" t="inlineStr">
        <is>
          <t>COMUNICACIÓN INTERNA</t>
        </is>
      </c>
      <c r="P1299" s="10" t="inlineStr">
        <is>
          <t>PUBLICA(1)</t>
        </is>
      </c>
      <c r="Q1299" s="10" t="inlineStr">
        <is>
          <t>ALTA(3)</t>
        </is>
      </c>
      <c r="R1299" s="10" t="inlineStr">
        <is>
          <t>MEDIA(2)</t>
        </is>
      </c>
      <c r="S1299" s="10">
        <f>+(IF(P1299="PUBLICA(1)",1,IF(P1299="USO INTERNO(2)",2,IF(P1299="RESTRINGIDO(3)",3,3))))+(IF(Q1299="BAJA(1)",1,IF(Q1299="MEDIA(2)",2,IF(Q1299="ALTA(3)",3,3))))+(IF(R1299="BAJA(1)",1,IF(R1299="MEDIA(2)",2,IF(R1299="ALTA(3)",3,3))))</f>
        <v/>
      </c>
      <c r="T1299" s="10">
        <f>+IF(S1299&lt;6,"BAJA",IF(S1299&lt;8,"MEDIA","ALTA"))</f>
        <v/>
      </c>
      <c r="U1299" s="10" t="inlineStr">
        <is>
          <t>-</t>
        </is>
      </c>
      <c r="V1299" s="24" t="n">
        <v>45617</v>
      </c>
      <c r="W1299" s="19" t="inlineStr">
        <is>
          <t>N/A</t>
        </is>
      </c>
      <c r="X1299" s="10">
        <f>+IFERROR(IF(VLOOKUP(Tabla2[[#This Row],[ID]],'EVALUACION DE RIESGO'!A:A,1,FALSE)=Tabla2[[#This Row],[ID]],"SI","NO"),"NO")</f>
        <v/>
      </c>
      <c r="AD1299">
        <f>IF(AND(Y1299="",AA1299=""),"",IF(OR(LEFT(AA1299,2)="L0",LEFT(AA1299,2)="L1",Y1299="No Iniciado"),"CRÍTICO - Incumplimiento Normativo SEPS",IF(AND(OR(LEFT(AA1299,2)="L4",LEFT(AA1299,2)="L5"),AND(AC1299&lt;&gt;"",AC1299&lt;&gt;"N/A")),"CONFORME - Control Efectivo ISO 27001","OBSERVACIÓN - Revisar Controles")))</f>
        <v/>
      </c>
    </row>
    <row r="1300">
      <c r="A1300" s="99" t="inlineStr">
        <is>
          <t>278-GRI</t>
        </is>
      </c>
      <c r="B1300" s="10" t="inlineStr">
        <is>
          <t>ESTRATÉGICO</t>
        </is>
      </c>
      <c r="C1300" s="10" t="inlineStr">
        <is>
          <t>Gestión de Riesgos</t>
        </is>
      </c>
      <c r="D1300" s="10" t="inlineStr">
        <is>
          <t>GRI</t>
        </is>
      </c>
      <c r="E1300" s="10" t="inlineStr">
        <is>
          <t>Gestión de Riesgo de Crédito</t>
        </is>
      </c>
      <c r="F1300" s="10" t="inlineStr">
        <is>
          <t>-</t>
        </is>
      </c>
      <c r="G1300" s="10" t="inlineStr">
        <is>
          <t xml:space="preserve">Análisis de Calificación de Empresas para Compra de Cartera </t>
        </is>
      </c>
      <c r="H1300" s="10" t="inlineStr">
        <is>
          <t>Matriz de Evaluación al Proveedor</t>
        </is>
      </c>
      <c r="I1300" s="10" t="inlineStr">
        <is>
          <t>Hoja de trabajo</t>
        </is>
      </c>
      <c r="J1300" s="10" t="inlineStr">
        <is>
          <t>GERENTE DE RIESGOS</t>
        </is>
      </c>
      <c r="K1300" s="10" t="inlineStr">
        <is>
          <t>ANALISTA DE RIESGO DE CREDITO</t>
        </is>
      </c>
      <c r="L1300" s="10" t="inlineStr">
        <is>
          <t>UBICACIÓN DIGITAL-EQUIPO DEL RESPONSABLE</t>
        </is>
      </c>
      <c r="M1300" s="10" t="inlineStr">
        <is>
          <t>DOCUMENTO DE ARCHIVO-ELECTRÓNICO</t>
        </is>
      </c>
      <c r="N1300" s="10" t="inlineStr">
        <is>
          <t>PRIMARIOS</t>
        </is>
      </c>
      <c r="O1300" s="10" t="inlineStr">
        <is>
          <t>DOCUMENTOS TÉCNICOS</t>
        </is>
      </c>
      <c r="P1300" s="10" t="inlineStr">
        <is>
          <t>PUBLICA(1)</t>
        </is>
      </c>
      <c r="Q1300" s="10" t="inlineStr">
        <is>
          <t>ALTA(3)</t>
        </is>
      </c>
      <c r="R1300" s="10" t="inlineStr">
        <is>
          <t>MEDIA(2)</t>
        </is>
      </c>
      <c r="S1300" s="10">
        <f>+(IF(P1300="PUBLICA(1)",1,IF(P1300="USO INTERNO(2)",2,IF(P1300="RESTRINGIDO(3)",3,3))))+(IF(Q1300="BAJA(1)",1,IF(Q1300="MEDIA(2)",2,IF(Q1300="ALTA(3)",3,3))))+(IF(R1300="BAJA(1)",1,IF(R1300="MEDIA(2)",2,IF(R1300="ALTA(3)",3,3))))</f>
        <v/>
      </c>
      <c r="T1300" s="10">
        <f>+IF(S1300&lt;6,"BAJA",IF(S1300&lt;8,"MEDIA","ALTA"))</f>
        <v/>
      </c>
      <c r="U1300" s="10" t="inlineStr">
        <is>
          <t>-</t>
        </is>
      </c>
      <c r="V1300" s="24" t="n">
        <v>45618</v>
      </c>
      <c r="W1300" s="19" t="inlineStr">
        <is>
          <t>N/A</t>
        </is>
      </c>
      <c r="X1300" s="10">
        <f>+IFERROR(IF(VLOOKUP(Tabla2[[#This Row],[ID]],'EVALUACION DE RIESGO'!A:A,1,FALSE)=Tabla2[[#This Row],[ID]],"SI","NO"),"NO")</f>
        <v/>
      </c>
      <c r="AD1300">
        <f>IF(AND(Y1300="",AA1300=""),"",IF(OR(LEFT(AA1300,2)="L0",LEFT(AA1300,2)="L1",Y1300="No Iniciado"),"CRÍTICO - Incumplimiento Normativo SEPS",IF(AND(OR(LEFT(AA1300,2)="L4",LEFT(AA1300,2)="L5"),AND(AC1300&lt;&gt;"",AC1300&lt;&gt;"N/A")),"CONFORME - Control Efectivo ISO 27001","OBSERVACIÓN - Revisar Controles")))</f>
        <v/>
      </c>
    </row>
    <row r="1301">
      <c r="A1301" s="99" t="inlineStr">
        <is>
          <t>279-GRI</t>
        </is>
      </c>
      <c r="B1301" s="10" t="inlineStr">
        <is>
          <t>ESTRATÉGICO</t>
        </is>
      </c>
      <c r="C1301" s="10" t="inlineStr">
        <is>
          <t>Gestión de Riesgos</t>
        </is>
      </c>
      <c r="D1301" s="10" t="inlineStr">
        <is>
          <t>GRI</t>
        </is>
      </c>
      <c r="E1301" s="10" t="inlineStr">
        <is>
          <t>Gestión de Riesgo de Crédito</t>
        </is>
      </c>
      <c r="F1301" s="10" t="inlineStr">
        <is>
          <t>-</t>
        </is>
      </c>
      <c r="G1301" s="10" t="inlineStr">
        <is>
          <t xml:space="preserve">Análisis de Calificación de Empresas para Compra de Cartera </t>
        </is>
      </c>
      <c r="H1301" s="10" t="inlineStr">
        <is>
          <t>Informe de Calificación de Empresas para la compra de cartera</t>
        </is>
      </c>
      <c r="I1301" s="10" t="inlineStr">
        <is>
          <t>informe</t>
        </is>
      </c>
      <c r="J1301" s="10" t="inlineStr">
        <is>
          <t>GERENTE DE RIESGOS</t>
        </is>
      </c>
      <c r="K1301" s="10" t="inlineStr">
        <is>
          <t>ANALISTA DE RIESGO DE CREDITO</t>
        </is>
      </c>
      <c r="L1301" s="10" t="inlineStr">
        <is>
          <t>UBICACIÓN DIGITAL-EQUIPO DEL RESPONSABLE</t>
        </is>
      </c>
      <c r="M1301" s="10" t="inlineStr">
        <is>
          <t>DOCUMENTO DE ARCHIVO-ELECTRÓNICO</t>
        </is>
      </c>
      <c r="N1301" s="10" t="inlineStr">
        <is>
          <t>PRIMARIOS</t>
        </is>
      </c>
      <c r="O1301" s="10" t="inlineStr">
        <is>
          <t>DOCUMENTOS TÉCNICOS</t>
        </is>
      </c>
      <c r="P1301" s="10" t="inlineStr">
        <is>
          <t>PUBLICA(1)</t>
        </is>
      </c>
      <c r="Q1301" s="10" t="inlineStr">
        <is>
          <t>ALTA(3)</t>
        </is>
      </c>
      <c r="R1301" s="10" t="inlineStr">
        <is>
          <t>MEDIA(2)</t>
        </is>
      </c>
      <c r="S1301" s="10">
        <f>+(IF(P1301="PUBLICA(1)",1,IF(P1301="USO INTERNO(2)",2,IF(P1301="RESTRINGIDO(3)",3,3))))+(IF(Q1301="BAJA(1)",1,IF(Q1301="MEDIA(2)",2,IF(Q1301="ALTA(3)",3,3))))+(IF(R1301="BAJA(1)",1,IF(R1301="MEDIA(2)",2,IF(R1301="ALTA(3)",3,3))))</f>
        <v/>
      </c>
      <c r="T1301" s="10">
        <f>+IF(S1301&lt;6,"BAJA",IF(S1301&lt;8,"MEDIA","ALTA"))</f>
        <v/>
      </c>
      <c r="U1301" s="10" t="inlineStr">
        <is>
          <t>-</t>
        </is>
      </c>
      <c r="V1301" s="24" t="n">
        <v>45617</v>
      </c>
      <c r="W1301" s="19" t="inlineStr">
        <is>
          <t>N/A</t>
        </is>
      </c>
      <c r="X1301" s="10">
        <f>+IFERROR(IF(VLOOKUP(Tabla2[[#This Row],[ID]],'EVALUACION DE RIESGO'!A:A,1,FALSE)=Tabla2[[#This Row],[ID]],"SI","NO"),"NO")</f>
        <v/>
      </c>
      <c r="AD1301">
        <f>IF(AND(Y1301="",AA1301=""),"",IF(OR(LEFT(AA1301,2)="L0",LEFT(AA1301,2)="L1",Y1301="No Iniciado"),"CRÍTICO - Incumplimiento Normativo SEPS",IF(AND(OR(LEFT(AA1301,2)="L4",LEFT(AA1301,2)="L5"),AND(AC1301&lt;&gt;"",AC1301&lt;&gt;"N/A")),"CONFORME - Control Efectivo ISO 27001","OBSERVACIÓN - Revisar Controles")))</f>
        <v/>
      </c>
    </row>
    <row r="1302">
      <c r="A1302" s="99" t="inlineStr">
        <is>
          <t>280-GRI</t>
        </is>
      </c>
      <c r="B1302" s="10" t="inlineStr">
        <is>
          <t>ESTRATÉGICO</t>
        </is>
      </c>
      <c r="C1302" s="10" t="inlineStr">
        <is>
          <t>Gestión de Riesgos</t>
        </is>
      </c>
      <c r="D1302" s="10" t="inlineStr">
        <is>
          <t>GRI</t>
        </is>
      </c>
      <c r="E1302" s="10" t="inlineStr">
        <is>
          <t>Gestión de Riesgo de Crédito</t>
        </is>
      </c>
      <c r="F1302" s="10" t="inlineStr">
        <is>
          <t>-</t>
        </is>
      </c>
      <c r="G1302" s="10" t="inlineStr">
        <is>
          <t xml:space="preserve">Análisis de operaciones para compra de cartera </t>
        </is>
      </c>
      <c r="H1302" s="10" t="inlineStr">
        <is>
          <t>Files de Crédito de las Operaciones posibles de compra</t>
        </is>
      </c>
      <c r="I1302" s="10" t="inlineStr">
        <is>
          <t>Archivos de creditos</t>
        </is>
      </c>
      <c r="J1302" s="10" t="inlineStr">
        <is>
          <t>GERENTE DE NEGOCIOS</t>
        </is>
      </c>
      <c r="K1302" s="10" t="inlineStr">
        <is>
          <t>GERENTE DE NEGOCIOS</t>
        </is>
      </c>
      <c r="L1302" s="10" t="inlineStr">
        <is>
          <t>UBICACIÓN DIGITAL-EQUIPO DEL RESPONSABLE</t>
        </is>
      </c>
      <c r="M1302" s="10" t="inlineStr">
        <is>
          <t>DOCUMENTO DE ARCHIVO-ELECTRÓNICO</t>
        </is>
      </c>
      <c r="N1302" s="10" t="inlineStr">
        <is>
          <t>PRIMARIOS</t>
        </is>
      </c>
      <c r="O1302" s="10" t="inlineStr">
        <is>
          <t>OTROS</t>
        </is>
      </c>
      <c r="P1302" s="10" t="inlineStr">
        <is>
          <t>PUBLICA(1)</t>
        </is>
      </c>
      <c r="Q1302" s="10" t="inlineStr">
        <is>
          <t>ALTA(3)</t>
        </is>
      </c>
      <c r="R1302" s="10" t="inlineStr">
        <is>
          <t>MEDIA(2)</t>
        </is>
      </c>
      <c r="S1302" s="10">
        <f>+(IF(P1302="PUBLICA(1)",1,IF(P1302="USO INTERNO(2)",2,IF(P1302="RESTRINGIDO(3)",3,3))))+(IF(Q1302="BAJA(1)",1,IF(Q1302="MEDIA(2)",2,IF(Q1302="ALTA(3)",3,3))))+(IF(R1302="BAJA(1)",1,IF(R1302="MEDIA(2)",2,IF(R1302="ALTA(3)",3,3))))</f>
        <v/>
      </c>
      <c r="T1302" s="10">
        <f>+IF(S1302&lt;6,"BAJA",IF(S1302&lt;8,"MEDIA","ALTA"))</f>
        <v/>
      </c>
      <c r="U1302" s="10" t="inlineStr">
        <is>
          <t>-</t>
        </is>
      </c>
      <c r="V1302" s="24" t="n">
        <v>45618</v>
      </c>
      <c r="W1302" s="19" t="inlineStr">
        <is>
          <t>N/A</t>
        </is>
      </c>
      <c r="X1302" s="10">
        <f>+IFERROR(IF(VLOOKUP(Tabla2[[#This Row],[ID]],'EVALUACION DE RIESGO'!A:A,1,FALSE)=Tabla2[[#This Row],[ID]],"SI","NO"),"NO")</f>
        <v/>
      </c>
      <c r="AD1302">
        <f>IF(AND(Y1302="",AA1302=""),"",IF(OR(LEFT(AA1302,2)="L0",LEFT(AA1302,2)="L1",Y1302="No Iniciado"),"CRÍTICO - Incumplimiento Normativo SEPS",IF(AND(OR(LEFT(AA1302,2)="L4",LEFT(AA1302,2)="L5"),AND(AC1302&lt;&gt;"",AC1302&lt;&gt;"N/A")),"CONFORME - Control Efectivo ISO 27001","OBSERVACIÓN - Revisar Controles")))</f>
        <v/>
      </c>
    </row>
    <row r="1303">
      <c r="A1303" s="99" t="inlineStr">
        <is>
          <t>281-GRI</t>
        </is>
      </c>
      <c r="B1303" s="10" t="inlineStr">
        <is>
          <t>ESTRATÉGICO</t>
        </is>
      </c>
      <c r="C1303" s="10" t="inlineStr">
        <is>
          <t>Gestión de Riesgos</t>
        </is>
      </c>
      <c r="D1303" s="10" t="inlineStr">
        <is>
          <t>GRI</t>
        </is>
      </c>
      <c r="E1303" s="10" t="inlineStr">
        <is>
          <t>Gestión de Riesgo de Crédito</t>
        </is>
      </c>
      <c r="F1303" s="10" t="inlineStr">
        <is>
          <t>-</t>
        </is>
      </c>
      <c r="G1303" s="10" t="inlineStr">
        <is>
          <t xml:space="preserve">Análisis de operaciones para compra de cartera </t>
        </is>
      </c>
      <c r="H1303" s="10" t="inlineStr">
        <is>
          <t>Revisión Buró de Crédito</t>
        </is>
      </c>
      <c r="I1303" s="10" t="inlineStr">
        <is>
          <t>reporte</t>
        </is>
      </c>
      <c r="J1303" s="10" t="inlineStr">
        <is>
          <t>GERENTE DE NEGOCIOS</t>
        </is>
      </c>
      <c r="K1303" s="10" t="inlineStr">
        <is>
          <t>GERENTE DE NEGOCIOS</t>
        </is>
      </c>
      <c r="L1303" s="10" t="inlineStr">
        <is>
          <t>UBICACIÓN DIGITAL-EQUIPO DEL RESPONSABLE</t>
        </is>
      </c>
      <c r="M1303" s="10" t="inlineStr">
        <is>
          <t>DOCUMENTO DE ARCHIVO-ELECTRÓNICO</t>
        </is>
      </c>
      <c r="N1303" s="10" t="inlineStr">
        <is>
          <t>PRIMARIOS</t>
        </is>
      </c>
      <c r="O1303" s="10" t="inlineStr">
        <is>
          <t>DOCUMENTOS TÉCNICOS</t>
        </is>
      </c>
      <c r="P1303" s="10" t="inlineStr">
        <is>
          <t>PUBLICA(1)</t>
        </is>
      </c>
      <c r="Q1303" s="10" t="inlineStr">
        <is>
          <t>ALTA(3)</t>
        </is>
      </c>
      <c r="R1303" s="10" t="inlineStr">
        <is>
          <t>MEDIA(2)</t>
        </is>
      </c>
      <c r="S1303" s="10">
        <f>+(IF(P1303="PUBLICA(1)",1,IF(P1303="USO INTERNO(2)",2,IF(P1303="RESTRINGIDO(3)",3,3))))+(IF(Q1303="BAJA(1)",1,IF(Q1303="MEDIA(2)",2,IF(Q1303="ALTA(3)",3,3))))+(IF(R1303="BAJA(1)",1,IF(R1303="MEDIA(2)",2,IF(R1303="ALTA(3)",3,3))))</f>
        <v/>
      </c>
      <c r="T1303" s="10">
        <f>+IF(S1303&lt;6,"BAJA",IF(S1303&lt;8,"MEDIA","ALTA"))</f>
        <v/>
      </c>
      <c r="U1303" s="10" t="inlineStr">
        <is>
          <t>-</t>
        </is>
      </c>
      <c r="V1303" s="24" t="n">
        <v>45618</v>
      </c>
      <c r="W1303" s="19" t="inlineStr">
        <is>
          <t>N/A</t>
        </is>
      </c>
      <c r="X1303" s="10">
        <f>+IFERROR(IF(VLOOKUP(Tabla2[[#This Row],[ID]],'EVALUACION DE RIESGO'!A:A,1,FALSE)=Tabla2[[#This Row],[ID]],"SI","NO"),"NO")</f>
        <v/>
      </c>
      <c r="AD1303">
        <f>IF(AND(Y1303="",AA1303=""),"",IF(OR(LEFT(AA1303,2)="L0",LEFT(AA1303,2)="L1",Y1303="No Iniciado"),"CRÍTICO - Incumplimiento Normativo SEPS",IF(AND(OR(LEFT(AA1303,2)="L4",LEFT(AA1303,2)="L5"),AND(AC1303&lt;&gt;"",AC1303&lt;&gt;"N/A")),"CONFORME - Control Efectivo ISO 27001","OBSERVACIÓN - Revisar Controles")))</f>
        <v/>
      </c>
    </row>
    <row r="1304">
      <c r="A1304" s="99" t="inlineStr">
        <is>
          <t>282-GRI</t>
        </is>
      </c>
      <c r="B1304" s="10" t="inlineStr">
        <is>
          <t>ESTRATÉGICO</t>
        </is>
      </c>
      <c r="C1304" s="10" t="inlineStr">
        <is>
          <t>Gestión de Riesgos</t>
        </is>
      </c>
      <c r="D1304" s="10" t="inlineStr">
        <is>
          <t>GRI</t>
        </is>
      </c>
      <c r="E1304" s="10" t="inlineStr">
        <is>
          <t>Gestión de Riesgo de Crédito</t>
        </is>
      </c>
      <c r="F1304" s="10" t="inlineStr">
        <is>
          <t>-</t>
        </is>
      </c>
      <c r="G1304" s="10" t="inlineStr">
        <is>
          <t xml:space="preserve">Análisis de operaciones para compra de cartera </t>
        </is>
      </c>
      <c r="H1304" s="10" t="inlineStr">
        <is>
          <t>Matriz de revisión para Comprar de Cartera</t>
        </is>
      </c>
      <c r="I1304" s="10" t="inlineStr">
        <is>
          <t>Reporte</t>
        </is>
      </c>
      <c r="J1304" s="10" t="inlineStr">
        <is>
          <t>GERENTE DE RIESGOS</t>
        </is>
      </c>
      <c r="K1304" s="10" t="inlineStr">
        <is>
          <t>ANALISTA DE RIESGO DE CREDITO</t>
        </is>
      </c>
      <c r="L1304" s="10" t="inlineStr">
        <is>
          <t>UBICACIÓN DIGITAL-EQUIPO DEL RESPONSABLE</t>
        </is>
      </c>
      <c r="M1304" s="10" t="inlineStr">
        <is>
          <t>DOCUMENTO DE ARCHIVO-ELECTRÓNICO</t>
        </is>
      </c>
      <c r="N1304" s="10" t="inlineStr">
        <is>
          <t>PRIMARIOS</t>
        </is>
      </c>
      <c r="O1304" s="10" t="inlineStr">
        <is>
          <t>DOCUMENTOS TÉCNICOS</t>
        </is>
      </c>
      <c r="P1304" s="10" t="inlineStr">
        <is>
          <t>PUBLICA(1)</t>
        </is>
      </c>
      <c r="Q1304" s="10" t="inlineStr">
        <is>
          <t>ALTA(3)</t>
        </is>
      </c>
      <c r="R1304" s="10" t="inlineStr">
        <is>
          <t>MEDIA(2)</t>
        </is>
      </c>
      <c r="S1304" s="10">
        <f>+(IF(P1304="PUBLICA(1)",1,IF(P1304="USO INTERNO(2)",2,IF(P1304="RESTRINGIDO(3)",3,3))))+(IF(Q1304="BAJA(1)",1,IF(Q1304="MEDIA(2)",2,IF(Q1304="ALTA(3)",3,3))))+(IF(R1304="BAJA(1)",1,IF(R1304="MEDIA(2)",2,IF(R1304="ALTA(3)",3,3))))</f>
        <v/>
      </c>
      <c r="T1304" s="10">
        <f>+IF(S1304&lt;6,"BAJA",IF(S1304&lt;8,"MEDIA","ALTA"))</f>
        <v/>
      </c>
      <c r="U1304" s="10" t="inlineStr">
        <is>
          <t>-</t>
        </is>
      </c>
      <c r="V1304" s="24" t="n">
        <v>45617</v>
      </c>
      <c r="W1304" s="19" t="inlineStr">
        <is>
          <t>N/A</t>
        </is>
      </c>
      <c r="X1304" s="10">
        <f>+IFERROR(IF(VLOOKUP(Tabla2[[#This Row],[ID]],'EVALUACION DE RIESGO'!A:A,1,FALSE)=Tabla2[[#This Row],[ID]],"SI","NO"),"NO")</f>
        <v/>
      </c>
      <c r="AD1304">
        <f>IF(AND(Y1304="",AA1304=""),"",IF(OR(LEFT(AA1304,2)="L0",LEFT(AA1304,2)="L1",Y1304="No Iniciado"),"CRÍTICO - Incumplimiento Normativo SEPS",IF(AND(OR(LEFT(AA1304,2)="L4",LEFT(AA1304,2)="L5"),AND(AC1304&lt;&gt;"",AC1304&lt;&gt;"N/A")),"CONFORME - Control Efectivo ISO 27001","OBSERVACIÓN - Revisar Controles")))</f>
        <v/>
      </c>
    </row>
    <row r="1305">
      <c r="A1305" s="99" t="inlineStr">
        <is>
          <t>283-GRI</t>
        </is>
      </c>
      <c r="B1305" s="10" t="inlineStr">
        <is>
          <t>ESTRATÉGICO</t>
        </is>
      </c>
      <c r="C1305" s="10" t="inlineStr">
        <is>
          <t>Gestión de Riesgos</t>
        </is>
      </c>
      <c r="D1305" s="10" t="inlineStr">
        <is>
          <t>GRI</t>
        </is>
      </c>
      <c r="E1305" s="10" t="inlineStr">
        <is>
          <t>Gestión de Riesgo de Crédito</t>
        </is>
      </c>
      <c r="F1305" s="10" t="inlineStr">
        <is>
          <t>-</t>
        </is>
      </c>
      <c r="G1305" s="10" t="inlineStr">
        <is>
          <t xml:space="preserve">Análisis de operaciones para compra de cartera </t>
        </is>
      </c>
      <c r="H1305" s="10" t="inlineStr">
        <is>
          <t>Informe de Compra de Cartera</t>
        </is>
      </c>
      <c r="I1305" s="10" t="inlineStr">
        <is>
          <t>Informe</t>
        </is>
      </c>
      <c r="J1305" s="10" t="inlineStr">
        <is>
          <t>GERENTE DE RIESGOS</t>
        </is>
      </c>
      <c r="K1305" s="10" t="inlineStr">
        <is>
          <t>ANALISTA DE RIESGO DE CREDITO</t>
        </is>
      </c>
      <c r="L1305" s="10" t="inlineStr">
        <is>
          <t>UBICACIÓN DIGITAL-EQUIPO DEL RESPONSABLE</t>
        </is>
      </c>
      <c r="M1305" s="10" t="inlineStr">
        <is>
          <t>DOCUMENTO DE ARCHIVO-ELECTRÓNICO</t>
        </is>
      </c>
      <c r="N1305" s="10" t="inlineStr">
        <is>
          <t>PRIMARIOS</t>
        </is>
      </c>
      <c r="O1305" s="10" t="inlineStr">
        <is>
          <t>DOCUMENTOS TÉCNICOS</t>
        </is>
      </c>
      <c r="P1305" s="10" t="inlineStr">
        <is>
          <t>PUBLICA(1)</t>
        </is>
      </c>
      <c r="Q1305" s="10" t="inlineStr">
        <is>
          <t>ALTA(3)</t>
        </is>
      </c>
      <c r="R1305" s="10" t="inlineStr">
        <is>
          <t>MEDIA(2)</t>
        </is>
      </c>
      <c r="S1305" s="10">
        <f>+(IF(P1305="PUBLICA(1)",1,IF(P1305="USO INTERNO(2)",2,IF(P1305="RESTRINGIDO(3)",3,3))))+(IF(Q1305="BAJA(1)",1,IF(Q1305="MEDIA(2)",2,IF(Q1305="ALTA(3)",3,3))))+(IF(R1305="BAJA(1)",1,IF(R1305="MEDIA(2)",2,IF(R1305="ALTA(3)",3,3))))</f>
        <v/>
      </c>
      <c r="T1305" s="10">
        <f>+IF(S1305&lt;6,"BAJA",IF(S1305&lt;8,"MEDIA","ALTA"))</f>
        <v/>
      </c>
      <c r="U1305" s="10" t="inlineStr">
        <is>
          <t>-</t>
        </is>
      </c>
      <c r="V1305" s="24" t="n">
        <v>45618</v>
      </c>
      <c r="W1305" s="19" t="inlineStr">
        <is>
          <t>N/A</t>
        </is>
      </c>
      <c r="X1305" s="10">
        <f>+IFERROR(IF(VLOOKUP(Tabla2[[#This Row],[ID]],'EVALUACION DE RIESGO'!A:A,1,FALSE)=Tabla2[[#This Row],[ID]],"SI","NO"),"NO")</f>
        <v/>
      </c>
      <c r="AD1305">
        <f>IF(AND(Y1305="",AA1305=""),"",IF(OR(LEFT(AA1305,2)="L0",LEFT(AA1305,2)="L1",Y1305="No Iniciado"),"CRÍTICO - Incumplimiento Normativo SEPS",IF(AND(OR(LEFT(AA1305,2)="L4",LEFT(AA1305,2)="L5"),AND(AC1305&lt;&gt;"",AC1305&lt;&gt;"N/A")),"CONFORME - Control Efectivo ISO 27001","OBSERVACIÓN - Revisar Controles")))</f>
        <v/>
      </c>
    </row>
    <row r="1306">
      <c r="A1306" s="99" t="inlineStr">
        <is>
          <t>284-GRI</t>
        </is>
      </c>
      <c r="B1306" s="10" t="inlineStr">
        <is>
          <t>ESTRATÉGICO</t>
        </is>
      </c>
      <c r="C1306" s="10" t="inlineStr">
        <is>
          <t>Gestión de Riesgos</t>
        </is>
      </c>
      <c r="D1306" s="10" t="inlineStr">
        <is>
          <t>GRI</t>
        </is>
      </c>
      <c r="E1306" s="10" t="inlineStr">
        <is>
          <t>Gestión de Riesgo de Crédito</t>
        </is>
      </c>
      <c r="F1306" s="10" t="inlineStr">
        <is>
          <t>-</t>
        </is>
      </c>
      <c r="G1306" s="10" t="inlineStr">
        <is>
          <t>Análisis de operaciones para castigos</t>
        </is>
      </c>
      <c r="H1306" s="10" t="inlineStr">
        <is>
          <t xml:space="preserve">Informes de gestión del área de Cobranza </t>
        </is>
      </c>
      <c r="I1306" s="10" t="inlineStr">
        <is>
          <t>Informes</t>
        </is>
      </c>
      <c r="J1306" s="10" t="inlineStr">
        <is>
          <t>GERENTE DE RIESGOS</t>
        </is>
      </c>
      <c r="K1306" s="10" t="inlineStr">
        <is>
          <t>ANALISTA DE RIESGO DE CREDITO</t>
        </is>
      </c>
      <c r="L1306" s="10" t="inlineStr">
        <is>
          <t>UBICACIÓN DIGITAL-EQUIPO DEL RESPONSABLE</t>
        </is>
      </c>
      <c r="M1306" s="10" t="inlineStr">
        <is>
          <t>DOCUMENTO DE ARCHIVO-ELECTRÓNICO</t>
        </is>
      </c>
      <c r="N1306" s="10" t="inlineStr">
        <is>
          <t>PRIMARIOS</t>
        </is>
      </c>
      <c r="O1306" s="10" t="inlineStr">
        <is>
          <t>DOCUMENTOS TÉCNICOS</t>
        </is>
      </c>
      <c r="P1306" s="10" t="inlineStr">
        <is>
          <t>PUBLICA(1)</t>
        </is>
      </c>
      <c r="Q1306" s="10" t="inlineStr">
        <is>
          <t>ALTA(3)</t>
        </is>
      </c>
      <c r="R1306" s="10" t="inlineStr">
        <is>
          <t>MEDIA(2)</t>
        </is>
      </c>
      <c r="S1306" s="10">
        <f>+(IF(P1306="PUBLICA(1)",1,IF(P1306="USO INTERNO(2)",2,IF(P1306="RESTRINGIDO(3)",3,3))))+(IF(Q1306="BAJA(1)",1,IF(Q1306="MEDIA(2)",2,IF(Q1306="ALTA(3)",3,3))))+(IF(R1306="BAJA(1)",1,IF(R1306="MEDIA(2)",2,IF(R1306="ALTA(3)",3,3))))</f>
        <v/>
      </c>
      <c r="T1306" s="10">
        <f>+IF(S1306&lt;6,"BAJA",IF(S1306&lt;8,"MEDIA","ALTA"))</f>
        <v/>
      </c>
      <c r="U1306" s="10" t="inlineStr">
        <is>
          <t>-</t>
        </is>
      </c>
      <c r="V1306" s="24" t="n">
        <v>45618</v>
      </c>
      <c r="W1306" s="19" t="inlineStr">
        <is>
          <t>N/A</t>
        </is>
      </c>
      <c r="X1306" s="10">
        <f>+IFERROR(IF(VLOOKUP(Tabla2[[#This Row],[ID]],'EVALUACION DE RIESGO'!A:A,1,FALSE)=Tabla2[[#This Row],[ID]],"SI","NO"),"NO")</f>
        <v/>
      </c>
      <c r="AD1306">
        <f>IF(AND(Y1306="",AA1306=""),"",IF(OR(LEFT(AA1306,2)="L0",LEFT(AA1306,2)="L1",Y1306="No Iniciado"),"CRÍTICO - Incumplimiento Normativo SEPS",IF(AND(OR(LEFT(AA1306,2)="L4",LEFT(AA1306,2)="L5"),AND(AC1306&lt;&gt;"",AC1306&lt;&gt;"N/A")),"CONFORME - Control Efectivo ISO 27001","OBSERVACIÓN - Revisar Controles")))</f>
        <v/>
      </c>
    </row>
    <row r="1307">
      <c r="A1307" s="99" t="inlineStr">
        <is>
          <t>285-GRI</t>
        </is>
      </c>
      <c r="B1307" s="10" t="inlineStr">
        <is>
          <t>ESTRATÉGICO</t>
        </is>
      </c>
      <c r="C1307" s="10" t="inlineStr">
        <is>
          <t>Gestión de Riesgos</t>
        </is>
      </c>
      <c r="D1307" s="10" t="inlineStr">
        <is>
          <t>GRI</t>
        </is>
      </c>
      <c r="E1307" s="10" t="inlineStr">
        <is>
          <t>Gestión de Riesgo de Crédito</t>
        </is>
      </c>
      <c r="F1307" s="10" t="inlineStr">
        <is>
          <t>-</t>
        </is>
      </c>
      <c r="G1307" s="10" t="inlineStr">
        <is>
          <t>Análisis de operaciones para castigos</t>
        </is>
      </c>
      <c r="H1307" s="10" t="inlineStr">
        <is>
          <t xml:space="preserve">Informes de gestión del Departamento Jurídico </t>
        </is>
      </c>
      <c r="I1307" s="10" t="inlineStr">
        <is>
          <t>Informes</t>
        </is>
      </c>
      <c r="J1307" s="10" t="inlineStr">
        <is>
          <t>GERENTE DE RIESGOS</t>
        </is>
      </c>
      <c r="K1307" s="10" t="inlineStr">
        <is>
          <t>ANALISTA DE RIESGO DE CREDITO</t>
        </is>
      </c>
      <c r="L1307" s="10" t="inlineStr">
        <is>
          <t>UBICACIÓN DIGITAL-EQUIPO DEL RESPONSABLE</t>
        </is>
      </c>
      <c r="M1307" s="10" t="inlineStr">
        <is>
          <t>DOCUMENTO DE ARCHIVO-ELECTRÓNICO</t>
        </is>
      </c>
      <c r="N1307" s="10" t="inlineStr">
        <is>
          <t>PRIMARIOS</t>
        </is>
      </c>
      <c r="O1307" s="10" t="inlineStr">
        <is>
          <t>DOCUMENTOS TÉCNICOS</t>
        </is>
      </c>
      <c r="P1307" s="10" t="inlineStr">
        <is>
          <t>PUBLICA(1)</t>
        </is>
      </c>
      <c r="Q1307" s="10" t="inlineStr">
        <is>
          <t>ALTA(3)</t>
        </is>
      </c>
      <c r="R1307" s="10" t="inlineStr">
        <is>
          <t>MEDIA(2)</t>
        </is>
      </c>
      <c r="S1307" s="10">
        <f>+(IF(P1307="PUBLICA(1)",1,IF(P1307="USO INTERNO(2)",2,IF(P1307="RESTRINGIDO(3)",3,3))))+(IF(Q1307="BAJA(1)",1,IF(Q1307="MEDIA(2)",2,IF(Q1307="ALTA(3)",3,3))))+(IF(R1307="BAJA(1)",1,IF(R1307="MEDIA(2)",2,IF(R1307="ALTA(3)",3,3))))</f>
        <v/>
      </c>
      <c r="T1307" s="10">
        <f>+IF(S1307&lt;6,"BAJA",IF(S1307&lt;8,"MEDIA","ALTA"))</f>
        <v/>
      </c>
      <c r="U1307" s="10" t="inlineStr">
        <is>
          <t>-</t>
        </is>
      </c>
      <c r="V1307" s="24" t="n">
        <v>45617</v>
      </c>
      <c r="W1307" s="19" t="inlineStr">
        <is>
          <t>N/A</t>
        </is>
      </c>
      <c r="X1307" s="10">
        <f>+IFERROR(IF(VLOOKUP(Tabla2[[#This Row],[ID]],'EVALUACION DE RIESGO'!A:A,1,FALSE)=Tabla2[[#This Row],[ID]],"SI","NO"),"NO")</f>
        <v/>
      </c>
      <c r="AD1307">
        <f>IF(AND(Y1307="",AA1307=""),"",IF(OR(LEFT(AA1307,2)="L0",LEFT(AA1307,2)="L1",Y1307="No Iniciado"),"CRÍTICO - Incumplimiento Normativo SEPS",IF(AND(OR(LEFT(AA1307,2)="L4",LEFT(AA1307,2)="L5"),AND(AC1307&lt;&gt;"",AC1307&lt;&gt;"N/A")),"CONFORME - Control Efectivo ISO 27001","OBSERVACIÓN - Revisar Controles")))</f>
        <v/>
      </c>
    </row>
    <row r="1308">
      <c r="A1308" s="99" t="inlineStr">
        <is>
          <t>286-GRI</t>
        </is>
      </c>
      <c r="B1308" s="10" t="inlineStr">
        <is>
          <t>ESTRATÉGICO</t>
        </is>
      </c>
      <c r="C1308" s="10" t="inlineStr">
        <is>
          <t>Gestión de Riesgos</t>
        </is>
      </c>
      <c r="D1308" s="10" t="inlineStr">
        <is>
          <t>GRI</t>
        </is>
      </c>
      <c r="E1308" s="10" t="inlineStr">
        <is>
          <t>Gestión de Riesgo de Crédito</t>
        </is>
      </c>
      <c r="F1308" s="10" t="inlineStr">
        <is>
          <t>-</t>
        </is>
      </c>
      <c r="G1308" s="10" t="inlineStr">
        <is>
          <t>Análisis de operaciones para castigos</t>
        </is>
      </c>
      <c r="H1308" s="10" t="inlineStr">
        <is>
          <t>Reporte Cartera_Total</t>
        </is>
      </c>
      <c r="I1308" s="10" t="inlineStr">
        <is>
          <t>Reporte</t>
        </is>
      </c>
      <c r="J1308" s="10" t="inlineStr">
        <is>
          <t>GERENTE DE RIESGOS</t>
        </is>
      </c>
      <c r="K1308" s="10" t="inlineStr">
        <is>
          <t>ANALISTA DE RIESGO DE CREDITO</t>
        </is>
      </c>
      <c r="L1308" s="10" t="inlineStr">
        <is>
          <t>UBICACIÓN DIGITAL-EQUIPO DEL RESPONSABLE</t>
        </is>
      </c>
      <c r="M1308" s="10" t="inlineStr">
        <is>
          <t>DOCUMENTO DE ARCHIVO-ELECTRÓNICO</t>
        </is>
      </c>
      <c r="N1308" s="10" t="inlineStr">
        <is>
          <t>PRIMARIOS</t>
        </is>
      </c>
      <c r="O1308" s="10" t="inlineStr">
        <is>
          <t>DOCUMENTOS TÉCNICOS</t>
        </is>
      </c>
      <c r="P1308" s="10" t="inlineStr">
        <is>
          <t>PUBLICA(1)</t>
        </is>
      </c>
      <c r="Q1308" s="10" t="inlineStr">
        <is>
          <t>ALTA(3)</t>
        </is>
      </c>
      <c r="R1308" s="10" t="inlineStr">
        <is>
          <t>MEDIA(2)</t>
        </is>
      </c>
      <c r="S1308" s="10">
        <f>+(IF(P1308="PUBLICA(1)",1,IF(P1308="USO INTERNO(2)",2,IF(P1308="RESTRINGIDO(3)",3,3))))+(IF(Q1308="BAJA(1)",1,IF(Q1308="MEDIA(2)",2,IF(Q1308="ALTA(3)",3,3))))+(IF(R1308="BAJA(1)",1,IF(R1308="MEDIA(2)",2,IF(R1308="ALTA(3)",3,3))))</f>
        <v/>
      </c>
      <c r="T1308" s="10">
        <f>+IF(S1308&lt;6,"BAJA",IF(S1308&lt;8,"MEDIA","ALTA"))</f>
        <v/>
      </c>
      <c r="U1308" s="10" t="inlineStr">
        <is>
          <t>-</t>
        </is>
      </c>
      <c r="V1308" s="24" t="n">
        <v>45618</v>
      </c>
      <c r="W1308" s="19" t="inlineStr">
        <is>
          <t>N/A</t>
        </is>
      </c>
      <c r="X1308" s="10">
        <f>+IFERROR(IF(VLOOKUP(Tabla2[[#This Row],[ID]],'EVALUACION DE RIESGO'!A:A,1,FALSE)=Tabla2[[#This Row],[ID]],"SI","NO"),"NO")</f>
        <v/>
      </c>
      <c r="AD1308">
        <f>IF(AND(Y1308="",AA1308=""),"",IF(OR(LEFT(AA1308,2)="L0",LEFT(AA1308,2)="L1",Y1308="No Iniciado"),"CRÍTICO - Incumplimiento Normativo SEPS",IF(AND(OR(LEFT(AA1308,2)="L4",LEFT(AA1308,2)="L5"),AND(AC1308&lt;&gt;"",AC1308&lt;&gt;"N/A")),"CONFORME - Control Efectivo ISO 27001","OBSERVACIÓN - Revisar Controles")))</f>
        <v/>
      </c>
    </row>
    <row r="1309">
      <c r="A1309" s="99" t="inlineStr">
        <is>
          <t>287-GRI</t>
        </is>
      </c>
      <c r="B1309" s="10" t="inlineStr">
        <is>
          <t>ESTRATÉGICO</t>
        </is>
      </c>
      <c r="C1309" s="10" t="inlineStr">
        <is>
          <t>Gestión de Riesgos</t>
        </is>
      </c>
      <c r="D1309" s="10" t="inlineStr">
        <is>
          <t>GRI</t>
        </is>
      </c>
      <c r="E1309" s="10" t="inlineStr">
        <is>
          <t>Gestión de Riesgo de Crédito</t>
        </is>
      </c>
      <c r="F1309" s="10" t="inlineStr">
        <is>
          <t>-</t>
        </is>
      </c>
      <c r="G1309" s="10" t="inlineStr">
        <is>
          <t>Análisis de operaciones para castigos</t>
        </is>
      </c>
      <c r="H1309" s="10" t="inlineStr">
        <is>
          <t>Reporte Cartera_Vig</t>
        </is>
      </c>
      <c r="I1309" s="10" t="inlineStr">
        <is>
          <t>Reporte</t>
        </is>
      </c>
      <c r="J1309" s="10" t="inlineStr">
        <is>
          <t>GERENTE DE RIESGOS</t>
        </is>
      </c>
      <c r="K1309" s="10" t="inlineStr">
        <is>
          <t>ANALISTA DE RIESGO DE CREDITO</t>
        </is>
      </c>
      <c r="L1309" s="10" t="inlineStr">
        <is>
          <t>UBICACIÓN DIGITAL-EQUIPO DEL RESPONSABLE</t>
        </is>
      </c>
      <c r="M1309" s="10" t="inlineStr">
        <is>
          <t>DOCUMENTO DE ARCHIVO-ELECTRÓNICO</t>
        </is>
      </c>
      <c r="N1309" s="10" t="inlineStr">
        <is>
          <t>PRIMARIOS</t>
        </is>
      </c>
      <c r="O1309" s="10" t="inlineStr">
        <is>
          <t>DOCUMENTOS TÉCNICOS</t>
        </is>
      </c>
      <c r="P1309" s="10" t="inlineStr">
        <is>
          <t>PUBLICA(1)</t>
        </is>
      </c>
      <c r="Q1309" s="10" t="inlineStr">
        <is>
          <t>ALTA(3)</t>
        </is>
      </c>
      <c r="R1309" s="10" t="inlineStr">
        <is>
          <t>MEDIA(2)</t>
        </is>
      </c>
      <c r="S1309" s="10">
        <f>+(IF(P1309="PUBLICA(1)",1,IF(P1309="USO INTERNO(2)",2,IF(P1309="RESTRINGIDO(3)",3,3))))+(IF(Q1309="BAJA(1)",1,IF(Q1309="MEDIA(2)",2,IF(Q1309="ALTA(3)",3,3))))+(IF(R1309="BAJA(1)",1,IF(R1309="MEDIA(2)",2,IF(R1309="ALTA(3)",3,3))))</f>
        <v/>
      </c>
      <c r="T1309" s="10">
        <f>+IF(S1309&lt;6,"BAJA",IF(S1309&lt;8,"MEDIA","ALTA"))</f>
        <v/>
      </c>
      <c r="U1309" s="10" t="inlineStr">
        <is>
          <t>-</t>
        </is>
      </c>
      <c r="V1309" s="24" t="n">
        <v>45617</v>
      </c>
      <c r="W1309" s="19" t="inlineStr">
        <is>
          <t>N/A</t>
        </is>
      </c>
      <c r="X1309" s="10">
        <f>+IFERROR(IF(VLOOKUP(Tabla2[[#This Row],[ID]],'EVALUACION DE RIESGO'!A:A,1,FALSE)=Tabla2[[#This Row],[ID]],"SI","NO"),"NO")</f>
        <v/>
      </c>
      <c r="AD1309">
        <f>IF(AND(Y1309="",AA1309=""),"",IF(OR(LEFT(AA1309,2)="L0",LEFT(AA1309,2)="L1",Y1309="No Iniciado"),"CRÍTICO - Incumplimiento Normativo SEPS",IF(AND(OR(LEFT(AA1309,2)="L4",LEFT(AA1309,2)="L5"),AND(AC1309&lt;&gt;"",AC1309&lt;&gt;"N/A")),"CONFORME - Control Efectivo ISO 27001","OBSERVACIÓN - Revisar Controles")))</f>
        <v/>
      </c>
    </row>
    <row r="1310">
      <c r="A1310" s="99" t="inlineStr">
        <is>
          <t>288-GRI</t>
        </is>
      </c>
      <c r="B1310" s="10" t="inlineStr">
        <is>
          <t>ESTRATÉGICO</t>
        </is>
      </c>
      <c r="C1310" s="10" t="inlineStr">
        <is>
          <t>Gestión de Riesgos</t>
        </is>
      </c>
      <c r="D1310" s="10" t="inlineStr">
        <is>
          <t>GRI</t>
        </is>
      </c>
      <c r="E1310" s="10" t="inlineStr">
        <is>
          <t>Gestión de Riesgo de Crédito</t>
        </is>
      </c>
      <c r="F1310" s="10" t="inlineStr">
        <is>
          <t>-</t>
        </is>
      </c>
      <c r="G1310" s="10" t="inlineStr">
        <is>
          <t>Análisis de operaciones para castigos</t>
        </is>
      </c>
      <c r="H1310" s="10" t="inlineStr">
        <is>
          <t xml:space="preserve">Reporte de Castigos </t>
        </is>
      </c>
      <c r="I1310" s="10" t="inlineStr">
        <is>
          <t>Reporte</t>
        </is>
      </c>
      <c r="J1310" s="10" t="inlineStr">
        <is>
          <t>GERENTE DE RIESGOS</t>
        </is>
      </c>
      <c r="K1310" s="10" t="inlineStr">
        <is>
          <t>ANALISTA DE RIESGO DE CREDITO</t>
        </is>
      </c>
      <c r="L1310" s="10" t="inlineStr">
        <is>
          <t>UBICACIÓN DIGITAL-EQUIPO DEL RESPONSABLE</t>
        </is>
      </c>
      <c r="M1310" s="10" t="inlineStr">
        <is>
          <t>DOCUMENTO DE ARCHIVO-ELECTRÓNICO</t>
        </is>
      </c>
      <c r="N1310" s="10" t="inlineStr">
        <is>
          <t>PRIMARIOS</t>
        </is>
      </c>
      <c r="O1310" s="10" t="inlineStr">
        <is>
          <t>DOCUMENTOS TÉCNICOS</t>
        </is>
      </c>
      <c r="P1310" s="10" t="inlineStr">
        <is>
          <t>PUBLICA(1)</t>
        </is>
      </c>
      <c r="Q1310" s="10" t="inlineStr">
        <is>
          <t>ALTA(3)</t>
        </is>
      </c>
      <c r="R1310" s="10" t="inlineStr">
        <is>
          <t>MEDIA(2)</t>
        </is>
      </c>
      <c r="S1310" s="10">
        <f>+(IF(P1310="PUBLICA(1)",1,IF(P1310="USO INTERNO(2)",2,IF(P1310="RESTRINGIDO(3)",3,3))))+(IF(Q1310="BAJA(1)",1,IF(Q1310="MEDIA(2)",2,IF(Q1310="ALTA(3)",3,3))))+(IF(R1310="BAJA(1)",1,IF(R1310="MEDIA(2)",2,IF(R1310="ALTA(3)",3,3))))</f>
        <v/>
      </c>
      <c r="T1310" s="10">
        <f>+IF(S1310&lt;6,"BAJA",IF(S1310&lt;8,"MEDIA","ALTA"))</f>
        <v/>
      </c>
      <c r="U1310" s="10" t="inlineStr">
        <is>
          <t>-</t>
        </is>
      </c>
      <c r="V1310" s="24" t="n">
        <v>45618</v>
      </c>
      <c r="W1310" s="19" t="inlineStr">
        <is>
          <t>N/A</t>
        </is>
      </c>
      <c r="X1310" s="10">
        <f>+IFERROR(IF(VLOOKUP(Tabla2[[#This Row],[ID]],'EVALUACION DE RIESGO'!A:A,1,FALSE)=Tabla2[[#This Row],[ID]],"SI","NO"),"NO")</f>
        <v/>
      </c>
      <c r="AD1310">
        <f>IF(AND(Y1310="",AA1310=""),"",IF(OR(LEFT(AA1310,2)="L0",LEFT(AA1310,2)="L1",Y1310="No Iniciado"),"CRÍTICO - Incumplimiento Normativo SEPS",IF(AND(OR(LEFT(AA1310,2)="L4",LEFT(AA1310,2)="L5"),AND(AC1310&lt;&gt;"",AC1310&lt;&gt;"N/A")),"CONFORME - Control Efectivo ISO 27001","OBSERVACIÓN - Revisar Controles")))</f>
        <v/>
      </c>
    </row>
    <row r="1311">
      <c r="A1311" s="99" t="inlineStr">
        <is>
          <t>289-GRI</t>
        </is>
      </c>
      <c r="B1311" s="10" t="inlineStr">
        <is>
          <t>ESTRATÉGICO</t>
        </is>
      </c>
      <c r="C1311" s="10" t="inlineStr">
        <is>
          <t>Gestión de Riesgos</t>
        </is>
      </c>
      <c r="D1311" s="10" t="inlineStr">
        <is>
          <t>GRI</t>
        </is>
      </c>
      <c r="E1311" s="10" t="inlineStr">
        <is>
          <t>Gestión de Riesgo de Crédito</t>
        </is>
      </c>
      <c r="F1311" s="10" t="inlineStr">
        <is>
          <t>-</t>
        </is>
      </c>
      <c r="G1311" s="10" t="inlineStr">
        <is>
          <t>Análisis de operaciones para castigos</t>
        </is>
      </c>
      <c r="H1311" s="10" t="inlineStr">
        <is>
          <t>Informe de Operaciones a Castigar</t>
        </is>
      </c>
      <c r="I1311" s="10" t="inlineStr">
        <is>
          <t>Informe</t>
        </is>
      </c>
      <c r="J1311" s="10" t="inlineStr">
        <is>
          <t>GERENTE DE RIESGOS</t>
        </is>
      </c>
      <c r="K1311" s="10" t="inlineStr">
        <is>
          <t>ANALISTA DE RIESGO DE CREDITO</t>
        </is>
      </c>
      <c r="L1311" s="10" t="inlineStr">
        <is>
          <t>UBICACIÓN DIGITAL-EQUIPO DEL RESPONSABLE</t>
        </is>
      </c>
      <c r="M1311" s="10" t="inlineStr">
        <is>
          <t>DOCUMENTO DE ARCHIVO-ELECTRÓNICO</t>
        </is>
      </c>
      <c r="N1311" s="10" t="inlineStr">
        <is>
          <t>PRIMARIOS</t>
        </is>
      </c>
      <c r="O1311" s="10" t="inlineStr">
        <is>
          <t>DOCUMENTOS TÉCNICOS</t>
        </is>
      </c>
      <c r="P1311" s="10" t="inlineStr">
        <is>
          <t>PUBLICA(1)</t>
        </is>
      </c>
      <c r="Q1311" s="10" t="inlineStr">
        <is>
          <t>ALTA(3)</t>
        </is>
      </c>
      <c r="R1311" s="10" t="inlineStr">
        <is>
          <t>MEDIA(2)</t>
        </is>
      </c>
      <c r="S1311" s="10">
        <f>+(IF(P1311="PUBLICA(1)",1,IF(P1311="USO INTERNO(2)",2,IF(P1311="RESTRINGIDO(3)",3,3))))+(IF(Q1311="BAJA(1)",1,IF(Q1311="MEDIA(2)",2,IF(Q1311="ALTA(3)",3,3))))+(IF(R1311="BAJA(1)",1,IF(R1311="MEDIA(2)",2,IF(R1311="ALTA(3)",3,3))))</f>
        <v/>
      </c>
      <c r="T1311" s="10">
        <f>+IF(S1311&lt;6,"BAJA",IF(S1311&lt;8,"MEDIA","ALTA"))</f>
        <v/>
      </c>
      <c r="U1311" s="10" t="inlineStr">
        <is>
          <t>-</t>
        </is>
      </c>
      <c r="V1311" s="24" t="n">
        <v>45618</v>
      </c>
      <c r="W1311" s="19" t="inlineStr">
        <is>
          <t>N/A</t>
        </is>
      </c>
      <c r="X1311" s="10">
        <f>+IFERROR(IF(VLOOKUP(Tabla2[[#This Row],[ID]],'EVALUACION DE RIESGO'!A:A,1,FALSE)=Tabla2[[#This Row],[ID]],"SI","NO"),"NO")</f>
        <v/>
      </c>
      <c r="AD1311">
        <f>IF(AND(Y1311="",AA1311=""),"",IF(OR(LEFT(AA1311,2)="L0",LEFT(AA1311,2)="L1",Y1311="No Iniciado"),"CRÍTICO - Incumplimiento Normativo SEPS",IF(AND(OR(LEFT(AA1311,2)="L4",LEFT(AA1311,2)="L5"),AND(AC1311&lt;&gt;"",AC1311&lt;&gt;"N/A")),"CONFORME - Control Efectivo ISO 27001","OBSERVACIÓN - Revisar Controles")))</f>
        <v/>
      </c>
    </row>
    <row r="1312">
      <c r="A1312" s="99" t="inlineStr">
        <is>
          <t>290-GRI</t>
        </is>
      </c>
      <c r="B1312" s="10" t="inlineStr">
        <is>
          <t>ESTRATÉGICO</t>
        </is>
      </c>
      <c r="C1312" s="10" t="inlineStr">
        <is>
          <t>Gestión de Riesgos</t>
        </is>
      </c>
      <c r="D1312" s="10" t="inlineStr">
        <is>
          <t>GRI</t>
        </is>
      </c>
      <c r="E1312" s="10" t="inlineStr">
        <is>
          <t>Gestión de Riesgo Ambiental y Social</t>
        </is>
      </c>
      <c r="F1312" s="10" t="inlineStr">
        <is>
          <t>-</t>
        </is>
      </c>
      <c r="G1312" s="10" t="inlineStr">
        <is>
          <t>Otros Activos</t>
        </is>
      </c>
      <c r="H1312" s="10" t="inlineStr">
        <is>
          <t>Resolución SEPS-IGT-IGS-IGJ-INFMR-INR-INGINT-2022-003</t>
        </is>
      </c>
      <c r="I1312" s="10" t="inlineStr">
        <is>
          <t>Norma de la Seps</t>
        </is>
      </c>
      <c r="J1312" s="10" t="inlineStr">
        <is>
          <t>GERENTE DE RIESGOS</t>
        </is>
      </c>
      <c r="K1312" s="10" t="inlineStr">
        <is>
          <t>OFICIAL INTEGRAL DE RIESGOS</t>
        </is>
      </c>
      <c r="L1312" s="10" t="inlineStr">
        <is>
          <t>UBICACIÓN DIGITAL-EQUIPO DEL RESPONSABLE</t>
        </is>
      </c>
      <c r="M1312" s="10" t="inlineStr">
        <is>
          <t>DOCUMENTO DE ARCHIVO-ELECTRÓNICO</t>
        </is>
      </c>
      <c r="N1312" s="10" t="inlineStr">
        <is>
          <t>PRIMARIOS</t>
        </is>
      </c>
      <c r="O1312" s="10" t="inlineStr">
        <is>
          <t>OTROS</t>
        </is>
      </c>
      <c r="P1312" s="10" t="inlineStr">
        <is>
          <t>PUBLICA(1)</t>
        </is>
      </c>
      <c r="Q1312" s="10" t="inlineStr">
        <is>
          <t>BAJA(1)</t>
        </is>
      </c>
      <c r="R1312" s="10" t="inlineStr">
        <is>
          <t>MEDIA(2)</t>
        </is>
      </c>
      <c r="S1312" s="10">
        <f>+(IF(P1312="PUBLICA(1)",1,IF(P1312="USO INTERNO(2)",2,IF(P1312="RESTRINGIDO(3)",3,3))))+(IF(Q1312="BAJA(1)",1,IF(Q1312="MEDIA(2)",2,IF(Q1312="ALTA(3)",3,3))))+(IF(R1312="BAJA(1)",1,IF(R1312="MEDIA(2)",2,IF(R1312="ALTA(3)",3,3))))</f>
        <v/>
      </c>
      <c r="T1312" s="10">
        <f>+IF(S1312&lt;6,"BAJA",IF(S1312&lt;8,"MEDIA","ALTA"))</f>
        <v/>
      </c>
      <c r="U1312" s="10" t="inlineStr">
        <is>
          <t>-</t>
        </is>
      </c>
      <c r="V1312" s="24" t="n">
        <v>45635</v>
      </c>
      <c r="W1312" s="19" t="inlineStr">
        <is>
          <t>N/A</t>
        </is>
      </c>
      <c r="X1312" s="10">
        <f>+IFERROR(IF(VLOOKUP(Tabla2[[#This Row],[ID]],'EVALUACION DE RIESGO'!A:A,1,FALSE)=Tabla2[[#This Row],[ID]],"SI","NO"),"NO")</f>
        <v/>
      </c>
      <c r="AD1312">
        <f>IF(AND(Y1312="",AA1312=""),"",IF(OR(LEFT(AA1312,2)="L0",LEFT(AA1312,2)="L1",Y1312="No Iniciado"),"CRÍTICO - Incumplimiento Normativo SEPS",IF(AND(OR(LEFT(AA1312,2)="L4",LEFT(AA1312,2)="L5"),AND(AC1312&lt;&gt;"",AC1312&lt;&gt;"N/A")),"CONFORME - Control Efectivo ISO 27001","OBSERVACIÓN - Revisar Controles")))</f>
        <v/>
      </c>
    </row>
    <row r="1313">
      <c r="A1313" s="99" t="inlineStr">
        <is>
          <t>291-GRI</t>
        </is>
      </c>
      <c r="B1313" s="10" t="inlineStr">
        <is>
          <t>ESTRATÉGICO</t>
        </is>
      </c>
      <c r="C1313" s="10" t="inlineStr">
        <is>
          <t>Gestión de Riesgos</t>
        </is>
      </c>
      <c r="D1313" s="10" t="inlineStr">
        <is>
          <t>GRI</t>
        </is>
      </c>
      <c r="E1313" s="10" t="inlineStr">
        <is>
          <t>Gestión de Riesgo Ambiental y Social</t>
        </is>
      </c>
      <c r="F1313" s="10" t="inlineStr">
        <is>
          <t>-</t>
        </is>
      </c>
      <c r="G1313" s="10" t="inlineStr">
        <is>
          <t>Otros Activos</t>
        </is>
      </c>
      <c r="H1313" s="10" t="inlineStr">
        <is>
          <t>Código Orgánico del Ambiente</t>
        </is>
      </c>
      <c r="I1313" s="10" t="inlineStr">
        <is>
          <t>Ministerio del ambiente</t>
        </is>
      </c>
      <c r="J1313" s="10" t="inlineStr">
        <is>
          <t>GERENTE DE RIESGOS</t>
        </is>
      </c>
      <c r="K1313" s="10" t="inlineStr">
        <is>
          <t>OFICIAL INTEGRAL DE RIESGOS</t>
        </is>
      </c>
      <c r="L1313" s="10" t="inlineStr">
        <is>
          <t>UBICACIÓN DIGITAL-EQUIPO DEL RESPONSABLE</t>
        </is>
      </c>
      <c r="M1313" s="10" t="inlineStr">
        <is>
          <t>DOCUMENTO DE ARCHIVO-ELECTRÓNICO</t>
        </is>
      </c>
      <c r="N1313" s="10" t="inlineStr">
        <is>
          <t>PRIMARIOS</t>
        </is>
      </c>
      <c r="O1313" s="10" t="inlineStr">
        <is>
          <t>OTROS</t>
        </is>
      </c>
      <c r="P1313" s="10" t="inlineStr">
        <is>
          <t>PUBLICA(1)</t>
        </is>
      </c>
      <c r="Q1313" s="10" t="inlineStr">
        <is>
          <t>BAJA(1)</t>
        </is>
      </c>
      <c r="R1313" s="10" t="inlineStr">
        <is>
          <t>MEDIA(2)</t>
        </is>
      </c>
      <c r="S1313" s="10">
        <f>+(IF(P1313="PUBLICA(1)",1,IF(P1313="USO INTERNO(2)",2,IF(P1313="RESTRINGIDO(3)",3,3))))+(IF(Q1313="BAJA(1)",1,IF(Q1313="MEDIA(2)",2,IF(Q1313="ALTA(3)",3,3))))+(IF(R1313="BAJA(1)",1,IF(R1313="MEDIA(2)",2,IF(R1313="ALTA(3)",3,3))))</f>
        <v/>
      </c>
      <c r="T1313" s="10">
        <f>+IF(S1313&lt;6,"BAJA",IF(S1313&lt;8,"MEDIA","ALTA"))</f>
        <v/>
      </c>
      <c r="U1313" s="10" t="inlineStr">
        <is>
          <t>-</t>
        </is>
      </c>
      <c r="V1313" s="24" t="n">
        <v>45635</v>
      </c>
      <c r="W1313" s="19" t="inlineStr">
        <is>
          <t>N/A</t>
        </is>
      </c>
      <c r="X1313" s="10">
        <f>+IFERROR(IF(VLOOKUP(Tabla2[[#This Row],[ID]],'EVALUACION DE RIESGO'!A:A,1,FALSE)=Tabla2[[#This Row],[ID]],"SI","NO"),"NO")</f>
        <v/>
      </c>
      <c r="AD1313">
        <f>IF(AND(Y1313="",AA1313=""),"",IF(OR(LEFT(AA1313,2)="L0",LEFT(AA1313,2)="L1",Y1313="No Iniciado"),"CRÍTICO - Incumplimiento Normativo SEPS",IF(AND(OR(LEFT(AA1313,2)="L4",LEFT(AA1313,2)="L5"),AND(AC1313&lt;&gt;"",AC1313&lt;&gt;"N/A")),"CONFORME - Control Efectivo ISO 27001","OBSERVACIÓN - Revisar Controles")))</f>
        <v/>
      </c>
    </row>
    <row r="1314">
      <c r="A1314" s="99" t="inlineStr">
        <is>
          <t>292-GRI</t>
        </is>
      </c>
      <c r="B1314" s="10" t="inlineStr">
        <is>
          <t>ESTRATÉGICO</t>
        </is>
      </c>
      <c r="C1314" s="10" t="inlineStr">
        <is>
          <t>Gestión de Riesgos</t>
        </is>
      </c>
      <c r="D1314" s="10" t="inlineStr">
        <is>
          <t>GRI</t>
        </is>
      </c>
      <c r="E1314" s="10" t="inlineStr">
        <is>
          <t>Gestión de Riesgo Ambiental y Social</t>
        </is>
      </c>
      <c r="F1314" s="10" t="inlineStr">
        <is>
          <t>-</t>
        </is>
      </c>
      <c r="G1314" s="10" t="inlineStr">
        <is>
          <t>Otros Activos</t>
        </is>
      </c>
      <c r="H1314" s="10" t="inlineStr">
        <is>
          <t>Categorización Ambiental Nacional (CCAN)</t>
        </is>
      </c>
      <c r="I1314" s="10" t="inlineStr">
        <is>
          <t>Describe el nivel de riesgo ambiental</t>
        </is>
      </c>
      <c r="J1314" s="10" t="inlineStr">
        <is>
          <t>GERENTE DE RIESGOS</t>
        </is>
      </c>
      <c r="K1314" s="10" t="inlineStr">
        <is>
          <t>OFICIAL INTEGRAL DE RIESGOS</t>
        </is>
      </c>
      <c r="L1314" s="10" t="inlineStr">
        <is>
          <t>UBICACIÓN DIGITAL-EQUIPO DEL RESPONSABLE</t>
        </is>
      </c>
      <c r="M1314" s="10" t="inlineStr">
        <is>
          <t>DOCUMENTO DE ARCHIVO-ELECTRÓNICO</t>
        </is>
      </c>
      <c r="N1314" s="10" t="inlineStr">
        <is>
          <t>PRIMARIOS</t>
        </is>
      </c>
      <c r="O1314" s="10" t="inlineStr">
        <is>
          <t>OTROS</t>
        </is>
      </c>
      <c r="P1314" s="10" t="inlineStr">
        <is>
          <t>PUBLICA(1)</t>
        </is>
      </c>
      <c r="Q1314" s="10" t="inlineStr">
        <is>
          <t>BAJA(1)</t>
        </is>
      </c>
      <c r="R1314" s="10" t="inlineStr">
        <is>
          <t>MEDIA(2)</t>
        </is>
      </c>
      <c r="S1314" s="10">
        <f>+(IF(P1314="PUBLICA(1)",1,IF(P1314="USO INTERNO(2)",2,IF(P1314="RESTRINGIDO(3)",3,3))))+(IF(Q1314="BAJA(1)",1,IF(Q1314="MEDIA(2)",2,IF(Q1314="ALTA(3)",3,3))))+(IF(R1314="BAJA(1)",1,IF(R1314="MEDIA(2)",2,IF(R1314="ALTA(3)",3,3))))</f>
        <v/>
      </c>
      <c r="T1314" s="10">
        <f>+IF(S1314&lt;6,"BAJA",IF(S1314&lt;8,"MEDIA","ALTA"))</f>
        <v/>
      </c>
      <c r="U1314" s="10" t="inlineStr">
        <is>
          <t>-</t>
        </is>
      </c>
      <c r="V1314" s="24" t="n">
        <v>45635</v>
      </c>
      <c r="W1314" s="19" t="inlineStr">
        <is>
          <t>N/A</t>
        </is>
      </c>
      <c r="X1314" s="10">
        <f>+IFERROR(IF(VLOOKUP(Tabla2[[#This Row],[ID]],'EVALUACION DE RIESGO'!A:A,1,FALSE)=Tabla2[[#This Row],[ID]],"SI","NO"),"NO")</f>
        <v/>
      </c>
      <c r="AD1314">
        <f>IF(AND(Y1314="",AA1314=""),"",IF(OR(LEFT(AA1314,2)="L0",LEFT(AA1314,2)="L1",Y1314="No Iniciado"),"CRÍTICO - Incumplimiento Normativo SEPS",IF(AND(OR(LEFT(AA1314,2)="L4",LEFT(AA1314,2)="L5"),AND(AC1314&lt;&gt;"",AC1314&lt;&gt;"N/A")),"CONFORME - Control Efectivo ISO 27001","OBSERVACIÓN - Revisar Controles")))</f>
        <v/>
      </c>
    </row>
    <row r="1315">
      <c r="A1315" s="99" t="inlineStr">
        <is>
          <t>293-GRI</t>
        </is>
      </c>
      <c r="B1315" s="10" t="inlineStr">
        <is>
          <t>ESTRATÉGICO</t>
        </is>
      </c>
      <c r="C1315" s="10" t="inlineStr">
        <is>
          <t>Gestión de Riesgos</t>
        </is>
      </c>
      <c r="D1315" s="10" t="inlineStr">
        <is>
          <t>GRI</t>
        </is>
      </c>
      <c r="E1315" s="10" t="inlineStr">
        <is>
          <t>Gestión de Riesgo Ambiental y Social</t>
        </is>
      </c>
      <c r="F1315" s="10" t="inlineStr">
        <is>
          <t>-</t>
        </is>
      </c>
      <c r="G1315" s="10" t="inlineStr">
        <is>
          <t>Otros Activos</t>
        </is>
      </c>
      <c r="H1315" s="10" t="inlineStr">
        <is>
          <t>Sistema Único de información Ambiental-SUIA</t>
        </is>
      </c>
      <c r="I1315" s="10" t="inlineStr">
        <is>
          <t>Describe el nivel de riesgo ambiental</t>
        </is>
      </c>
      <c r="J1315" s="10" t="inlineStr">
        <is>
          <t>GERENTE DE RIESGOS</t>
        </is>
      </c>
      <c r="K1315" s="10" t="inlineStr">
        <is>
          <t>OFICIAL INTEGRAL DE RIESGOS</t>
        </is>
      </c>
      <c r="L1315" s="10" t="inlineStr">
        <is>
          <t>UBICACIÓN DIGITAL-EQUIPO DEL RESPONSABLE</t>
        </is>
      </c>
      <c r="M1315" s="10" t="inlineStr">
        <is>
          <t>DOCUMENTO DE ARCHIVO-ELECTRÓNICO</t>
        </is>
      </c>
      <c r="N1315" s="10" t="inlineStr">
        <is>
          <t>PRIMARIOS</t>
        </is>
      </c>
      <c r="O1315" s="10" t="inlineStr">
        <is>
          <t>OTROS</t>
        </is>
      </c>
      <c r="P1315" s="10" t="inlineStr">
        <is>
          <t>PUBLICA(1)</t>
        </is>
      </c>
      <c r="Q1315" s="10" t="inlineStr">
        <is>
          <t>BAJA(1)</t>
        </is>
      </c>
      <c r="R1315" s="10" t="inlineStr">
        <is>
          <t>MEDIA(2)</t>
        </is>
      </c>
      <c r="S1315" s="10">
        <f>+(IF(P1315="PUBLICA(1)",1,IF(P1315="USO INTERNO(2)",2,IF(P1315="RESTRINGIDO(3)",3,3))))+(IF(Q1315="BAJA(1)",1,IF(Q1315="MEDIA(2)",2,IF(Q1315="ALTA(3)",3,3))))+(IF(R1315="BAJA(1)",1,IF(R1315="MEDIA(2)",2,IF(R1315="ALTA(3)",3,3))))</f>
        <v/>
      </c>
      <c r="T1315" s="10">
        <f>+IF(S1315&lt;6,"BAJA",IF(S1315&lt;8,"MEDIA","ALTA"))</f>
        <v/>
      </c>
      <c r="U1315" s="10" t="inlineStr">
        <is>
          <t>-</t>
        </is>
      </c>
      <c r="V1315" s="24" t="n">
        <v>45635</v>
      </c>
      <c r="W1315" s="19" t="inlineStr">
        <is>
          <t>N/A</t>
        </is>
      </c>
      <c r="X1315" s="10">
        <f>+IFERROR(IF(VLOOKUP(Tabla2[[#This Row],[ID]],'EVALUACION DE RIESGO'!A:A,1,FALSE)=Tabla2[[#This Row],[ID]],"SI","NO"),"NO")</f>
        <v/>
      </c>
      <c r="AD1315">
        <f>IF(AND(Y1315="",AA1315=""),"",IF(OR(LEFT(AA1315,2)="L0",LEFT(AA1315,2)="L1",Y1315="No Iniciado"),"CRÍTICO - Incumplimiento Normativo SEPS",IF(AND(OR(LEFT(AA1315,2)="L4",LEFT(AA1315,2)="L5"),AND(AC1315&lt;&gt;"",AC1315&lt;&gt;"N/A")),"CONFORME - Control Efectivo ISO 27001","OBSERVACIÓN - Revisar Controles")))</f>
        <v/>
      </c>
    </row>
    <row r="1316">
      <c r="A1316" s="99" t="inlineStr">
        <is>
          <t>294-GRI</t>
        </is>
      </c>
      <c r="B1316" s="10" t="inlineStr">
        <is>
          <t>ESTRATÉGICO</t>
        </is>
      </c>
      <c r="C1316" s="10" t="inlineStr">
        <is>
          <t>Gestión de Riesgos</t>
        </is>
      </c>
      <c r="D1316" s="10" t="inlineStr">
        <is>
          <t>GRI</t>
        </is>
      </c>
      <c r="E1316" s="10" t="inlineStr">
        <is>
          <t>Gestión de Riesgo Ambiental y Social</t>
        </is>
      </c>
      <c r="F1316" s="10" t="inlineStr">
        <is>
          <t>-</t>
        </is>
      </c>
      <c r="G1316" s="10" t="inlineStr">
        <is>
          <t>Otros Activos</t>
        </is>
      </c>
      <c r="H1316" s="10" t="inlineStr">
        <is>
          <t>Normas de desempeño de la Corporación Financiera Internacional-IFC</t>
        </is>
      </c>
      <c r="I1316" s="10" t="inlineStr">
        <is>
          <t>Describe el nivel de riesgo ambiental</t>
        </is>
      </c>
      <c r="J1316" s="10" t="inlineStr">
        <is>
          <t>GERENTE DE RIESGOS</t>
        </is>
      </c>
      <c r="K1316" s="10" t="inlineStr">
        <is>
          <t>OFICIAL INTEGRAL DE RIESGOS</t>
        </is>
      </c>
      <c r="L1316" s="10" t="inlineStr">
        <is>
          <t>UBICACIÓN DIGITAL-EQUIPO DEL RESPONSABLE</t>
        </is>
      </c>
      <c r="M1316" s="10" t="inlineStr">
        <is>
          <t>DOCUMENTO DE ARCHIVO-ELECTRÓNICO</t>
        </is>
      </c>
      <c r="N1316" s="10" t="inlineStr">
        <is>
          <t>PRIMARIOS</t>
        </is>
      </c>
      <c r="O1316" s="10" t="inlineStr">
        <is>
          <t>OTROS</t>
        </is>
      </c>
      <c r="P1316" s="10" t="inlineStr">
        <is>
          <t>PUBLICA(1)</t>
        </is>
      </c>
      <c r="Q1316" s="10" t="inlineStr">
        <is>
          <t>BAJA(1)</t>
        </is>
      </c>
      <c r="R1316" s="10" t="inlineStr">
        <is>
          <t>MEDIA(2)</t>
        </is>
      </c>
      <c r="S1316" s="10">
        <f>+(IF(P1316="PUBLICA(1)",1,IF(P1316="USO INTERNO(2)",2,IF(P1316="RESTRINGIDO(3)",3,3))))+(IF(Q1316="BAJA(1)",1,IF(Q1316="MEDIA(2)",2,IF(Q1316="ALTA(3)",3,3))))+(IF(R1316="BAJA(1)",1,IF(R1316="MEDIA(2)",2,IF(R1316="ALTA(3)",3,3))))</f>
        <v/>
      </c>
      <c r="T1316" s="10">
        <f>+IF(S1316&lt;6,"BAJA",IF(S1316&lt;8,"MEDIA","ALTA"))</f>
        <v/>
      </c>
      <c r="U1316" s="10" t="inlineStr">
        <is>
          <t>-</t>
        </is>
      </c>
      <c r="V1316" s="24" t="n">
        <v>45635</v>
      </c>
      <c r="W1316" s="19" t="inlineStr">
        <is>
          <t>N/A</t>
        </is>
      </c>
      <c r="X1316" s="10">
        <f>+IFERROR(IF(VLOOKUP(Tabla2[[#This Row],[ID]],'EVALUACION DE RIESGO'!A:A,1,FALSE)=Tabla2[[#This Row],[ID]],"SI","NO"),"NO")</f>
        <v/>
      </c>
      <c r="AD1316">
        <f>IF(AND(Y1316="",AA1316=""),"",IF(OR(LEFT(AA1316,2)="L0",LEFT(AA1316,2)="L1",Y1316="No Iniciado"),"CRÍTICO - Incumplimiento Normativo SEPS",IF(AND(OR(LEFT(AA1316,2)="L4",LEFT(AA1316,2)="L5"),AND(AC1316&lt;&gt;"",AC1316&lt;&gt;"N/A")),"CONFORME - Control Efectivo ISO 27001","OBSERVACIÓN - Revisar Controles")))</f>
        <v/>
      </c>
    </row>
    <row r="1317">
      <c r="A1317" s="99" t="inlineStr">
        <is>
          <t>295-GRI</t>
        </is>
      </c>
      <c r="B1317" s="10" t="inlineStr">
        <is>
          <t>ESTRATÉGICO</t>
        </is>
      </c>
      <c r="C1317" s="10" t="inlineStr">
        <is>
          <t>Gestión de Riesgos</t>
        </is>
      </c>
      <c r="D1317" s="10" t="inlineStr">
        <is>
          <t>GRI</t>
        </is>
      </c>
      <c r="E1317" s="10" t="inlineStr">
        <is>
          <t>Gestión de Riesgo Ambiental y Social</t>
        </is>
      </c>
      <c r="F1317" s="10" t="inlineStr">
        <is>
          <t>-</t>
        </is>
      </c>
      <c r="G1317" s="10" t="inlineStr">
        <is>
          <t>Otros Activos</t>
        </is>
      </c>
      <c r="H1317" s="10" t="inlineStr">
        <is>
          <t>Sistema de gestión Ambiental y social (SGAS)- MIPYMES</t>
        </is>
      </c>
      <c r="I1317" s="10" t="inlineStr">
        <is>
          <t>Describe gestión Ambiental y social</t>
        </is>
      </c>
      <c r="J1317" s="10" t="inlineStr">
        <is>
          <t>GERENTE DE RIESGOS</t>
        </is>
      </c>
      <c r="K1317" s="10" t="inlineStr">
        <is>
          <t>OFICIAL INTEGRAL DE RIESGOS</t>
        </is>
      </c>
      <c r="L1317" s="10" t="inlineStr">
        <is>
          <t>UBICACIÓN DIGITAL-EQUIPO DEL RESPONSABLE</t>
        </is>
      </c>
      <c r="M1317" s="10" t="inlineStr">
        <is>
          <t>DOCUMENTO DE ARCHIVO-ELECTRÓNICO</t>
        </is>
      </c>
      <c r="N1317" s="10" t="inlineStr">
        <is>
          <t>PRIMARIOS</t>
        </is>
      </c>
      <c r="O1317" s="10" t="inlineStr">
        <is>
          <t>OTROS</t>
        </is>
      </c>
      <c r="P1317" s="10" t="inlineStr">
        <is>
          <t>PUBLICA(1)</t>
        </is>
      </c>
      <c r="Q1317" s="10" t="inlineStr">
        <is>
          <t>BAJA(1)</t>
        </is>
      </c>
      <c r="R1317" s="10" t="inlineStr">
        <is>
          <t>MEDIA(2)</t>
        </is>
      </c>
      <c r="S1317" s="10">
        <f>+(IF(P1317="PUBLICA(1)",1,IF(P1317="USO INTERNO(2)",2,IF(P1317="RESTRINGIDO(3)",3,3))))+(IF(Q1317="BAJA(1)",1,IF(Q1317="MEDIA(2)",2,IF(Q1317="ALTA(3)",3,3))))+(IF(R1317="BAJA(1)",1,IF(R1317="MEDIA(2)",2,IF(R1317="ALTA(3)",3,3))))</f>
        <v/>
      </c>
      <c r="T1317" s="10">
        <f>+IF(S1317&lt;6,"BAJA",IF(S1317&lt;8,"MEDIA","ALTA"))</f>
        <v/>
      </c>
      <c r="U1317" s="10" t="inlineStr">
        <is>
          <t>-</t>
        </is>
      </c>
      <c r="V1317" s="24" t="n">
        <v>45635</v>
      </c>
      <c r="W1317" s="19" t="inlineStr">
        <is>
          <t>N/A</t>
        </is>
      </c>
      <c r="X1317" s="10">
        <f>+IFERROR(IF(VLOOKUP(Tabla2[[#This Row],[ID]],'EVALUACION DE RIESGO'!A:A,1,FALSE)=Tabla2[[#This Row],[ID]],"SI","NO"),"NO")</f>
        <v/>
      </c>
      <c r="AD1317">
        <f>IF(AND(Y1317="",AA1317=""),"",IF(OR(LEFT(AA1317,2)="L0",LEFT(AA1317,2)="L1",Y1317="No Iniciado"),"CRÍTICO - Incumplimiento Normativo SEPS",IF(AND(OR(LEFT(AA1317,2)="L4",LEFT(AA1317,2)="L5"),AND(AC1317&lt;&gt;"",AC1317&lt;&gt;"N/A")),"CONFORME - Control Efectivo ISO 27001","OBSERVACIÓN - Revisar Controles")))</f>
        <v/>
      </c>
    </row>
    <row r="1318">
      <c r="A1318" s="99" t="inlineStr">
        <is>
          <t>296-GRI</t>
        </is>
      </c>
      <c r="B1318" s="10" t="inlineStr">
        <is>
          <t>ESTRATÉGICO</t>
        </is>
      </c>
      <c r="C1318" s="10" t="inlineStr">
        <is>
          <t>Gestión de Riesgos</t>
        </is>
      </c>
      <c r="D1318" s="10" t="inlineStr">
        <is>
          <t>GRI</t>
        </is>
      </c>
      <c r="E1318" s="10" t="inlineStr">
        <is>
          <t>Gestión de Riesgo Ambiental y Social</t>
        </is>
      </c>
      <c r="F1318" s="10" t="inlineStr">
        <is>
          <t>-</t>
        </is>
      </c>
      <c r="G1318" s="10" t="inlineStr">
        <is>
          <t>Otros Activos</t>
        </is>
      </c>
      <c r="H1318" s="10" t="inlineStr">
        <is>
          <t xml:space="preserve">Metodología para la administración del riesgo ambiental y social </t>
        </is>
      </c>
      <c r="I1318" s="10" t="inlineStr">
        <is>
          <t>Describe la gestion ambiental y social</t>
        </is>
      </c>
      <c r="J1318" s="10" t="inlineStr">
        <is>
          <t>GERENTE DE RIESGOS</t>
        </is>
      </c>
      <c r="K1318" s="10" t="inlineStr">
        <is>
          <t>OFICIAL INTEGRAL DE RIESGOS</t>
        </is>
      </c>
      <c r="L1318" s="10" t="inlineStr">
        <is>
          <t>UBICACIÓN DIGITAL-EQUIPO DEL RESPONSABLE</t>
        </is>
      </c>
      <c r="M1318" s="10" t="inlineStr">
        <is>
          <t>DOCUMENTO DE ARCHIVO-ELECTRÓNICO</t>
        </is>
      </c>
      <c r="N1318" s="10" t="inlineStr">
        <is>
          <t>PRIMARIOS</t>
        </is>
      </c>
      <c r="O1318" s="10" t="inlineStr">
        <is>
          <t>DOCUMENTOS TÉCNICOS</t>
        </is>
      </c>
      <c r="P1318" s="10" t="inlineStr">
        <is>
          <t>PUBLICA(1)</t>
        </is>
      </c>
      <c r="Q1318" s="10" t="inlineStr">
        <is>
          <t>BAJA(1)</t>
        </is>
      </c>
      <c r="R1318" s="10" t="inlineStr">
        <is>
          <t>MEDIA(2)</t>
        </is>
      </c>
      <c r="S1318" s="10">
        <f>+(IF(P1318="PUBLICA(1)",1,IF(P1318="USO INTERNO(2)",2,IF(P1318="RESTRINGIDO(3)",3,3))))+(IF(Q1318="BAJA(1)",1,IF(Q1318="MEDIA(2)",2,IF(Q1318="ALTA(3)",3,3))))+(IF(R1318="BAJA(1)",1,IF(R1318="MEDIA(2)",2,IF(R1318="ALTA(3)",3,3))))</f>
        <v/>
      </c>
      <c r="T1318" s="10">
        <f>+IF(S1318&lt;6,"BAJA",IF(S1318&lt;8,"MEDIA","ALTA"))</f>
        <v/>
      </c>
      <c r="U1318" s="10" t="inlineStr">
        <is>
          <t>-</t>
        </is>
      </c>
      <c r="V1318" s="24" t="n">
        <v>45635</v>
      </c>
      <c r="W1318" s="19" t="inlineStr">
        <is>
          <t>N/A</t>
        </is>
      </c>
      <c r="X1318" s="10">
        <f>+IFERROR(IF(VLOOKUP(Tabla2[[#This Row],[ID]],'EVALUACION DE RIESGO'!A:A,1,FALSE)=Tabla2[[#This Row],[ID]],"SI","NO"),"NO")</f>
        <v/>
      </c>
      <c r="AD1318">
        <f>IF(AND(Y1318="",AA1318=""),"",IF(OR(LEFT(AA1318,2)="L0",LEFT(AA1318,2)="L1",Y1318="No Iniciado"),"CRÍTICO - Incumplimiento Normativo SEPS",IF(AND(OR(LEFT(AA1318,2)="L4",LEFT(AA1318,2)="L5"),AND(AC1318&lt;&gt;"",AC1318&lt;&gt;"N/A")),"CONFORME - Control Efectivo ISO 27001","OBSERVACIÓN - Revisar Controles")))</f>
        <v/>
      </c>
    </row>
    <row r="1319">
      <c r="A1319" s="99" t="inlineStr">
        <is>
          <t>297-GRI</t>
        </is>
      </c>
      <c r="B1319" s="10" t="inlineStr">
        <is>
          <t>ESTRATÉGICO</t>
        </is>
      </c>
      <c r="C1319" s="10" t="inlineStr">
        <is>
          <t>Gestión de Riesgos</t>
        </is>
      </c>
      <c r="D1319" s="10" t="inlineStr">
        <is>
          <t>GRI</t>
        </is>
      </c>
      <c r="E1319" s="10" t="inlineStr">
        <is>
          <t>Gestión de Riesgo Ambiental y Social</t>
        </is>
      </c>
      <c r="F1319" s="10" t="inlineStr">
        <is>
          <t>-</t>
        </is>
      </c>
      <c r="G1319" s="10" t="inlineStr">
        <is>
          <t>Determinación de la lista de Exclusión</t>
        </is>
      </c>
      <c r="H1319" s="10" t="inlineStr">
        <is>
          <t>Anexo 2: Categorización por Actividad Económica – Ecuador</t>
        </is>
      </c>
      <c r="I1319" s="10" t="inlineStr">
        <is>
          <t>El nivel de riesgo de las actividades económicas</t>
        </is>
      </c>
      <c r="J1319" s="10" t="inlineStr">
        <is>
          <t>GERENTE DE RIESGOS</t>
        </is>
      </c>
      <c r="K1319" s="10" t="inlineStr">
        <is>
          <t>OFICIAL INTEGRAL DE RIESGOS</t>
        </is>
      </c>
      <c r="L1319" s="10" t="inlineStr">
        <is>
          <t>UBICACIÓN DIGITAL-EQUIPO DEL RESPONSABLE</t>
        </is>
      </c>
      <c r="M1319" s="10" t="inlineStr">
        <is>
          <t>DOCUMENTO DE ARCHIVO-ELECTRÓNICO</t>
        </is>
      </c>
      <c r="N1319" s="10" t="inlineStr">
        <is>
          <t>PRIMARIOS</t>
        </is>
      </c>
      <c r="O1319" s="10" t="inlineStr">
        <is>
          <t>DOCUMENTOS TÉCNICOS</t>
        </is>
      </c>
      <c r="P1319" s="10" t="inlineStr">
        <is>
          <t>PUBLICA(1)</t>
        </is>
      </c>
      <c r="Q1319" s="10" t="inlineStr">
        <is>
          <t>BAJA(1)</t>
        </is>
      </c>
      <c r="R1319" s="10" t="inlineStr">
        <is>
          <t>MEDIA(2)</t>
        </is>
      </c>
      <c r="S1319" s="10">
        <f>+(IF(P1319="PUBLICA(1)",1,IF(P1319="USO INTERNO(2)",2,IF(P1319="RESTRINGIDO(3)",3,3))))+(IF(Q1319="BAJA(1)",1,IF(Q1319="MEDIA(2)",2,IF(Q1319="ALTA(3)",3,3))))+(IF(R1319="BAJA(1)",1,IF(R1319="MEDIA(2)",2,IF(R1319="ALTA(3)",3,3))))</f>
        <v/>
      </c>
      <c r="T1319" s="10">
        <f>+IF(S1319&lt;6,"BAJA",IF(S1319&lt;8,"MEDIA","ALTA"))</f>
        <v/>
      </c>
      <c r="U1319" s="10" t="inlineStr">
        <is>
          <t>-</t>
        </is>
      </c>
      <c r="V1319" s="24" t="n">
        <v>45635</v>
      </c>
      <c r="W1319" s="19" t="inlineStr">
        <is>
          <t>N/A</t>
        </is>
      </c>
      <c r="X1319" s="10">
        <f>+IFERROR(IF(VLOOKUP(Tabla2[[#This Row],[ID]],'EVALUACION DE RIESGO'!A:A,1,FALSE)=Tabla2[[#This Row],[ID]],"SI","NO"),"NO")</f>
        <v/>
      </c>
      <c r="AD1319">
        <f>IF(AND(Y1319="",AA1319=""),"",IF(OR(LEFT(AA1319,2)="L0",LEFT(AA1319,2)="L1",Y1319="No Iniciado"),"CRÍTICO - Incumplimiento Normativo SEPS",IF(AND(OR(LEFT(AA1319,2)="L4",LEFT(AA1319,2)="L5"),AND(AC1319&lt;&gt;"",AC1319&lt;&gt;"N/A")),"CONFORME - Control Efectivo ISO 27001","OBSERVACIÓN - Revisar Controles")))</f>
        <v/>
      </c>
    </row>
    <row r="1320">
      <c r="A1320" s="99" t="inlineStr">
        <is>
          <t>298-GRI</t>
        </is>
      </c>
      <c r="B1320" s="10" t="inlineStr">
        <is>
          <t>ESTRATÉGICO</t>
        </is>
      </c>
      <c r="C1320" s="10" t="inlineStr">
        <is>
          <t>Gestión de Riesgos</t>
        </is>
      </c>
      <c r="D1320" s="10" t="inlineStr">
        <is>
          <t>GRI</t>
        </is>
      </c>
      <c r="E1320" s="10" t="inlineStr">
        <is>
          <t>Gestión de Riesgo Ambiental y Social</t>
        </is>
      </c>
      <c r="F1320" s="10" t="inlineStr">
        <is>
          <t>-</t>
        </is>
      </c>
      <c r="G1320" s="10" t="inlineStr">
        <is>
          <t>Determinación de la lista de Exclusión</t>
        </is>
      </c>
      <c r="H1320" s="10" t="inlineStr">
        <is>
          <t>Lista de Exclusión</t>
        </is>
      </c>
      <c r="I1320" s="10" t="inlineStr">
        <is>
          <t>Describe las actividades excluidas</t>
        </is>
      </c>
      <c r="J1320" s="10" t="inlineStr">
        <is>
          <t>GERENTE DE RIESGOS</t>
        </is>
      </c>
      <c r="K1320" s="10" t="inlineStr">
        <is>
          <t>OFICIAL INTEGRAL DE RIESGOS</t>
        </is>
      </c>
      <c r="L1320" s="10" t="inlineStr">
        <is>
          <t>UBICACIÓN DIGITAL-EQUIPO DEL RESPONSABLE</t>
        </is>
      </c>
      <c r="M1320" s="10" t="inlineStr">
        <is>
          <t>DOCUMENTO DE ARCHIVO-ELECTRÓNICO</t>
        </is>
      </c>
      <c r="N1320" s="10" t="inlineStr">
        <is>
          <t>PRIMARIOS</t>
        </is>
      </c>
      <c r="O1320" s="10" t="inlineStr">
        <is>
          <t>DOCUMENTOS TÉCNICOS</t>
        </is>
      </c>
      <c r="P1320" s="10" t="inlineStr">
        <is>
          <t>PUBLICA(1)</t>
        </is>
      </c>
      <c r="Q1320" s="10" t="inlineStr">
        <is>
          <t>BAJA(1)</t>
        </is>
      </c>
      <c r="R1320" s="10" t="inlineStr">
        <is>
          <t>MEDIA(2)</t>
        </is>
      </c>
      <c r="S1320" s="10">
        <f>+(IF(P1320="PUBLICA(1)",1,IF(P1320="USO INTERNO(2)",2,IF(P1320="RESTRINGIDO(3)",3,3))))+(IF(Q1320="BAJA(1)",1,IF(Q1320="MEDIA(2)",2,IF(Q1320="ALTA(3)",3,3))))+(IF(R1320="BAJA(1)",1,IF(R1320="MEDIA(2)",2,IF(R1320="ALTA(3)",3,3))))</f>
        <v/>
      </c>
      <c r="T1320" s="10">
        <f>+IF(S1320&lt;6,"BAJA",IF(S1320&lt;8,"MEDIA","ALTA"))</f>
        <v/>
      </c>
      <c r="U1320" s="10" t="inlineStr">
        <is>
          <t>-</t>
        </is>
      </c>
      <c r="V1320" s="24" t="n">
        <v>45635</v>
      </c>
      <c r="W1320" s="19" t="inlineStr">
        <is>
          <t>N/A</t>
        </is>
      </c>
      <c r="X1320" s="10">
        <f>+IFERROR(IF(VLOOKUP(Tabla2[[#This Row],[ID]],'EVALUACION DE RIESGO'!A:A,1,FALSE)=Tabla2[[#This Row],[ID]],"SI","NO"),"NO")</f>
        <v/>
      </c>
      <c r="AD1320">
        <f>IF(AND(Y1320="",AA1320=""),"",IF(OR(LEFT(AA1320,2)="L0",LEFT(AA1320,2)="L1",Y1320="No Iniciado"),"CRÍTICO - Incumplimiento Normativo SEPS",IF(AND(OR(LEFT(AA1320,2)="L4",LEFT(AA1320,2)="L5"),AND(AC1320&lt;&gt;"",AC1320&lt;&gt;"N/A")),"CONFORME - Control Efectivo ISO 27001","OBSERVACIÓN - Revisar Controles")))</f>
        <v/>
      </c>
    </row>
    <row r="1321">
      <c r="A1321" s="99" t="inlineStr">
        <is>
          <t>299-GRI</t>
        </is>
      </c>
      <c r="B1321" s="10" t="inlineStr">
        <is>
          <t>ESTRATÉGICO</t>
        </is>
      </c>
      <c r="C1321" s="10" t="inlineStr">
        <is>
          <t>Gestión de Riesgos</t>
        </is>
      </c>
      <c r="D1321" s="10" t="inlineStr">
        <is>
          <t>GRI</t>
        </is>
      </c>
      <c r="E1321" s="10" t="inlineStr">
        <is>
          <t>Gestión de Riesgo Ambiental y Social</t>
        </is>
      </c>
      <c r="F1321" s="10" t="inlineStr">
        <is>
          <t>-</t>
        </is>
      </c>
      <c r="G1321" s="10" t="inlineStr">
        <is>
          <t>Determinación de la metodología y categorización de Riesgos</t>
        </is>
      </c>
      <c r="H1321" s="10" t="inlineStr">
        <is>
          <t>Anexo 2: Categorización por Actividad Económica – Ecuador</t>
        </is>
      </c>
      <c r="I1321" s="10" t="inlineStr">
        <is>
          <t>El nivel de riesgo de las actividades económicas</t>
        </is>
      </c>
      <c r="J1321" s="10" t="inlineStr">
        <is>
          <t>GERENTE DE RIESGOS</t>
        </is>
      </c>
      <c r="K1321" s="10" t="inlineStr">
        <is>
          <t>OFICIAL INTEGRAL DE RIESGOS</t>
        </is>
      </c>
      <c r="L1321" s="10" t="inlineStr">
        <is>
          <t>UBICACIÓN DIGITAL-EQUIPO DEL RESPONSABLE</t>
        </is>
      </c>
      <c r="M1321" s="10" t="inlineStr">
        <is>
          <t>DOCUMENTO DE ARCHIVO-ELECTRÓNICO</t>
        </is>
      </c>
      <c r="N1321" s="10" t="inlineStr">
        <is>
          <t>PRIMARIOS</t>
        </is>
      </c>
      <c r="O1321" s="10" t="inlineStr">
        <is>
          <t>DOCUMENTOS TÉCNICOS</t>
        </is>
      </c>
      <c r="P1321" s="10" t="inlineStr">
        <is>
          <t>PUBLICA(1)</t>
        </is>
      </c>
      <c r="Q1321" s="10" t="inlineStr">
        <is>
          <t>BAJA(1)</t>
        </is>
      </c>
      <c r="R1321" s="10" t="inlineStr">
        <is>
          <t>MEDIA(2)</t>
        </is>
      </c>
      <c r="S1321" s="10">
        <f>+(IF(P1321="PUBLICA(1)",1,IF(P1321="USO INTERNO(2)",2,IF(P1321="RESTRINGIDO(3)",3,3))))+(IF(Q1321="BAJA(1)",1,IF(Q1321="MEDIA(2)",2,IF(Q1321="ALTA(3)",3,3))))+(IF(R1321="BAJA(1)",1,IF(R1321="MEDIA(2)",2,IF(R1321="ALTA(3)",3,3))))</f>
        <v/>
      </c>
      <c r="T1321" s="10">
        <f>+IF(S1321&lt;6,"BAJA",IF(S1321&lt;8,"MEDIA","ALTA"))</f>
        <v/>
      </c>
      <c r="U1321" s="10" t="inlineStr">
        <is>
          <t>-</t>
        </is>
      </c>
      <c r="V1321" s="24" t="n">
        <v>45635</v>
      </c>
      <c r="W1321" s="19" t="inlineStr">
        <is>
          <t>N/A</t>
        </is>
      </c>
      <c r="X1321" s="10">
        <f>+IFERROR(IF(VLOOKUP(Tabla2[[#This Row],[ID]],'EVALUACION DE RIESGO'!A:A,1,FALSE)=Tabla2[[#This Row],[ID]],"SI","NO"),"NO")</f>
        <v/>
      </c>
      <c r="AD1321">
        <f>IF(AND(Y1321="",AA1321=""),"",IF(OR(LEFT(AA1321,2)="L0",LEFT(AA1321,2)="L1",Y1321="No Iniciado"),"CRÍTICO - Incumplimiento Normativo SEPS",IF(AND(OR(LEFT(AA1321,2)="L4",LEFT(AA1321,2)="L5"),AND(AC1321&lt;&gt;"",AC1321&lt;&gt;"N/A")),"CONFORME - Control Efectivo ISO 27001","OBSERVACIÓN - Revisar Controles")))</f>
        <v/>
      </c>
    </row>
    <row r="1322">
      <c r="A1322" s="99" t="inlineStr">
        <is>
          <t>300-GRI</t>
        </is>
      </c>
      <c r="B1322" s="10" t="inlineStr">
        <is>
          <t>ESTRATÉGICO</t>
        </is>
      </c>
      <c r="C1322" s="10" t="inlineStr">
        <is>
          <t>Gestión de Riesgos</t>
        </is>
      </c>
      <c r="D1322" s="10" t="inlineStr">
        <is>
          <t>GRI</t>
        </is>
      </c>
      <c r="E1322" s="10" t="inlineStr">
        <is>
          <t>Gestión de Riesgo Ambiental y Social</t>
        </is>
      </c>
      <c r="F1322" s="10" t="inlineStr">
        <is>
          <t>-</t>
        </is>
      </c>
      <c r="G1322" s="10" t="inlineStr">
        <is>
          <t>Determinación de la metodología y categorización de Riesgos</t>
        </is>
      </c>
      <c r="H1322" s="10" t="inlineStr">
        <is>
          <t>Metodología SARAS</t>
        </is>
      </c>
      <c r="I1322" s="10" t="inlineStr">
        <is>
          <t>Gestión ambiental y social</t>
        </is>
      </c>
      <c r="J1322" s="10" t="inlineStr">
        <is>
          <t>GERENTE DE RIESGOS</t>
        </is>
      </c>
      <c r="K1322" s="10" t="inlineStr">
        <is>
          <t>OFICIAL INTEGRAL DE RIESGOS</t>
        </is>
      </c>
      <c r="L1322" s="10" t="inlineStr">
        <is>
          <t>UBICACIÓN DIGITAL-EQUIPO DEL RESPONSABLE</t>
        </is>
      </c>
      <c r="M1322" s="10" t="inlineStr">
        <is>
          <t>DOCUMENTO DE ARCHIVO-ELECTRÓNICO</t>
        </is>
      </c>
      <c r="N1322" s="10" t="inlineStr">
        <is>
          <t>PRIMARIOS</t>
        </is>
      </c>
      <c r="O1322" s="10" t="inlineStr">
        <is>
          <t>DOCUMENTOS TÉCNICOS</t>
        </is>
      </c>
      <c r="P1322" s="10" t="inlineStr">
        <is>
          <t>PUBLICA(1)</t>
        </is>
      </c>
      <c r="Q1322" s="10" t="inlineStr">
        <is>
          <t>BAJA(1)</t>
        </is>
      </c>
      <c r="R1322" s="10" t="inlineStr">
        <is>
          <t>MEDIA(2)</t>
        </is>
      </c>
      <c r="S1322" s="10">
        <f>+(IF(P1322="PUBLICA(1)",1,IF(P1322="USO INTERNO(2)",2,IF(P1322="RESTRINGIDO(3)",3,3))))+(IF(Q1322="BAJA(1)",1,IF(Q1322="MEDIA(2)",2,IF(Q1322="ALTA(3)",3,3))))+(IF(R1322="BAJA(1)",1,IF(R1322="MEDIA(2)",2,IF(R1322="ALTA(3)",3,3))))</f>
        <v/>
      </c>
      <c r="T1322" s="10">
        <f>+IF(S1322&lt;6,"BAJA",IF(S1322&lt;8,"MEDIA","ALTA"))</f>
        <v/>
      </c>
      <c r="U1322" s="10" t="inlineStr">
        <is>
          <t>-</t>
        </is>
      </c>
      <c r="V1322" s="24" t="n">
        <v>45635</v>
      </c>
      <c r="W1322" s="19" t="inlineStr">
        <is>
          <t>N/A</t>
        </is>
      </c>
      <c r="X1322" s="10">
        <f>+IFERROR(IF(VLOOKUP(Tabla2[[#This Row],[ID]],'EVALUACION DE RIESGO'!A:A,1,FALSE)=Tabla2[[#This Row],[ID]],"SI","NO"),"NO")</f>
        <v/>
      </c>
      <c r="AD1322">
        <f>IF(AND(Y1322="",AA1322=""),"",IF(OR(LEFT(AA1322,2)="L0",LEFT(AA1322,2)="L1",Y1322="No Iniciado"),"CRÍTICO - Incumplimiento Normativo SEPS",IF(AND(OR(LEFT(AA1322,2)="L4",LEFT(AA1322,2)="L5"),AND(AC1322&lt;&gt;"",AC1322&lt;&gt;"N/A")),"CONFORME - Control Efectivo ISO 27001","OBSERVACIÓN - Revisar Controles")))</f>
        <v/>
      </c>
    </row>
    <row r="1323">
      <c r="A1323" s="99" t="inlineStr">
        <is>
          <t>301-GRI</t>
        </is>
      </c>
      <c r="B1323" s="10" t="inlineStr">
        <is>
          <t>ESTRATÉGICO</t>
        </is>
      </c>
      <c r="C1323" s="10" t="inlineStr">
        <is>
          <t>Gestión de Riesgos</t>
        </is>
      </c>
      <c r="D1323" s="10" t="inlineStr">
        <is>
          <t>GRI</t>
        </is>
      </c>
      <c r="E1323" s="10" t="inlineStr">
        <is>
          <t>Gestión de Riesgo Ambiental y Social</t>
        </is>
      </c>
      <c r="F1323" s="10" t="inlineStr">
        <is>
          <t>-</t>
        </is>
      </c>
      <c r="G1323" s="10" t="inlineStr">
        <is>
          <t>Aplicación de la Metodología de Categorización de Riesgos</t>
        </is>
      </c>
      <c r="H1323" s="10" t="inlineStr">
        <is>
          <t>Metodología de categorización de riesgos</t>
        </is>
      </c>
      <c r="I1323" s="10" t="inlineStr">
        <is>
          <t>Describe la Metodología de categorización de riesgos</t>
        </is>
      </c>
      <c r="J1323" s="10" t="inlineStr">
        <is>
          <t>GERENTE DE RIESGOS</t>
        </is>
      </c>
      <c r="K1323" s="10" t="inlineStr">
        <is>
          <t>OFICIAL INTEGRAL DE RIESGOS</t>
        </is>
      </c>
      <c r="L1323" s="10" t="inlineStr">
        <is>
          <t>UBICACIÓN DIGITAL-EQUIPO DEL RESPONSABLE</t>
        </is>
      </c>
      <c r="M1323" s="10" t="inlineStr">
        <is>
          <t>DOCUMENTO DE ARCHIVO-ELECTRÓNICO</t>
        </is>
      </c>
      <c r="N1323" s="10" t="inlineStr">
        <is>
          <t>PRIMARIOS</t>
        </is>
      </c>
      <c r="O1323" s="10" t="inlineStr">
        <is>
          <t>DOCUMENTOS TÉCNICOS</t>
        </is>
      </c>
      <c r="P1323" s="10" t="inlineStr">
        <is>
          <t>PUBLICA(1)</t>
        </is>
      </c>
      <c r="Q1323" s="10" t="inlineStr">
        <is>
          <t>BAJA(1)</t>
        </is>
      </c>
      <c r="R1323" s="10" t="inlineStr">
        <is>
          <t>MEDIA(2)</t>
        </is>
      </c>
      <c r="S1323" s="10">
        <f>+(IF(P1323="PUBLICA(1)",1,IF(P1323="USO INTERNO(2)",2,IF(P1323="RESTRINGIDO(3)",3,3))))+(IF(Q1323="BAJA(1)",1,IF(Q1323="MEDIA(2)",2,IF(Q1323="ALTA(3)",3,3))))+(IF(R1323="BAJA(1)",1,IF(R1323="MEDIA(2)",2,IF(R1323="ALTA(3)",3,3))))</f>
        <v/>
      </c>
      <c r="T1323" s="10">
        <f>+IF(S1323&lt;6,"BAJA",IF(S1323&lt;8,"MEDIA","ALTA"))</f>
        <v/>
      </c>
      <c r="U1323" s="10" t="inlineStr">
        <is>
          <t>-</t>
        </is>
      </c>
      <c r="V1323" s="24" t="n">
        <v>45635</v>
      </c>
      <c r="W1323" s="19" t="inlineStr">
        <is>
          <t>N/A</t>
        </is>
      </c>
      <c r="X1323" s="10">
        <f>+IFERROR(IF(VLOOKUP(Tabla2[[#This Row],[ID]],'EVALUACION DE RIESGO'!A:A,1,FALSE)=Tabla2[[#This Row],[ID]],"SI","NO"),"NO")</f>
        <v/>
      </c>
      <c r="AD1323">
        <f>IF(AND(Y1323="",AA1323=""),"",IF(OR(LEFT(AA1323,2)="L0",LEFT(AA1323,2)="L1",Y1323="No Iniciado"),"CRÍTICO - Incumplimiento Normativo SEPS",IF(AND(OR(LEFT(AA1323,2)="L4",LEFT(AA1323,2)="L5"),AND(AC1323&lt;&gt;"",AC1323&lt;&gt;"N/A")),"CONFORME - Control Efectivo ISO 27001","OBSERVACIÓN - Revisar Controles")))</f>
        <v/>
      </c>
    </row>
    <row r="1324">
      <c r="A1324" s="99" t="inlineStr">
        <is>
          <t>302-GRI</t>
        </is>
      </c>
      <c r="B1324" s="10" t="inlineStr">
        <is>
          <t>ESTRATÉGICO</t>
        </is>
      </c>
      <c r="C1324" s="10" t="inlineStr">
        <is>
          <t>Gestión de Riesgos</t>
        </is>
      </c>
      <c r="D1324" s="10" t="inlineStr">
        <is>
          <t>GRI</t>
        </is>
      </c>
      <c r="E1324" s="10" t="inlineStr">
        <is>
          <t>Gestión de Riesgo Ambiental y Social</t>
        </is>
      </c>
      <c r="F1324" s="10" t="inlineStr">
        <is>
          <t>-</t>
        </is>
      </c>
      <c r="G1324" s="10" t="inlineStr">
        <is>
          <t>Aplicación de la Metodología de Categorización de Riesgos</t>
        </is>
      </c>
      <c r="H1324" s="10" t="inlineStr">
        <is>
          <t>Resultado de la aplicación de la metodología</t>
        </is>
      </c>
      <c r="I1324" s="10" t="inlineStr">
        <is>
          <t>Describe la Metodología de categorización de riesgos</t>
        </is>
      </c>
      <c r="J1324" s="10" t="inlineStr">
        <is>
          <t>GERENTE DE RIESGOS</t>
        </is>
      </c>
      <c r="K1324" s="10" t="inlineStr">
        <is>
          <t>OFICIAL INTEGRAL DE RIESGOS</t>
        </is>
      </c>
      <c r="L1324" s="10" t="inlineStr">
        <is>
          <t>UBICACIÓN DIGITAL-EQUIPO DEL RESPONSABLE</t>
        </is>
      </c>
      <c r="M1324" s="10" t="inlineStr">
        <is>
          <t>DOCUMENTO DE ARCHIVO-ELECTRÓNICO</t>
        </is>
      </c>
      <c r="N1324" s="10" t="inlineStr">
        <is>
          <t>PRIMARIOS</t>
        </is>
      </c>
      <c r="O1324" s="10" t="inlineStr">
        <is>
          <t>DOCUMENTOS TÉCNICOS</t>
        </is>
      </c>
      <c r="P1324" s="10" t="inlineStr">
        <is>
          <t>PUBLICA(1)</t>
        </is>
      </c>
      <c r="Q1324" s="10" t="inlineStr">
        <is>
          <t>BAJA(1)</t>
        </is>
      </c>
      <c r="R1324" s="10" t="inlineStr">
        <is>
          <t>MEDIA(2)</t>
        </is>
      </c>
      <c r="S1324" s="10">
        <f>+(IF(P1324="PUBLICA(1)",1,IF(P1324="USO INTERNO(2)",2,IF(P1324="RESTRINGIDO(3)",3,3))))+(IF(Q1324="BAJA(1)",1,IF(Q1324="MEDIA(2)",2,IF(Q1324="ALTA(3)",3,3))))+(IF(R1324="BAJA(1)",1,IF(R1324="MEDIA(2)",2,IF(R1324="ALTA(3)",3,3))))</f>
        <v/>
      </c>
      <c r="T1324" s="10">
        <f>+IF(S1324&lt;6,"BAJA",IF(S1324&lt;8,"MEDIA","ALTA"))</f>
        <v/>
      </c>
      <c r="U1324" s="10" t="inlineStr">
        <is>
          <t>-</t>
        </is>
      </c>
      <c r="V1324" s="24" t="n">
        <v>45635</v>
      </c>
      <c r="W1324" s="19" t="inlineStr">
        <is>
          <t>N/A</t>
        </is>
      </c>
      <c r="X1324" s="10">
        <f>+IFERROR(IF(VLOOKUP(Tabla2[[#This Row],[ID]],'EVALUACION DE RIESGO'!A:A,1,FALSE)=Tabla2[[#This Row],[ID]],"SI","NO"),"NO")</f>
        <v/>
      </c>
      <c r="AD1324">
        <f>IF(AND(Y1324="",AA1324=""),"",IF(OR(LEFT(AA1324,2)="L0",LEFT(AA1324,2)="L1",Y1324="No Iniciado"),"CRÍTICO - Incumplimiento Normativo SEPS",IF(AND(OR(LEFT(AA1324,2)="L4",LEFT(AA1324,2)="L5"),AND(AC1324&lt;&gt;"",AC1324&lt;&gt;"N/A")),"CONFORME - Control Efectivo ISO 27001","OBSERVACIÓN - Revisar Controles")))</f>
        <v/>
      </c>
    </row>
    <row r="1325">
      <c r="A1325" s="99" t="inlineStr">
        <is>
          <t>303-GRI</t>
        </is>
      </c>
      <c r="B1325" s="10" t="inlineStr">
        <is>
          <t>ESTRATÉGICO</t>
        </is>
      </c>
      <c r="C1325" s="10" t="inlineStr">
        <is>
          <t>Gestión de Riesgos</t>
        </is>
      </c>
      <c r="D1325" s="10" t="inlineStr">
        <is>
          <t>GRI</t>
        </is>
      </c>
      <c r="E1325" s="10" t="inlineStr">
        <is>
          <t>Gestión de Riesgo Ambiental y Social</t>
        </is>
      </c>
      <c r="F1325" s="10" t="inlineStr">
        <is>
          <t>-</t>
        </is>
      </c>
      <c r="G1325" s="10" t="inlineStr">
        <is>
          <t>Debida Diligencia</t>
        </is>
      </c>
      <c r="H1325" s="10" t="inlineStr">
        <is>
          <t>Resultado de la aplicación de la metodología</t>
        </is>
      </c>
      <c r="I1325" s="10" t="inlineStr">
        <is>
          <t>Describe la Metodología de categorización de riesgos</t>
        </is>
      </c>
      <c r="J1325" s="10" t="inlineStr">
        <is>
          <t>GERENTE DE RIESGOS</t>
        </is>
      </c>
      <c r="K1325" s="10" t="inlineStr">
        <is>
          <t>OFICIAL INTEGRAL DE RIESGOS</t>
        </is>
      </c>
      <c r="L1325" s="10" t="inlineStr">
        <is>
          <t>UBICACIÓN DIGITAL-EQUIPO DEL RESPONSABLE</t>
        </is>
      </c>
      <c r="M1325" s="10" t="inlineStr">
        <is>
          <t>DOCUMENTO DE ARCHIVO-ELECTRÓNICO</t>
        </is>
      </c>
      <c r="N1325" s="10" t="inlineStr">
        <is>
          <t>PRIMARIOS</t>
        </is>
      </c>
      <c r="O1325" s="10" t="inlineStr">
        <is>
          <t>DOCUMENTOS TÉCNICOS</t>
        </is>
      </c>
      <c r="P1325" s="10" t="inlineStr">
        <is>
          <t>PUBLICA(1)</t>
        </is>
      </c>
      <c r="Q1325" s="10" t="inlineStr">
        <is>
          <t>BAJA(1)</t>
        </is>
      </c>
      <c r="R1325" s="10" t="inlineStr">
        <is>
          <t>MEDIA(2)</t>
        </is>
      </c>
      <c r="S1325" s="10">
        <f>+(IF(P1325="PUBLICA(1)",1,IF(P1325="USO INTERNO(2)",2,IF(P1325="RESTRINGIDO(3)",3,3))))+(IF(Q1325="BAJA(1)",1,IF(Q1325="MEDIA(2)",2,IF(Q1325="ALTA(3)",3,3))))+(IF(R1325="BAJA(1)",1,IF(R1325="MEDIA(2)",2,IF(R1325="ALTA(3)",3,3))))</f>
        <v/>
      </c>
      <c r="T1325" s="10">
        <f>+IF(S1325&lt;6,"BAJA",IF(S1325&lt;8,"MEDIA","ALTA"))</f>
        <v/>
      </c>
      <c r="U1325" s="10" t="inlineStr">
        <is>
          <t>-</t>
        </is>
      </c>
      <c r="V1325" s="24" t="n">
        <v>45635</v>
      </c>
      <c r="W1325" s="19" t="inlineStr">
        <is>
          <t>N/A</t>
        </is>
      </c>
      <c r="X1325" s="10">
        <f>+IFERROR(IF(VLOOKUP(Tabla2[[#This Row],[ID]],'EVALUACION DE RIESGO'!A:A,1,FALSE)=Tabla2[[#This Row],[ID]],"SI","NO"),"NO")</f>
        <v/>
      </c>
      <c r="AD1325">
        <f>IF(AND(Y1325="",AA1325=""),"",IF(OR(LEFT(AA1325,2)="L0",LEFT(AA1325,2)="L1",Y1325="No Iniciado"),"CRÍTICO - Incumplimiento Normativo SEPS",IF(AND(OR(LEFT(AA1325,2)="L4",LEFT(AA1325,2)="L5"),AND(AC1325&lt;&gt;"",AC1325&lt;&gt;"N/A")),"CONFORME - Control Efectivo ISO 27001","OBSERVACIÓN - Revisar Controles")))</f>
        <v/>
      </c>
    </row>
    <row r="1326">
      <c r="A1326" s="99" t="inlineStr">
        <is>
          <t>304-GRI</t>
        </is>
      </c>
      <c r="B1326" s="10" t="inlineStr">
        <is>
          <t>ESTRATÉGICO</t>
        </is>
      </c>
      <c r="C1326" s="10" t="inlineStr">
        <is>
          <t>Gestión de Riesgos</t>
        </is>
      </c>
      <c r="D1326" s="10" t="inlineStr">
        <is>
          <t>GRI</t>
        </is>
      </c>
      <c r="E1326" s="10" t="inlineStr">
        <is>
          <t>Gestión de Riesgo Ambiental y Social</t>
        </is>
      </c>
      <c r="F1326" s="10" t="inlineStr">
        <is>
          <t>-</t>
        </is>
      </c>
      <c r="G1326" s="10" t="inlineStr">
        <is>
          <t>Debida Diligencia</t>
        </is>
      </c>
      <c r="H1326" s="10" t="inlineStr">
        <is>
          <t>Matriz de verificación mínima del desempeño ambiental y social</t>
        </is>
      </c>
      <c r="I1326" s="10" t="inlineStr">
        <is>
          <t>Describe cuestionario de debida diligencia</t>
        </is>
      </c>
      <c r="J1326" s="10" t="inlineStr">
        <is>
          <t>GERENTE DE RIESGOS</t>
        </is>
      </c>
      <c r="K1326" s="10" t="inlineStr">
        <is>
          <t>OFICIAL INTEGRAL DE RIESGOS</t>
        </is>
      </c>
      <c r="L1326" s="10" t="inlineStr">
        <is>
          <t>UBICACIÓN DIGITAL-EQUIPO DEL RESPONSABLE</t>
        </is>
      </c>
      <c r="M1326" s="10" t="inlineStr">
        <is>
          <t>DOCUMENTO DE ARCHIVO-ELECTRÓNICO</t>
        </is>
      </c>
      <c r="N1326" s="10" t="inlineStr">
        <is>
          <t>PRIMARIOS</t>
        </is>
      </c>
      <c r="O1326" s="10" t="inlineStr">
        <is>
          <t>DOCUMENTOS TÉCNICOS</t>
        </is>
      </c>
      <c r="P1326" s="10" t="inlineStr">
        <is>
          <t>PUBLICA(1)</t>
        </is>
      </c>
      <c r="Q1326" s="10" t="inlineStr">
        <is>
          <t>BAJA(1)</t>
        </is>
      </c>
      <c r="R1326" s="10" t="inlineStr">
        <is>
          <t>MEDIA(2)</t>
        </is>
      </c>
      <c r="S1326" s="10">
        <f>+(IF(P1326="PUBLICA(1)",1,IF(P1326="USO INTERNO(2)",2,IF(P1326="RESTRINGIDO(3)",3,3))))+(IF(Q1326="BAJA(1)",1,IF(Q1326="MEDIA(2)",2,IF(Q1326="ALTA(3)",3,3))))+(IF(R1326="BAJA(1)",1,IF(R1326="MEDIA(2)",2,IF(R1326="ALTA(3)",3,3))))</f>
        <v/>
      </c>
      <c r="T1326" s="10">
        <f>+IF(S1326&lt;6,"BAJA",IF(S1326&lt;8,"MEDIA","ALTA"))</f>
        <v/>
      </c>
      <c r="U1326" s="10" t="inlineStr">
        <is>
          <t>-</t>
        </is>
      </c>
      <c r="V1326" s="24" t="n">
        <v>45635</v>
      </c>
      <c r="W1326" s="19" t="inlineStr">
        <is>
          <t>N/A</t>
        </is>
      </c>
      <c r="X1326" s="10">
        <f>+IFERROR(IF(VLOOKUP(Tabla2[[#This Row],[ID]],'EVALUACION DE RIESGO'!A:A,1,FALSE)=Tabla2[[#This Row],[ID]],"SI","NO"),"NO")</f>
        <v/>
      </c>
      <c r="AD1326">
        <f>IF(AND(Y1326="",AA1326=""),"",IF(OR(LEFT(AA1326,2)="L0",LEFT(AA1326,2)="L1",Y1326="No Iniciado"),"CRÍTICO - Incumplimiento Normativo SEPS",IF(AND(OR(LEFT(AA1326,2)="L4",LEFT(AA1326,2)="L5"),AND(AC1326&lt;&gt;"",AC1326&lt;&gt;"N/A")),"CONFORME - Control Efectivo ISO 27001","OBSERVACIÓN - Revisar Controles")))</f>
        <v/>
      </c>
    </row>
    <row r="1327">
      <c r="A1327" s="99" t="inlineStr">
        <is>
          <t>305-GRI</t>
        </is>
      </c>
      <c r="B1327" s="10" t="inlineStr">
        <is>
          <t>ESTRATÉGICO</t>
        </is>
      </c>
      <c r="C1327" s="10" t="inlineStr">
        <is>
          <t>Gestión de Riesgos</t>
        </is>
      </c>
      <c r="D1327" s="10" t="inlineStr">
        <is>
          <t>GRI</t>
        </is>
      </c>
      <c r="E1327" s="10" t="inlineStr">
        <is>
          <t>Gestión de Riesgo Ambiental y Social</t>
        </is>
      </c>
      <c r="F1327" s="10" t="inlineStr">
        <is>
          <t>-</t>
        </is>
      </c>
      <c r="G1327" s="10" t="inlineStr">
        <is>
          <t>Toma de Decisiones</t>
        </is>
      </c>
      <c r="H1327" s="10" t="inlineStr">
        <is>
          <t>Matriz de verificación mínima del desempeño ambiental y social</t>
        </is>
      </c>
      <c r="I1327" s="10" t="inlineStr">
        <is>
          <t>Resultado final</t>
        </is>
      </c>
      <c r="J1327" s="10" t="inlineStr">
        <is>
          <t>GERENTE DE RIESGOS</t>
        </is>
      </c>
      <c r="K1327" s="10" t="inlineStr">
        <is>
          <t>OFICIAL INTEGRAL DE RIESGOS</t>
        </is>
      </c>
      <c r="L1327" s="10" t="inlineStr">
        <is>
          <t>UBICACIÓN DIGITAL-EQUIPO DEL RESPONSABLE</t>
        </is>
      </c>
      <c r="M1327" s="10" t="inlineStr">
        <is>
          <t>DOCUMENTO DE ARCHIVO-ELECTRÓNICO</t>
        </is>
      </c>
      <c r="N1327" s="10" t="inlineStr">
        <is>
          <t>PRIMARIOS</t>
        </is>
      </c>
      <c r="O1327" s="10" t="inlineStr">
        <is>
          <t>DOCUMENTOS TÉCNICOS</t>
        </is>
      </c>
      <c r="P1327" s="10" t="inlineStr">
        <is>
          <t>PUBLICA(1)</t>
        </is>
      </c>
      <c r="Q1327" s="10" t="inlineStr">
        <is>
          <t>BAJA(1)</t>
        </is>
      </c>
      <c r="R1327" s="10" t="inlineStr">
        <is>
          <t>MEDIA(2)</t>
        </is>
      </c>
      <c r="S1327" s="10">
        <f>+(IF(P1327="PUBLICA(1)",1,IF(P1327="USO INTERNO(2)",2,IF(P1327="RESTRINGIDO(3)",3,3))))+(IF(Q1327="BAJA(1)",1,IF(Q1327="MEDIA(2)",2,IF(Q1327="ALTA(3)",3,3))))+(IF(R1327="BAJA(1)",1,IF(R1327="MEDIA(2)",2,IF(R1327="ALTA(3)",3,3))))</f>
        <v/>
      </c>
      <c r="T1327" s="10">
        <f>+IF(S1327&lt;6,"BAJA",IF(S1327&lt;8,"MEDIA","ALTA"))</f>
        <v/>
      </c>
      <c r="U1327" s="10" t="inlineStr">
        <is>
          <t>-</t>
        </is>
      </c>
      <c r="V1327" s="24" t="n">
        <v>45635</v>
      </c>
      <c r="W1327" s="19" t="inlineStr">
        <is>
          <t>N/A</t>
        </is>
      </c>
      <c r="X1327" s="10">
        <f>+IFERROR(IF(VLOOKUP(Tabla2[[#This Row],[ID]],'EVALUACION DE RIESGO'!A:A,1,FALSE)=Tabla2[[#This Row],[ID]],"SI","NO"),"NO")</f>
        <v/>
      </c>
      <c r="AD1327">
        <f>IF(AND(Y1327="",AA1327=""),"",IF(OR(LEFT(AA1327,2)="L0",LEFT(AA1327,2)="L1",Y1327="No Iniciado"),"CRÍTICO - Incumplimiento Normativo SEPS",IF(AND(OR(LEFT(AA1327,2)="L4",LEFT(AA1327,2)="L5"),AND(AC1327&lt;&gt;"",AC1327&lt;&gt;"N/A")),"CONFORME - Control Efectivo ISO 27001","OBSERVACIÓN - Revisar Controles")))</f>
        <v/>
      </c>
    </row>
    <row r="1328">
      <c r="A1328" s="99" t="inlineStr">
        <is>
          <t>306-GRI</t>
        </is>
      </c>
      <c r="B1328" s="10" t="inlineStr">
        <is>
          <t>ESTRATÉGICO</t>
        </is>
      </c>
      <c r="C1328" s="10" t="inlineStr">
        <is>
          <t>Gestión de Riesgos</t>
        </is>
      </c>
      <c r="D1328" s="10" t="inlineStr">
        <is>
          <t>GRI</t>
        </is>
      </c>
      <c r="E1328" s="10" t="inlineStr">
        <is>
          <t>Gestión de Riesgo Ambiental y Social</t>
        </is>
      </c>
      <c r="F1328" s="10" t="inlineStr">
        <is>
          <t>-</t>
        </is>
      </c>
      <c r="G1328" s="10" t="inlineStr">
        <is>
          <t>Toma de Decisiones</t>
        </is>
      </c>
      <c r="H1328" s="10" t="inlineStr">
        <is>
          <t xml:space="preserve">Matriz de verificación mínima del desempeño ambiental y social </t>
        </is>
      </c>
      <c r="I1328" s="10" t="inlineStr">
        <is>
          <t>Resultado final</t>
        </is>
      </c>
      <c r="J1328" s="10" t="inlineStr">
        <is>
          <t>GERENTE DE RIESGOS</t>
        </is>
      </c>
      <c r="K1328" s="10" t="inlineStr">
        <is>
          <t>OFICIAL INTEGRAL DE RIESGOS</t>
        </is>
      </c>
      <c r="L1328" s="10" t="inlineStr">
        <is>
          <t>UBICACIÓN DIGITAL-EQUIPO DEL RESPONSABLE</t>
        </is>
      </c>
      <c r="M1328" s="10" t="inlineStr">
        <is>
          <t>DOCUMENTO DE ARCHIVO-ELECTRÓNICO</t>
        </is>
      </c>
      <c r="N1328" s="10" t="inlineStr">
        <is>
          <t>PRIMARIOS</t>
        </is>
      </c>
      <c r="O1328" s="10" t="inlineStr">
        <is>
          <t>DOCUMENTOS TÉCNICOS</t>
        </is>
      </c>
      <c r="P1328" s="10" t="inlineStr">
        <is>
          <t>PUBLICA(1)</t>
        </is>
      </c>
      <c r="Q1328" s="10" t="inlineStr">
        <is>
          <t>BAJA(1)</t>
        </is>
      </c>
      <c r="R1328" s="10" t="inlineStr">
        <is>
          <t>MEDIA(2)</t>
        </is>
      </c>
      <c r="S1328" s="10">
        <f>+(IF(P1328="PUBLICA(1)",1,IF(P1328="USO INTERNO(2)",2,IF(P1328="RESTRINGIDO(3)",3,3))))+(IF(Q1328="BAJA(1)",1,IF(Q1328="MEDIA(2)",2,IF(Q1328="ALTA(3)",3,3))))+(IF(R1328="BAJA(1)",1,IF(R1328="MEDIA(2)",2,IF(R1328="ALTA(3)",3,3))))</f>
        <v/>
      </c>
      <c r="T1328" s="10">
        <f>+IF(S1328&lt;6,"BAJA",IF(S1328&lt;8,"MEDIA","ALTA"))</f>
        <v/>
      </c>
      <c r="U1328" s="10" t="inlineStr">
        <is>
          <t>-</t>
        </is>
      </c>
      <c r="V1328" s="24" t="n">
        <v>45635</v>
      </c>
      <c r="W1328" s="19" t="inlineStr">
        <is>
          <t>N/A</t>
        </is>
      </c>
      <c r="X1328" s="10">
        <f>+IFERROR(IF(VLOOKUP(Tabla2[[#This Row],[ID]],'EVALUACION DE RIESGO'!A:A,1,FALSE)=Tabla2[[#This Row],[ID]],"SI","NO"),"NO")</f>
        <v/>
      </c>
      <c r="AD1328">
        <f>IF(AND(Y1328="",AA1328=""),"",IF(OR(LEFT(AA1328,2)="L0",LEFT(AA1328,2)="L1",Y1328="No Iniciado"),"CRÍTICO - Incumplimiento Normativo SEPS",IF(AND(OR(LEFT(AA1328,2)="L4",LEFT(AA1328,2)="L5"),AND(AC1328&lt;&gt;"",AC1328&lt;&gt;"N/A")),"CONFORME - Control Efectivo ISO 27001","OBSERVACIÓN - Revisar Controles")))</f>
        <v/>
      </c>
    </row>
    <row r="1329">
      <c r="A1329" s="99" t="inlineStr">
        <is>
          <t>307-GRI</t>
        </is>
      </c>
      <c r="B1329" s="10" t="inlineStr">
        <is>
          <t>ESTRATÉGICO</t>
        </is>
      </c>
      <c r="C1329" s="10" t="inlineStr">
        <is>
          <t>Gestión de Riesgos</t>
        </is>
      </c>
      <c r="D1329" s="10" t="inlineStr">
        <is>
          <t>GRI</t>
        </is>
      </c>
      <c r="E1329" s="10" t="inlineStr">
        <is>
          <t>Gestión de Riesgo Ambiental y Social</t>
        </is>
      </c>
      <c r="F1329" s="10" t="inlineStr">
        <is>
          <t>-</t>
        </is>
      </c>
      <c r="G1329" s="10" t="inlineStr">
        <is>
          <t>Toma de Decisiones</t>
        </is>
      </c>
      <c r="H1329" s="10" t="inlineStr">
        <is>
          <t>Plan de Acción</t>
        </is>
      </c>
      <c r="I1329" s="10" t="inlineStr">
        <is>
          <t>Describe detalle de actividades por cumplir enfocados a temas ambientales y sociales</t>
        </is>
      </c>
      <c r="J1329" s="10" t="inlineStr">
        <is>
          <t>GERENTE DE RIESGOS</t>
        </is>
      </c>
      <c r="K1329" s="10" t="inlineStr">
        <is>
          <t>OFICIAL INTEGRAL DE RIESGOS</t>
        </is>
      </c>
      <c r="L1329" s="10" t="inlineStr">
        <is>
          <t>UBICACIÓN DIGITAL-EQUIPO DEL RESPONSABLE</t>
        </is>
      </c>
      <c r="M1329" s="10" t="inlineStr">
        <is>
          <t>DOCUMENTO DE ARCHIVO-ELECTRÓNICO</t>
        </is>
      </c>
      <c r="N1329" s="10" t="inlineStr">
        <is>
          <t>PRIMARIOS</t>
        </is>
      </c>
      <c r="O1329" s="10" t="inlineStr">
        <is>
          <t>DOCUMENTOS TÉCNICOS</t>
        </is>
      </c>
      <c r="P1329" s="10" t="inlineStr">
        <is>
          <t>PUBLICA(1)</t>
        </is>
      </c>
      <c r="Q1329" s="10" t="inlineStr">
        <is>
          <t>BAJA(1)</t>
        </is>
      </c>
      <c r="R1329" s="10" t="inlineStr">
        <is>
          <t>MEDIA(2)</t>
        </is>
      </c>
      <c r="S1329" s="10">
        <f>+(IF(P1329="PUBLICA(1)",1,IF(P1329="USO INTERNO(2)",2,IF(P1329="RESTRINGIDO(3)",3,3))))+(IF(Q1329="BAJA(1)",1,IF(Q1329="MEDIA(2)",2,IF(Q1329="ALTA(3)",3,3))))+(IF(R1329="BAJA(1)",1,IF(R1329="MEDIA(2)",2,IF(R1329="ALTA(3)",3,3))))</f>
        <v/>
      </c>
      <c r="T1329" s="10">
        <f>+IF(S1329&lt;6,"BAJA",IF(S1329&lt;8,"MEDIA","ALTA"))</f>
        <v/>
      </c>
      <c r="U1329" s="10" t="inlineStr">
        <is>
          <t>-</t>
        </is>
      </c>
      <c r="V1329" s="24" t="n">
        <v>45635</v>
      </c>
      <c r="W1329" s="19" t="inlineStr">
        <is>
          <t>N/A</t>
        </is>
      </c>
      <c r="X1329" s="10">
        <f>+IFERROR(IF(VLOOKUP(Tabla2[[#This Row],[ID]],'EVALUACION DE RIESGO'!A:A,1,FALSE)=Tabla2[[#This Row],[ID]],"SI","NO"),"NO")</f>
        <v/>
      </c>
      <c r="AD1329">
        <f>IF(AND(Y1329="",AA1329=""),"",IF(OR(LEFT(AA1329,2)="L0",LEFT(AA1329,2)="L1",Y1329="No Iniciado"),"CRÍTICO - Incumplimiento Normativo SEPS",IF(AND(OR(LEFT(AA1329,2)="L4",LEFT(AA1329,2)="L5"),AND(AC1329&lt;&gt;"",AC1329&lt;&gt;"N/A")),"CONFORME - Control Efectivo ISO 27001","OBSERVACIÓN - Revisar Controles")))</f>
        <v/>
      </c>
    </row>
    <row r="1330">
      <c r="A1330" s="99" t="inlineStr">
        <is>
          <t>308-GRI</t>
        </is>
      </c>
      <c r="B1330" s="10" t="inlineStr">
        <is>
          <t>ESTRATÉGICO</t>
        </is>
      </c>
      <c r="C1330" s="10" t="inlineStr">
        <is>
          <t>Gestión de Riesgos</t>
        </is>
      </c>
      <c r="D1330" s="10" t="inlineStr">
        <is>
          <t>GRI</t>
        </is>
      </c>
      <c r="E1330" s="10" t="inlineStr">
        <is>
          <t>Gestión de Riesgo Ambiental y Social</t>
        </is>
      </c>
      <c r="F1330" s="10" t="inlineStr">
        <is>
          <t>-</t>
        </is>
      </c>
      <c r="G1330" s="10" t="inlineStr">
        <is>
          <t>Control y Seguimiento</t>
        </is>
      </c>
      <c r="H1330" s="10" t="inlineStr">
        <is>
          <t>Plan de Acción</t>
        </is>
      </c>
      <c r="I1330" s="10" t="inlineStr">
        <is>
          <t>Describe el seguimiento de cumplimiento de planes de acción</t>
        </is>
      </c>
      <c r="J1330" s="10" t="inlineStr">
        <is>
          <t>GERENTE DE RIESGOS</t>
        </is>
      </c>
      <c r="K1330" s="10" t="inlineStr">
        <is>
          <t>OFICIAL INTEGRAL DE RIESGOS</t>
        </is>
      </c>
      <c r="L1330" s="10" t="inlineStr">
        <is>
          <t>UBICACIÓN DIGITAL-EQUIPO DEL RESPONSABLE</t>
        </is>
      </c>
      <c r="M1330" s="10" t="inlineStr">
        <is>
          <t>DOCUMENTO DE ARCHIVO-ELECTRÓNICO</t>
        </is>
      </c>
      <c r="N1330" s="10" t="inlineStr">
        <is>
          <t>PRIMARIOS</t>
        </is>
      </c>
      <c r="O1330" s="10" t="inlineStr">
        <is>
          <t>DOCUMENTOS TÉCNICOS</t>
        </is>
      </c>
      <c r="P1330" s="10" t="inlineStr">
        <is>
          <t>PUBLICA(1)</t>
        </is>
      </c>
      <c r="Q1330" s="10" t="inlineStr">
        <is>
          <t>BAJA(1)</t>
        </is>
      </c>
      <c r="R1330" s="10" t="inlineStr">
        <is>
          <t>MEDIA(2)</t>
        </is>
      </c>
      <c r="S1330" s="10">
        <f>+(IF(P1330="PUBLICA(1)",1,IF(P1330="USO INTERNO(2)",2,IF(P1330="RESTRINGIDO(3)",3,3))))+(IF(Q1330="BAJA(1)",1,IF(Q1330="MEDIA(2)",2,IF(Q1330="ALTA(3)",3,3))))+(IF(R1330="BAJA(1)",1,IF(R1330="MEDIA(2)",2,IF(R1330="ALTA(3)",3,3))))</f>
        <v/>
      </c>
      <c r="T1330" s="10">
        <f>+IF(S1330&lt;6,"BAJA",IF(S1330&lt;8,"MEDIA","ALTA"))</f>
        <v/>
      </c>
      <c r="U1330" s="10" t="inlineStr">
        <is>
          <t>-</t>
        </is>
      </c>
      <c r="V1330" s="24" t="n">
        <v>45635</v>
      </c>
      <c r="W1330" s="19" t="inlineStr">
        <is>
          <t>N/A</t>
        </is>
      </c>
      <c r="X1330" s="10">
        <f>+IFERROR(IF(VLOOKUP(Tabla2[[#This Row],[ID]],'EVALUACION DE RIESGO'!A:A,1,FALSE)=Tabla2[[#This Row],[ID]],"SI","NO"),"NO")</f>
        <v/>
      </c>
      <c r="AD1330">
        <f>IF(AND(Y1330="",AA1330=""),"",IF(OR(LEFT(AA1330,2)="L0",LEFT(AA1330,2)="L1",Y1330="No Iniciado"),"CRÍTICO - Incumplimiento Normativo SEPS",IF(AND(OR(LEFT(AA1330,2)="L4",LEFT(AA1330,2)="L5"),AND(AC1330&lt;&gt;"",AC1330&lt;&gt;"N/A")),"CONFORME - Control Efectivo ISO 27001","OBSERVACIÓN - Revisar Controles")))</f>
        <v/>
      </c>
    </row>
    <row r="1331">
      <c r="A1331" s="99" t="inlineStr">
        <is>
          <t>309-GRI</t>
        </is>
      </c>
      <c r="B1331" s="10" t="inlineStr">
        <is>
          <t>ESTRATÉGICO</t>
        </is>
      </c>
      <c r="C1331" s="10" t="inlineStr">
        <is>
          <t>Gestión de Riesgos</t>
        </is>
      </c>
      <c r="D1331" s="10" t="inlineStr">
        <is>
          <t>GRI</t>
        </is>
      </c>
      <c r="E1331" s="10" t="inlineStr">
        <is>
          <t>Gestión de Riesgo Ambiental y Social</t>
        </is>
      </c>
      <c r="F1331" s="10" t="inlineStr">
        <is>
          <t>-</t>
        </is>
      </c>
      <c r="G1331" s="10" t="inlineStr">
        <is>
          <t>Control y Seguimiento</t>
        </is>
      </c>
      <c r="H1331" s="10" t="inlineStr">
        <is>
          <t>File del crédito</t>
        </is>
      </c>
      <c r="I1331" s="10" t="inlineStr">
        <is>
          <t>Cumplimiento del aplicación del formulario SARAS</t>
        </is>
      </c>
      <c r="J1331" s="10" t="inlineStr">
        <is>
          <t>GERENTE DE RIESGOS</t>
        </is>
      </c>
      <c r="K1331" s="10" t="inlineStr">
        <is>
          <t>OFICIAL INTEGRAL DE RIESGOS</t>
        </is>
      </c>
      <c r="L1331" s="10" t="inlineStr">
        <is>
          <t>UBICACIÓN DIGITAL-EQUIPO DEL RESPONSABLE</t>
        </is>
      </c>
      <c r="M1331" s="10" t="inlineStr">
        <is>
          <t>DOCUMENTO DE ARCHIVO-ELECTRÓNICO</t>
        </is>
      </c>
      <c r="N1331" s="10" t="inlineStr">
        <is>
          <t>PRIMARIOS</t>
        </is>
      </c>
      <c r="O1331" s="10" t="inlineStr">
        <is>
          <t>DOCUMENTOS TÉCNICOS</t>
        </is>
      </c>
      <c r="P1331" s="10" t="inlineStr">
        <is>
          <t>PUBLICA(1)</t>
        </is>
      </c>
      <c r="Q1331" s="10" t="inlineStr">
        <is>
          <t>BAJA(1)</t>
        </is>
      </c>
      <c r="R1331" s="10" t="inlineStr">
        <is>
          <t>MEDIA(2)</t>
        </is>
      </c>
      <c r="S1331" s="10">
        <f>+(IF(P1331="PUBLICA(1)",1,IF(P1331="USO INTERNO(2)",2,IF(P1331="RESTRINGIDO(3)",3,3))))+(IF(Q1331="BAJA(1)",1,IF(Q1331="MEDIA(2)",2,IF(Q1331="ALTA(3)",3,3))))+(IF(R1331="BAJA(1)",1,IF(R1331="MEDIA(2)",2,IF(R1331="ALTA(3)",3,3))))</f>
        <v/>
      </c>
      <c r="T1331" s="10">
        <f>+IF(S1331&lt;6,"BAJA",IF(S1331&lt;8,"MEDIA","ALTA"))</f>
        <v/>
      </c>
      <c r="U1331" s="10" t="inlineStr">
        <is>
          <t>-</t>
        </is>
      </c>
      <c r="V1331" s="24" t="n">
        <v>45635</v>
      </c>
      <c r="W1331" s="19" t="inlineStr">
        <is>
          <t>N/A</t>
        </is>
      </c>
      <c r="X1331" s="10">
        <f>+IFERROR(IF(VLOOKUP(Tabla2[[#This Row],[ID]],'EVALUACION DE RIESGO'!A:A,1,FALSE)=Tabla2[[#This Row],[ID]],"SI","NO"),"NO")</f>
        <v/>
      </c>
      <c r="AD1331">
        <f>IF(AND(Y1331="",AA1331=""),"",IF(OR(LEFT(AA1331,2)="L0",LEFT(AA1331,2)="L1",Y1331="No Iniciado"),"CRÍTICO - Incumplimiento Normativo SEPS",IF(AND(OR(LEFT(AA1331,2)="L4",LEFT(AA1331,2)="L5"),AND(AC1331&lt;&gt;"",AC1331&lt;&gt;"N/A")),"CONFORME - Control Efectivo ISO 27001","OBSERVACIÓN - Revisar Controles")))</f>
        <v/>
      </c>
    </row>
    <row r="1332">
      <c r="A1332" s="99" t="inlineStr">
        <is>
          <t>310-GRI</t>
        </is>
      </c>
      <c r="B1332" s="10" t="inlineStr">
        <is>
          <t>ESTRATÉGICO</t>
        </is>
      </c>
      <c r="C1332" s="10" t="inlineStr">
        <is>
          <t>Gestión de Riesgos</t>
        </is>
      </c>
      <c r="D1332" s="10" t="inlineStr">
        <is>
          <t>GRI</t>
        </is>
      </c>
      <c r="E1332" s="10" t="inlineStr">
        <is>
          <t>Gestión de Riesgo Ambiental y Social</t>
        </is>
      </c>
      <c r="F1332" s="10" t="inlineStr">
        <is>
          <t>-</t>
        </is>
      </c>
      <c r="G1332" s="10" t="inlineStr">
        <is>
          <t>Control y Seguimiento</t>
        </is>
      </c>
      <c r="H1332" s="10" t="inlineStr">
        <is>
          <t>Panel del Power BI</t>
        </is>
      </c>
      <c r="I1332" s="10" t="inlineStr">
        <is>
          <t>Describe el seguimiento de cumplimiento de planes de acción</t>
        </is>
      </c>
      <c r="J1332" s="10" t="inlineStr">
        <is>
          <t>GERENTE DE RIESGOS</t>
        </is>
      </c>
      <c r="K1332" s="10" t="inlineStr">
        <is>
          <t>OFICIAL INTEGRAL DE RIESGOS</t>
        </is>
      </c>
      <c r="L1332" s="10" t="inlineStr">
        <is>
          <t>UBICACIÓN DIGITAL-WEBCOOP</t>
        </is>
      </c>
      <c r="M1332" s="10" t="inlineStr">
        <is>
          <t>DOCUMENTO DE ARCHIVO-ELECTRÓNICO</t>
        </is>
      </c>
      <c r="N1332" s="10" t="inlineStr">
        <is>
          <t>PRIMARIOS</t>
        </is>
      </c>
      <c r="O1332" s="10" t="inlineStr">
        <is>
          <t>DOCUMENTOS TÉCNICOS</t>
        </is>
      </c>
      <c r="P1332" s="10" t="inlineStr">
        <is>
          <t>PUBLICA(1)</t>
        </is>
      </c>
      <c r="Q1332" s="10" t="inlineStr">
        <is>
          <t>BAJA(1)</t>
        </is>
      </c>
      <c r="R1332" s="10" t="inlineStr">
        <is>
          <t>MEDIA(2)</t>
        </is>
      </c>
      <c r="S1332" s="10">
        <f>+(IF(P1332="PUBLICA(1)",1,IF(P1332="USO INTERNO(2)",2,IF(P1332="RESTRINGIDO(3)",3,3))))+(IF(Q1332="BAJA(1)",1,IF(Q1332="MEDIA(2)",2,IF(Q1332="ALTA(3)",3,3))))+(IF(R1332="BAJA(1)",1,IF(R1332="MEDIA(2)",2,IF(R1332="ALTA(3)",3,3))))</f>
        <v/>
      </c>
      <c r="T1332" s="10">
        <f>+IF(S1332&lt;6,"BAJA",IF(S1332&lt;8,"MEDIA","ALTA"))</f>
        <v/>
      </c>
      <c r="U1332" s="10" t="inlineStr">
        <is>
          <t>-</t>
        </is>
      </c>
      <c r="V1332" s="24" t="n">
        <v>45635</v>
      </c>
      <c r="W1332" s="19" t="inlineStr">
        <is>
          <t>N/A</t>
        </is>
      </c>
      <c r="X1332" s="10">
        <f>+IFERROR(IF(VLOOKUP(Tabla2[[#This Row],[ID]],'EVALUACION DE RIESGO'!A:A,1,FALSE)=Tabla2[[#This Row],[ID]],"SI","NO"),"NO")</f>
        <v/>
      </c>
      <c r="AD1332">
        <f>IF(AND(Y1332="",AA1332=""),"",IF(OR(LEFT(AA1332,2)="L0",LEFT(AA1332,2)="L1",Y1332="No Iniciado"),"CRÍTICO - Incumplimiento Normativo SEPS",IF(AND(OR(LEFT(AA1332,2)="L4",LEFT(AA1332,2)="L5"),AND(AC1332&lt;&gt;"",AC1332&lt;&gt;"N/A")),"CONFORME - Control Efectivo ISO 27001","OBSERVACIÓN - Revisar Controles")))</f>
        <v/>
      </c>
    </row>
    <row r="1333">
      <c r="A1333" s="99" t="inlineStr">
        <is>
          <t>311-GRI</t>
        </is>
      </c>
      <c r="B1333" s="10" t="inlineStr">
        <is>
          <t>ESTRATÉGICO</t>
        </is>
      </c>
      <c r="C1333" s="10" t="inlineStr">
        <is>
          <t>Gestión de Riesgos</t>
        </is>
      </c>
      <c r="D1333" s="10" t="inlineStr">
        <is>
          <t>GRI</t>
        </is>
      </c>
      <c r="E1333" s="10" t="inlineStr">
        <is>
          <t>Gestión de Riesgo Ambiental y Social</t>
        </is>
      </c>
      <c r="F1333" s="10" t="inlineStr">
        <is>
          <t>-</t>
        </is>
      </c>
      <c r="G1333" s="10" t="inlineStr">
        <is>
          <t>Recepción de petición, queja o sugerencia por SARAS</t>
        </is>
      </c>
      <c r="H1333" s="10" t="inlineStr">
        <is>
          <t>Formulario de Preguntas, Quejas, Reclamos y Sugerencias</t>
        </is>
      </c>
      <c r="I1333" s="10" t="inlineStr">
        <is>
          <t>Describe los formularios de Quejas, Reclamos y Sugerencias</t>
        </is>
      </c>
      <c r="J1333" s="10" t="inlineStr">
        <is>
          <t>JEFE DE ATENCIÓN AL CLIENTE</t>
        </is>
      </c>
      <c r="K1333" s="10" t="inlineStr">
        <is>
          <t>JEFE DE ATENCIÓN AL CLIENTE</t>
        </is>
      </c>
      <c r="L1333" s="10" t="inlineStr">
        <is>
          <t>UBICACIÓN DIGITAL-WEBCOOP</t>
        </is>
      </c>
      <c r="M1333" s="10" t="inlineStr">
        <is>
          <t>DOCUMENTO DE ARCHIVO-ELECTRÓNICO</t>
        </is>
      </c>
      <c r="N1333" s="10" t="inlineStr">
        <is>
          <t>PRIMARIOS</t>
        </is>
      </c>
      <c r="O1333" s="10" t="inlineStr">
        <is>
          <t>DOCUMENTOS TÉCNICOS</t>
        </is>
      </c>
      <c r="P1333" s="10" t="inlineStr">
        <is>
          <t>PUBLICA(1)</t>
        </is>
      </c>
      <c r="Q1333" s="10" t="inlineStr">
        <is>
          <t>BAJA(1)</t>
        </is>
      </c>
      <c r="R1333" s="10" t="inlineStr">
        <is>
          <t>MEDIA(2)</t>
        </is>
      </c>
      <c r="S1333" s="10">
        <f>+(IF(P1333="PUBLICA(1)",1,IF(P1333="USO INTERNO(2)",2,IF(P1333="RESTRINGIDO(3)",3,3))))+(IF(Q1333="BAJA(1)",1,IF(Q1333="MEDIA(2)",2,IF(Q1333="ALTA(3)",3,3))))+(IF(R1333="BAJA(1)",1,IF(R1333="MEDIA(2)",2,IF(R1333="ALTA(3)",3,3))))</f>
        <v/>
      </c>
      <c r="T1333" s="10">
        <f>+IF(S1333&lt;6,"BAJA",IF(S1333&lt;8,"MEDIA","ALTA"))</f>
        <v/>
      </c>
      <c r="U1333" s="10" t="inlineStr">
        <is>
          <t>-</t>
        </is>
      </c>
      <c r="V1333" s="24" t="n">
        <v>45635</v>
      </c>
      <c r="W1333" s="19" t="inlineStr">
        <is>
          <t>N/A</t>
        </is>
      </c>
      <c r="X1333" s="10">
        <f>+IFERROR(IF(VLOOKUP(Tabla2[[#This Row],[ID]],'EVALUACION DE RIESGO'!A:A,1,FALSE)=Tabla2[[#This Row],[ID]],"SI","NO"),"NO")</f>
        <v/>
      </c>
      <c r="AD1333">
        <f>IF(AND(Y1333="",AA1333=""),"",IF(OR(LEFT(AA1333,2)="L0",LEFT(AA1333,2)="L1",Y1333="No Iniciado"),"CRÍTICO - Incumplimiento Normativo SEPS",IF(AND(OR(LEFT(AA1333,2)="L4",LEFT(AA1333,2)="L5"),AND(AC1333&lt;&gt;"",AC1333&lt;&gt;"N/A")),"CONFORME - Control Efectivo ISO 27001","OBSERVACIÓN - Revisar Controles")))</f>
        <v/>
      </c>
    </row>
    <row r="1334">
      <c r="A1334" s="99" t="inlineStr">
        <is>
          <t>312-GRI</t>
        </is>
      </c>
      <c r="B1334" s="10" t="inlineStr">
        <is>
          <t>ESTRATÉGICO</t>
        </is>
      </c>
      <c r="C1334" s="10" t="inlineStr">
        <is>
          <t>Gestión de Riesgos</t>
        </is>
      </c>
      <c r="D1334" s="10" t="inlineStr">
        <is>
          <t>GRI</t>
        </is>
      </c>
      <c r="E1334" s="10" t="inlineStr">
        <is>
          <t>Gestión de Riesgo Ambiental y Social</t>
        </is>
      </c>
      <c r="F1334" s="10" t="inlineStr">
        <is>
          <t>-</t>
        </is>
      </c>
      <c r="G1334" s="10" t="inlineStr">
        <is>
          <t>Recepción de petición, queja o sugerencia por SARAS</t>
        </is>
      </c>
      <c r="H1334" s="10" t="inlineStr">
        <is>
          <t>Reporte de quejas por SARAS</t>
        </is>
      </c>
      <c r="I1334" s="10" t="inlineStr">
        <is>
          <t>Describe detalle de las quejas y reclamos y sugerencias</t>
        </is>
      </c>
      <c r="J1334" s="10" t="inlineStr">
        <is>
          <t>JEFE DE ATENCIÓN AL CLIENTE</t>
        </is>
      </c>
      <c r="K1334" s="10" t="inlineStr">
        <is>
          <t>JEFE DE ATENCIÓN AL CLIENTE</t>
        </is>
      </c>
      <c r="L1334" s="10" t="inlineStr">
        <is>
          <t>UBICACIÓN DIGITAL-WEBCOOP</t>
        </is>
      </c>
      <c r="M1334" s="10" t="inlineStr">
        <is>
          <t>SISTEMAS DE BASE DE DATOS</t>
        </is>
      </c>
      <c r="N1334" s="10" t="inlineStr">
        <is>
          <t>APOYO</t>
        </is>
      </c>
      <c r="O1334" s="10" t="inlineStr">
        <is>
          <t>SOFTWARE</t>
        </is>
      </c>
      <c r="P1334" s="10" t="inlineStr">
        <is>
          <t>PUBLICA(1)</t>
        </is>
      </c>
      <c r="Q1334" s="10" t="inlineStr">
        <is>
          <t>BAJA(1)</t>
        </is>
      </c>
      <c r="R1334" s="10" t="inlineStr">
        <is>
          <t>MEDIA(2)</t>
        </is>
      </c>
      <c r="S1334" s="10">
        <f>+(IF(P1334="PUBLICA(1)",1,IF(P1334="USO INTERNO(2)",2,IF(P1334="RESTRINGIDO(3)",3,3))))+(IF(Q1334="BAJA(1)",1,IF(Q1334="MEDIA(2)",2,IF(Q1334="ALTA(3)",3,3))))+(IF(R1334="BAJA(1)",1,IF(R1334="MEDIA(2)",2,IF(R1334="ALTA(3)",3,3))))</f>
        <v/>
      </c>
      <c r="T1334" s="10">
        <f>+IF(S1334&lt;6,"BAJA",IF(S1334&lt;8,"MEDIA","ALTA"))</f>
        <v/>
      </c>
      <c r="U1334" s="10" t="inlineStr">
        <is>
          <t>-</t>
        </is>
      </c>
      <c r="V1334" s="24" t="n">
        <v>45635</v>
      </c>
      <c r="W1334" s="19" t="inlineStr">
        <is>
          <t>N/A</t>
        </is>
      </c>
      <c r="X1334" s="10">
        <f>+IFERROR(IF(VLOOKUP(Tabla2[[#This Row],[ID]],'EVALUACION DE RIESGO'!A:A,1,FALSE)=Tabla2[[#This Row],[ID]],"SI","NO"),"NO")</f>
        <v/>
      </c>
      <c r="AD1334">
        <f>IF(AND(Y1334="",AA1334=""),"",IF(OR(LEFT(AA1334,2)="L0",LEFT(AA1334,2)="L1",Y1334="No Iniciado"),"CRÍTICO - Incumplimiento Normativo SEPS",IF(AND(OR(LEFT(AA1334,2)="L4",LEFT(AA1334,2)="L5"),AND(AC1334&lt;&gt;"",AC1334&lt;&gt;"N/A")),"CONFORME - Control Efectivo ISO 27001","OBSERVACIÓN - Revisar Controles")))</f>
        <v/>
      </c>
    </row>
    <row r="1335">
      <c r="A1335" s="99" t="inlineStr">
        <is>
          <t>313-GRI</t>
        </is>
      </c>
      <c r="B1335" s="10" t="inlineStr">
        <is>
          <t>ESTRATÉGICO</t>
        </is>
      </c>
      <c r="C1335" s="10" t="inlineStr">
        <is>
          <t>Gestión de Riesgos</t>
        </is>
      </c>
      <c r="D1335" s="10" t="inlineStr">
        <is>
          <t>GRI</t>
        </is>
      </c>
      <c r="E1335" s="10" t="inlineStr">
        <is>
          <t>Gestión de Riesgo Ambiental y Social</t>
        </is>
      </c>
      <c r="F1335" s="10" t="inlineStr">
        <is>
          <t>-</t>
        </is>
      </c>
      <c r="G1335" s="10" t="inlineStr">
        <is>
          <t>Reporte, Consolidación y Comunicación</t>
        </is>
      </c>
      <c r="H1335" s="10" t="inlineStr">
        <is>
          <t xml:space="preserve">Reporte de operaciones de crédito concedidas </t>
        </is>
      </c>
      <c r="I1335" s="10" t="inlineStr">
        <is>
          <t>Describe detalle de operaciones de crédito</t>
        </is>
      </c>
      <c r="J1335" s="10" t="inlineStr">
        <is>
          <t>GERENTE DE RIESGOS</t>
        </is>
      </c>
      <c r="K1335" s="10" t="inlineStr">
        <is>
          <t>OFICIAL INTEGRAL DE RIESGOS</t>
        </is>
      </c>
      <c r="L1335" s="10" t="inlineStr">
        <is>
          <t>UBICACIÓN DIGITAL-EQUIPO DEL RESPONSABLE</t>
        </is>
      </c>
      <c r="M1335" s="10" t="inlineStr">
        <is>
          <t>DOCUMENTO DE ARCHIVO-ELECTRÓNICO</t>
        </is>
      </c>
      <c r="N1335" s="10" t="inlineStr">
        <is>
          <t>PRIMARIOS</t>
        </is>
      </c>
      <c r="O1335" s="10" t="inlineStr">
        <is>
          <t>DOCUMENTOS TÉCNICOS</t>
        </is>
      </c>
      <c r="P1335" s="10" t="inlineStr">
        <is>
          <t>PUBLICA(1)</t>
        </is>
      </c>
      <c r="Q1335" s="10" t="inlineStr">
        <is>
          <t>BAJA(1)</t>
        </is>
      </c>
      <c r="R1335" s="10" t="inlineStr">
        <is>
          <t>MEDIA(2)</t>
        </is>
      </c>
      <c r="S1335" s="10">
        <f>+(IF(P1335="PUBLICA(1)",1,IF(P1335="USO INTERNO(2)",2,IF(P1335="RESTRINGIDO(3)",3,3))))+(IF(Q1335="BAJA(1)",1,IF(Q1335="MEDIA(2)",2,IF(Q1335="ALTA(3)",3,3))))+(IF(R1335="BAJA(1)",1,IF(R1335="MEDIA(2)",2,IF(R1335="ALTA(3)",3,3))))</f>
        <v/>
      </c>
      <c r="T1335" s="10">
        <f>+IF(S1335&lt;6,"BAJA",IF(S1335&lt;8,"MEDIA","ALTA"))</f>
        <v/>
      </c>
      <c r="U1335" s="10" t="inlineStr">
        <is>
          <t>-</t>
        </is>
      </c>
      <c r="V1335" s="24" t="n">
        <v>45635</v>
      </c>
      <c r="W1335" s="19" t="inlineStr">
        <is>
          <t>N/A</t>
        </is>
      </c>
      <c r="X1335" s="10">
        <f>+IFERROR(IF(VLOOKUP(Tabla2[[#This Row],[ID]],'EVALUACION DE RIESGO'!A:A,1,FALSE)=Tabla2[[#This Row],[ID]],"SI","NO"),"NO")</f>
        <v/>
      </c>
      <c r="AD1335">
        <f>IF(AND(Y1335="",AA1335=""),"",IF(OR(LEFT(AA1335,2)="L0",LEFT(AA1335,2)="L1",Y1335="No Iniciado"),"CRÍTICO - Incumplimiento Normativo SEPS",IF(AND(OR(LEFT(AA1335,2)="L4",LEFT(AA1335,2)="L5"),AND(AC1335&lt;&gt;"",AC1335&lt;&gt;"N/A")),"CONFORME - Control Efectivo ISO 27001","OBSERVACIÓN - Revisar Controles")))</f>
        <v/>
      </c>
    </row>
    <row r="1336">
      <c r="A1336" s="99" t="inlineStr">
        <is>
          <t>314-GRI</t>
        </is>
      </c>
      <c r="B1336" s="10" t="inlineStr">
        <is>
          <t>ESTRATÉGICO</t>
        </is>
      </c>
      <c r="C1336" s="10" t="inlineStr">
        <is>
          <t>Gestión de Riesgos</t>
        </is>
      </c>
      <c r="D1336" s="10" t="inlineStr">
        <is>
          <t>GRI</t>
        </is>
      </c>
      <c r="E1336" s="10" t="inlineStr">
        <is>
          <t>Gestión de Riesgo Ambiental y Social</t>
        </is>
      </c>
      <c r="F1336" s="10" t="inlineStr">
        <is>
          <t>-</t>
        </is>
      </c>
      <c r="G1336" s="10" t="inlineStr">
        <is>
          <t>Reporte, Consolidación y Comunicación</t>
        </is>
      </c>
      <c r="H1336" s="10" t="inlineStr">
        <is>
          <t>Detalle de capacitaciones de SARAS efectuadas</t>
        </is>
      </c>
      <c r="I1336" s="10" t="inlineStr">
        <is>
          <t>describes las capacitaciones de saras ejecutadas</t>
        </is>
      </c>
      <c r="J1336" s="10" t="inlineStr">
        <is>
          <t>GERENTE DE RIESGOS</t>
        </is>
      </c>
      <c r="K1336" s="10" t="inlineStr">
        <is>
          <t>OFICIAL INTEGRAL DE RIESGOS</t>
        </is>
      </c>
      <c r="L1336" s="10" t="inlineStr">
        <is>
          <t>UBICACIÓN DIGITAL-EQUIPO DEL RESPONSABLE</t>
        </is>
      </c>
      <c r="M1336" s="10" t="inlineStr">
        <is>
          <t>DOCUMENTO DE ARCHIVO-ELECTRÓNICO</t>
        </is>
      </c>
      <c r="N1336" s="10" t="inlineStr">
        <is>
          <t>PRIMARIOS</t>
        </is>
      </c>
      <c r="O1336" s="10" t="inlineStr">
        <is>
          <t>DOCUMENTOS TÉCNICOS</t>
        </is>
      </c>
      <c r="P1336" s="10" t="inlineStr">
        <is>
          <t>PUBLICA(1)</t>
        </is>
      </c>
      <c r="Q1336" s="10" t="inlineStr">
        <is>
          <t>BAJA(1)</t>
        </is>
      </c>
      <c r="R1336" s="10" t="inlineStr">
        <is>
          <t>MEDIA(2)</t>
        </is>
      </c>
      <c r="S1336" s="10">
        <f>+(IF(P1336="PUBLICA(1)",1,IF(P1336="USO INTERNO(2)",2,IF(P1336="RESTRINGIDO(3)",3,3))))+(IF(Q1336="BAJA(1)",1,IF(Q1336="MEDIA(2)",2,IF(Q1336="ALTA(3)",3,3))))+(IF(R1336="BAJA(1)",1,IF(R1336="MEDIA(2)",2,IF(R1336="ALTA(3)",3,3))))</f>
        <v/>
      </c>
      <c r="T1336" s="10">
        <f>+IF(S1336&lt;6,"BAJA",IF(S1336&lt;8,"MEDIA","ALTA"))</f>
        <v/>
      </c>
      <c r="U1336" s="10" t="inlineStr">
        <is>
          <t>-</t>
        </is>
      </c>
      <c r="V1336" s="24" t="n">
        <v>45635</v>
      </c>
      <c r="W1336" s="19" t="inlineStr">
        <is>
          <t>N/A</t>
        </is>
      </c>
      <c r="X1336" s="10">
        <f>+IFERROR(IF(VLOOKUP(Tabla2[[#This Row],[ID]],'EVALUACION DE RIESGO'!A:A,1,FALSE)=Tabla2[[#This Row],[ID]],"SI","NO"),"NO")</f>
        <v/>
      </c>
      <c r="AD1336">
        <f>IF(AND(Y1336="",AA1336=""),"",IF(OR(LEFT(AA1336,2)="L0",LEFT(AA1336,2)="L1",Y1336="No Iniciado"),"CRÍTICO - Incumplimiento Normativo SEPS",IF(AND(OR(LEFT(AA1336,2)="L4",LEFT(AA1336,2)="L5"),AND(AC1336&lt;&gt;"",AC1336&lt;&gt;"N/A")),"CONFORME - Control Efectivo ISO 27001","OBSERVACIÓN - Revisar Controles")))</f>
        <v/>
      </c>
    </row>
    <row r="1337">
      <c r="A1337" s="99" t="inlineStr">
        <is>
          <t>315-GRI</t>
        </is>
      </c>
      <c r="B1337" s="10" t="inlineStr">
        <is>
          <t>ESTRATÉGICO</t>
        </is>
      </c>
      <c r="C1337" s="10" t="inlineStr">
        <is>
          <t>Gestión de Riesgos</t>
        </is>
      </c>
      <c r="D1337" s="10" t="inlineStr">
        <is>
          <t>GRI</t>
        </is>
      </c>
      <c r="E1337" s="10" t="inlineStr">
        <is>
          <t>Gestión de Riesgo Ambiental y Social</t>
        </is>
      </c>
      <c r="F1337" s="10" t="inlineStr">
        <is>
          <t>-</t>
        </is>
      </c>
      <c r="G1337" s="10" t="inlineStr">
        <is>
          <t>Reporte, Consolidación y Comunicación</t>
        </is>
      </c>
      <c r="H1337" s="10" t="inlineStr">
        <is>
          <t>Reporte de quejas por SARAS</t>
        </is>
      </c>
      <c r="I1337" s="10" t="inlineStr">
        <is>
          <t>Reporte de quejas por SARAS</t>
        </is>
      </c>
      <c r="J1337" s="10" t="inlineStr">
        <is>
          <t>GERENTE DE RIESGOS</t>
        </is>
      </c>
      <c r="K1337" s="10" t="inlineStr">
        <is>
          <t>OFICIAL INTEGRAL DE RIESGOS</t>
        </is>
      </c>
      <c r="L1337" s="10" t="inlineStr">
        <is>
          <t>UBICACIÓN DIGITAL-EQUIPO DEL RESPONSABLE</t>
        </is>
      </c>
      <c r="M1337" s="10" t="inlineStr">
        <is>
          <t>DOCUMENTO DE ARCHIVO-ELECTRÓNICO</t>
        </is>
      </c>
      <c r="N1337" s="10" t="inlineStr">
        <is>
          <t>PRIMARIOS</t>
        </is>
      </c>
      <c r="O1337" s="10" t="inlineStr">
        <is>
          <t>DOCUMENTOS TÉCNICOS</t>
        </is>
      </c>
      <c r="P1337" s="10" t="inlineStr">
        <is>
          <t>PUBLICA(1)</t>
        </is>
      </c>
      <c r="Q1337" s="10" t="inlineStr">
        <is>
          <t>BAJA(1)</t>
        </is>
      </c>
      <c r="R1337" s="10" t="inlineStr">
        <is>
          <t>MEDIA(2)</t>
        </is>
      </c>
      <c r="S1337" s="10">
        <f>+(IF(P1337="PUBLICA(1)",1,IF(P1337="USO INTERNO(2)",2,IF(P1337="RESTRINGIDO(3)",3,3))))+(IF(Q1337="BAJA(1)",1,IF(Q1337="MEDIA(2)",2,IF(Q1337="ALTA(3)",3,3))))+(IF(R1337="BAJA(1)",1,IF(R1337="MEDIA(2)",2,IF(R1337="ALTA(3)",3,3))))</f>
        <v/>
      </c>
      <c r="T1337" s="10">
        <f>+IF(S1337&lt;6,"BAJA",IF(S1337&lt;8,"MEDIA","ALTA"))</f>
        <v/>
      </c>
      <c r="U1337" s="10" t="inlineStr">
        <is>
          <t>-</t>
        </is>
      </c>
      <c r="V1337" s="24" t="n">
        <v>45635</v>
      </c>
      <c r="W1337" s="19" t="inlineStr">
        <is>
          <t>N/A</t>
        </is>
      </c>
      <c r="X1337" s="10">
        <f>+IFERROR(IF(VLOOKUP(Tabla2[[#This Row],[ID]],'EVALUACION DE RIESGO'!A:A,1,FALSE)=Tabla2[[#This Row],[ID]],"SI","NO"),"NO")</f>
        <v/>
      </c>
      <c r="AD1337">
        <f>IF(AND(Y1337="",AA1337=""),"",IF(OR(LEFT(AA1337,2)="L0",LEFT(AA1337,2)="L1",Y1337="No Iniciado"),"CRÍTICO - Incumplimiento Normativo SEPS",IF(AND(OR(LEFT(AA1337,2)="L4",LEFT(AA1337,2)="L5"),AND(AC1337&lt;&gt;"",AC1337&lt;&gt;"N/A")),"CONFORME - Control Efectivo ISO 27001","OBSERVACIÓN - Revisar Controles")))</f>
        <v/>
      </c>
    </row>
    <row r="1338">
      <c r="A1338" s="99" t="inlineStr">
        <is>
          <t>316-GRI</t>
        </is>
      </c>
      <c r="B1338" s="10" t="inlineStr">
        <is>
          <t>ESTRATÉGICO</t>
        </is>
      </c>
      <c r="C1338" s="10" t="inlineStr">
        <is>
          <t>Gestión de Riesgos</t>
        </is>
      </c>
      <c r="D1338" s="10" t="inlineStr">
        <is>
          <t>GRI</t>
        </is>
      </c>
      <c r="E1338" s="10" t="inlineStr">
        <is>
          <t>Gestión de Riesgo Ambiental y Social</t>
        </is>
      </c>
      <c r="F1338" s="10" t="inlineStr">
        <is>
          <t>-</t>
        </is>
      </c>
      <c r="G1338" s="10" t="inlineStr">
        <is>
          <t>Reporte, Consolidación y Comunicación</t>
        </is>
      </c>
      <c r="H1338" s="10" t="inlineStr">
        <is>
          <t>Informe Mensual de Riesgos</t>
        </is>
      </c>
      <c r="I1338" s="10" t="inlineStr">
        <is>
          <t>Describe la gestión ambiental y social</t>
        </is>
      </c>
      <c r="J1338" s="10" t="inlineStr">
        <is>
          <t>GERENTE DE RIESGOS</t>
        </is>
      </c>
      <c r="K1338" s="10" t="inlineStr">
        <is>
          <t>OFICIAL INTEGRAL DE RIESGOS</t>
        </is>
      </c>
      <c r="L1338" s="10" t="inlineStr">
        <is>
          <t>UBICACIÓN DIGITAL-EQUIPO DEL RESPONSABLE</t>
        </is>
      </c>
      <c r="M1338" s="10" t="inlineStr">
        <is>
          <t>DOCUMENTO DE ARCHIVO-ELECTRÓNICO</t>
        </is>
      </c>
      <c r="N1338" s="10" t="inlineStr">
        <is>
          <t>PRIMARIOS</t>
        </is>
      </c>
      <c r="O1338" s="10" t="inlineStr">
        <is>
          <t>DOCUMENTOS TÉCNICOS</t>
        </is>
      </c>
      <c r="P1338" s="10" t="inlineStr">
        <is>
          <t>PUBLICA(1)</t>
        </is>
      </c>
      <c r="Q1338" s="10" t="inlineStr">
        <is>
          <t>BAJA(1)</t>
        </is>
      </c>
      <c r="R1338" s="10" t="inlineStr">
        <is>
          <t>MEDIA(2)</t>
        </is>
      </c>
      <c r="S1338" s="10">
        <f>+(IF(P1338="PUBLICA(1)",1,IF(P1338="USO INTERNO(2)",2,IF(P1338="RESTRINGIDO(3)",3,3))))+(IF(Q1338="BAJA(1)",1,IF(Q1338="MEDIA(2)",2,IF(Q1338="ALTA(3)",3,3))))+(IF(R1338="BAJA(1)",1,IF(R1338="MEDIA(2)",2,IF(R1338="ALTA(3)",3,3))))</f>
        <v/>
      </c>
      <c r="T1338" s="10">
        <f>+IF(S1338&lt;6,"BAJA",IF(S1338&lt;8,"MEDIA","ALTA"))</f>
        <v/>
      </c>
      <c r="U1338" s="10" t="inlineStr">
        <is>
          <t>-</t>
        </is>
      </c>
      <c r="V1338" s="24" t="n">
        <v>45635</v>
      </c>
      <c r="W1338" s="19" t="inlineStr">
        <is>
          <t>N/A</t>
        </is>
      </c>
      <c r="X1338" s="10">
        <f>+IFERROR(IF(VLOOKUP(Tabla2[[#This Row],[ID]],'EVALUACION DE RIESGO'!A:A,1,FALSE)=Tabla2[[#This Row],[ID]],"SI","NO"),"NO")</f>
        <v/>
      </c>
      <c r="AD1338">
        <f>IF(AND(Y1338="",AA1338=""),"",IF(OR(LEFT(AA1338,2)="L0",LEFT(AA1338,2)="L1",Y1338="No Iniciado"),"CRÍTICO - Incumplimiento Normativo SEPS",IF(AND(OR(LEFT(AA1338,2)="L4",LEFT(AA1338,2)="L5"),AND(AC1338&lt;&gt;"",AC1338&lt;&gt;"N/A")),"CONFORME - Control Efectivo ISO 27001","OBSERVACIÓN - Revisar Controles")))</f>
        <v/>
      </c>
    </row>
    <row r="1339">
      <c r="A1339" s="99" t="inlineStr">
        <is>
          <t>317-GRI</t>
        </is>
      </c>
      <c r="B1339" s="10" t="inlineStr">
        <is>
          <t>ESTRATÉGICO</t>
        </is>
      </c>
      <c r="C1339" s="10" t="inlineStr">
        <is>
          <t>Gestión de Riesgos</t>
        </is>
      </c>
      <c r="D1339" s="10" t="inlineStr">
        <is>
          <t>GRI</t>
        </is>
      </c>
      <c r="E1339" s="10" t="inlineStr">
        <is>
          <t>Gestión de Riesgo Ambiental y Social</t>
        </is>
      </c>
      <c r="F1339" s="10" t="inlineStr">
        <is>
          <t>-</t>
        </is>
      </c>
      <c r="G1339" s="10" t="inlineStr">
        <is>
          <t>Reporte, Consolidación y Comunicación</t>
        </is>
      </c>
      <c r="H1339" s="10" t="inlineStr">
        <is>
          <t>Informe Anual de Gestión de Riesgo Ambiental y Social</t>
        </is>
      </c>
      <c r="I1339" s="10" t="inlineStr">
        <is>
          <t>Describe la gestión ambiental y social</t>
        </is>
      </c>
      <c r="J1339" s="10" t="inlineStr">
        <is>
          <t>GERENTE DE RIESGOS</t>
        </is>
      </c>
      <c r="K1339" s="10" t="inlineStr">
        <is>
          <t>OFICIAL INTEGRAL DE RIESGOS</t>
        </is>
      </c>
      <c r="L1339" s="10" t="inlineStr">
        <is>
          <t>UBICACIÓN DIGITAL-EQUIPO DEL RESPONSABLE</t>
        </is>
      </c>
      <c r="M1339" s="10" t="inlineStr">
        <is>
          <t>DOCUMENTO DE ARCHIVO-ELECTRÓNICO</t>
        </is>
      </c>
      <c r="N1339" s="10" t="inlineStr">
        <is>
          <t>PRIMARIOS</t>
        </is>
      </c>
      <c r="O1339" s="10" t="inlineStr">
        <is>
          <t>DOCUMENTOS TÉCNICOS</t>
        </is>
      </c>
      <c r="P1339" s="10" t="inlineStr">
        <is>
          <t>PUBLICA(1)</t>
        </is>
      </c>
      <c r="Q1339" s="10" t="inlineStr">
        <is>
          <t>BAJA(1)</t>
        </is>
      </c>
      <c r="R1339" s="10" t="inlineStr">
        <is>
          <t>MEDIA(2)</t>
        </is>
      </c>
      <c r="S1339" s="10">
        <f>+(IF(P1339="PUBLICA(1)",1,IF(P1339="USO INTERNO(2)",2,IF(P1339="RESTRINGIDO(3)",3,3))))+(IF(Q1339="BAJA(1)",1,IF(Q1339="MEDIA(2)",2,IF(Q1339="ALTA(3)",3,3))))+(IF(R1339="BAJA(1)",1,IF(R1339="MEDIA(2)",2,IF(R1339="ALTA(3)",3,3))))</f>
        <v/>
      </c>
      <c r="T1339" s="10">
        <f>+IF(S1339&lt;6,"BAJA",IF(S1339&lt;8,"MEDIA","ALTA"))</f>
        <v/>
      </c>
      <c r="U1339" s="10" t="inlineStr">
        <is>
          <t>-</t>
        </is>
      </c>
      <c r="V1339" s="24" t="n">
        <v>45635</v>
      </c>
      <c r="W1339" s="19" t="inlineStr">
        <is>
          <t>N/A</t>
        </is>
      </c>
      <c r="X1339" s="10">
        <f>+IFERROR(IF(VLOOKUP(Tabla2[[#This Row],[ID]],'EVALUACION DE RIESGO'!A:A,1,FALSE)=Tabla2[[#This Row],[ID]],"SI","NO"),"NO")</f>
        <v/>
      </c>
      <c r="AD1339">
        <f>IF(AND(Y1339="",AA1339=""),"",IF(OR(LEFT(AA1339,2)="L0",LEFT(AA1339,2)="L1",Y1339="No Iniciado"),"CRÍTICO - Incumplimiento Normativo SEPS",IF(AND(OR(LEFT(AA1339,2)="L4",LEFT(AA1339,2)="L5"),AND(AC1339&lt;&gt;"",AC1339&lt;&gt;"N/A")),"CONFORME - Control Efectivo ISO 27001","OBSERVACIÓN - Revisar Controles")))</f>
        <v/>
      </c>
    </row>
    <row r="1340">
      <c r="A1340" s="99" t="inlineStr">
        <is>
          <t>318-GRI</t>
        </is>
      </c>
      <c r="B1340" s="10" t="inlineStr">
        <is>
          <t>ESTRATÉGICO</t>
        </is>
      </c>
      <c r="C1340" s="10" t="inlineStr">
        <is>
          <t>Gestión de Riesgos</t>
        </is>
      </c>
      <c r="D1340" s="10" t="inlineStr">
        <is>
          <t>GRI</t>
        </is>
      </c>
      <c r="E1340" s="10" t="inlineStr">
        <is>
          <t>Gestión de Riesgo Ambiental y Social</t>
        </is>
      </c>
      <c r="F1340" s="10" t="inlineStr">
        <is>
          <t>-</t>
        </is>
      </c>
      <c r="G1340" s="10" t="inlineStr">
        <is>
          <t>Reporte, Consolidación y Comunicación</t>
        </is>
      </c>
      <c r="H1340" s="10" t="inlineStr">
        <is>
          <t>Acta de Consejo de Administración con la aprobación del informe</t>
        </is>
      </c>
      <c r="I1340" s="10" t="inlineStr">
        <is>
          <t>Describe el conocimiento del informe anual de gestion ambiental y social</t>
        </is>
      </c>
      <c r="J1340" s="10" t="inlineStr">
        <is>
          <t>GERENTE DE RIESGOS</t>
        </is>
      </c>
      <c r="K1340" s="10" t="inlineStr">
        <is>
          <t>OFICIAL INTEGRAL DE RIESGOS</t>
        </is>
      </c>
      <c r="L1340" s="10" t="inlineStr">
        <is>
          <t>UBICACIÓN DIGITAL-EQUIPO DEL RESPONSABLE</t>
        </is>
      </c>
      <c r="M1340" s="10" t="inlineStr">
        <is>
          <t>DOCUMENTO DE ARCHIVO-ELECTRÓNICO</t>
        </is>
      </c>
      <c r="N1340" s="10" t="inlineStr">
        <is>
          <t>PRIMARIOS</t>
        </is>
      </c>
      <c r="O1340" s="10" t="inlineStr">
        <is>
          <t>DOCUMENTOS TÉCNICOS</t>
        </is>
      </c>
      <c r="P1340" s="10" t="inlineStr">
        <is>
          <t>PUBLICA(1)</t>
        </is>
      </c>
      <c r="Q1340" s="10" t="inlineStr">
        <is>
          <t>BAJA(1)</t>
        </is>
      </c>
      <c r="R1340" s="10" t="inlineStr">
        <is>
          <t>ALTA(3)</t>
        </is>
      </c>
      <c r="S1340" s="10">
        <f>+(IF(P1340="PUBLICA(1)",1,IF(P1340="USO INTERNO(2)",2,IF(P1340="RESTRINGIDO(3)",3,3))))+(IF(Q1340="BAJA(1)",1,IF(Q1340="MEDIA(2)",2,IF(Q1340="ALTA(3)",3,3))))+(IF(R1340="BAJA(1)",1,IF(R1340="MEDIA(2)",2,IF(R1340="ALTA(3)",3,3))))</f>
        <v/>
      </c>
      <c r="T1340" s="10">
        <f>+IF(S1340&lt;6,"BAJA",IF(S1340&lt;8,"MEDIA","ALTA"))</f>
        <v/>
      </c>
      <c r="U1340" s="10" t="inlineStr">
        <is>
          <t>-</t>
        </is>
      </c>
      <c r="V1340" s="24" t="n">
        <v>45635</v>
      </c>
      <c r="W1340" s="19" t="inlineStr">
        <is>
          <t>N/A</t>
        </is>
      </c>
      <c r="X1340" s="10">
        <f>+IFERROR(IF(VLOOKUP(Tabla2[[#This Row],[ID]],'EVALUACION DE RIESGO'!A:A,1,FALSE)=Tabla2[[#This Row],[ID]],"SI","NO"),"NO")</f>
        <v/>
      </c>
      <c r="AD1340">
        <f>IF(AND(Y1340="",AA1340=""),"",IF(OR(LEFT(AA1340,2)="L0",LEFT(AA1340,2)="L1",Y1340="No Iniciado"),"CRÍTICO - Incumplimiento Normativo SEPS",IF(AND(OR(LEFT(AA1340,2)="L4",LEFT(AA1340,2)="L5"),AND(AC1340&lt;&gt;"",AC1340&lt;&gt;"N/A")),"CONFORME - Control Efectivo ISO 27001","OBSERVACIÓN - Revisar Controles")))</f>
        <v/>
      </c>
    </row>
    <row r="1341">
      <c r="A1341" s="99" t="inlineStr">
        <is>
          <t>1-GSO</t>
        </is>
      </c>
      <c r="B1341" s="10" t="inlineStr">
        <is>
          <t>APOYO</t>
        </is>
      </c>
      <c r="C1341" s="10" t="inlineStr">
        <is>
          <t>Gestión de Seguridad Organizacional</t>
        </is>
      </c>
      <c r="D1341" s="10" t="inlineStr">
        <is>
          <t>GSO</t>
        </is>
      </c>
      <c r="E1341" s="10" t="inlineStr">
        <is>
          <t>Gestión de Seguridad Física</t>
        </is>
      </c>
      <c r="F1341" s="10" t="inlineStr">
        <is>
          <t>-</t>
        </is>
      </c>
      <c r="G1341" s="10" t="inlineStr">
        <is>
          <t>Análisis de amenazas y vulnerabilidades físicas</t>
        </is>
      </c>
      <c r="H1341" s="10" t="inlineStr">
        <is>
          <t>Matriz de evaluación de riesgos físicos</t>
        </is>
      </c>
      <c r="I1341" s="10" t="inlineStr">
        <is>
          <t>Matriz de evaluación de riesgos físicos considerando niveles de impacto, controles implementados y su nivel de efectividad</t>
        </is>
      </c>
      <c r="J1341" s="10" t="inlineStr">
        <is>
          <t>Oficial de Seguridad Física</t>
        </is>
      </c>
      <c r="K1341" s="10" t="inlineStr">
        <is>
          <t>Oficial de Seguridad Física</t>
        </is>
      </c>
      <c r="L1341" s="10" t="inlineStr">
        <is>
          <t>UBICACIÓN DIGITAL-EQUIPO DEL RESPONSABLE</t>
        </is>
      </c>
      <c r="M1341" s="10" t="inlineStr">
        <is>
          <t>DISCOS DUROS, SERVIDORES, DISCOS O MEDIOS PORTÁTILES, CINTAS O MEDIOS DE VIDEO Y AUDIO, ETC.</t>
        </is>
      </c>
      <c r="N1341" s="10" t="inlineStr">
        <is>
          <t>PRIMARIOS</t>
        </is>
      </c>
      <c r="O1341" s="10" t="inlineStr">
        <is>
          <t>DOCUMENTOS TÉCNICOS</t>
        </is>
      </c>
      <c r="P1341" s="10" t="inlineStr">
        <is>
          <t>RESTRINGIDO(3)</t>
        </is>
      </c>
      <c r="Q1341" s="10" t="inlineStr">
        <is>
          <t>BAJA(1)</t>
        </is>
      </c>
      <c r="R1341" s="10" t="inlineStr">
        <is>
          <t>MEDIA(2)</t>
        </is>
      </c>
      <c r="S1341" s="10">
        <f>+(IF(P1341="PUBLICA(1)",1,IF(P1341="USO INTERNO(2)",2,IF(P1341="RESTRINGIDO(3)",3,3))))+(IF(Q1341="BAJA(1)",1,IF(Q1341="MEDIA(2)",2,IF(Q1341="ALTA(3)",3,3))))+(IF(R1341="BAJA(1)",1,IF(R1341="MEDIA(2)",2,IF(R1341="ALTA(3)",3,3))))</f>
        <v/>
      </c>
      <c r="T1341" s="10">
        <f>+IF(S1341&lt;6,"BAJA",IF(S1341&lt;8,"MEDIA","ALTA"))</f>
        <v/>
      </c>
      <c r="U1341" s="10" t="inlineStr">
        <is>
          <t>-</t>
        </is>
      </c>
      <c r="V1341" s="24" t="n">
        <v>45712</v>
      </c>
      <c r="W1341" s="19" t="inlineStr">
        <is>
          <t>N/A</t>
        </is>
      </c>
      <c r="X1341" s="10">
        <f>+IFERROR(IF(VLOOKUP(Tabla2[[#This Row],[ID]],'EVALUACION DE RIESGO'!A:A,1,FALSE)=Tabla2[[#This Row],[ID]],"SI","NO"),"NO")</f>
        <v/>
      </c>
      <c r="AD1341">
        <f>IF(AND(Y1341="",AA1341=""),"",IF(OR(LEFT(AA1341,2)="L0",LEFT(AA1341,2)="L1",Y1341="No Iniciado"),"CRÍTICO - Incumplimiento Normativo SEPS",IF(AND(OR(LEFT(AA1341,2)="L4",LEFT(AA1341,2)="L5"),AND(AC1341&lt;&gt;"",AC1341&lt;&gt;"N/A")),"CONFORME - Control Efectivo ISO 27001","OBSERVACIÓN - Revisar Controles")))</f>
        <v/>
      </c>
    </row>
    <row r="1342">
      <c r="A1342" s="99" t="inlineStr">
        <is>
          <t>2-GSO</t>
        </is>
      </c>
      <c r="B1342" s="10" t="inlineStr">
        <is>
          <t>APOYO</t>
        </is>
      </c>
      <c r="C1342" s="10" t="inlineStr">
        <is>
          <t>Gestión de Seguridad Organizacional</t>
        </is>
      </c>
      <c r="D1342" s="10" t="inlineStr">
        <is>
          <t>GSO</t>
        </is>
      </c>
      <c r="E1342" s="10" t="inlineStr">
        <is>
          <t>Gestión de Seguridad Física</t>
        </is>
      </c>
      <c r="F1342" s="10" t="inlineStr">
        <is>
          <t>-</t>
        </is>
      </c>
      <c r="G1342" s="10" t="inlineStr">
        <is>
          <t>Análisis de amenazas y vulnerabilidades físicas</t>
        </is>
      </c>
      <c r="H1342" s="10" t="inlineStr">
        <is>
          <t>Herramienta de Análisis de Vulnerabilidades</t>
        </is>
      </c>
      <c r="I1342" s="10" t="inlineStr">
        <is>
          <t>Documento de análisis parte del estudio de seguridad, an'alisis cuantitativo y nivel de riesgo</t>
        </is>
      </c>
      <c r="J1342" s="10" t="inlineStr">
        <is>
          <t>Oficial de Seguridad Física</t>
        </is>
      </c>
      <c r="K1342" s="10" t="inlineStr">
        <is>
          <t>Oficial de Seguridad Física</t>
        </is>
      </c>
      <c r="L1342" s="10" t="inlineStr">
        <is>
          <t>UBICACIÓN DIGITAL-EQUIPO DEL RESPONSABLE</t>
        </is>
      </c>
      <c r="M1342" s="10" t="inlineStr">
        <is>
          <t>DISCOS DUROS, SERVIDORES, DISCOS O MEDIOS PORTÁTILES, CINTAS O MEDIOS DE VIDEO Y AUDIO, ETC.</t>
        </is>
      </c>
      <c r="N1342" s="10" t="inlineStr">
        <is>
          <t>PRIMARIOS</t>
        </is>
      </c>
      <c r="O1342" s="10" t="inlineStr">
        <is>
          <t>DOCUMENTOS TÉCNICOS</t>
        </is>
      </c>
      <c r="P1342" s="10" t="inlineStr">
        <is>
          <t>RESTRINGIDO(3)</t>
        </is>
      </c>
      <c r="Q1342" s="10" t="inlineStr">
        <is>
          <t>BAJA(1)</t>
        </is>
      </c>
      <c r="R1342" s="10" t="inlineStr">
        <is>
          <t>MEDIA(2)</t>
        </is>
      </c>
      <c r="S1342" s="10">
        <f>+(IF(P1342="PUBLICA(1)",1,IF(P1342="USO INTERNO(2)",2,IF(P1342="RESTRINGIDO(3)",3,3))))+(IF(Q1342="BAJA(1)",1,IF(Q1342="MEDIA(2)",2,IF(Q1342="ALTA(3)",3,3))))+(IF(R1342="BAJA(1)",1,IF(R1342="MEDIA(2)",2,IF(R1342="ALTA(3)",3,3))))</f>
        <v/>
      </c>
      <c r="T1342" s="10">
        <f>+IF(S1342&lt;6,"BAJA",IF(S1342&lt;8,"MEDIA","ALTA"))</f>
        <v/>
      </c>
      <c r="U1342" s="10" t="inlineStr">
        <is>
          <t>-</t>
        </is>
      </c>
      <c r="V1342" s="24" t="n">
        <v>45712</v>
      </c>
      <c r="W1342" s="19" t="inlineStr">
        <is>
          <t>N/A</t>
        </is>
      </c>
      <c r="X1342" s="10">
        <f>+IFERROR(IF(VLOOKUP(Tabla2[[#This Row],[ID]],'EVALUACION DE RIESGO'!A:A,1,FALSE)=Tabla2[[#This Row],[ID]],"SI","NO"),"NO")</f>
        <v/>
      </c>
      <c r="AD1342">
        <f>IF(AND(Y1342="",AA1342=""),"",IF(OR(LEFT(AA1342,2)="L0",LEFT(AA1342,2)="L1",Y1342="No Iniciado"),"CRÍTICO - Incumplimiento Normativo SEPS",IF(AND(OR(LEFT(AA1342,2)="L4",LEFT(AA1342,2)="L5"),AND(AC1342&lt;&gt;"",AC1342&lt;&gt;"N/A")),"CONFORME - Control Efectivo ISO 27001","OBSERVACIÓN - Revisar Controles")))</f>
        <v/>
      </c>
    </row>
    <row r="1343">
      <c r="A1343" s="99" t="inlineStr">
        <is>
          <t>3-GSO</t>
        </is>
      </c>
      <c r="B1343" s="10" t="inlineStr">
        <is>
          <t>APOYO</t>
        </is>
      </c>
      <c r="C1343" s="10" t="inlineStr">
        <is>
          <t>Gestión de Seguridad Organizacional</t>
        </is>
      </c>
      <c r="D1343" s="10" t="inlineStr">
        <is>
          <t>GSO</t>
        </is>
      </c>
      <c r="E1343" s="10" t="inlineStr">
        <is>
          <t>Gestión de Seguridad Física</t>
        </is>
      </c>
      <c r="F1343" s="10" t="inlineStr">
        <is>
          <t>-</t>
        </is>
      </c>
      <c r="G1343" s="10" t="inlineStr">
        <is>
          <t>Análisis de amenazas y vulnerabilidades físicas</t>
        </is>
      </c>
      <c r="H1343" s="10" t="inlineStr">
        <is>
          <t>Herramienta de Evaluación del Perfil de Seguridad</t>
        </is>
      </c>
      <c r="I1343" s="10" t="inlineStr">
        <is>
          <t xml:space="preserve">Herramienta de control de accesos físicos </t>
        </is>
      </c>
      <c r="J1343" s="10" t="inlineStr">
        <is>
          <t>Oficial de Seguridad Física</t>
        </is>
      </c>
      <c r="K1343" s="10" t="inlineStr">
        <is>
          <t>Oficial de Seguridad Física</t>
        </is>
      </c>
      <c r="L1343" s="10" t="inlineStr">
        <is>
          <t>UBICACIÓN DIGITAL-EQUIPO DEL RESPONSABLE</t>
        </is>
      </c>
      <c r="M1343" s="10" t="inlineStr">
        <is>
          <t>DISCOS DUROS, SERVIDORES, DISCOS O MEDIOS PORTÁTILES, CINTAS O MEDIOS DE VIDEO Y AUDIO, ETC.</t>
        </is>
      </c>
      <c r="N1343" s="10" t="inlineStr">
        <is>
          <t>APOYO</t>
        </is>
      </c>
      <c r="O1343" s="10" t="inlineStr">
        <is>
          <t>SOFTWARE</t>
        </is>
      </c>
      <c r="P1343" s="10" t="inlineStr">
        <is>
          <t>USO INTERNO(2)</t>
        </is>
      </c>
      <c r="Q1343" s="10" t="inlineStr">
        <is>
          <t>BAJA(1)</t>
        </is>
      </c>
      <c r="R1343" s="10" t="inlineStr">
        <is>
          <t>MEDIA(2)</t>
        </is>
      </c>
      <c r="S1343" s="10">
        <f>+(IF(P1343="PUBLICA(1)",1,IF(P1343="USO INTERNO(2)",2,IF(P1343="RESTRINGIDO(3)",3,3))))+(IF(Q1343="BAJA(1)",1,IF(Q1343="MEDIA(2)",2,IF(Q1343="ALTA(3)",3,3))))+(IF(R1343="BAJA(1)",1,IF(R1343="MEDIA(2)",2,IF(R1343="ALTA(3)",3,3))))</f>
        <v/>
      </c>
      <c r="T1343" s="10">
        <f>+IF(S1343&lt;6,"BAJA",IF(S1343&lt;8,"MEDIA","ALTA"))</f>
        <v/>
      </c>
      <c r="U1343" s="10" t="inlineStr">
        <is>
          <t>-</t>
        </is>
      </c>
      <c r="V1343" s="24" t="n">
        <v>45712</v>
      </c>
      <c r="W1343" s="19" t="inlineStr">
        <is>
          <t>N/A</t>
        </is>
      </c>
      <c r="X1343" s="10">
        <f>+IFERROR(IF(VLOOKUP(Tabla2[[#This Row],[ID]],'EVALUACION DE RIESGO'!A:A,1,FALSE)=Tabla2[[#This Row],[ID]],"SI","NO"),"NO")</f>
        <v/>
      </c>
      <c r="AD1343">
        <f>IF(AND(Y1343="",AA1343=""),"",IF(OR(LEFT(AA1343,2)="L0",LEFT(AA1343,2)="L1",Y1343="No Iniciado"),"CRÍTICO - Incumplimiento Normativo SEPS",IF(AND(OR(LEFT(AA1343,2)="L4",LEFT(AA1343,2)="L5"),AND(AC1343&lt;&gt;"",AC1343&lt;&gt;"N/A")),"CONFORME - Control Efectivo ISO 27001","OBSERVACIÓN - Revisar Controles")))</f>
        <v/>
      </c>
    </row>
    <row r="1344">
      <c r="A1344" s="99" t="inlineStr">
        <is>
          <t>4-GSO</t>
        </is>
      </c>
      <c r="B1344" s="10" t="inlineStr">
        <is>
          <t>APOYO</t>
        </is>
      </c>
      <c r="C1344" s="10" t="inlineStr">
        <is>
          <t>Gestión de Seguridad Organizacional</t>
        </is>
      </c>
      <c r="D1344" s="10" t="inlineStr">
        <is>
          <t>GSO</t>
        </is>
      </c>
      <c r="E1344" s="10" t="inlineStr">
        <is>
          <t>Gestión de Seguridad Física</t>
        </is>
      </c>
      <c r="F1344" s="10" t="inlineStr">
        <is>
          <t>-</t>
        </is>
      </c>
      <c r="G1344" s="10" t="inlineStr">
        <is>
          <t>Análisis de amenazas y vulnerabilidades físicas</t>
        </is>
      </c>
      <c r="H1344" s="10" t="inlineStr">
        <is>
          <t>Estudio de Seguridad de las instalaciones</t>
        </is>
      </c>
      <c r="I1344" s="10" t="inlineStr">
        <is>
          <t>Consolidación de información para el proceso de certificación de las instalaciones</t>
        </is>
      </c>
      <c r="J1344" s="10" t="inlineStr">
        <is>
          <t>Oficial de Seguridad Física</t>
        </is>
      </c>
      <c r="K1344" s="10" t="inlineStr">
        <is>
          <t>Oficial de Seguridad Física</t>
        </is>
      </c>
      <c r="L1344" s="10" t="inlineStr">
        <is>
          <t>DOCUMENTOS FISICOS-ARCHIVOS DE LA OFICINA</t>
        </is>
      </c>
      <c r="M1344" s="10" t="inlineStr">
        <is>
          <t>DOCUMENTO DE ARCHIVO-FÍSICO</t>
        </is>
      </c>
      <c r="N1344" s="10" t="inlineStr">
        <is>
          <t>PRIMARIOS</t>
        </is>
      </c>
      <c r="O1344" s="10" t="inlineStr">
        <is>
          <t>DOCUMENTOS TÉCNICOS</t>
        </is>
      </c>
      <c r="P1344" s="10" t="inlineStr">
        <is>
          <t>RESTRINGIDO(3)</t>
        </is>
      </c>
      <c r="Q1344" s="10" t="inlineStr">
        <is>
          <t>BAJA(1)</t>
        </is>
      </c>
      <c r="R1344" s="10" t="inlineStr">
        <is>
          <t>ALTA(3)</t>
        </is>
      </c>
      <c r="S1344" s="10">
        <f>+(IF(P1344="PUBLICA(1)",1,IF(P1344="USO INTERNO(2)",2,IF(P1344="RESTRINGIDO(3)",3,3))))+(IF(Q1344="BAJA(1)",1,IF(Q1344="MEDIA(2)",2,IF(Q1344="ALTA(3)",3,3))))+(IF(R1344="BAJA(1)",1,IF(R1344="MEDIA(2)",2,IF(R1344="ALTA(3)",3,3))))</f>
        <v/>
      </c>
      <c r="T1344" s="10">
        <f>+IF(S1344&lt;6,"BAJA",IF(S1344&lt;8,"MEDIA","ALTA"))</f>
        <v/>
      </c>
      <c r="U1344" s="10" t="inlineStr">
        <is>
          <t>-</t>
        </is>
      </c>
      <c r="V1344" s="24" t="n">
        <v>45712</v>
      </c>
      <c r="W1344" s="19" t="inlineStr">
        <is>
          <t>N/A</t>
        </is>
      </c>
      <c r="X1344" s="10">
        <f>+IFERROR(IF(VLOOKUP(Tabla2[[#This Row],[ID]],'EVALUACION DE RIESGO'!A:A,1,FALSE)=Tabla2[[#This Row],[ID]],"SI","NO"),"NO")</f>
        <v/>
      </c>
      <c r="AD1344">
        <f>IF(AND(Y1344="",AA1344=""),"",IF(OR(LEFT(AA1344,2)="L0",LEFT(AA1344,2)="L1",Y1344="No Iniciado"),"CRÍTICO - Incumplimiento Normativo SEPS",IF(AND(OR(LEFT(AA1344,2)="L4",LEFT(AA1344,2)="L5"),AND(AC1344&lt;&gt;"",AC1344&lt;&gt;"N/A")),"CONFORME - Control Efectivo ISO 27001","OBSERVACIÓN - Revisar Controles")))</f>
        <v/>
      </c>
    </row>
    <row r="1345">
      <c r="A1345" s="99" t="inlineStr">
        <is>
          <t>5-GSO</t>
        </is>
      </c>
      <c r="B1345" s="10" t="inlineStr">
        <is>
          <t>APOYO</t>
        </is>
      </c>
      <c r="C1345" s="10" t="inlineStr">
        <is>
          <t>Gestión de Seguridad Organizacional</t>
        </is>
      </c>
      <c r="D1345" s="10" t="inlineStr">
        <is>
          <t>GSO</t>
        </is>
      </c>
      <c r="E1345" s="10" t="inlineStr">
        <is>
          <t>Gestión de Seguridad Física</t>
        </is>
      </c>
      <c r="F1345" s="10" t="inlineStr">
        <is>
          <t>-</t>
        </is>
      </c>
      <c r="G1345" s="10" t="inlineStr">
        <is>
          <t>Análisis de amenazas y vulnerabilidades físicas</t>
        </is>
      </c>
      <c r="H1345" s="10" t="inlineStr">
        <is>
          <t>Certificación de las instalaciones</t>
        </is>
      </c>
      <c r="I1345" s="10" t="inlineStr">
        <is>
          <t>Archivo de certificación de las instalaciones se seguridad</t>
        </is>
      </c>
      <c r="J1345" s="10" t="inlineStr">
        <is>
          <t>Oficial de Seguridad Física</t>
        </is>
      </c>
      <c r="K1345" s="10" t="inlineStr">
        <is>
          <t>Oficial de Seguridad Física</t>
        </is>
      </c>
      <c r="L1345" s="10" t="inlineStr">
        <is>
          <t>DOCUMENTOS FISICOS-ARCHIVOS DE LA OFICINA</t>
        </is>
      </c>
      <c r="M1345" s="10" t="inlineStr">
        <is>
          <t>DOCUMENTO DE ARCHIVO-FÍSICO</t>
        </is>
      </c>
      <c r="N1345" s="10" t="inlineStr">
        <is>
          <t>PRIMARIOS</t>
        </is>
      </c>
      <c r="O1345" s="10" t="inlineStr">
        <is>
          <t>DOCUMENTOS HABILITANTES</t>
        </is>
      </c>
      <c r="P1345" s="10" t="inlineStr">
        <is>
          <t>RESTRINGIDO(3)</t>
        </is>
      </c>
      <c r="Q1345" s="10" t="inlineStr">
        <is>
          <t>BAJA(1)</t>
        </is>
      </c>
      <c r="R1345" s="10" t="inlineStr">
        <is>
          <t>MEDIA(2)</t>
        </is>
      </c>
      <c r="S1345" s="10">
        <f>+(IF(P1345="PUBLICA(1)",1,IF(P1345="USO INTERNO(2)",2,IF(P1345="RESTRINGIDO(3)",3,3))))+(IF(Q1345="BAJA(1)",1,IF(Q1345="MEDIA(2)",2,IF(Q1345="ALTA(3)",3,3))))+(IF(R1345="BAJA(1)",1,IF(R1345="MEDIA(2)",2,IF(R1345="ALTA(3)",3,3))))</f>
        <v/>
      </c>
      <c r="T1345" s="10">
        <f>+IF(S1345&lt;6,"BAJA",IF(S1345&lt;8,"MEDIA","ALTA"))</f>
        <v/>
      </c>
      <c r="U1345" s="10" t="inlineStr">
        <is>
          <t>-</t>
        </is>
      </c>
      <c r="V1345" s="24" t="n">
        <v>45712</v>
      </c>
      <c r="W1345" s="19" t="inlineStr">
        <is>
          <t>N/A</t>
        </is>
      </c>
      <c r="X1345" s="10">
        <f>+IFERROR(IF(VLOOKUP(Tabla2[[#This Row],[ID]],'EVALUACION DE RIESGO'!A:A,1,FALSE)=Tabla2[[#This Row],[ID]],"SI","NO"),"NO")</f>
        <v/>
      </c>
      <c r="AD1345">
        <f>IF(AND(Y1345="",AA1345=""),"",IF(OR(LEFT(AA1345,2)="L0",LEFT(AA1345,2)="L1",Y1345="No Iniciado"),"CRÍTICO - Incumplimiento Normativo SEPS",IF(AND(OR(LEFT(AA1345,2)="L4",LEFT(AA1345,2)="L5"),AND(AC1345&lt;&gt;"",AC1345&lt;&gt;"N/A")),"CONFORME - Control Efectivo ISO 27001","OBSERVACIÓN - Revisar Controles")))</f>
        <v/>
      </c>
    </row>
    <row r="1346">
      <c r="A1346" s="99" t="inlineStr">
        <is>
          <t>6-GSO</t>
        </is>
      </c>
      <c r="B1346" s="10" t="inlineStr">
        <is>
          <t>APOYO</t>
        </is>
      </c>
      <c r="C1346" s="10" t="inlineStr">
        <is>
          <t>Gestión de Seguridad Organizacional</t>
        </is>
      </c>
      <c r="D1346" s="10" t="inlineStr">
        <is>
          <t>GSO</t>
        </is>
      </c>
      <c r="E1346" s="10" t="inlineStr">
        <is>
          <t>Gestión de Seguridad Física</t>
        </is>
      </c>
      <c r="F1346" s="10" t="inlineStr">
        <is>
          <t>-</t>
        </is>
      </c>
      <c r="G1346" s="10" t="inlineStr">
        <is>
          <t>Plan de Seguridad</t>
        </is>
      </c>
      <c r="H1346" s="10" t="inlineStr">
        <is>
          <t>Plan anual de seguridad física</t>
        </is>
      </c>
      <c r="I1346" s="10" t="inlineStr">
        <is>
          <t>Plan anual de seguridad física reportado en el informe mensual</t>
        </is>
      </c>
      <c r="J1346" s="10" t="inlineStr">
        <is>
          <t>Oficial de Seguridad Física</t>
        </is>
      </c>
      <c r="K1346" s="10" t="inlineStr">
        <is>
          <t>Oficial de Seguridad Física</t>
        </is>
      </c>
      <c r="L1346" s="10" t="inlineStr">
        <is>
          <t>UBICACIÓN DIGITAL-EQUIPO DEL RESPONSABLE</t>
        </is>
      </c>
      <c r="M1346" s="10" t="inlineStr">
        <is>
          <t>DISCOS DUROS, SERVIDORES, DISCOS O MEDIOS PORTÁTILES, CINTAS O MEDIOS DE VIDEO Y AUDIO, ETC.</t>
        </is>
      </c>
      <c r="N1346" s="10" t="inlineStr">
        <is>
          <t>PRIMARIOS</t>
        </is>
      </c>
      <c r="O1346" s="10" t="inlineStr">
        <is>
          <t>DOCUMENTOS TÉCNICOS</t>
        </is>
      </c>
      <c r="P1346" s="10" t="inlineStr">
        <is>
          <t>USO INTERNO(2)</t>
        </is>
      </c>
      <c r="Q1346" s="10" t="inlineStr">
        <is>
          <t>BAJA(1)</t>
        </is>
      </c>
      <c r="R1346" s="10" t="inlineStr">
        <is>
          <t>MEDIA(2)</t>
        </is>
      </c>
      <c r="S1346" s="10">
        <f>+(IF(P1346="PUBLICA(1)",1,IF(P1346="USO INTERNO(2)",2,IF(P1346="RESTRINGIDO(3)",3,3))))+(IF(Q1346="BAJA(1)",1,IF(Q1346="MEDIA(2)",2,IF(Q1346="ALTA(3)",3,3))))+(IF(R1346="BAJA(1)",1,IF(R1346="MEDIA(2)",2,IF(R1346="ALTA(3)",3,3))))</f>
        <v/>
      </c>
      <c r="T1346" s="10">
        <f>+IF(S1346&lt;6,"BAJA",IF(S1346&lt;8,"MEDIA","ALTA"))</f>
        <v/>
      </c>
      <c r="U1346" s="10" t="inlineStr">
        <is>
          <t>-</t>
        </is>
      </c>
      <c r="V1346" s="24" t="n">
        <v>45712</v>
      </c>
      <c r="W1346" s="19" t="inlineStr">
        <is>
          <t>N/A</t>
        </is>
      </c>
      <c r="X1346" s="10">
        <f>+IFERROR(IF(VLOOKUP(Tabla2[[#This Row],[ID]],'EVALUACION DE RIESGO'!A:A,1,FALSE)=Tabla2[[#This Row],[ID]],"SI","NO"),"NO")</f>
        <v/>
      </c>
      <c r="AD1346">
        <f>IF(AND(Y1346="",AA1346=""),"",IF(OR(LEFT(AA1346,2)="L0",LEFT(AA1346,2)="L1",Y1346="No Iniciado"),"CRÍTICO - Incumplimiento Normativo SEPS",IF(AND(OR(LEFT(AA1346,2)="L4",LEFT(AA1346,2)="L5"),AND(AC1346&lt;&gt;"",AC1346&lt;&gt;"N/A")),"CONFORME - Control Efectivo ISO 27001","OBSERVACIÓN - Revisar Controles")))</f>
        <v/>
      </c>
    </row>
    <row r="1347">
      <c r="A1347" s="99" t="inlineStr">
        <is>
          <t>7-GSO</t>
        </is>
      </c>
      <c r="B1347" s="10" t="inlineStr">
        <is>
          <t>APOYO</t>
        </is>
      </c>
      <c r="C1347" s="10" t="inlineStr">
        <is>
          <t>Gestión de Seguridad Organizacional</t>
        </is>
      </c>
      <c r="D1347" s="10" t="inlineStr">
        <is>
          <t>GSO</t>
        </is>
      </c>
      <c r="E1347" s="10" t="inlineStr">
        <is>
          <t>Gestión de Seguridad Física</t>
        </is>
      </c>
      <c r="F1347" s="10" t="inlineStr">
        <is>
          <t>-</t>
        </is>
      </c>
      <c r="G1347" s="10" t="inlineStr">
        <is>
          <t>Asignación de accesos físicos</t>
        </is>
      </c>
      <c r="H1347" s="10" t="inlineStr">
        <is>
          <t>Reporte de accesos físicos asignados</t>
        </is>
      </c>
      <c r="I1347" s="10" t="inlineStr">
        <is>
          <t>Reporte de accesos físicos asignados al personal, verificación de código de tarjeta, datos de usuario en el sistema de control de accesos</t>
        </is>
      </c>
      <c r="J1347" s="10" t="inlineStr">
        <is>
          <t>Oficial de Seguridad Física</t>
        </is>
      </c>
      <c r="K1347" s="10" t="inlineStr">
        <is>
          <t>Oficial de Seguridad Física</t>
        </is>
      </c>
      <c r="L1347" s="10" t="inlineStr">
        <is>
          <t>UBICACIÓN DIGITAL-EQUIPO DEL RESPONSABLE</t>
        </is>
      </c>
      <c r="M1347" s="10" t="inlineStr">
        <is>
          <t>DISCOS DUROS, SERVIDORES, DISCOS O MEDIOS PORTÁTILES, CINTAS O MEDIOS DE VIDEO Y AUDIO, ETC.</t>
        </is>
      </c>
      <c r="N1347" s="10" t="inlineStr">
        <is>
          <t>PRIMARIOS</t>
        </is>
      </c>
      <c r="O1347" s="10" t="inlineStr">
        <is>
          <t>DOCUMENTOS TÉCNICOS</t>
        </is>
      </c>
      <c r="P1347" s="10" t="inlineStr">
        <is>
          <t>USO INTERNO(2)</t>
        </is>
      </c>
      <c r="Q1347" s="10" t="inlineStr">
        <is>
          <t>BAJA(1)</t>
        </is>
      </c>
      <c r="R1347" s="10" t="inlineStr">
        <is>
          <t>MEDIA(2)</t>
        </is>
      </c>
      <c r="S1347" s="10">
        <f>+(IF(P1347="PUBLICA(1)",1,IF(P1347="USO INTERNO(2)",2,IF(P1347="RESTRINGIDO(3)",3,3))))+(IF(Q1347="BAJA(1)",1,IF(Q1347="MEDIA(2)",2,IF(Q1347="ALTA(3)",3,3))))+(IF(R1347="BAJA(1)",1,IF(R1347="MEDIA(2)",2,IF(R1347="ALTA(3)",3,3))))</f>
        <v/>
      </c>
      <c r="T1347" s="10">
        <f>+IF(S1347&lt;6,"BAJA",IF(S1347&lt;8,"MEDIA","ALTA"))</f>
        <v/>
      </c>
      <c r="U1347" s="10" t="inlineStr">
        <is>
          <t>-</t>
        </is>
      </c>
      <c r="V1347" s="24" t="n">
        <v>45712</v>
      </c>
      <c r="W1347" s="19" t="inlineStr">
        <is>
          <t>N/A</t>
        </is>
      </c>
      <c r="X1347" s="10">
        <f>+IFERROR(IF(VLOOKUP(Tabla2[[#This Row],[ID]],'EVALUACION DE RIESGO'!A:A,1,FALSE)=Tabla2[[#This Row],[ID]],"SI","NO"),"NO")</f>
        <v/>
      </c>
      <c r="AD1347">
        <f>IF(AND(Y1347="",AA1347=""),"",IF(OR(LEFT(AA1347,2)="L0",LEFT(AA1347,2)="L1",Y1347="No Iniciado"),"CRÍTICO - Incumplimiento Normativo SEPS",IF(AND(OR(LEFT(AA1347,2)="L4",LEFT(AA1347,2)="L5"),AND(AC1347&lt;&gt;"",AC1347&lt;&gt;"N/A")),"CONFORME - Control Efectivo ISO 27001","OBSERVACIÓN - Revisar Controles")))</f>
        <v/>
      </c>
    </row>
    <row r="1348">
      <c r="A1348" s="99" t="inlineStr">
        <is>
          <t>8-GSO</t>
        </is>
      </c>
      <c r="B1348" s="10" t="inlineStr">
        <is>
          <t>APOYO</t>
        </is>
      </c>
      <c r="C1348" s="10" t="inlineStr">
        <is>
          <t>Gestión de Seguridad Organizacional</t>
        </is>
      </c>
      <c r="D1348" s="10" t="inlineStr">
        <is>
          <t>GSO</t>
        </is>
      </c>
      <c r="E1348" s="10" t="inlineStr">
        <is>
          <t>Gestión de Seguridad Física</t>
        </is>
      </c>
      <c r="F1348" s="10" t="inlineStr">
        <is>
          <t>-</t>
        </is>
      </c>
      <c r="G1348" s="10" t="inlineStr">
        <is>
          <t>Asignación de accesos físicos</t>
        </is>
      </c>
      <c r="H1348" s="10" t="inlineStr">
        <is>
          <t>Formulario de entrega de tarjeta</t>
        </is>
      </c>
      <c r="I1348" s="10" t="inlineStr">
        <is>
          <t>Formalización de la entrega de la tarjeta de acceso</t>
        </is>
      </c>
      <c r="J1348" s="10" t="inlineStr">
        <is>
          <t>Oficial de Seguridad Física</t>
        </is>
      </c>
      <c r="K1348" s="10" t="inlineStr">
        <is>
          <t>Oficial de Seguridad Física</t>
        </is>
      </c>
      <c r="L1348" s="10" t="inlineStr">
        <is>
          <t>DOCUMENTOS FISICOS-ARCHIVOS DE LA OFICINA</t>
        </is>
      </c>
      <c r="M1348" s="10" t="inlineStr">
        <is>
          <t>DOCUMENTO DE ARCHIVO-FÍSICO</t>
        </is>
      </c>
      <c r="N1348" s="10" t="inlineStr">
        <is>
          <t>PRIMARIOS</t>
        </is>
      </c>
      <c r="O1348" s="10" t="inlineStr">
        <is>
          <t>DOCUMENTOS HABILITANTES</t>
        </is>
      </c>
      <c r="P1348" s="10" t="inlineStr">
        <is>
          <t>USO INTERNO(2)</t>
        </is>
      </c>
      <c r="Q1348" s="10" t="inlineStr">
        <is>
          <t>BAJA(1)</t>
        </is>
      </c>
      <c r="R1348" s="10" t="inlineStr">
        <is>
          <t>MEDIA(2)</t>
        </is>
      </c>
      <c r="S1348" s="10">
        <f>+(IF(P1348="PUBLICA(1)",1,IF(P1348="USO INTERNO(2)",2,IF(P1348="RESTRINGIDO(3)",3,3))))+(IF(Q1348="BAJA(1)",1,IF(Q1348="MEDIA(2)",2,IF(Q1348="ALTA(3)",3,3))))+(IF(R1348="BAJA(1)",1,IF(R1348="MEDIA(2)",2,IF(R1348="ALTA(3)",3,3))))</f>
        <v/>
      </c>
      <c r="T1348" s="10">
        <f>+IF(S1348&lt;6,"BAJA",IF(S1348&lt;8,"MEDIA","ALTA"))</f>
        <v/>
      </c>
      <c r="U1348" s="10" t="inlineStr">
        <is>
          <t>-</t>
        </is>
      </c>
      <c r="V1348" s="24" t="n">
        <v>45712</v>
      </c>
      <c r="W1348" s="19" t="inlineStr">
        <is>
          <t>N/A</t>
        </is>
      </c>
      <c r="X1348" s="10">
        <f>+IFERROR(IF(VLOOKUP(Tabla2[[#This Row],[ID]],'EVALUACION DE RIESGO'!A:A,1,FALSE)=Tabla2[[#This Row],[ID]],"SI","NO"),"NO")</f>
        <v/>
      </c>
      <c r="AD1348">
        <f>IF(AND(Y1348="",AA1348=""),"",IF(OR(LEFT(AA1348,2)="L0",LEFT(AA1348,2)="L1",Y1348="No Iniciado"),"CRÍTICO - Incumplimiento Normativo SEPS",IF(AND(OR(LEFT(AA1348,2)="L4",LEFT(AA1348,2)="L5"),AND(AC1348&lt;&gt;"",AC1348&lt;&gt;"N/A")),"CONFORME - Control Efectivo ISO 27001","OBSERVACIÓN - Revisar Controles")))</f>
        <v/>
      </c>
    </row>
    <row r="1349">
      <c r="A1349" s="99" t="inlineStr">
        <is>
          <t>9-GSO</t>
        </is>
      </c>
      <c r="B1349" s="10" t="inlineStr">
        <is>
          <t>APOYO</t>
        </is>
      </c>
      <c r="C1349" s="10" t="inlineStr">
        <is>
          <t>Gestión de Seguridad Organizacional</t>
        </is>
      </c>
      <c r="D1349" s="10" t="inlineStr">
        <is>
          <t>GSO</t>
        </is>
      </c>
      <c r="E1349" s="10" t="inlineStr">
        <is>
          <t>Gestión de Seguridad Física</t>
        </is>
      </c>
      <c r="F1349" s="10" t="inlineStr">
        <is>
          <t>-</t>
        </is>
      </c>
      <c r="G1349" s="10" t="inlineStr">
        <is>
          <t>Control de accesos</t>
        </is>
      </c>
      <c r="H1349" s="10" t="inlineStr">
        <is>
          <t>Informe mensual de Gestión de Seguridad Física</t>
        </is>
      </c>
      <c r="I1349" s="10" t="inlineStr">
        <is>
          <t>Informe del monitorie a áreas restringidas mediante el CCTV y accesos físicos, ingresos y salidas del personal, identificación de irregularidades y seguimientos</t>
        </is>
      </c>
      <c r="J1349" s="10" t="inlineStr">
        <is>
          <t>Oficial de Seguridad Física</t>
        </is>
      </c>
      <c r="K1349" s="10" t="inlineStr">
        <is>
          <t>Oficial de Seguridad Física</t>
        </is>
      </c>
      <c r="L1349" s="10" t="inlineStr">
        <is>
          <t>UBICACIÓN DIGITAL-EQUIPO DEL RESPONSABLE</t>
        </is>
      </c>
      <c r="M1349" s="10" t="inlineStr">
        <is>
          <t>DISCOS DUROS, SERVIDORES, DISCOS O MEDIOS PORTÁTILES, CINTAS O MEDIOS DE VIDEO Y AUDIO, ETC.</t>
        </is>
      </c>
      <c r="N1349" s="10" t="inlineStr">
        <is>
          <t>PRIMARIOS</t>
        </is>
      </c>
      <c r="O1349" s="10" t="inlineStr">
        <is>
          <t>DOCUMENTOS TÉCNICOS</t>
        </is>
      </c>
      <c r="P1349" s="10" t="inlineStr">
        <is>
          <t>RESTRINGIDO(3)</t>
        </is>
      </c>
      <c r="Q1349" s="10" t="inlineStr">
        <is>
          <t>BAJA(1)</t>
        </is>
      </c>
      <c r="R1349" s="10" t="inlineStr">
        <is>
          <t>MEDIA(2)</t>
        </is>
      </c>
      <c r="S1349" s="10">
        <f>+(IF(P1349="PUBLICA(1)",1,IF(P1349="USO INTERNO(2)",2,IF(P1349="RESTRINGIDO(3)",3,3))))+(IF(Q1349="BAJA(1)",1,IF(Q1349="MEDIA(2)",2,IF(Q1349="ALTA(3)",3,3))))+(IF(R1349="BAJA(1)",1,IF(R1349="MEDIA(2)",2,IF(R1349="ALTA(3)",3,3))))</f>
        <v/>
      </c>
      <c r="T1349" s="10">
        <f>+IF(S1349&lt;6,"BAJA",IF(S1349&lt;8,"MEDIA","ALTA"))</f>
        <v/>
      </c>
      <c r="U1349" s="10" t="inlineStr">
        <is>
          <t>-</t>
        </is>
      </c>
      <c r="V1349" s="24" t="n">
        <v>45712</v>
      </c>
      <c r="W1349" s="19" t="inlineStr">
        <is>
          <t>N/A</t>
        </is>
      </c>
      <c r="X1349" s="10">
        <f>+IFERROR(IF(VLOOKUP(Tabla2[[#This Row],[ID]],'EVALUACION DE RIESGO'!A:A,1,FALSE)=Tabla2[[#This Row],[ID]],"SI","NO"),"NO")</f>
        <v/>
      </c>
      <c r="AD1349">
        <f>IF(AND(Y1349="",AA1349=""),"",IF(OR(LEFT(AA1349,2)="L0",LEFT(AA1349,2)="L1",Y1349="No Iniciado"),"CRÍTICO - Incumplimiento Normativo SEPS",IF(AND(OR(LEFT(AA1349,2)="L4",LEFT(AA1349,2)="L5"),AND(AC1349&lt;&gt;"",AC1349&lt;&gt;"N/A")),"CONFORME - Control Efectivo ISO 27001","OBSERVACIÓN - Revisar Controles")))</f>
        <v/>
      </c>
    </row>
    <row r="1350">
      <c r="A1350" s="99" t="inlineStr">
        <is>
          <t>10-GSO</t>
        </is>
      </c>
      <c r="B1350" s="10" t="inlineStr">
        <is>
          <t>APOYO</t>
        </is>
      </c>
      <c r="C1350" s="10" t="inlineStr">
        <is>
          <t>Gestión de Seguridad Organizacional</t>
        </is>
      </c>
      <c r="D1350" s="10" t="inlineStr">
        <is>
          <t>GSO</t>
        </is>
      </c>
      <c r="E1350" s="10" t="inlineStr">
        <is>
          <t>Gestión de Seguridad Física</t>
        </is>
      </c>
      <c r="F1350" s="10" t="inlineStr">
        <is>
          <t>-</t>
        </is>
      </c>
      <c r="G1350" s="10" t="inlineStr">
        <is>
          <t>Control de accesos</t>
        </is>
      </c>
      <c r="H1350" s="10" t="inlineStr">
        <is>
          <t>Justificativos</t>
        </is>
      </c>
      <c r="I1350" s="10" t="inlineStr">
        <is>
          <t>Archivos de justificación de las novedades identificadas</t>
        </is>
      </c>
      <c r="J1350" s="10" t="inlineStr">
        <is>
          <t>Oficial de Seguridad Física</t>
        </is>
      </c>
      <c r="K1350" s="10" t="inlineStr">
        <is>
          <t>Oficial de Seguridad Física</t>
        </is>
      </c>
      <c r="L1350" s="10" t="inlineStr">
        <is>
          <t>UBICACIÓN DIGITAL-EQUIPO DEL RESPONSABLE</t>
        </is>
      </c>
      <c r="M1350" s="10" t="inlineStr">
        <is>
          <t>DISCOS DUROS, SERVIDORES, DISCOS O MEDIOS PORTÁTILES, CINTAS O MEDIOS DE VIDEO Y AUDIO, ETC.</t>
        </is>
      </c>
      <c r="N1350" s="10" t="inlineStr">
        <is>
          <t>PRIMARIOS</t>
        </is>
      </c>
      <c r="O1350" s="10" t="inlineStr">
        <is>
          <t>DOCUMENTOS TÉCNICOS</t>
        </is>
      </c>
      <c r="P1350" s="10" t="inlineStr">
        <is>
          <t>USO INTERNO(2)</t>
        </is>
      </c>
      <c r="Q1350" s="10" t="inlineStr">
        <is>
          <t>BAJA(1)</t>
        </is>
      </c>
      <c r="R1350" s="10" t="inlineStr">
        <is>
          <t>MEDIA(2)</t>
        </is>
      </c>
      <c r="S1350" s="10">
        <f>+(IF(P1350="PUBLICA(1)",1,IF(P1350="USO INTERNO(2)",2,IF(P1350="RESTRINGIDO(3)",3,3))))+(IF(Q1350="BAJA(1)",1,IF(Q1350="MEDIA(2)",2,IF(Q1350="ALTA(3)",3,3))))+(IF(R1350="BAJA(1)",1,IF(R1350="MEDIA(2)",2,IF(R1350="ALTA(3)",3,3))))</f>
        <v/>
      </c>
      <c r="T1350" s="10">
        <f>+IF(S1350&lt;6,"BAJA",IF(S1350&lt;8,"MEDIA","ALTA"))</f>
        <v/>
      </c>
      <c r="U1350" s="10" t="inlineStr">
        <is>
          <t>-</t>
        </is>
      </c>
      <c r="V1350" s="24" t="n">
        <v>45712</v>
      </c>
      <c r="W1350" s="19" t="inlineStr">
        <is>
          <t>N/A</t>
        </is>
      </c>
      <c r="X1350" s="10">
        <f>+IFERROR(IF(VLOOKUP(Tabla2[[#This Row],[ID]],'EVALUACION DE RIESGO'!A:A,1,FALSE)=Tabla2[[#This Row],[ID]],"SI","NO"),"NO")</f>
        <v/>
      </c>
      <c r="AD1350">
        <f>IF(AND(Y1350="",AA1350=""),"",IF(OR(LEFT(AA1350,2)="L0",LEFT(AA1350,2)="L1",Y1350="No Iniciado"),"CRÍTICO - Incumplimiento Normativo SEPS",IF(AND(OR(LEFT(AA1350,2)="L4",LEFT(AA1350,2)="L5"),AND(AC1350&lt;&gt;"",AC1350&lt;&gt;"N/A")),"CONFORME - Control Efectivo ISO 27001","OBSERVACIÓN - Revisar Controles")))</f>
        <v/>
      </c>
    </row>
    <row r="1351" ht="12" customHeight="1" s="106">
      <c r="A1351" s="99" t="inlineStr">
        <is>
          <t>11-GSO</t>
        </is>
      </c>
      <c r="B1351" s="10" t="inlineStr">
        <is>
          <t>APOYO</t>
        </is>
      </c>
      <c r="C1351" s="10" t="inlineStr">
        <is>
          <t>Gestión de Seguridad Organizacional</t>
        </is>
      </c>
      <c r="D1351" s="10" t="inlineStr">
        <is>
          <t>GSO</t>
        </is>
      </c>
      <c r="E1351" s="10" t="inlineStr">
        <is>
          <t>Gestión de Seguridad Física</t>
        </is>
      </c>
      <c r="F1351" s="10" t="inlineStr">
        <is>
          <t>-</t>
        </is>
      </c>
      <c r="G1351" s="10" t="inlineStr">
        <is>
          <t>Mantenimiento de cerraduras de bóvedas principales, bóvedas ATMS y cajas fuertes.</t>
        </is>
      </c>
      <c r="H1351" s="17" t="inlineStr">
        <is>
          <t>Sobres lacrados con claves de contingencia</t>
        </is>
      </c>
      <c r="I1351" s="17" t="inlineStr">
        <is>
          <t>Sobres que contienen las claves de contingencia</t>
        </is>
      </c>
      <c r="J1351" s="10" t="inlineStr">
        <is>
          <t>Oficial de Seguridad Física</t>
        </is>
      </c>
      <c r="K1351" s="10" t="inlineStr">
        <is>
          <t>Oficial de Seguridad Física</t>
        </is>
      </c>
      <c r="L1351" s="10" t="inlineStr">
        <is>
          <t>DOCUMENTOS FISICOS-ARCHIVOS DE LA OFICINA</t>
        </is>
      </c>
      <c r="M1351" s="10" t="inlineStr">
        <is>
          <t>DOCUMENTO DE ARCHIVO-FÍSICO</t>
        </is>
      </c>
      <c r="N1351" s="10" t="inlineStr">
        <is>
          <t>PRIMARIOS</t>
        </is>
      </c>
      <c r="O1351" s="10" t="inlineStr">
        <is>
          <t>DOCUMENTOS TÉCNICOS</t>
        </is>
      </c>
      <c r="P1351" s="10" t="inlineStr">
        <is>
          <t>RESTRINGIDO(3)</t>
        </is>
      </c>
      <c r="Q1351" s="10" t="inlineStr">
        <is>
          <t>ALTA(3)</t>
        </is>
      </c>
      <c r="R1351" s="10" t="inlineStr">
        <is>
          <t>ALTA(3)</t>
        </is>
      </c>
      <c r="S1351" s="10">
        <f>+(IF(P1351="PUBLICA(1)",1,IF(P1351="USO INTERNO(2)",2,IF(P1351="RESTRINGIDO(3)",3,3))))+(IF(Q1351="BAJA(1)",1,IF(Q1351="MEDIA(2)",2,IF(Q1351="ALTA(3)",3,3))))+(IF(R1351="BAJA(1)",1,IF(R1351="MEDIA(2)",2,IF(R1351="ALTA(3)",3,3))))</f>
        <v/>
      </c>
      <c r="T1351" s="10">
        <f>+IF(S1351&lt;6,"BAJA",IF(S1351&lt;8,"MEDIA","ALTA"))</f>
        <v/>
      </c>
      <c r="U1351" s="10" t="inlineStr">
        <is>
          <t>-</t>
        </is>
      </c>
      <c r="V1351" s="24" t="n">
        <v>45712</v>
      </c>
      <c r="W1351" s="19" t="inlineStr">
        <is>
          <t>N/A</t>
        </is>
      </c>
      <c r="X1351" s="10">
        <f>+IFERROR(IF(VLOOKUP(Tabla2[[#This Row],[ID]],'EVALUACION DE RIESGO'!A:A,1,FALSE)=Tabla2[[#This Row],[ID]],"SI","NO"),"NO")</f>
        <v/>
      </c>
      <c r="AD1351">
        <f>IF(AND(Y1351="",AA1351=""),"",IF(OR(LEFT(AA1351,2)="L0",LEFT(AA1351,2)="L1",Y1351="No Iniciado"),"CRÍTICO - Incumplimiento Normativo SEPS",IF(AND(OR(LEFT(AA1351,2)="L4",LEFT(AA1351,2)="L5"),AND(AC1351&lt;&gt;"",AC1351&lt;&gt;"N/A")),"CONFORME - Control Efectivo ISO 27001","OBSERVACIÓN - Revisar Controles")))</f>
        <v/>
      </c>
    </row>
    <row r="1352">
      <c r="A1352" s="99" t="inlineStr">
        <is>
          <t>12-GSO</t>
        </is>
      </c>
      <c r="B1352" s="10" t="inlineStr">
        <is>
          <t>APOYO</t>
        </is>
      </c>
      <c r="C1352" s="10" t="inlineStr">
        <is>
          <t>Gestión de Seguridad Organizacional</t>
        </is>
      </c>
      <c r="D1352" s="10" t="inlineStr">
        <is>
          <t>GSO</t>
        </is>
      </c>
      <c r="E1352" s="10" t="inlineStr">
        <is>
          <t>Gestión de Seguridad Física</t>
        </is>
      </c>
      <c r="F1352" s="10" t="inlineStr">
        <is>
          <t>-</t>
        </is>
      </c>
      <c r="G1352" s="10" t="inlineStr">
        <is>
          <t>Mantenimiento de cerraduras de bóvedas principales, bóvedas ATMS y cajas fuertes.</t>
        </is>
      </c>
      <c r="H1352" s="10" t="inlineStr">
        <is>
          <t>Actas entrega recepción de claves de bóveda y caja fuerte</t>
        </is>
      </c>
      <c r="I1352" s="10" t="inlineStr">
        <is>
          <t xml:space="preserve">Formalización de la entrega recepción de las claves de bóveda y caja fuerte </t>
        </is>
      </c>
      <c r="J1352" s="10" t="inlineStr">
        <is>
          <t>Oficial de Seguridad Física</t>
        </is>
      </c>
      <c r="K1352" s="10" t="inlineStr">
        <is>
          <t>Oficial de Seguridad Física</t>
        </is>
      </c>
      <c r="L1352" s="10" t="inlineStr">
        <is>
          <t>DOCUMENTOS FISICOS-ARCHIVOS DE LA OFICINA</t>
        </is>
      </c>
      <c r="M1352" s="10" t="inlineStr">
        <is>
          <t>DOCUMENTO DE ARCHIVO-FÍSICO</t>
        </is>
      </c>
      <c r="N1352" s="10" t="inlineStr">
        <is>
          <t>PRIMARIOS</t>
        </is>
      </c>
      <c r="O1352" s="10" t="inlineStr">
        <is>
          <t>DOCUMENTOS HABILITANTES</t>
        </is>
      </c>
      <c r="P1352" s="10" t="inlineStr">
        <is>
          <t>USO INTERNO(2)</t>
        </is>
      </c>
      <c r="Q1352" s="10" t="inlineStr">
        <is>
          <t>BAJA(1)</t>
        </is>
      </c>
      <c r="R1352" s="10" t="inlineStr">
        <is>
          <t>MEDIA(2)</t>
        </is>
      </c>
      <c r="S1352" s="10">
        <f>+(IF(P1352="PUBLICA(1)",1,IF(P1352="USO INTERNO(2)",2,IF(P1352="RESTRINGIDO(3)",3,3))))+(IF(Q1352="BAJA(1)",1,IF(Q1352="MEDIA(2)",2,IF(Q1352="ALTA(3)",3,3))))+(IF(R1352="BAJA(1)",1,IF(R1352="MEDIA(2)",2,IF(R1352="ALTA(3)",3,3))))</f>
        <v/>
      </c>
      <c r="T1352" s="10">
        <f>+IF(S1352&lt;6,"BAJA",IF(S1352&lt;8,"MEDIA","ALTA"))</f>
        <v/>
      </c>
      <c r="U1352" s="10" t="inlineStr">
        <is>
          <t>-</t>
        </is>
      </c>
      <c r="V1352" s="24" t="n">
        <v>45712</v>
      </c>
      <c r="W1352" s="19" t="inlineStr">
        <is>
          <t>N/A</t>
        </is>
      </c>
      <c r="X1352" s="10">
        <f>+IFERROR(IF(VLOOKUP(Tabla2[[#This Row],[ID]],'EVALUACION DE RIESGO'!A:A,1,FALSE)=Tabla2[[#This Row],[ID]],"SI","NO"),"NO")</f>
        <v/>
      </c>
      <c r="AD1352">
        <f>IF(AND(Y1352="",AA1352=""),"",IF(OR(LEFT(AA1352,2)="L0",LEFT(AA1352,2)="L1",Y1352="No Iniciado"),"CRÍTICO - Incumplimiento Normativo SEPS",IF(AND(OR(LEFT(AA1352,2)="L4",LEFT(AA1352,2)="L5"),AND(AC1352&lt;&gt;"",AC1352&lt;&gt;"N/A")),"CONFORME - Control Efectivo ISO 27001","OBSERVACIÓN - Revisar Controles")))</f>
        <v/>
      </c>
    </row>
    <row r="1353">
      <c r="A1353" s="99" t="inlineStr">
        <is>
          <t>13-GSO</t>
        </is>
      </c>
      <c r="B1353" s="10" t="inlineStr">
        <is>
          <t>APOYO</t>
        </is>
      </c>
      <c r="C1353" s="10" t="inlineStr">
        <is>
          <t>Gestión de Seguridad Organizacional</t>
        </is>
      </c>
      <c r="D1353" s="10" t="inlineStr">
        <is>
          <t>GSO</t>
        </is>
      </c>
      <c r="E1353" s="10" t="inlineStr">
        <is>
          <t>Gestión de Seguridad Física</t>
        </is>
      </c>
      <c r="F1353" s="10" t="inlineStr">
        <is>
          <t>-</t>
        </is>
      </c>
      <c r="G1353" s="10" t="inlineStr">
        <is>
          <t>Mantenimiento de cerraduras de bóvedas principales, bóvedas ATMS y cajas fuertes.</t>
        </is>
      </c>
      <c r="H1353" s="10" t="inlineStr">
        <is>
          <t>Actas entrega recepción remitido por el proveedor</t>
        </is>
      </c>
      <c r="I1353" s="10" t="inlineStr">
        <is>
          <t>Entrega recepción del servicio de mantenimiento</t>
        </is>
      </c>
      <c r="J1353" s="10" t="inlineStr">
        <is>
          <t>Oficial de Seguridad Física</t>
        </is>
      </c>
      <c r="K1353" s="10" t="inlineStr">
        <is>
          <t>Oficial de Seguridad Física</t>
        </is>
      </c>
      <c r="L1353" s="10" t="inlineStr">
        <is>
          <t>DOCUMENTOS FISICOS-ARCHIVOS DE LA OFICINA</t>
        </is>
      </c>
      <c r="M1353" s="10" t="inlineStr">
        <is>
          <t>DOCUMENTO DE ARCHIVO-FÍSICO</t>
        </is>
      </c>
      <c r="N1353" s="10" t="inlineStr">
        <is>
          <t>PRIMARIOS</t>
        </is>
      </c>
      <c r="O1353" s="10" t="inlineStr">
        <is>
          <t>DOCUMENTOS HABILITANTES</t>
        </is>
      </c>
      <c r="P1353" s="10" t="inlineStr">
        <is>
          <t>USO INTERNO(2)</t>
        </is>
      </c>
      <c r="Q1353" s="10" t="inlineStr">
        <is>
          <t>BAJA(1)</t>
        </is>
      </c>
      <c r="R1353" s="10" t="inlineStr">
        <is>
          <t>MEDIA(2)</t>
        </is>
      </c>
      <c r="S1353" s="10">
        <f>+(IF(P1353="PUBLICA(1)",1,IF(P1353="USO INTERNO(2)",2,IF(P1353="RESTRINGIDO(3)",3,3))))+(IF(Q1353="BAJA(1)",1,IF(Q1353="MEDIA(2)",2,IF(Q1353="ALTA(3)",3,3))))+(IF(R1353="BAJA(1)",1,IF(R1353="MEDIA(2)",2,IF(R1353="ALTA(3)",3,3))))</f>
        <v/>
      </c>
      <c r="T1353" s="10">
        <f>+IF(S1353&lt;6,"BAJA",IF(S1353&lt;8,"MEDIA","ALTA"))</f>
        <v/>
      </c>
      <c r="U1353" s="10" t="inlineStr">
        <is>
          <t>-</t>
        </is>
      </c>
      <c r="V1353" s="24" t="n">
        <v>45712</v>
      </c>
      <c r="W1353" s="19" t="inlineStr">
        <is>
          <t>N/A</t>
        </is>
      </c>
      <c r="X1353" s="10">
        <f>+IFERROR(IF(VLOOKUP(Tabla2[[#This Row],[ID]],'EVALUACION DE RIESGO'!A:A,1,FALSE)=Tabla2[[#This Row],[ID]],"SI","NO"),"NO")</f>
        <v/>
      </c>
      <c r="AD1353">
        <f>IF(AND(Y1353="",AA1353=""),"",IF(OR(LEFT(AA1353,2)="L0",LEFT(AA1353,2)="L1",Y1353="No Iniciado"),"CRÍTICO - Incumplimiento Normativo SEPS",IF(AND(OR(LEFT(AA1353,2)="L4",LEFT(AA1353,2)="L5"),AND(AC1353&lt;&gt;"",AC1353&lt;&gt;"N/A")),"CONFORME - Control Efectivo ISO 27001","OBSERVACIÓN - Revisar Controles")))</f>
        <v/>
      </c>
    </row>
    <row r="1354">
      <c r="A1354" s="99" t="inlineStr">
        <is>
          <t>14-GSO</t>
        </is>
      </c>
      <c r="B1354" s="10" t="inlineStr">
        <is>
          <t>APOYO</t>
        </is>
      </c>
      <c r="C1354" s="10" t="inlineStr">
        <is>
          <t>Gestión de Seguridad Organizacional</t>
        </is>
      </c>
      <c r="D1354" s="10" t="inlineStr">
        <is>
          <t>GSO</t>
        </is>
      </c>
      <c r="E1354" s="10" t="inlineStr">
        <is>
          <t>Gestión de Seguridad Física</t>
        </is>
      </c>
      <c r="F1354" s="10" t="inlineStr">
        <is>
          <t>-</t>
        </is>
      </c>
      <c r="G1354" s="10" t="inlineStr">
        <is>
          <t>Mantenimiento de cerraduras de bóvedas principales, bóvedas ATMS y cajas fuertes.</t>
        </is>
      </c>
      <c r="H1354" s="10" t="inlineStr">
        <is>
          <t>Informe técnico de mantenimiento</t>
        </is>
      </c>
      <c r="I1354" s="10" t="inlineStr">
        <is>
          <t>Informe técnico del mantenimiento realizado y el plan de acción de ser necesario.</t>
        </is>
      </c>
      <c r="J1354" s="10" t="inlineStr">
        <is>
          <t>Oficial de Seguridad Física</t>
        </is>
      </c>
      <c r="K1354" s="10" t="inlineStr">
        <is>
          <t>Oficial de Seguridad Física</t>
        </is>
      </c>
      <c r="L1354" s="10" t="inlineStr">
        <is>
          <t>UBICACIÓN DIGITAL-EQUIPO DEL RESPONSABLE</t>
        </is>
      </c>
      <c r="M1354" s="10" t="inlineStr">
        <is>
          <t>DISCOS DUROS, SERVIDORES, DISCOS O MEDIOS PORTÁTILES, CINTAS O MEDIOS DE VIDEO Y AUDIO, ETC.</t>
        </is>
      </c>
      <c r="N1354" s="10" t="inlineStr">
        <is>
          <t>PRIMARIOS</t>
        </is>
      </c>
      <c r="O1354" s="10" t="inlineStr">
        <is>
          <t>DOCUMENTOS TÉCNICOS</t>
        </is>
      </c>
      <c r="P1354" s="10" t="inlineStr">
        <is>
          <t>USO INTERNO(2)</t>
        </is>
      </c>
      <c r="Q1354" s="10" t="inlineStr">
        <is>
          <t>BAJA(1)</t>
        </is>
      </c>
      <c r="R1354" s="10" t="inlineStr">
        <is>
          <t>BAJA(1)</t>
        </is>
      </c>
      <c r="S1354" s="10">
        <f>+(IF(P1354="PUBLICA(1)",1,IF(P1354="USO INTERNO(2)",2,IF(P1354="RESTRINGIDO(3)",3,3))))+(IF(Q1354="BAJA(1)",1,IF(Q1354="MEDIA(2)",2,IF(Q1354="ALTA(3)",3,3))))+(IF(R1354="BAJA(1)",1,IF(R1354="MEDIA(2)",2,IF(R1354="ALTA(3)",3,3))))</f>
        <v/>
      </c>
      <c r="T1354" s="10">
        <f>+IF(S1354&lt;6,"BAJA",IF(S1354&lt;8,"MEDIA","ALTA"))</f>
        <v/>
      </c>
      <c r="U1354" s="10" t="inlineStr">
        <is>
          <t>-</t>
        </is>
      </c>
      <c r="V1354" s="24" t="n">
        <v>45712</v>
      </c>
      <c r="W1354" s="19" t="inlineStr">
        <is>
          <t>N/A</t>
        </is>
      </c>
      <c r="X1354" s="10">
        <f>+IFERROR(IF(VLOOKUP(Tabla2[[#This Row],[ID]],'EVALUACION DE RIESGO'!A:A,1,FALSE)=Tabla2[[#This Row],[ID]],"SI","NO"),"NO")</f>
        <v/>
      </c>
      <c r="AD1354">
        <f>IF(AND(Y1354="",AA1354=""),"",IF(OR(LEFT(AA1354,2)="L0",LEFT(AA1354,2)="L1",Y1354="No Iniciado"),"CRÍTICO - Incumplimiento Normativo SEPS",IF(AND(OR(LEFT(AA1354,2)="L4",LEFT(AA1354,2)="L5"),AND(AC1354&lt;&gt;"",AC1354&lt;&gt;"N/A")),"CONFORME - Control Efectivo ISO 27001","OBSERVACIÓN - Revisar Controles")))</f>
        <v/>
      </c>
    </row>
    <row r="1355">
      <c r="A1355" s="99" t="inlineStr">
        <is>
          <t>15-GSO</t>
        </is>
      </c>
      <c r="B1355" s="10" t="inlineStr">
        <is>
          <t>APOYO</t>
        </is>
      </c>
      <c r="C1355" s="10" t="inlineStr">
        <is>
          <t>Gestión de Seguridad Organizacional</t>
        </is>
      </c>
      <c r="D1355" s="10" t="inlineStr">
        <is>
          <t>GSO</t>
        </is>
      </c>
      <c r="E1355" s="10" t="inlineStr">
        <is>
          <t>Gestión de Seguridad Física</t>
        </is>
      </c>
      <c r="F1355" s="10" t="inlineStr">
        <is>
          <t>-</t>
        </is>
      </c>
      <c r="G1355" s="10" t="inlineStr">
        <is>
          <t>Gestión de incidentes de seguridad física</t>
        </is>
      </c>
      <c r="H1355" s="10" t="inlineStr">
        <is>
          <t>Registro de incidentes de seguridad</t>
        </is>
      </c>
      <c r="I1355" s="10" t="inlineStr">
        <is>
          <t>Matriz de incidentes de situaciones inusuales en las instalaciones o dentro del perímetro de la oficina</t>
        </is>
      </c>
      <c r="J1355" s="10" t="inlineStr">
        <is>
          <t>Oficial de Seguridad Física</t>
        </is>
      </c>
      <c r="K1355" s="10" t="inlineStr">
        <is>
          <t>Oficial de Seguridad Física</t>
        </is>
      </c>
      <c r="L1355" s="10" t="inlineStr">
        <is>
          <t>UBICACIÓN DIGITAL-EQUIPO DEL RESPONSABLE</t>
        </is>
      </c>
      <c r="M1355" s="10" t="inlineStr">
        <is>
          <t>DISCOS DUROS, SERVIDORES, DISCOS O MEDIOS PORTÁTILES, CINTAS O MEDIOS DE VIDEO Y AUDIO, ETC.</t>
        </is>
      </c>
      <c r="N1355" s="10" t="inlineStr">
        <is>
          <t>PRIMARIOS</t>
        </is>
      </c>
      <c r="O1355" s="10" t="inlineStr">
        <is>
          <t>DOCUMENTOS TÉCNICOS</t>
        </is>
      </c>
      <c r="P1355" s="10" t="inlineStr">
        <is>
          <t>RESTRINGIDO(3)</t>
        </is>
      </c>
      <c r="Q1355" s="10" t="inlineStr">
        <is>
          <t>BAJA(1)</t>
        </is>
      </c>
      <c r="R1355" s="10" t="inlineStr">
        <is>
          <t>MEDIA(2)</t>
        </is>
      </c>
      <c r="S1355" s="10">
        <f>+(IF(P1355="PUBLICA(1)",1,IF(P1355="USO INTERNO(2)",2,IF(P1355="RESTRINGIDO(3)",3,3))))+(IF(Q1355="BAJA(1)",1,IF(Q1355="MEDIA(2)",2,IF(Q1355="ALTA(3)",3,3))))+(IF(R1355="BAJA(1)",1,IF(R1355="MEDIA(2)",2,IF(R1355="ALTA(3)",3,3))))</f>
        <v/>
      </c>
      <c r="T1355" s="10">
        <f>+IF(S1355&lt;6,"BAJA",IF(S1355&lt;8,"MEDIA","ALTA"))</f>
        <v/>
      </c>
      <c r="U1355" s="10" t="inlineStr">
        <is>
          <t>-</t>
        </is>
      </c>
      <c r="V1355" s="24" t="n">
        <v>45712</v>
      </c>
      <c r="W1355" s="19" t="inlineStr">
        <is>
          <t>N/A</t>
        </is>
      </c>
      <c r="X1355" s="10">
        <f>+IFERROR(IF(VLOOKUP(Tabla2[[#This Row],[ID]],'EVALUACION DE RIESGO'!A:A,1,FALSE)=Tabla2[[#This Row],[ID]],"SI","NO"),"NO")</f>
        <v/>
      </c>
      <c r="AD1355">
        <f>IF(AND(Y1355="",AA1355=""),"",IF(OR(LEFT(AA1355,2)="L0",LEFT(AA1355,2)="L1",Y1355="No Iniciado"),"CRÍTICO - Incumplimiento Normativo SEPS",IF(AND(OR(LEFT(AA1355,2)="L4",LEFT(AA1355,2)="L5"),AND(AC1355&lt;&gt;"",AC1355&lt;&gt;"N/A")),"CONFORME - Control Efectivo ISO 27001","OBSERVACIÓN - Revisar Controles")))</f>
        <v/>
      </c>
    </row>
    <row r="1356">
      <c r="A1356" s="99" t="inlineStr">
        <is>
          <t>16-GSO</t>
        </is>
      </c>
      <c r="B1356" s="10" t="inlineStr">
        <is>
          <t>APOYO</t>
        </is>
      </c>
      <c r="C1356" s="10" t="inlineStr">
        <is>
          <t>Gestión de Seguridad Organizacional</t>
        </is>
      </c>
      <c r="D1356" s="10" t="inlineStr">
        <is>
          <t>GSO</t>
        </is>
      </c>
      <c r="E1356" s="10" t="inlineStr">
        <is>
          <t>Gestión de Seguridad Física</t>
        </is>
      </c>
      <c r="F1356" s="10" t="inlineStr">
        <is>
          <t>-</t>
        </is>
      </c>
      <c r="G1356" s="10" t="inlineStr">
        <is>
          <t>Gestión de incidentes de seguridad física</t>
        </is>
      </c>
      <c r="H1356" s="10" t="inlineStr">
        <is>
          <t>Informe de eventos</t>
        </is>
      </c>
      <c r="I1356" s="10" t="inlineStr">
        <is>
          <t>Informe de incidentes de seguridad Física y determinación de medidas preventivas y correctivas</t>
        </is>
      </c>
      <c r="J1356" s="10" t="inlineStr">
        <is>
          <t>Oficial de Seguridad Física</t>
        </is>
      </c>
      <c r="K1356" s="10" t="inlineStr">
        <is>
          <t>Oficial de Seguridad Física</t>
        </is>
      </c>
      <c r="L1356" s="10" t="inlineStr">
        <is>
          <t>UBICACIÓN DIGITAL-EQUIPO DEL RESPONSABLE</t>
        </is>
      </c>
      <c r="M1356" s="10" t="inlineStr">
        <is>
          <t>DISCOS DUROS, SERVIDORES, DISCOS O MEDIOS PORTÁTILES, CINTAS O MEDIOS DE VIDEO Y AUDIO, ETC.</t>
        </is>
      </c>
      <c r="N1356" s="10" t="inlineStr">
        <is>
          <t>PRIMARIOS</t>
        </is>
      </c>
      <c r="O1356" s="10" t="inlineStr">
        <is>
          <t>DOCUMENTOS TÉCNICOS</t>
        </is>
      </c>
      <c r="P1356" s="10" t="inlineStr">
        <is>
          <t>RESTRINGIDO(3)</t>
        </is>
      </c>
      <c r="Q1356" s="10" t="inlineStr">
        <is>
          <t>BAJA(1)</t>
        </is>
      </c>
      <c r="R1356" s="10" t="inlineStr">
        <is>
          <t>MEDIA(2)</t>
        </is>
      </c>
      <c r="S1356" s="10">
        <f>+(IF(P1356="PUBLICA(1)",1,IF(P1356="USO INTERNO(2)",2,IF(P1356="RESTRINGIDO(3)",3,3))))+(IF(Q1356="BAJA(1)",1,IF(Q1356="MEDIA(2)",2,IF(Q1356="ALTA(3)",3,3))))+(IF(R1356="BAJA(1)",1,IF(R1356="MEDIA(2)",2,IF(R1356="ALTA(3)",3,3))))</f>
        <v/>
      </c>
      <c r="T1356" s="10">
        <f>+IF(S1356&lt;6,"BAJA",IF(S1356&lt;8,"MEDIA","ALTA"))</f>
        <v/>
      </c>
      <c r="U1356" s="10" t="inlineStr">
        <is>
          <t>-</t>
        </is>
      </c>
      <c r="V1356" s="24" t="n">
        <v>45712</v>
      </c>
      <c r="W1356" s="19" t="inlineStr">
        <is>
          <t>N/A</t>
        </is>
      </c>
      <c r="X1356" s="10">
        <f>+IFERROR(IF(VLOOKUP(Tabla2[[#This Row],[ID]],'EVALUACION DE RIESGO'!A:A,1,FALSE)=Tabla2[[#This Row],[ID]],"SI","NO"),"NO")</f>
        <v/>
      </c>
      <c r="AD1356">
        <f>IF(AND(Y1356="",AA1356=""),"",IF(OR(LEFT(AA1356,2)="L0",LEFT(AA1356,2)="L1",Y1356="No Iniciado"),"CRÍTICO - Incumplimiento Normativo SEPS",IF(AND(OR(LEFT(AA1356,2)="L4",LEFT(AA1356,2)="L5"),AND(AC1356&lt;&gt;"",AC1356&lt;&gt;"N/A")),"CONFORME - Control Efectivo ISO 27001","OBSERVACIÓN - Revisar Controles")))</f>
        <v/>
      </c>
    </row>
    <row r="1357">
      <c r="A1357" s="99" t="inlineStr">
        <is>
          <t>17-GSO</t>
        </is>
      </c>
      <c r="B1357" s="10" t="inlineStr">
        <is>
          <t>APOYO</t>
        </is>
      </c>
      <c r="C1357" s="10" t="inlineStr">
        <is>
          <t>Gestión de Seguridad Organizacional</t>
        </is>
      </c>
      <c r="D1357" s="10" t="inlineStr">
        <is>
          <t>GSO</t>
        </is>
      </c>
      <c r="E1357" s="10" t="inlineStr">
        <is>
          <t>Gestión de Seguridad Física</t>
        </is>
      </c>
      <c r="F1357" s="10" t="inlineStr">
        <is>
          <t>-</t>
        </is>
      </c>
      <c r="G1357" s="10" t="inlineStr">
        <is>
          <t>Gestión de incidentes de seguridad física</t>
        </is>
      </c>
      <c r="H1357" s="10" t="inlineStr">
        <is>
          <t>Informe mensual de Gestión</t>
        </is>
      </c>
      <c r="I1357" s="10" t="inlineStr">
        <is>
          <t>Informe mensual que adjunta los incidentes de seguridad identificados</t>
        </is>
      </c>
      <c r="J1357" s="10" t="inlineStr">
        <is>
          <t>Oficial de Seguridad Física</t>
        </is>
      </c>
      <c r="K1357" s="10" t="inlineStr">
        <is>
          <t>Oficial de Seguridad Física</t>
        </is>
      </c>
      <c r="L1357" s="10" t="inlineStr">
        <is>
          <t>UBICACIÓN DIGITAL-EQUIPO DEL RESPONSABLE</t>
        </is>
      </c>
      <c r="M1357" s="10" t="inlineStr">
        <is>
          <t>DISCOS DUROS, SERVIDORES, DISCOS O MEDIOS PORTÁTILES, CINTAS O MEDIOS DE VIDEO Y AUDIO, ETC.</t>
        </is>
      </c>
      <c r="N1357" s="10" t="inlineStr">
        <is>
          <t>PRIMARIOS</t>
        </is>
      </c>
      <c r="O1357" s="10" t="inlineStr">
        <is>
          <t>DOCUMENTOS TÉCNICOS</t>
        </is>
      </c>
      <c r="P1357" s="10" t="inlineStr">
        <is>
          <t>USO INTERNO(2)</t>
        </is>
      </c>
      <c r="Q1357" s="10" t="inlineStr">
        <is>
          <t>BAJA(1)</t>
        </is>
      </c>
      <c r="R1357" s="10" t="inlineStr">
        <is>
          <t>MEDIA(2)</t>
        </is>
      </c>
      <c r="S1357" s="10">
        <f>+(IF(P1357="PUBLICA(1)",1,IF(P1357="USO INTERNO(2)",2,IF(P1357="RESTRINGIDO(3)",3,3))))+(IF(Q1357="BAJA(1)",1,IF(Q1357="MEDIA(2)",2,IF(Q1357="ALTA(3)",3,3))))+(IF(R1357="BAJA(1)",1,IF(R1357="MEDIA(2)",2,IF(R1357="ALTA(3)",3,3))))</f>
        <v/>
      </c>
      <c r="T1357" s="10">
        <f>+IF(S1357&lt;6,"BAJA",IF(S1357&lt;8,"MEDIA","ALTA"))</f>
        <v/>
      </c>
      <c r="U1357" s="10" t="inlineStr">
        <is>
          <t>-</t>
        </is>
      </c>
      <c r="V1357" s="24" t="n">
        <v>45712</v>
      </c>
      <c r="W1357" s="19" t="inlineStr">
        <is>
          <t>N/A</t>
        </is>
      </c>
      <c r="X1357" s="10">
        <f>+IFERROR(IF(VLOOKUP(Tabla2[[#This Row],[ID]],'EVALUACION DE RIESGO'!A:A,1,FALSE)=Tabla2[[#This Row],[ID]],"SI","NO"),"NO")</f>
        <v/>
      </c>
      <c r="AD1357">
        <f>IF(AND(Y1357="",AA1357=""),"",IF(OR(LEFT(AA1357,2)="L0",LEFT(AA1357,2)="L1",Y1357="No Iniciado"),"CRÍTICO - Incumplimiento Normativo SEPS",IF(AND(OR(LEFT(AA1357,2)="L4",LEFT(AA1357,2)="L5"),AND(AC1357&lt;&gt;"",AC1357&lt;&gt;"N/A")),"CONFORME - Control Efectivo ISO 27001","OBSERVACIÓN - Revisar Controles")))</f>
        <v/>
      </c>
    </row>
    <row r="1358">
      <c r="A1358" s="99" t="inlineStr">
        <is>
          <t>18-GSO</t>
        </is>
      </c>
      <c r="B1358" s="10" t="inlineStr">
        <is>
          <t>APOYO</t>
        </is>
      </c>
      <c r="C1358" s="10" t="inlineStr">
        <is>
          <t>Gestión de Seguridad Organizacional</t>
        </is>
      </c>
      <c r="D1358" s="10" t="inlineStr">
        <is>
          <t>GSO</t>
        </is>
      </c>
      <c r="E1358" s="10" t="inlineStr">
        <is>
          <t>Gestión de Seguridad Física</t>
        </is>
      </c>
      <c r="F1358" s="10" t="inlineStr">
        <is>
          <t>-</t>
        </is>
      </c>
      <c r="G1358" s="10" t="inlineStr">
        <is>
          <t>Mantenimiento y Pruebas del sistema electrónico de seguridad</t>
        </is>
      </c>
      <c r="H1358" s="10" t="inlineStr">
        <is>
          <t>Informe técnico de mantenimiento</t>
        </is>
      </c>
      <c r="I1358" s="10" t="inlineStr">
        <is>
          <t>Informe técnico de funcionamiento, de existir inconvenientes se coordina la ejecución de medidas correctivas o preventivas</t>
        </is>
      </c>
      <c r="J1358" s="10" t="inlineStr">
        <is>
          <t>Oficial de Seguridad Física</t>
        </is>
      </c>
      <c r="K1358" s="10" t="inlineStr">
        <is>
          <t>Oficial de Seguridad Física</t>
        </is>
      </c>
      <c r="L1358" s="10" t="inlineStr">
        <is>
          <t>UBICACIÓN DIGITAL-EQUIPO DEL RESPONSABLE</t>
        </is>
      </c>
      <c r="M1358" s="10" t="inlineStr">
        <is>
          <t>DISCOS DUROS, SERVIDORES, DISCOS O MEDIOS PORTÁTILES, CINTAS O MEDIOS DE VIDEO Y AUDIO, ETC.</t>
        </is>
      </c>
      <c r="N1358" s="10" t="inlineStr">
        <is>
          <t>PRIMARIOS</t>
        </is>
      </c>
      <c r="O1358" s="10" t="inlineStr">
        <is>
          <t>DOCUMENTOS TÉCNICOS</t>
        </is>
      </c>
      <c r="P1358" s="10" t="inlineStr">
        <is>
          <t>USO INTERNO(2)</t>
        </is>
      </c>
      <c r="Q1358" s="10" t="inlineStr">
        <is>
          <t>BAJA(1)</t>
        </is>
      </c>
      <c r="R1358" s="10" t="inlineStr">
        <is>
          <t>MEDIA(2)</t>
        </is>
      </c>
      <c r="S1358" s="10">
        <f>+(IF(P1358="PUBLICA(1)",1,IF(P1358="USO INTERNO(2)",2,IF(P1358="RESTRINGIDO(3)",3,3))))+(IF(Q1358="BAJA(1)",1,IF(Q1358="MEDIA(2)",2,IF(Q1358="ALTA(3)",3,3))))+(IF(R1358="BAJA(1)",1,IF(R1358="MEDIA(2)",2,IF(R1358="ALTA(3)",3,3))))</f>
        <v/>
      </c>
      <c r="T1358" s="10">
        <f>+IF(S1358&lt;6,"BAJA",IF(S1358&lt;8,"MEDIA","ALTA"))</f>
        <v/>
      </c>
      <c r="U1358" s="10" t="inlineStr">
        <is>
          <t>-</t>
        </is>
      </c>
      <c r="V1358" s="24" t="n">
        <v>45712</v>
      </c>
      <c r="W1358" s="19" t="inlineStr">
        <is>
          <t>N/A</t>
        </is>
      </c>
      <c r="X1358" s="10">
        <f>+IFERROR(IF(VLOOKUP(Tabla2[[#This Row],[ID]],'EVALUACION DE RIESGO'!A:A,1,FALSE)=Tabla2[[#This Row],[ID]],"SI","NO"),"NO")</f>
        <v/>
      </c>
      <c r="AD1358">
        <f>IF(AND(Y1358="",AA1358=""),"",IF(OR(LEFT(AA1358,2)="L0",LEFT(AA1358,2)="L1",Y1358="No Iniciado"),"CRÍTICO - Incumplimiento Normativo SEPS",IF(AND(OR(LEFT(AA1358,2)="L4",LEFT(AA1358,2)="L5"),AND(AC1358&lt;&gt;"",AC1358&lt;&gt;"N/A")),"CONFORME - Control Efectivo ISO 27001","OBSERVACIÓN - Revisar Controles")))</f>
        <v/>
      </c>
    </row>
    <row r="1359">
      <c r="A1359" s="99" t="inlineStr">
        <is>
          <t>19-GSO</t>
        </is>
      </c>
      <c r="B1359" s="10" t="inlineStr">
        <is>
          <t>APOYO</t>
        </is>
      </c>
      <c r="C1359" s="10" t="inlineStr">
        <is>
          <t>Gestión de Seguridad Organizacional</t>
        </is>
      </c>
      <c r="D1359" s="10" t="inlineStr">
        <is>
          <t>GSO</t>
        </is>
      </c>
      <c r="E1359" s="10" t="inlineStr">
        <is>
          <t>Gestión de Seguridad Física</t>
        </is>
      </c>
      <c r="F1359" s="10" t="inlineStr">
        <is>
          <t>-</t>
        </is>
      </c>
      <c r="G1359" s="10" t="inlineStr">
        <is>
          <t>Mantenimiento y Pruebas del sistema electrónico de seguridad</t>
        </is>
      </c>
      <c r="H1359" s="10" t="inlineStr">
        <is>
          <t>Formulario de verificación de funcionamiento de CCTV</t>
        </is>
      </c>
      <c r="I1359" s="10" t="inlineStr">
        <is>
          <t>Archivo físico de verificación del funcionamiento de CCTV</t>
        </is>
      </c>
      <c r="J1359" s="10" t="inlineStr">
        <is>
          <t>Oficial de Seguridad Física</t>
        </is>
      </c>
      <c r="K1359" s="10" t="inlineStr">
        <is>
          <t>Oficial de Seguridad Física</t>
        </is>
      </c>
      <c r="L1359" s="10" t="inlineStr">
        <is>
          <t>DOCUMENTOS FISICOS-ARCHIVOS DE LA OFICINA</t>
        </is>
      </c>
      <c r="M1359" s="10" t="inlineStr">
        <is>
          <t>DOCUMENTO DE ARCHIVO-FÍSICO</t>
        </is>
      </c>
      <c r="N1359" s="10" t="inlineStr">
        <is>
          <t>PRIMARIOS</t>
        </is>
      </c>
      <c r="O1359" s="10" t="inlineStr">
        <is>
          <t>DOCUMENTOS TÉCNICOS</t>
        </is>
      </c>
      <c r="P1359" s="10" t="inlineStr">
        <is>
          <t>USO INTERNO(2)</t>
        </is>
      </c>
      <c r="Q1359" s="10" t="inlineStr">
        <is>
          <t>BAJA(1)</t>
        </is>
      </c>
      <c r="R1359" s="10" t="inlineStr">
        <is>
          <t>MEDIA(2)</t>
        </is>
      </c>
      <c r="S1359" s="10">
        <f>+(IF(P1359="PUBLICA(1)",1,IF(P1359="USO INTERNO(2)",2,IF(P1359="RESTRINGIDO(3)",3,3))))+(IF(Q1359="BAJA(1)",1,IF(Q1359="MEDIA(2)",2,IF(Q1359="ALTA(3)",3,3))))+(IF(R1359="BAJA(1)",1,IF(R1359="MEDIA(2)",2,IF(R1359="ALTA(3)",3,3))))</f>
        <v/>
      </c>
      <c r="T1359" s="10">
        <f>+IF(S1359&lt;6,"BAJA",IF(S1359&lt;8,"MEDIA","ALTA"))</f>
        <v/>
      </c>
      <c r="U1359" s="10" t="inlineStr">
        <is>
          <t>-</t>
        </is>
      </c>
      <c r="V1359" s="24" t="n">
        <v>45712</v>
      </c>
      <c r="W1359" s="19" t="inlineStr">
        <is>
          <t>N/A</t>
        </is>
      </c>
      <c r="X1359" s="10">
        <f>+IFERROR(IF(VLOOKUP(Tabla2[[#This Row],[ID]],'EVALUACION DE RIESGO'!A:A,1,FALSE)=Tabla2[[#This Row],[ID]],"SI","NO"),"NO")</f>
        <v/>
      </c>
      <c r="AD1359">
        <f>IF(AND(Y1359="",AA1359=""),"",IF(OR(LEFT(AA1359,2)="L0",LEFT(AA1359,2)="L1",Y1359="No Iniciado"),"CRÍTICO - Incumplimiento Normativo SEPS",IF(AND(OR(LEFT(AA1359,2)="L4",LEFT(AA1359,2)="L5"),AND(AC1359&lt;&gt;"",AC1359&lt;&gt;"N/A")),"CONFORME - Control Efectivo ISO 27001","OBSERVACIÓN - Revisar Controles")))</f>
        <v/>
      </c>
    </row>
    <row r="1360">
      <c r="A1360" s="99" t="inlineStr">
        <is>
          <t>20-GSO</t>
        </is>
      </c>
      <c r="B1360" s="10" t="inlineStr">
        <is>
          <t>APOYO</t>
        </is>
      </c>
      <c r="C1360" s="10" t="inlineStr">
        <is>
          <t>Gestión de Seguridad Organizacional</t>
        </is>
      </c>
      <c r="D1360" s="10" t="inlineStr">
        <is>
          <t>GSO</t>
        </is>
      </c>
      <c r="E1360" s="10" t="inlineStr">
        <is>
          <t>Gestión de Vigilancia</t>
        </is>
      </c>
      <c r="F1360" s="10" t="inlineStr">
        <is>
          <t>-</t>
        </is>
      </c>
      <c r="G1360" s="10" t="inlineStr">
        <is>
          <t xml:space="preserve">Apertura de Oficinas  </t>
        </is>
      </c>
      <c r="H1360" s="10" t="inlineStr">
        <is>
          <t>Bitácora de registro de novedades</t>
        </is>
      </c>
      <c r="I1360" s="10" t="inlineStr">
        <is>
          <t>Registro físico de novedades presentadas</t>
        </is>
      </c>
      <c r="J1360" s="10" t="inlineStr">
        <is>
          <t>Oficial de Seguridad Física</t>
        </is>
      </c>
      <c r="K1360" s="10" t="inlineStr">
        <is>
          <t>Oficial de Seguridad Física</t>
        </is>
      </c>
      <c r="L1360" s="10" t="inlineStr">
        <is>
          <t>DOCUMENTOS FISICOS-ARCHIVOS DE LA OFICINA</t>
        </is>
      </c>
      <c r="M1360" s="10" t="inlineStr">
        <is>
          <t>DOCUMENTO DE ARCHIVO-FÍSICO</t>
        </is>
      </c>
      <c r="N1360" s="10" t="inlineStr">
        <is>
          <t>PRIMARIOS</t>
        </is>
      </c>
      <c r="O1360" s="10" t="inlineStr">
        <is>
          <t>DOCUMENTOS TÉCNICOS</t>
        </is>
      </c>
      <c r="P1360" s="10" t="inlineStr">
        <is>
          <t>USO INTERNO(2)</t>
        </is>
      </c>
      <c r="Q1360" s="10" t="inlineStr">
        <is>
          <t>BAJA(1)</t>
        </is>
      </c>
      <c r="R1360" s="10" t="inlineStr">
        <is>
          <t>MEDIA(2)</t>
        </is>
      </c>
      <c r="S1360" s="10">
        <f>+(IF(P1360="PUBLICA(1)",1,IF(P1360="USO INTERNO(2)",2,IF(P1360="RESTRINGIDO(3)",3,3))))+(IF(Q1360="BAJA(1)",1,IF(Q1360="MEDIA(2)",2,IF(Q1360="ALTA(3)",3,3))))+(IF(R1360="BAJA(1)",1,IF(R1360="MEDIA(2)",2,IF(R1360="ALTA(3)",3,3))))</f>
        <v/>
      </c>
      <c r="T1360" s="10">
        <f>+IF(S1360&lt;6,"BAJA",IF(S1360&lt;8,"MEDIA","ALTA"))</f>
        <v/>
      </c>
      <c r="U1360" s="10" t="inlineStr">
        <is>
          <t>-</t>
        </is>
      </c>
      <c r="V1360" s="24" t="n">
        <v>45712</v>
      </c>
      <c r="W1360" s="19" t="inlineStr">
        <is>
          <t>N/A</t>
        </is>
      </c>
      <c r="X1360" s="10">
        <f>+IFERROR(IF(VLOOKUP(Tabla2[[#This Row],[ID]],'EVALUACION DE RIESGO'!A:A,1,FALSE)=Tabla2[[#This Row],[ID]],"SI","NO"),"NO")</f>
        <v/>
      </c>
      <c r="AD1360">
        <f>IF(AND(Y1360="",AA1360=""),"",IF(OR(LEFT(AA1360,2)="L0",LEFT(AA1360,2)="L1",Y1360="No Iniciado"),"CRÍTICO - Incumplimiento Normativo SEPS",IF(AND(OR(LEFT(AA1360,2)="L4",LEFT(AA1360,2)="L5"),AND(AC1360&lt;&gt;"",AC1360&lt;&gt;"N/A")),"CONFORME - Control Efectivo ISO 27001","OBSERVACIÓN - Revisar Controles")))</f>
        <v/>
      </c>
    </row>
    <row r="1361">
      <c r="A1361" s="99" t="inlineStr">
        <is>
          <t>21-GSO</t>
        </is>
      </c>
      <c r="B1361" s="10" t="inlineStr">
        <is>
          <t>APOYO</t>
        </is>
      </c>
      <c r="C1361" s="10" t="inlineStr">
        <is>
          <t>Gestión de Seguridad Organizacional</t>
        </is>
      </c>
      <c r="D1361" s="10" t="inlineStr">
        <is>
          <t>GSO</t>
        </is>
      </c>
      <c r="E1361" s="10" t="inlineStr">
        <is>
          <t>Gestión de Vigilancia</t>
        </is>
      </c>
      <c r="F1361" s="10" t="inlineStr">
        <is>
          <t>-</t>
        </is>
      </c>
      <c r="G1361" s="10" t="inlineStr">
        <is>
          <t xml:space="preserve">Apertura de Oficinas  </t>
        </is>
      </c>
      <c r="H1361" s="10" t="inlineStr">
        <is>
          <t>Reporte de apertura de oficinas</t>
        </is>
      </c>
      <c r="I1361" s="10" t="inlineStr">
        <is>
          <t>Reporte de aperturas definitiva realizada en las horas establecidas</t>
        </is>
      </c>
      <c r="J1361" s="10" t="inlineStr">
        <is>
          <t>Oficial de Seguridad Física</t>
        </is>
      </c>
      <c r="K1361" s="10" t="inlineStr">
        <is>
          <t>Oficial de Seguridad Física</t>
        </is>
      </c>
      <c r="L1361" s="10" t="inlineStr">
        <is>
          <t>UBICACIÓN DIGITAL-EQUIPO DEL RESPONSABLE</t>
        </is>
      </c>
      <c r="M1361" s="10" t="inlineStr">
        <is>
          <t>DISCOS DUROS, SERVIDORES, DISCOS O MEDIOS PORTÁTILES, CINTAS O MEDIOS DE VIDEO Y AUDIO, ETC.</t>
        </is>
      </c>
      <c r="N1361" s="10" t="inlineStr">
        <is>
          <t>PRIMARIOS</t>
        </is>
      </c>
      <c r="O1361" s="10" t="inlineStr">
        <is>
          <t>DOCUMENTOS TÉCNICOS</t>
        </is>
      </c>
      <c r="P1361" s="10" t="inlineStr">
        <is>
          <t>USO INTERNO(2)</t>
        </is>
      </c>
      <c r="Q1361" s="10" t="inlineStr">
        <is>
          <t>MEDIA(2)</t>
        </is>
      </c>
      <c r="R1361" s="10" t="inlineStr">
        <is>
          <t>MEDIA(2)</t>
        </is>
      </c>
      <c r="S1361" s="10">
        <f>+(IF(P1361="PUBLICA(1)",1,IF(P1361="USO INTERNO(2)",2,IF(P1361="RESTRINGIDO(3)",3,3))))+(IF(Q1361="BAJA(1)",1,IF(Q1361="MEDIA(2)",2,IF(Q1361="ALTA(3)",3,3))))+(IF(R1361="BAJA(1)",1,IF(R1361="MEDIA(2)",2,IF(R1361="ALTA(3)",3,3))))</f>
        <v/>
      </c>
      <c r="T1361" s="10">
        <f>+IF(S1361&lt;6,"BAJA",IF(S1361&lt;8,"MEDIA","ALTA"))</f>
        <v/>
      </c>
      <c r="U1361" s="10" t="inlineStr">
        <is>
          <t>-</t>
        </is>
      </c>
      <c r="V1361" s="24" t="n">
        <v>45712</v>
      </c>
      <c r="W1361" s="19" t="inlineStr">
        <is>
          <t>N/A</t>
        </is>
      </c>
      <c r="X1361" s="10">
        <f>+IFERROR(IF(VLOOKUP(Tabla2[[#This Row],[ID]],'EVALUACION DE RIESGO'!A:A,1,FALSE)=Tabla2[[#This Row],[ID]],"SI","NO"),"NO")</f>
        <v/>
      </c>
      <c r="AD1361">
        <f>IF(AND(Y1361="",AA1361=""),"",IF(OR(LEFT(AA1361,2)="L0",LEFT(AA1361,2)="L1",Y1361="No Iniciado"),"CRÍTICO - Incumplimiento Normativo SEPS",IF(AND(OR(LEFT(AA1361,2)="L4",LEFT(AA1361,2)="L5"),AND(AC1361&lt;&gt;"",AC1361&lt;&gt;"N/A")),"CONFORME - Control Efectivo ISO 27001","OBSERVACIÓN - Revisar Controles")))</f>
        <v/>
      </c>
    </row>
    <row r="1362">
      <c r="A1362" s="99" t="inlineStr">
        <is>
          <t>22-GSO</t>
        </is>
      </c>
      <c r="B1362" s="10" t="inlineStr">
        <is>
          <t>APOYO</t>
        </is>
      </c>
      <c r="C1362" s="10" t="inlineStr">
        <is>
          <t>Gestión de Seguridad Organizacional</t>
        </is>
      </c>
      <c r="D1362" s="10" t="inlineStr">
        <is>
          <t>GSO</t>
        </is>
      </c>
      <c r="E1362" s="10" t="inlineStr">
        <is>
          <t>Gestión de Vigilancia</t>
        </is>
      </c>
      <c r="F1362" s="10" t="inlineStr">
        <is>
          <t>-</t>
        </is>
      </c>
      <c r="G1362" s="10" t="inlineStr">
        <is>
          <t>Cierre de Oficinas</t>
        </is>
      </c>
      <c r="H1362" s="10" t="inlineStr">
        <is>
          <t>Bitácora de registro de novedades</t>
        </is>
      </c>
      <c r="I1362" s="10" t="inlineStr">
        <is>
          <t>Registro físico de novedades presentadas</t>
        </is>
      </c>
      <c r="J1362" s="10" t="inlineStr">
        <is>
          <t>Oficial de Seguridad Física</t>
        </is>
      </c>
      <c r="K1362" s="10" t="inlineStr">
        <is>
          <t>Oficial de Seguridad Física</t>
        </is>
      </c>
      <c r="L1362" s="10" t="inlineStr">
        <is>
          <t>UBICACIÓN DIGITAL-EQUIPO DEL RESPONSABLE</t>
        </is>
      </c>
      <c r="M1362" s="10" t="inlineStr">
        <is>
          <t>DISCOS DUROS, SERVIDORES, DISCOS O MEDIOS PORTÁTILES, CINTAS O MEDIOS DE VIDEO Y AUDIO, ETC.</t>
        </is>
      </c>
      <c r="N1362" s="10" t="inlineStr">
        <is>
          <t>PRIMARIOS</t>
        </is>
      </c>
      <c r="O1362" s="10" t="inlineStr">
        <is>
          <t>DOCUMENTOS TÉCNICOS</t>
        </is>
      </c>
      <c r="P1362" s="10" t="inlineStr">
        <is>
          <t>USO INTERNO(2)</t>
        </is>
      </c>
      <c r="Q1362" s="10" t="inlineStr">
        <is>
          <t>BAJA(1)</t>
        </is>
      </c>
      <c r="R1362" s="10" t="inlineStr">
        <is>
          <t>MEDIA(2)</t>
        </is>
      </c>
      <c r="S1362" s="10">
        <f>+(IF(P1362="PUBLICA(1)",1,IF(P1362="USO INTERNO(2)",2,IF(P1362="RESTRINGIDO(3)",3,3))))+(IF(Q1362="BAJA(1)",1,IF(Q1362="MEDIA(2)",2,IF(Q1362="ALTA(3)",3,3))))+(IF(R1362="BAJA(1)",1,IF(R1362="MEDIA(2)",2,IF(R1362="ALTA(3)",3,3))))</f>
        <v/>
      </c>
      <c r="T1362" s="10">
        <f>+IF(S1362&lt;6,"BAJA",IF(S1362&lt;8,"MEDIA","ALTA"))</f>
        <v/>
      </c>
      <c r="U1362" s="10" t="inlineStr">
        <is>
          <t>-</t>
        </is>
      </c>
      <c r="V1362" s="24" t="n">
        <v>45712</v>
      </c>
      <c r="W1362" s="19" t="inlineStr">
        <is>
          <t>N/A</t>
        </is>
      </c>
      <c r="X1362" s="10">
        <f>+IFERROR(IF(VLOOKUP(Tabla2[[#This Row],[ID]],'EVALUACION DE RIESGO'!A:A,1,FALSE)=Tabla2[[#This Row],[ID]],"SI","NO"),"NO")</f>
        <v/>
      </c>
      <c r="AD1362">
        <f>IF(AND(Y1362="",AA1362=""),"",IF(OR(LEFT(AA1362,2)="L0",LEFT(AA1362,2)="L1",Y1362="No Iniciado"),"CRÍTICO - Incumplimiento Normativo SEPS",IF(AND(OR(LEFT(AA1362,2)="L4",LEFT(AA1362,2)="L5"),AND(AC1362&lt;&gt;"",AC1362&lt;&gt;"N/A")),"CONFORME - Control Efectivo ISO 27001","OBSERVACIÓN - Revisar Controles")))</f>
        <v/>
      </c>
    </row>
    <row r="1363">
      <c r="A1363" s="99" t="inlineStr">
        <is>
          <t>23-GSO</t>
        </is>
      </c>
      <c r="B1363" s="10" t="inlineStr">
        <is>
          <t>APOYO</t>
        </is>
      </c>
      <c r="C1363" s="10" t="inlineStr">
        <is>
          <t>Gestión de Seguridad Organizacional</t>
        </is>
      </c>
      <c r="D1363" s="10" t="inlineStr">
        <is>
          <t>GSO</t>
        </is>
      </c>
      <c r="E1363" s="10" t="inlineStr">
        <is>
          <t>Gestión de Vigilancia</t>
        </is>
      </c>
      <c r="F1363" s="10" t="inlineStr">
        <is>
          <t>-</t>
        </is>
      </c>
      <c r="G1363" s="10" t="inlineStr">
        <is>
          <t>Cierre de Oficinas</t>
        </is>
      </c>
      <c r="H1363" s="10" t="inlineStr">
        <is>
          <t>Registro de incidentes de seguridad</t>
        </is>
      </c>
      <c r="I1363" s="10" t="inlineStr">
        <is>
          <t>Reporte de novedades, eventos relevantes y seguimiento</t>
        </is>
      </c>
      <c r="J1363" s="10" t="inlineStr">
        <is>
          <t>Oficial de Seguridad Física</t>
        </is>
      </c>
      <c r="K1363" s="10" t="inlineStr">
        <is>
          <t>Oficial de Seguridad Física</t>
        </is>
      </c>
      <c r="L1363" s="10" t="inlineStr">
        <is>
          <t>UBICACIÓN DIGITAL-EQUIPO DEL RESPONSABLE</t>
        </is>
      </c>
      <c r="M1363" s="10" t="inlineStr">
        <is>
          <t>DISCOS DUROS, SERVIDORES, DISCOS O MEDIOS PORTÁTILES, CINTAS O MEDIOS DE VIDEO Y AUDIO, ETC.</t>
        </is>
      </c>
      <c r="N1363" s="10" t="inlineStr">
        <is>
          <t>PRIMARIOS</t>
        </is>
      </c>
      <c r="O1363" s="10" t="inlineStr">
        <is>
          <t>DOCUMENTOS TÉCNICOS</t>
        </is>
      </c>
      <c r="P1363" s="10" t="inlineStr">
        <is>
          <t>USO INTERNO(2)</t>
        </is>
      </c>
      <c r="Q1363" s="10" t="inlineStr">
        <is>
          <t>MEDIA(2)</t>
        </is>
      </c>
      <c r="R1363" s="10" t="inlineStr">
        <is>
          <t>BAJA(1)</t>
        </is>
      </c>
      <c r="S1363" s="10">
        <f>+(IF(P1363="PUBLICA(1)",1,IF(P1363="USO INTERNO(2)",2,IF(P1363="RESTRINGIDO(3)",3,3))))+(IF(Q1363="BAJA(1)",1,IF(Q1363="MEDIA(2)",2,IF(Q1363="ALTA(3)",3,3))))+(IF(R1363="BAJA(1)",1,IF(R1363="MEDIA(2)",2,IF(R1363="ALTA(3)",3,3))))</f>
        <v/>
      </c>
      <c r="T1363" s="10">
        <f>+IF(S1363&lt;6,"BAJA",IF(S1363&lt;8,"MEDIA","ALTA"))</f>
        <v/>
      </c>
      <c r="U1363" s="10" t="inlineStr">
        <is>
          <t>-</t>
        </is>
      </c>
      <c r="V1363" s="24" t="n">
        <v>45712</v>
      </c>
      <c r="W1363" s="19" t="inlineStr">
        <is>
          <t>N/A</t>
        </is>
      </c>
      <c r="X1363" s="10">
        <f>+IFERROR(IF(VLOOKUP(Tabla2[[#This Row],[ID]],'EVALUACION DE RIESGO'!A:A,1,FALSE)=Tabla2[[#This Row],[ID]],"SI","NO"),"NO")</f>
        <v/>
      </c>
      <c r="AD1363">
        <f>IF(AND(Y1363="",AA1363=""),"",IF(OR(LEFT(AA1363,2)="L0",LEFT(AA1363,2)="L1",Y1363="No Iniciado"),"CRÍTICO - Incumplimiento Normativo SEPS",IF(AND(OR(LEFT(AA1363,2)="L4",LEFT(AA1363,2)="L5"),AND(AC1363&lt;&gt;"",AC1363&lt;&gt;"N/A")),"CONFORME - Control Efectivo ISO 27001","OBSERVACIÓN - Revisar Controles")))</f>
        <v/>
      </c>
    </row>
    <row r="1364">
      <c r="A1364" s="99" t="inlineStr">
        <is>
          <t>24-GSO</t>
        </is>
      </c>
      <c r="B1364" s="10" t="inlineStr">
        <is>
          <t>APOYO</t>
        </is>
      </c>
      <c r="C1364" s="10" t="inlineStr">
        <is>
          <t>Gestión de Seguridad Organizacional</t>
        </is>
      </c>
      <c r="D1364" s="10" t="inlineStr">
        <is>
          <t>GSO</t>
        </is>
      </c>
      <c r="E1364" s="10" t="inlineStr">
        <is>
          <t>Gestión de Vigilancia</t>
        </is>
      </c>
      <c r="F1364" s="10" t="inlineStr">
        <is>
          <t>-</t>
        </is>
      </c>
      <c r="G1364" s="10" t="inlineStr">
        <is>
          <t>Recepción y envío de fondos y valores</t>
        </is>
      </c>
      <c r="H1364" s="10" t="inlineStr">
        <is>
          <t>Bitácora de registro de novedades</t>
        </is>
      </c>
      <c r="I1364" s="10" t="inlineStr">
        <is>
          <t>Registro físico de novedades presentadas</t>
        </is>
      </c>
      <c r="J1364" s="10" t="inlineStr">
        <is>
          <t>Oficial de Seguridad Física</t>
        </is>
      </c>
      <c r="K1364" s="10" t="inlineStr">
        <is>
          <t>Oficial de Seguridad Física</t>
        </is>
      </c>
      <c r="L1364" s="10" t="inlineStr">
        <is>
          <t>DOCUMENTOS FISICOS-ARCHIVOS DE LA OFICINA</t>
        </is>
      </c>
      <c r="M1364" s="10" t="inlineStr">
        <is>
          <t>DOCUMENTO DE ARCHIVO-FÍSICO</t>
        </is>
      </c>
      <c r="N1364" s="10" t="inlineStr">
        <is>
          <t>PRIMARIOS</t>
        </is>
      </c>
      <c r="O1364" s="10" t="inlineStr">
        <is>
          <t>DOCUMENTOS TÉCNICOS</t>
        </is>
      </c>
      <c r="P1364" s="10" t="inlineStr">
        <is>
          <t>USO INTERNO(2)</t>
        </is>
      </c>
      <c r="Q1364" s="10" t="inlineStr">
        <is>
          <t>MEDIA(2)</t>
        </is>
      </c>
      <c r="R1364" s="10" t="inlineStr">
        <is>
          <t>BAJA(1)</t>
        </is>
      </c>
      <c r="S1364" s="10">
        <f>+(IF(P1364="PUBLICA(1)",1,IF(P1364="USO INTERNO(2)",2,IF(P1364="RESTRINGIDO(3)",3,3))))+(IF(Q1364="BAJA(1)",1,IF(Q1364="MEDIA(2)",2,IF(Q1364="ALTA(3)",3,3))))+(IF(R1364="BAJA(1)",1,IF(R1364="MEDIA(2)",2,IF(R1364="ALTA(3)",3,3))))</f>
        <v/>
      </c>
      <c r="T1364" s="10">
        <f>+IF(S1364&lt;6,"BAJA",IF(S1364&lt;8,"MEDIA","ALTA"))</f>
        <v/>
      </c>
      <c r="U1364" s="10" t="inlineStr">
        <is>
          <t>-</t>
        </is>
      </c>
      <c r="V1364" s="24" t="n">
        <v>45712</v>
      </c>
      <c r="W1364" s="19" t="inlineStr">
        <is>
          <t>N/A</t>
        </is>
      </c>
      <c r="X1364" s="10">
        <f>+IFERROR(IF(VLOOKUP(Tabla2[[#This Row],[ID]],'EVALUACION DE RIESGO'!A:A,1,FALSE)=Tabla2[[#This Row],[ID]],"SI","NO"),"NO")</f>
        <v/>
      </c>
      <c r="AD1364">
        <f>IF(AND(Y1364="",AA1364=""),"",IF(OR(LEFT(AA1364,2)="L0",LEFT(AA1364,2)="L1",Y1364="No Iniciado"),"CRÍTICO - Incumplimiento Normativo SEPS",IF(AND(OR(LEFT(AA1364,2)="L4",LEFT(AA1364,2)="L5"),AND(AC1364&lt;&gt;"",AC1364&lt;&gt;"N/A")),"CONFORME - Control Efectivo ISO 27001","OBSERVACIÓN - Revisar Controles")))</f>
        <v/>
      </c>
    </row>
    <row r="1365">
      <c r="A1365" s="99" t="inlineStr">
        <is>
          <t>25-GSO</t>
        </is>
      </c>
      <c r="B1365" s="10" t="inlineStr">
        <is>
          <t>APOYO</t>
        </is>
      </c>
      <c r="C1365" s="10" t="inlineStr">
        <is>
          <t>Gestión de Seguridad Organizacional</t>
        </is>
      </c>
      <c r="D1365" s="10" t="inlineStr">
        <is>
          <t>GSO</t>
        </is>
      </c>
      <c r="E1365" s="10" t="inlineStr">
        <is>
          <t>Gestión de Vigilancia</t>
        </is>
      </c>
      <c r="F1365" s="10" t="inlineStr">
        <is>
          <t>-</t>
        </is>
      </c>
      <c r="G1365" s="10" t="inlineStr">
        <is>
          <t>Asignación y autentificación de usuarios de bóveda pulmón</t>
        </is>
      </c>
      <c r="H1365" s="10" t="inlineStr">
        <is>
          <t>Acta entrega recepción del usuario de bóveda pulmón</t>
        </is>
      </c>
      <c r="I1365" s="10" t="inlineStr">
        <is>
          <t>Acta de formalización del usuario de bóveda pulmón entregado</t>
        </is>
      </c>
      <c r="J1365" s="10" t="inlineStr">
        <is>
          <t>Oficial de Seguridad Física</t>
        </is>
      </c>
      <c r="K1365" s="10" t="inlineStr">
        <is>
          <t>Oficial de Seguridad Física</t>
        </is>
      </c>
      <c r="L1365" s="10" t="inlineStr">
        <is>
          <t>DOCUMENTOS FISICOS-ARCHIVOS DE LA OFICINA</t>
        </is>
      </c>
      <c r="M1365" s="10" t="inlineStr">
        <is>
          <t>DOCUMENTO DE ARCHIVO-FÍSICO</t>
        </is>
      </c>
      <c r="N1365" s="10" t="inlineStr">
        <is>
          <t>PRIMARIOS</t>
        </is>
      </c>
      <c r="O1365" s="10" t="inlineStr">
        <is>
          <t>DOCUMENTOS HABILITANTES</t>
        </is>
      </c>
      <c r="P1365" s="10" t="inlineStr">
        <is>
          <t>USO INTERNO(2)</t>
        </is>
      </c>
      <c r="Q1365" s="10" t="inlineStr">
        <is>
          <t>BAJA(1)</t>
        </is>
      </c>
      <c r="R1365" s="10" t="inlineStr">
        <is>
          <t>MEDIA(2)</t>
        </is>
      </c>
      <c r="S1365" s="10">
        <f>+(IF(P1365="PUBLICA(1)",1,IF(P1365="USO INTERNO(2)",2,IF(P1365="RESTRINGIDO(3)",3,3))))+(IF(Q1365="BAJA(1)",1,IF(Q1365="MEDIA(2)",2,IF(Q1365="ALTA(3)",3,3))))+(IF(R1365="BAJA(1)",1,IF(R1365="MEDIA(2)",2,IF(R1365="ALTA(3)",3,3))))</f>
        <v/>
      </c>
      <c r="T1365" s="10">
        <f>+IF(S1365&lt;6,"BAJA",IF(S1365&lt;8,"MEDIA","ALTA"))</f>
        <v/>
      </c>
      <c r="U1365" s="10" t="inlineStr">
        <is>
          <t>-</t>
        </is>
      </c>
      <c r="V1365" s="24" t="n">
        <v>45712</v>
      </c>
      <c r="W1365" s="19" t="inlineStr">
        <is>
          <t>N/A</t>
        </is>
      </c>
      <c r="X1365" s="10">
        <f>+IFERROR(IF(VLOOKUP(Tabla2[[#This Row],[ID]],'EVALUACION DE RIESGO'!A:A,1,FALSE)=Tabla2[[#This Row],[ID]],"SI","NO"),"NO")</f>
        <v/>
      </c>
      <c r="AD1365">
        <f>IF(AND(Y1365="",AA1365=""),"",IF(OR(LEFT(AA1365,2)="L0",LEFT(AA1365,2)="L1",Y1365="No Iniciado"),"CRÍTICO - Incumplimiento Normativo SEPS",IF(AND(OR(LEFT(AA1365,2)="L4",LEFT(AA1365,2)="L5"),AND(AC1365&lt;&gt;"",AC1365&lt;&gt;"N/A")),"CONFORME - Control Efectivo ISO 27001","OBSERVACIÓN - Revisar Controles")))</f>
        <v/>
      </c>
    </row>
    <row r="1366">
      <c r="A1366" s="99" t="inlineStr">
        <is>
          <t>26-GSO</t>
        </is>
      </c>
      <c r="B1366" s="10" t="inlineStr">
        <is>
          <t>APOYO</t>
        </is>
      </c>
      <c r="C1366" s="10" t="inlineStr">
        <is>
          <t>Gestión de Seguridad Organizacional</t>
        </is>
      </c>
      <c r="D1366" s="10" t="inlineStr">
        <is>
          <t>GSO</t>
        </is>
      </c>
      <c r="E1366" s="10" t="inlineStr">
        <is>
          <t>Gestión de Vigilancia</t>
        </is>
      </c>
      <c r="F1366" s="10" t="inlineStr">
        <is>
          <t>-</t>
        </is>
      </c>
      <c r="G1366" s="10" t="inlineStr">
        <is>
          <t>Asignación y autentificación de usuarios de bóveda pulmón</t>
        </is>
      </c>
      <c r="H1366" s="10" t="inlineStr">
        <is>
          <t>Registro de emisión de claves OTP</t>
        </is>
      </c>
      <c r="I1366" s="10" t="inlineStr">
        <is>
          <t>Registro generado y almacenado en el sistema de administración de bóveda</t>
        </is>
      </c>
      <c r="J1366" s="10" t="inlineStr">
        <is>
          <t>Oficial de Seguridad Física</t>
        </is>
      </c>
      <c r="K1366" s="10" t="inlineStr">
        <is>
          <t>Oficial de Seguridad Física</t>
        </is>
      </c>
      <c r="L1366" s="10" t="inlineStr">
        <is>
          <t>UBICACIÓN DIGITAL-EQUIPO DEL RESPONSABLE</t>
        </is>
      </c>
      <c r="M1366" s="10" t="inlineStr">
        <is>
          <t>DISCOS DUROS, SERVIDORES, DISCOS O MEDIOS PORTÁTILES, CINTAS O MEDIOS DE VIDEO Y AUDIO, ETC.</t>
        </is>
      </c>
      <c r="N1366" s="10" t="inlineStr">
        <is>
          <t>PRIMARIOS</t>
        </is>
      </c>
      <c r="O1366" s="10" t="inlineStr">
        <is>
          <t>DOCUMENTOS TÉCNICOS</t>
        </is>
      </c>
      <c r="P1366" s="10" t="inlineStr">
        <is>
          <t>USO INTERNO(2)</t>
        </is>
      </c>
      <c r="Q1366" s="10" t="inlineStr">
        <is>
          <t>BAJA(1)</t>
        </is>
      </c>
      <c r="R1366" s="10" t="inlineStr">
        <is>
          <t>MEDIA(2)</t>
        </is>
      </c>
      <c r="S1366" s="10">
        <f>+(IF(P1366="PUBLICA(1)",1,IF(P1366="USO INTERNO(2)",2,IF(P1366="RESTRINGIDO(3)",3,3))))+(IF(Q1366="BAJA(1)",1,IF(Q1366="MEDIA(2)",2,IF(Q1366="ALTA(3)",3,3))))+(IF(R1366="BAJA(1)",1,IF(R1366="MEDIA(2)",2,IF(R1366="ALTA(3)",3,3))))</f>
        <v/>
      </c>
      <c r="T1366" s="10">
        <f>+IF(S1366&lt;6,"BAJA",IF(S1366&lt;8,"MEDIA","ALTA"))</f>
        <v/>
      </c>
      <c r="U1366" s="10" t="inlineStr">
        <is>
          <t>-</t>
        </is>
      </c>
      <c r="V1366" s="24" t="n">
        <v>45712</v>
      </c>
      <c r="W1366" s="19" t="inlineStr">
        <is>
          <t>N/A</t>
        </is>
      </c>
      <c r="X1366" s="10">
        <f>+IFERROR(IF(VLOOKUP(Tabla2[[#This Row],[ID]],'EVALUACION DE RIESGO'!A:A,1,FALSE)=Tabla2[[#This Row],[ID]],"SI","NO"),"NO")</f>
        <v/>
      </c>
      <c r="AD1366">
        <f>IF(AND(Y1366="",AA1366=""),"",IF(OR(LEFT(AA1366,2)="L0",LEFT(AA1366,2)="L1",Y1366="No Iniciado"),"CRÍTICO - Incumplimiento Normativo SEPS",IF(AND(OR(LEFT(AA1366,2)="L4",LEFT(AA1366,2)="L5"),AND(AC1366&lt;&gt;"",AC1366&lt;&gt;"N/A")),"CONFORME - Control Efectivo ISO 27001","OBSERVACIÓN - Revisar Controles")))</f>
        <v/>
      </c>
    </row>
    <row r="1367">
      <c r="A1367" s="99" t="inlineStr">
        <is>
          <t>27-GSO</t>
        </is>
      </c>
      <c r="B1367" s="10" t="inlineStr">
        <is>
          <t>APOYO</t>
        </is>
      </c>
      <c r="C1367" s="10" t="inlineStr">
        <is>
          <t>Gestión de Seguridad Organizacional</t>
        </is>
      </c>
      <c r="D1367" s="10" t="inlineStr">
        <is>
          <t>GSO</t>
        </is>
      </c>
      <c r="E1367" s="10" t="inlineStr">
        <is>
          <t>Gestión de Vigilancia</t>
        </is>
      </c>
      <c r="F1367" s="10" t="inlineStr">
        <is>
          <t>-</t>
        </is>
      </c>
      <c r="G1367" s="10" t="inlineStr">
        <is>
          <t>Asignación y autentificación de usuarios de bóveda pulmón</t>
        </is>
      </c>
      <c r="H1367" s="10" t="inlineStr">
        <is>
          <t>Registro de autenticación de usuarios bóveda pulmón</t>
        </is>
      </c>
      <c r="I1367" s="10" t="inlineStr">
        <is>
          <t>Registro generado y almacenado en el sistema de administración de bóveda</t>
        </is>
      </c>
      <c r="J1367" s="10" t="inlineStr">
        <is>
          <t>Oficial de Seguridad Física</t>
        </is>
      </c>
      <c r="K1367" s="10" t="inlineStr">
        <is>
          <t>Oficial de Seguridad Física</t>
        </is>
      </c>
      <c r="L1367" s="10" t="inlineStr">
        <is>
          <t>UBICACIÓN DIGITAL-EQUIPO DEL RESPONSABLE</t>
        </is>
      </c>
      <c r="M1367" s="10" t="inlineStr">
        <is>
          <t>DISCOS DUROS, SERVIDORES, DISCOS O MEDIOS PORTÁTILES, CINTAS O MEDIOS DE VIDEO Y AUDIO, ETC.</t>
        </is>
      </c>
      <c r="N1367" s="10" t="inlineStr">
        <is>
          <t>PRIMARIOS</t>
        </is>
      </c>
      <c r="O1367" s="10" t="inlineStr">
        <is>
          <t>DOCUMENTOS TÉCNICOS</t>
        </is>
      </c>
      <c r="P1367" s="10" t="inlineStr">
        <is>
          <t>USO INTERNO(2)</t>
        </is>
      </c>
      <c r="Q1367" s="10" t="inlineStr">
        <is>
          <t>MEDIA(2)</t>
        </is>
      </c>
      <c r="R1367" s="10" t="inlineStr">
        <is>
          <t>BAJA(1)</t>
        </is>
      </c>
      <c r="S1367" s="10">
        <f>+(IF(P1367="PUBLICA(1)",1,IF(P1367="USO INTERNO(2)",2,IF(P1367="RESTRINGIDO(3)",3,3))))+(IF(Q1367="BAJA(1)",1,IF(Q1367="MEDIA(2)",2,IF(Q1367="ALTA(3)",3,3))))+(IF(R1367="BAJA(1)",1,IF(R1367="MEDIA(2)",2,IF(R1367="ALTA(3)",3,3))))</f>
        <v/>
      </c>
      <c r="T1367" s="10">
        <f>+IF(S1367&lt;6,"BAJA",IF(S1367&lt;8,"MEDIA","ALTA"))</f>
        <v/>
      </c>
      <c r="U1367" s="10" t="inlineStr">
        <is>
          <t>-</t>
        </is>
      </c>
      <c r="V1367" s="24" t="n">
        <v>45712</v>
      </c>
      <c r="W1367" s="19" t="inlineStr">
        <is>
          <t>N/A</t>
        </is>
      </c>
      <c r="X1367" s="10">
        <f>+IFERROR(IF(VLOOKUP(Tabla2[[#This Row],[ID]],'EVALUACION DE RIESGO'!A:A,1,FALSE)=Tabla2[[#This Row],[ID]],"SI","NO"),"NO")</f>
        <v/>
      </c>
      <c r="AD1367">
        <f>IF(AND(Y1367="",AA1367=""),"",IF(OR(LEFT(AA1367,2)="L0",LEFT(AA1367,2)="L1",Y1367="No Iniciado"),"CRÍTICO - Incumplimiento Normativo SEPS",IF(AND(OR(LEFT(AA1367,2)="L4",LEFT(AA1367,2)="L5"),AND(AC1367&lt;&gt;"",AC1367&lt;&gt;"N/A")),"CONFORME - Control Efectivo ISO 27001","OBSERVACIÓN - Revisar Controles")))</f>
        <v/>
      </c>
    </row>
    <row r="1368">
      <c r="A1368" s="99" t="inlineStr">
        <is>
          <t>28-GSO</t>
        </is>
      </c>
      <c r="B1368" s="10" t="inlineStr">
        <is>
          <t>APOYO</t>
        </is>
      </c>
      <c r="C1368" s="10" t="inlineStr">
        <is>
          <t>Gestión de Seguridad Organizacional</t>
        </is>
      </c>
      <c r="D1368" s="10" t="inlineStr">
        <is>
          <t>GSO</t>
        </is>
      </c>
      <c r="E1368" s="10" t="inlineStr">
        <is>
          <t>Gestión de Vigilancia</t>
        </is>
      </c>
      <c r="F1368" s="10" t="inlineStr">
        <is>
          <t>-</t>
        </is>
      </c>
      <c r="G1368" s="10" t="inlineStr">
        <is>
          <t xml:space="preserve">Monitoreo del sistema de video vigilancia </t>
        </is>
      </c>
      <c r="H1368" s="10" t="inlineStr">
        <is>
          <t>Formulario evaluación de políticas de seguridad</t>
        </is>
      </c>
      <c r="I1368" s="10" t="inlineStr">
        <is>
          <t>Formulario de Evaluación de los incumplimientos identificados, medidas correctivas y las fechas de cumplimiento</t>
        </is>
      </c>
      <c r="J1368" s="10" t="inlineStr">
        <is>
          <t>Oficial de Seguridad Física</t>
        </is>
      </c>
      <c r="K1368" s="10" t="inlineStr">
        <is>
          <t>Oficial de Seguridad Física</t>
        </is>
      </c>
      <c r="L1368" s="10" t="inlineStr">
        <is>
          <t>DOCUMENTOS FISICOS-ARCHIVOS DE LA OFICINA</t>
        </is>
      </c>
      <c r="M1368" s="10" t="inlineStr">
        <is>
          <t>DOCUMENTO DE ARCHIVO-FÍSICO</t>
        </is>
      </c>
      <c r="N1368" s="10" t="inlineStr">
        <is>
          <t>PRIMARIOS</t>
        </is>
      </c>
      <c r="O1368" s="10" t="inlineStr">
        <is>
          <t>DOCUMENTOS TÉCNICOS</t>
        </is>
      </c>
      <c r="P1368" s="10" t="inlineStr">
        <is>
          <t>USO INTERNO(2)</t>
        </is>
      </c>
      <c r="Q1368" s="10" t="inlineStr">
        <is>
          <t>BAJA(1)</t>
        </is>
      </c>
      <c r="R1368" s="10" t="inlineStr">
        <is>
          <t>BAJA(1)</t>
        </is>
      </c>
      <c r="S1368" s="10">
        <f>+(IF(P1368="PUBLICA(1)",1,IF(P1368="USO INTERNO(2)",2,IF(P1368="RESTRINGIDO(3)",3,3))))+(IF(Q1368="BAJA(1)",1,IF(Q1368="MEDIA(2)",2,IF(Q1368="ALTA(3)",3,3))))+(IF(R1368="BAJA(1)",1,IF(R1368="MEDIA(2)",2,IF(R1368="ALTA(3)",3,3))))</f>
        <v/>
      </c>
      <c r="T1368" s="10">
        <f>+IF(S1368&lt;6,"BAJA",IF(S1368&lt;8,"MEDIA","ALTA"))</f>
        <v/>
      </c>
      <c r="U1368" s="10" t="inlineStr">
        <is>
          <t>-</t>
        </is>
      </c>
      <c r="V1368" s="24" t="n">
        <v>45712</v>
      </c>
      <c r="W1368" s="19" t="inlineStr">
        <is>
          <t>N/A</t>
        </is>
      </c>
      <c r="X1368" s="10">
        <f>+IFERROR(IF(VLOOKUP(Tabla2[[#This Row],[ID]],'EVALUACION DE RIESGO'!A:A,1,FALSE)=Tabla2[[#This Row],[ID]],"SI","NO"),"NO")</f>
        <v/>
      </c>
      <c r="AD1368">
        <f>IF(AND(Y1368="",AA1368=""),"",IF(OR(LEFT(AA1368,2)="L0",LEFT(AA1368,2)="L1",Y1368="No Iniciado"),"CRÍTICO - Incumplimiento Normativo SEPS",IF(AND(OR(LEFT(AA1368,2)="L4",LEFT(AA1368,2)="L5"),AND(AC1368&lt;&gt;"",AC1368&lt;&gt;"N/A")),"CONFORME - Control Efectivo ISO 27001","OBSERVACIÓN - Revisar Controles")))</f>
        <v/>
      </c>
    </row>
    <row r="1369">
      <c r="A1369" s="99" t="inlineStr">
        <is>
          <t>29-GSO</t>
        </is>
      </c>
      <c r="B1369" s="10" t="inlineStr">
        <is>
          <t>APOYO</t>
        </is>
      </c>
      <c r="C1369" s="10" t="inlineStr">
        <is>
          <t>Gestión de Seguridad Organizacional</t>
        </is>
      </c>
      <c r="D1369" s="10" t="inlineStr">
        <is>
          <t>GSO</t>
        </is>
      </c>
      <c r="E1369" s="10" t="inlineStr">
        <is>
          <t>Gestión de Vigilancia</t>
        </is>
      </c>
      <c r="F1369" s="10" t="inlineStr">
        <is>
          <t>-</t>
        </is>
      </c>
      <c r="G1369" s="10" t="inlineStr">
        <is>
          <t xml:space="preserve">Monitoreo del sistema de video vigilancia </t>
        </is>
      </c>
      <c r="H1369" s="10" t="inlineStr">
        <is>
          <t>Reporte de novedades</t>
        </is>
      </c>
      <c r="I1369" s="10" t="inlineStr">
        <is>
          <t>Reporte de novedades, eventos relevantes y seguimiento</t>
        </is>
      </c>
      <c r="J1369" s="10" t="inlineStr">
        <is>
          <t>Oficial de Seguridad Física</t>
        </is>
      </c>
      <c r="K1369" s="10" t="inlineStr">
        <is>
          <t>Oficial de Seguridad Física</t>
        </is>
      </c>
      <c r="L1369" s="10" t="inlineStr">
        <is>
          <t>DOCUMENTOS FISICOS-ARCHIVOS DE LA OFICINA</t>
        </is>
      </c>
      <c r="M1369" s="10" t="inlineStr">
        <is>
          <t>DOCUMENTO DE ARCHIVO-FÍSICO</t>
        </is>
      </c>
      <c r="N1369" s="10" t="inlineStr">
        <is>
          <t>PRIMARIOS</t>
        </is>
      </c>
      <c r="O1369" s="10" t="inlineStr">
        <is>
          <t>DOCUMENTOS TÉCNICOS</t>
        </is>
      </c>
      <c r="P1369" s="10" t="inlineStr">
        <is>
          <t>USO INTERNO(2)</t>
        </is>
      </c>
      <c r="Q1369" s="10" t="inlineStr">
        <is>
          <t>MEDIA(2)</t>
        </is>
      </c>
      <c r="R1369" s="10" t="inlineStr">
        <is>
          <t>BAJA(1)</t>
        </is>
      </c>
      <c r="S1369" s="10">
        <f>+(IF(P1369="PUBLICA(1)",1,IF(P1369="USO INTERNO(2)",2,IF(P1369="RESTRINGIDO(3)",3,3))))+(IF(Q1369="BAJA(1)",1,IF(Q1369="MEDIA(2)",2,IF(Q1369="ALTA(3)",3,3))))+(IF(R1369="BAJA(1)",1,IF(R1369="MEDIA(2)",2,IF(R1369="ALTA(3)",3,3))))</f>
        <v/>
      </c>
      <c r="T1369" s="10">
        <f>+IF(S1369&lt;6,"BAJA",IF(S1369&lt;8,"MEDIA","ALTA"))</f>
        <v/>
      </c>
      <c r="U1369" s="10" t="inlineStr">
        <is>
          <t>-</t>
        </is>
      </c>
      <c r="V1369" s="24" t="n">
        <v>45712</v>
      </c>
      <c r="W1369" s="19" t="inlineStr">
        <is>
          <t>N/A</t>
        </is>
      </c>
      <c r="X1369" s="10">
        <f>+IFERROR(IF(VLOOKUP(Tabla2[[#This Row],[ID]],'EVALUACION DE RIESGO'!A:A,1,FALSE)=Tabla2[[#This Row],[ID]],"SI","NO"),"NO")</f>
        <v/>
      </c>
      <c r="AD1369">
        <f>IF(AND(Y1369="",AA1369=""),"",IF(OR(LEFT(AA1369,2)="L0",LEFT(AA1369,2)="L1",Y1369="No Iniciado"),"CRÍTICO - Incumplimiento Normativo SEPS",IF(AND(OR(LEFT(AA1369,2)="L4",LEFT(AA1369,2)="L5"),AND(AC1369&lt;&gt;"",AC1369&lt;&gt;"N/A")),"CONFORME - Control Efectivo ISO 27001","OBSERVACIÓN - Revisar Controles")))</f>
        <v/>
      </c>
    </row>
    <row r="1370">
      <c r="A1370" s="99" t="inlineStr">
        <is>
          <t>30-GSO</t>
        </is>
      </c>
      <c r="B1370" s="10" t="inlineStr">
        <is>
          <t>APOYO</t>
        </is>
      </c>
      <c r="C1370" s="10" t="inlineStr">
        <is>
          <t>Gestión de Seguridad Organizacional</t>
        </is>
      </c>
      <c r="D1370" s="10" t="inlineStr">
        <is>
          <t>GSO</t>
        </is>
      </c>
      <c r="E1370" s="10" t="inlineStr">
        <is>
          <t>Gestión de Vigilancia</t>
        </is>
      </c>
      <c r="F1370" s="10" t="inlineStr">
        <is>
          <t>-</t>
        </is>
      </c>
      <c r="G1370" s="10" t="inlineStr">
        <is>
          <t xml:space="preserve">Monitoreo del sistema de video vigilancia </t>
        </is>
      </c>
      <c r="H1370" s="10" t="inlineStr">
        <is>
          <t>Informe de eventos producidos</t>
        </is>
      </c>
      <c r="I1370" s="10" t="inlineStr">
        <is>
          <t>Informe del evento y lo remite al personal solicitante, con las evidencias digitales correspondientes.</t>
        </is>
      </c>
      <c r="J1370" s="10" t="inlineStr">
        <is>
          <t>Oficial de Seguridad Física</t>
        </is>
      </c>
      <c r="K1370" s="10" t="inlineStr">
        <is>
          <t>Oficial de Seguridad Física</t>
        </is>
      </c>
      <c r="L1370" s="10" t="inlineStr">
        <is>
          <t>UBICACIÓN DIGITAL-EQUIPO DEL RESPONSABLE</t>
        </is>
      </c>
      <c r="M1370" s="10" t="inlineStr">
        <is>
          <t>DISCOS DUROS, SERVIDORES, DISCOS O MEDIOS PORTÁTILES, CINTAS O MEDIOS DE VIDEO Y AUDIO, ETC.</t>
        </is>
      </c>
      <c r="N1370" s="10" t="inlineStr">
        <is>
          <t>PRIMARIOS</t>
        </is>
      </c>
      <c r="O1370" s="10" t="inlineStr">
        <is>
          <t>DOCUMENTOS TÉCNICOS</t>
        </is>
      </c>
      <c r="P1370" s="10" t="inlineStr">
        <is>
          <t>USO INTERNO(2)</t>
        </is>
      </c>
      <c r="Q1370" s="10" t="inlineStr">
        <is>
          <t>BAJA(1)</t>
        </is>
      </c>
      <c r="R1370" s="10" t="inlineStr">
        <is>
          <t>BAJA(1)</t>
        </is>
      </c>
      <c r="S1370" s="10">
        <f>+(IF(P1370="PUBLICA(1)",1,IF(P1370="USO INTERNO(2)",2,IF(P1370="RESTRINGIDO(3)",3,3))))+(IF(Q1370="BAJA(1)",1,IF(Q1370="MEDIA(2)",2,IF(Q1370="ALTA(3)",3,3))))+(IF(R1370="BAJA(1)",1,IF(R1370="MEDIA(2)",2,IF(R1370="ALTA(3)",3,3))))</f>
        <v/>
      </c>
      <c r="T1370" s="10">
        <f>+IF(S1370&lt;6,"BAJA",IF(S1370&lt;8,"MEDIA","ALTA"))</f>
        <v/>
      </c>
      <c r="U1370" s="10" t="inlineStr">
        <is>
          <t>-</t>
        </is>
      </c>
      <c r="V1370" s="24" t="n">
        <v>45712</v>
      </c>
      <c r="W1370" s="19" t="inlineStr">
        <is>
          <t>N/A</t>
        </is>
      </c>
      <c r="X1370" s="10">
        <f>+IFERROR(IF(VLOOKUP(Tabla2[[#This Row],[ID]],'EVALUACION DE RIESGO'!A:A,1,FALSE)=Tabla2[[#This Row],[ID]],"SI","NO"),"NO")</f>
        <v/>
      </c>
      <c r="AD1370">
        <f>IF(AND(Y1370="",AA1370=""),"",IF(OR(LEFT(AA1370,2)="L0",LEFT(AA1370,2)="L1",Y1370="No Iniciado"),"CRÍTICO - Incumplimiento Normativo SEPS",IF(AND(OR(LEFT(AA1370,2)="L4",LEFT(AA1370,2)="L5"),AND(AC1370&lt;&gt;"",AC1370&lt;&gt;"N/A")),"CONFORME - Control Efectivo ISO 27001","OBSERVACIÓN - Revisar Controles")))</f>
        <v/>
      </c>
    </row>
    <row r="1371">
      <c r="A1371" s="99" t="inlineStr">
        <is>
          <t>31-GSO</t>
        </is>
      </c>
      <c r="B1371" s="10" t="inlineStr">
        <is>
          <t>APOYO</t>
        </is>
      </c>
      <c r="C1371" s="10" t="inlineStr">
        <is>
          <t>Gestión de Seguridad Organizacional</t>
        </is>
      </c>
      <c r="D1371" s="10" t="inlineStr">
        <is>
          <t>GSO</t>
        </is>
      </c>
      <c r="E1371" s="10" t="inlineStr">
        <is>
          <t>Gestión de Vigilancia</t>
        </is>
      </c>
      <c r="F1371" s="10" t="inlineStr">
        <is>
          <t>-</t>
        </is>
      </c>
      <c r="G1371" s="10" t="inlineStr">
        <is>
          <t xml:space="preserve">Monitoreo del sistema de video vigilancia </t>
        </is>
      </c>
      <c r="H1371" s="10" t="inlineStr">
        <is>
          <t>Bitácora de registro de novedades</t>
        </is>
      </c>
      <c r="I1371" s="10" t="inlineStr">
        <is>
          <t>Registro físico de novedades presentadas</t>
        </is>
      </c>
      <c r="J1371" s="10" t="inlineStr">
        <is>
          <t>Oficial de Seguridad Física</t>
        </is>
      </c>
      <c r="K1371" s="10" t="inlineStr">
        <is>
          <t>Oficial de Seguridad Física</t>
        </is>
      </c>
      <c r="L1371" s="10" t="inlineStr">
        <is>
          <t>DOCUMENTOS FISICOS-ARCHIVOS DE LA OFICINA</t>
        </is>
      </c>
      <c r="M1371" s="10" t="inlineStr">
        <is>
          <t>DOCUMENTO DE ARCHIVO-FÍSICO</t>
        </is>
      </c>
      <c r="N1371" s="10" t="inlineStr">
        <is>
          <t>PRIMARIOS</t>
        </is>
      </c>
      <c r="O1371" s="10" t="inlineStr">
        <is>
          <t>DOCUMENTOS TÉCNICOS</t>
        </is>
      </c>
      <c r="P1371" s="10" t="inlineStr">
        <is>
          <t>USO INTERNO(2)</t>
        </is>
      </c>
      <c r="Q1371" s="10" t="inlineStr">
        <is>
          <t>MEDIA(2)</t>
        </is>
      </c>
      <c r="R1371" s="10" t="inlineStr">
        <is>
          <t>BAJA(1)</t>
        </is>
      </c>
      <c r="S1371" s="10">
        <f>+(IF(P1371="PUBLICA(1)",1,IF(P1371="USO INTERNO(2)",2,IF(P1371="RESTRINGIDO(3)",3,3))))+(IF(Q1371="BAJA(1)",1,IF(Q1371="MEDIA(2)",2,IF(Q1371="ALTA(3)",3,3))))+(IF(R1371="BAJA(1)",1,IF(R1371="MEDIA(2)",2,IF(R1371="ALTA(3)",3,3))))</f>
        <v/>
      </c>
      <c r="T1371" s="10">
        <f>+IF(S1371&lt;6,"BAJA",IF(S1371&lt;8,"MEDIA","ALTA"))</f>
        <v/>
      </c>
      <c r="U1371" s="10" t="inlineStr">
        <is>
          <t>-</t>
        </is>
      </c>
      <c r="V1371" s="24" t="n">
        <v>45712</v>
      </c>
      <c r="W1371" s="19" t="inlineStr">
        <is>
          <t>N/A</t>
        </is>
      </c>
      <c r="X1371" s="10">
        <f>+IFERROR(IF(VLOOKUP(Tabla2[[#This Row],[ID]],'EVALUACION DE RIESGO'!A:A,1,FALSE)=Tabla2[[#This Row],[ID]],"SI","NO"),"NO")</f>
        <v/>
      </c>
      <c r="AD1371">
        <f>IF(AND(Y1371="",AA1371=""),"",IF(OR(LEFT(AA1371,2)="L0",LEFT(AA1371,2)="L1",Y1371="No Iniciado"),"CRÍTICO - Incumplimiento Normativo SEPS",IF(AND(OR(LEFT(AA1371,2)="L4",LEFT(AA1371,2)="L5"),AND(AC1371&lt;&gt;"",AC1371&lt;&gt;"N/A")),"CONFORME - Control Efectivo ISO 27001","OBSERVACIÓN - Revisar Controles")))</f>
        <v/>
      </c>
    </row>
    <row r="1372">
      <c r="A1372" s="99" t="inlineStr">
        <is>
          <t>32-GSO</t>
        </is>
      </c>
      <c r="B1372" s="10" t="inlineStr">
        <is>
          <t>APOYO</t>
        </is>
      </c>
      <c r="C1372" s="10" t="inlineStr">
        <is>
          <t>Gestión de Seguridad Organizacional</t>
        </is>
      </c>
      <c r="D1372" s="10" t="inlineStr">
        <is>
          <t>GSO</t>
        </is>
      </c>
      <c r="E1372" s="10" t="inlineStr">
        <is>
          <t>Gestión de Vigilancia</t>
        </is>
      </c>
      <c r="F1372" s="10" t="inlineStr">
        <is>
          <t>-</t>
        </is>
      </c>
      <c r="G1372" s="10" t="inlineStr">
        <is>
          <t>Control de ingreso y salida de trabajadores, proveedores y visitantes</t>
        </is>
      </c>
      <c r="H1372" s="10" t="inlineStr">
        <is>
          <t>Formulario de autorización de accesos de proveedores</t>
        </is>
      </c>
      <c r="I1372" s="10" t="inlineStr">
        <is>
          <t>Formulario receptado por el solicitante y detalle de las personas a ingresar</t>
        </is>
      </c>
      <c r="J1372" s="10" t="inlineStr">
        <is>
          <t>Oficial de Seguridad Física</t>
        </is>
      </c>
      <c r="K1372" s="10" t="inlineStr">
        <is>
          <t>Oficial de Seguridad Física</t>
        </is>
      </c>
      <c r="L1372" s="10" t="inlineStr">
        <is>
          <t>UBICACIÓN DIGITAL-EQUIPO DEL RESPONSABLE</t>
        </is>
      </c>
      <c r="M1372" s="10" t="inlineStr">
        <is>
          <t>DISCOS DUROS, SERVIDORES, DISCOS O MEDIOS PORTÁTILES, CINTAS O MEDIOS DE VIDEO Y AUDIO, ETC.</t>
        </is>
      </c>
      <c r="N1372" s="10" t="inlineStr">
        <is>
          <t>PRIMARIOS</t>
        </is>
      </c>
      <c r="O1372" s="10" t="inlineStr">
        <is>
          <t>DOCUMENTOS TÉCNICOS</t>
        </is>
      </c>
      <c r="P1372" s="10" t="inlineStr">
        <is>
          <t>USO INTERNO(2)</t>
        </is>
      </c>
      <c r="Q1372" s="10" t="inlineStr">
        <is>
          <t>BAJA(1)</t>
        </is>
      </c>
      <c r="R1372" s="10" t="inlineStr">
        <is>
          <t>BAJA(1)</t>
        </is>
      </c>
      <c r="S1372" s="10">
        <f>+(IF(P1372="PUBLICA(1)",1,IF(P1372="USO INTERNO(2)",2,IF(P1372="RESTRINGIDO(3)",3,3))))+(IF(Q1372="BAJA(1)",1,IF(Q1372="MEDIA(2)",2,IF(Q1372="ALTA(3)",3,3))))+(IF(R1372="BAJA(1)",1,IF(R1372="MEDIA(2)",2,IF(R1372="ALTA(3)",3,3))))</f>
        <v/>
      </c>
      <c r="T1372" s="10">
        <f>+IF(S1372&lt;6,"BAJA",IF(S1372&lt;8,"MEDIA","ALTA"))</f>
        <v/>
      </c>
      <c r="U1372" s="10" t="inlineStr">
        <is>
          <t>-</t>
        </is>
      </c>
      <c r="V1372" s="24" t="n">
        <v>45712</v>
      </c>
      <c r="W1372" s="19" t="inlineStr">
        <is>
          <t>N/A</t>
        </is>
      </c>
      <c r="X1372" s="10">
        <f>+IFERROR(IF(VLOOKUP(Tabla2[[#This Row],[ID]],'EVALUACION DE RIESGO'!A:A,1,FALSE)=Tabla2[[#This Row],[ID]],"SI","NO"),"NO")</f>
        <v/>
      </c>
      <c r="AD1372">
        <f>IF(AND(Y1372="",AA1372=""),"",IF(OR(LEFT(AA1372,2)="L0",LEFT(AA1372,2)="L1",Y1372="No Iniciado"),"CRÍTICO - Incumplimiento Normativo SEPS",IF(AND(OR(LEFT(AA1372,2)="L4",LEFT(AA1372,2)="L5"),AND(AC1372&lt;&gt;"",AC1372&lt;&gt;"N/A")),"CONFORME - Control Efectivo ISO 27001","OBSERVACIÓN - Revisar Controles")))</f>
        <v/>
      </c>
    </row>
    <row r="1373">
      <c r="A1373" s="99" t="inlineStr">
        <is>
          <t>33-GSO</t>
        </is>
      </c>
      <c r="B1373" s="10" t="inlineStr">
        <is>
          <t>APOYO</t>
        </is>
      </c>
      <c r="C1373" s="10" t="inlineStr">
        <is>
          <t>Gestión de Seguridad Organizacional</t>
        </is>
      </c>
      <c r="D1373" s="10" t="inlineStr">
        <is>
          <t>GSO</t>
        </is>
      </c>
      <c r="E1373" s="10" t="inlineStr">
        <is>
          <t>Gestión de Vigilancia</t>
        </is>
      </c>
      <c r="F1373" s="10" t="inlineStr">
        <is>
          <t>-</t>
        </is>
      </c>
      <c r="G1373" s="10" t="inlineStr">
        <is>
          <t>Control de ingreso y salida de trabajadores, proveedores y visitantes</t>
        </is>
      </c>
      <c r="H1373" s="10" t="inlineStr">
        <is>
          <t>Bitácora de registro de novedades</t>
        </is>
      </c>
      <c r="I1373" s="10" t="inlineStr">
        <is>
          <t>Registro físico de novedades presentadas</t>
        </is>
      </c>
      <c r="J1373" s="10" t="inlineStr">
        <is>
          <t>Oficial de Seguridad Física</t>
        </is>
      </c>
      <c r="K1373" s="10" t="inlineStr">
        <is>
          <t>Oficial de Seguridad Física</t>
        </is>
      </c>
      <c r="L1373" s="10" t="inlineStr">
        <is>
          <t>DOCUMENTOS FISICOS-ARCHIVOS DE LA OFICINA</t>
        </is>
      </c>
      <c r="M1373" s="10" t="inlineStr">
        <is>
          <t>DOCUMENTO DE ARCHIVO-FÍSICO</t>
        </is>
      </c>
      <c r="N1373" s="10" t="inlineStr">
        <is>
          <t>PRIMARIOS</t>
        </is>
      </c>
      <c r="O1373" s="10" t="inlineStr">
        <is>
          <t>DOCUMENTOS TÉCNICOS</t>
        </is>
      </c>
      <c r="P1373" s="10" t="inlineStr">
        <is>
          <t>USO INTERNO(2)</t>
        </is>
      </c>
      <c r="Q1373" s="10" t="inlineStr">
        <is>
          <t>MEDIA(2)</t>
        </is>
      </c>
      <c r="R1373" s="10" t="inlineStr">
        <is>
          <t>BAJA(1)</t>
        </is>
      </c>
      <c r="S1373" s="10">
        <f>+(IF(P1373="PUBLICA(1)",1,IF(P1373="USO INTERNO(2)",2,IF(P1373="RESTRINGIDO(3)",3,3))))+(IF(Q1373="BAJA(1)",1,IF(Q1373="MEDIA(2)",2,IF(Q1373="ALTA(3)",3,3))))+(IF(R1373="BAJA(1)",1,IF(R1373="MEDIA(2)",2,IF(R1373="ALTA(3)",3,3))))</f>
        <v/>
      </c>
      <c r="T1373" s="10">
        <f>+IF(S1373&lt;6,"BAJA",IF(S1373&lt;8,"MEDIA","ALTA"))</f>
        <v/>
      </c>
      <c r="U1373" s="10" t="inlineStr">
        <is>
          <t>-</t>
        </is>
      </c>
      <c r="V1373" s="24" t="n">
        <v>45712</v>
      </c>
      <c r="W1373" s="19" t="inlineStr">
        <is>
          <t>N/A</t>
        </is>
      </c>
      <c r="X1373" s="10">
        <f>+IFERROR(IF(VLOOKUP(Tabla2[[#This Row],[ID]],'EVALUACION DE RIESGO'!A:A,1,FALSE)=Tabla2[[#This Row],[ID]],"SI","NO"),"NO")</f>
        <v/>
      </c>
      <c r="AD1373">
        <f>IF(AND(Y1373="",AA1373=""),"",IF(OR(LEFT(AA1373,2)="L0",LEFT(AA1373,2)="L1",Y1373="No Iniciado"),"CRÍTICO - Incumplimiento Normativo SEPS",IF(AND(OR(LEFT(AA1373,2)="L4",LEFT(AA1373,2)="L5"),AND(AC1373&lt;&gt;"",AC1373&lt;&gt;"N/A")),"CONFORME - Control Efectivo ISO 27001","OBSERVACIÓN - Revisar Controles")))</f>
        <v/>
      </c>
    </row>
    <row r="1374">
      <c r="A1374" s="99" t="inlineStr">
        <is>
          <t>34-GSO</t>
        </is>
      </c>
      <c r="B1374" s="10" t="inlineStr">
        <is>
          <t>APOYO</t>
        </is>
      </c>
      <c r="C1374" s="10" t="inlineStr">
        <is>
          <t>Gestión de Seguridad Organizacional</t>
        </is>
      </c>
      <c r="D1374" s="10" t="inlineStr">
        <is>
          <t>GSO</t>
        </is>
      </c>
      <c r="E1374" s="10" t="inlineStr">
        <is>
          <t>Gestión de Vigilancia</t>
        </is>
      </c>
      <c r="F1374" s="10" t="inlineStr">
        <is>
          <t>-</t>
        </is>
      </c>
      <c r="G1374" s="10" t="inlineStr">
        <is>
          <t>Control de ingreso y salida de trabajadores, proveedores y visitantes</t>
        </is>
      </c>
      <c r="H1374" s="10" t="inlineStr">
        <is>
          <t>Formulario de salida de activos</t>
        </is>
      </c>
      <c r="I1374" s="10" t="inlineStr">
        <is>
          <t>Registro del formulario de salida de activos tecnológicos</t>
        </is>
      </c>
      <c r="J1374" s="10" t="inlineStr">
        <is>
          <t>Oficial de Seguridad Física</t>
        </is>
      </c>
      <c r="K1374" s="10" t="inlineStr">
        <is>
          <t>Oficial de Seguridad Física</t>
        </is>
      </c>
      <c r="L1374" s="10" t="inlineStr">
        <is>
          <t>DOCUMENTOS FISICOS-ARCHIVOS DE LA OFICINA</t>
        </is>
      </c>
      <c r="M1374" s="10" t="inlineStr">
        <is>
          <t>DOCUMENTO DE ARCHIVO-FÍSICO</t>
        </is>
      </c>
      <c r="N1374" s="10" t="inlineStr">
        <is>
          <t>PRIMARIOS</t>
        </is>
      </c>
      <c r="O1374" s="10" t="inlineStr">
        <is>
          <t>DOCUMENTOS TÉCNICOS</t>
        </is>
      </c>
      <c r="P1374" s="10" t="inlineStr">
        <is>
          <t>USO INTERNO(2)</t>
        </is>
      </c>
      <c r="Q1374" s="10" t="inlineStr">
        <is>
          <t>BAJA(1)</t>
        </is>
      </c>
      <c r="R1374" s="10" t="inlineStr">
        <is>
          <t>BAJA(1)</t>
        </is>
      </c>
      <c r="S1374" s="10">
        <f>+(IF(P1374="PUBLICA(1)",1,IF(P1374="USO INTERNO(2)",2,IF(P1374="RESTRINGIDO(3)",3,3))))+(IF(Q1374="BAJA(1)",1,IF(Q1374="MEDIA(2)",2,IF(Q1374="ALTA(3)",3,3))))+(IF(R1374="BAJA(1)",1,IF(R1374="MEDIA(2)",2,IF(R1374="ALTA(3)",3,3))))</f>
        <v/>
      </c>
      <c r="T1374" s="10">
        <f>+IF(S1374&lt;6,"BAJA",IF(S1374&lt;8,"MEDIA","ALTA"))</f>
        <v/>
      </c>
      <c r="U1374" s="10" t="inlineStr">
        <is>
          <t>-</t>
        </is>
      </c>
      <c r="V1374" s="24" t="n">
        <v>45712</v>
      </c>
      <c r="W1374" s="19" t="inlineStr">
        <is>
          <t>N/A</t>
        </is>
      </c>
      <c r="X1374" s="10">
        <f>+IFERROR(IF(VLOOKUP(Tabla2[[#This Row],[ID]],'EVALUACION DE RIESGO'!A:A,1,FALSE)=Tabla2[[#This Row],[ID]],"SI","NO"),"NO")</f>
        <v/>
      </c>
      <c r="AD1374">
        <f>IF(AND(Y1374="",AA1374=""),"",IF(OR(LEFT(AA1374,2)="L0",LEFT(AA1374,2)="L1",Y1374="No Iniciado"),"CRÍTICO - Incumplimiento Normativo SEPS",IF(AND(OR(LEFT(AA1374,2)="L4",LEFT(AA1374,2)="L5"),AND(AC1374&lt;&gt;"",AC1374&lt;&gt;"N/A")),"CONFORME - Control Efectivo ISO 27001","OBSERVACIÓN - Revisar Controles")))</f>
        <v/>
      </c>
    </row>
    <row r="1375">
      <c r="A1375" s="99" t="inlineStr">
        <is>
          <t>35-GSO</t>
        </is>
      </c>
      <c r="B1375" s="10" t="inlineStr">
        <is>
          <t>APOYO</t>
        </is>
      </c>
      <c r="C1375" s="10" t="inlineStr">
        <is>
          <t>Gestión de Seguridad Organizacional</t>
        </is>
      </c>
      <c r="D1375" s="10" t="inlineStr">
        <is>
          <t>GSO</t>
        </is>
      </c>
      <c r="E1375" s="10" t="inlineStr">
        <is>
          <t>Gestión de Vigilancia</t>
        </is>
      </c>
      <c r="F1375" s="10" t="inlineStr">
        <is>
          <t>-</t>
        </is>
      </c>
      <c r="G1375" s="10" t="inlineStr">
        <is>
          <t>Control de ingreso y salida de vehículos</t>
        </is>
      </c>
      <c r="H1375" s="10" t="inlineStr">
        <is>
          <t>Bitácora de registro de novedades</t>
        </is>
      </c>
      <c r="I1375" s="10" t="inlineStr">
        <is>
          <t>Registro físico de novedades presentadas</t>
        </is>
      </c>
      <c r="J1375" s="10" t="inlineStr">
        <is>
          <t>Oficial de Seguridad Física</t>
        </is>
      </c>
      <c r="K1375" s="10" t="inlineStr">
        <is>
          <t>Oficial de Seguridad Física</t>
        </is>
      </c>
      <c r="L1375" s="10" t="inlineStr">
        <is>
          <t>DOCUMENTOS FISICOS-ARCHIVOS DE LA OFICINA</t>
        </is>
      </c>
      <c r="M1375" s="10" t="inlineStr">
        <is>
          <t>DOCUMENTO DE ARCHIVO-FÍSICO</t>
        </is>
      </c>
      <c r="N1375" s="10" t="inlineStr">
        <is>
          <t>PRIMARIOS</t>
        </is>
      </c>
      <c r="O1375" s="10" t="inlineStr">
        <is>
          <t>DOCUMENTOS TÉCNICOS</t>
        </is>
      </c>
      <c r="P1375" s="10" t="inlineStr">
        <is>
          <t>USO INTERNO(2)</t>
        </is>
      </c>
      <c r="Q1375" s="10" t="inlineStr">
        <is>
          <t>MEDIA(2)</t>
        </is>
      </c>
      <c r="R1375" s="10" t="inlineStr">
        <is>
          <t>BAJA(1)</t>
        </is>
      </c>
      <c r="S1375" s="10">
        <f>+(IF(P1375="PUBLICA(1)",1,IF(P1375="USO INTERNO(2)",2,IF(P1375="RESTRINGIDO(3)",3,3))))+(IF(Q1375="BAJA(1)",1,IF(Q1375="MEDIA(2)",2,IF(Q1375="ALTA(3)",3,3))))+(IF(R1375="BAJA(1)",1,IF(R1375="MEDIA(2)",2,IF(R1375="ALTA(3)",3,3))))</f>
        <v/>
      </c>
      <c r="T1375" s="10">
        <f>+IF(S1375&lt;6,"BAJA",IF(S1375&lt;8,"MEDIA","ALTA"))</f>
        <v/>
      </c>
      <c r="U1375" s="10" t="inlineStr">
        <is>
          <t>-</t>
        </is>
      </c>
      <c r="V1375" s="24" t="n">
        <v>45712</v>
      </c>
      <c r="W1375" s="19" t="inlineStr">
        <is>
          <t>N/A</t>
        </is>
      </c>
      <c r="X1375" s="10">
        <f>+IFERROR(IF(VLOOKUP(Tabla2[[#This Row],[ID]],'EVALUACION DE RIESGO'!A:A,1,FALSE)=Tabla2[[#This Row],[ID]],"SI","NO"),"NO")</f>
        <v/>
      </c>
      <c r="AD1375">
        <f>IF(AND(Y1375="",AA1375=""),"",IF(OR(LEFT(AA1375,2)="L0",LEFT(AA1375,2)="L1",Y1375="No Iniciado"),"CRÍTICO - Incumplimiento Normativo SEPS",IF(AND(OR(LEFT(AA1375,2)="L4",LEFT(AA1375,2)="L5"),AND(AC1375&lt;&gt;"",AC1375&lt;&gt;"N/A")),"CONFORME - Control Efectivo ISO 27001","OBSERVACIÓN - Revisar Controles")))</f>
        <v/>
      </c>
    </row>
    <row r="1376">
      <c r="A1376" s="99" t="inlineStr">
        <is>
          <t>36-GSO</t>
        </is>
      </c>
      <c r="B1376" s="10" t="inlineStr">
        <is>
          <t>APOYO</t>
        </is>
      </c>
      <c r="C1376" s="10" t="inlineStr">
        <is>
          <t>Gestión de Seguridad Organizacional</t>
        </is>
      </c>
      <c r="D1376" s="10" t="inlineStr">
        <is>
          <t>GSO</t>
        </is>
      </c>
      <c r="E1376" s="10" t="inlineStr">
        <is>
          <t>Gestión de Vigilancia</t>
        </is>
      </c>
      <c r="F1376" s="10" t="inlineStr">
        <is>
          <t>-</t>
        </is>
      </c>
      <c r="G1376" s="10" t="inlineStr">
        <is>
          <t xml:space="preserve">Evaluación de procedimiento de vigilancia </t>
        </is>
      </c>
      <c r="H1376" s="10" t="inlineStr">
        <is>
          <t>Cuestionario de evaluación de políticas de seguridad</t>
        </is>
      </c>
      <c r="I1376" s="10" t="inlineStr">
        <is>
          <t>Cuestionario dirigido a agentes de Seguridad, identificación del cumplimiento de los procedimientos</t>
        </is>
      </c>
      <c r="J1376" s="10" t="inlineStr">
        <is>
          <t>Oficial de Seguridad Física</t>
        </is>
      </c>
      <c r="K1376" s="10" t="inlineStr">
        <is>
          <t>Oficial de Seguridad Física</t>
        </is>
      </c>
      <c r="L1376" s="10" t="inlineStr">
        <is>
          <t>DOCUMENTOS FISICOS-ARCHIVOS DE LA OFICINA</t>
        </is>
      </c>
      <c r="M1376" s="10" t="inlineStr">
        <is>
          <t>DOCUMENTO DE ARCHIVO-FÍSICO</t>
        </is>
      </c>
      <c r="N1376" s="10" t="inlineStr">
        <is>
          <t>PRIMARIOS</t>
        </is>
      </c>
      <c r="O1376" s="10" t="inlineStr">
        <is>
          <t>DOCUMENTOS TÉCNICOS</t>
        </is>
      </c>
      <c r="P1376" s="10" t="inlineStr">
        <is>
          <t>USO INTERNO(2)</t>
        </is>
      </c>
      <c r="Q1376" s="10" t="inlineStr">
        <is>
          <t>MEDIA(2)</t>
        </is>
      </c>
      <c r="R1376" s="10" t="inlineStr">
        <is>
          <t>BAJA(1)</t>
        </is>
      </c>
      <c r="S1376" s="10">
        <f>+(IF(P1376="PUBLICA(1)",1,IF(P1376="USO INTERNO(2)",2,IF(P1376="RESTRINGIDO(3)",3,3))))+(IF(Q1376="BAJA(1)",1,IF(Q1376="MEDIA(2)",2,IF(Q1376="ALTA(3)",3,3))))+(IF(R1376="BAJA(1)",1,IF(R1376="MEDIA(2)",2,IF(R1376="ALTA(3)",3,3))))</f>
        <v/>
      </c>
      <c r="T1376" s="10">
        <f>+IF(S1376&lt;6,"BAJA",IF(S1376&lt;8,"MEDIA","ALTA"))</f>
        <v/>
      </c>
      <c r="U1376" s="10" t="inlineStr">
        <is>
          <t>-</t>
        </is>
      </c>
      <c r="V1376" s="24" t="n">
        <v>45712</v>
      </c>
      <c r="W1376" s="19" t="inlineStr">
        <is>
          <t>N/A</t>
        </is>
      </c>
      <c r="X1376" s="10">
        <f>+IFERROR(IF(VLOOKUP(Tabla2[[#This Row],[ID]],'EVALUACION DE RIESGO'!A:A,1,FALSE)=Tabla2[[#This Row],[ID]],"SI","NO"),"NO")</f>
        <v/>
      </c>
      <c r="AD1376">
        <f>IF(AND(Y1376="",AA1376=""),"",IF(OR(LEFT(AA1376,2)="L0",LEFT(AA1376,2)="L1",Y1376="No Iniciado"),"CRÍTICO - Incumplimiento Normativo SEPS",IF(AND(OR(LEFT(AA1376,2)="L4",LEFT(AA1376,2)="L5"),AND(AC1376&lt;&gt;"",AC1376&lt;&gt;"N/A")),"CONFORME - Control Efectivo ISO 27001","OBSERVACIÓN - Revisar Controles")))</f>
        <v/>
      </c>
    </row>
    <row r="1377">
      <c r="A1377" s="99" t="inlineStr">
        <is>
          <t>37-GSO</t>
        </is>
      </c>
      <c r="B1377" s="10" t="inlineStr">
        <is>
          <t>APOYO</t>
        </is>
      </c>
      <c r="C1377" s="10" t="inlineStr">
        <is>
          <t>Gestión de Seguridad Organizacional</t>
        </is>
      </c>
      <c r="D1377" s="10" t="inlineStr">
        <is>
          <t>GSO</t>
        </is>
      </c>
      <c r="E1377" s="10" t="inlineStr">
        <is>
          <t>Gestión de Vigilancia</t>
        </is>
      </c>
      <c r="F1377" s="10" t="inlineStr">
        <is>
          <t>-</t>
        </is>
      </c>
      <c r="G1377" s="10" t="inlineStr">
        <is>
          <t xml:space="preserve">Administración del Servicio de Vigilancia </t>
        </is>
      </c>
      <c r="H1377" s="10" t="inlineStr">
        <is>
          <t>Solicitud de Adquisiciones</t>
        </is>
      </c>
      <c r="I1377" s="10" t="inlineStr">
        <is>
          <t>Solicitud de adquisiciones realizada en el sistema SARA</t>
        </is>
      </c>
      <c r="J1377" s="10" t="inlineStr">
        <is>
          <t>Oficial de Seguridad Física</t>
        </is>
      </c>
      <c r="K1377" s="10" t="inlineStr">
        <is>
          <t>Oficial de Seguridad Física</t>
        </is>
      </c>
      <c r="L1377" s="10" t="inlineStr">
        <is>
          <t>UBICACIÓN DIGITAL-EQUIPO DEL RESPONSABLE</t>
        </is>
      </c>
      <c r="M1377" s="10" t="inlineStr">
        <is>
          <t>DISCOS DUROS, SERVIDORES, DISCOS O MEDIOS PORTÁTILES, CINTAS O MEDIOS DE VIDEO Y AUDIO, ETC.</t>
        </is>
      </c>
      <c r="N1377" s="10" t="inlineStr">
        <is>
          <t>PRIMARIOS</t>
        </is>
      </c>
      <c r="O1377" s="10" t="inlineStr">
        <is>
          <t>DOCUMENTOS TÉCNICOS</t>
        </is>
      </c>
      <c r="P1377" s="10" t="inlineStr">
        <is>
          <t>USO INTERNO(2)</t>
        </is>
      </c>
      <c r="Q1377" s="10" t="inlineStr">
        <is>
          <t>BAJA(1)</t>
        </is>
      </c>
      <c r="R1377" s="10" t="inlineStr">
        <is>
          <t>MEDIA(2)</t>
        </is>
      </c>
      <c r="S1377" s="10">
        <f>+(IF(P1377="PUBLICA(1)",1,IF(P1377="USO INTERNO(2)",2,IF(P1377="RESTRINGIDO(3)",3,3))))+(IF(Q1377="BAJA(1)",1,IF(Q1377="MEDIA(2)",2,IF(Q1377="ALTA(3)",3,3))))+(IF(R1377="BAJA(1)",1,IF(R1377="MEDIA(2)",2,IF(R1377="ALTA(3)",3,3))))</f>
        <v/>
      </c>
      <c r="T1377" s="10">
        <f>+IF(S1377&lt;6,"BAJA",IF(S1377&lt;8,"MEDIA","ALTA"))</f>
        <v/>
      </c>
      <c r="U1377" s="10" t="inlineStr">
        <is>
          <t>-</t>
        </is>
      </c>
      <c r="V1377" s="24" t="n">
        <v>45712</v>
      </c>
      <c r="W1377" s="19" t="inlineStr">
        <is>
          <t>N/A</t>
        </is>
      </c>
      <c r="X1377" s="10">
        <f>+IFERROR(IF(VLOOKUP(Tabla2[[#This Row],[ID]],'EVALUACION DE RIESGO'!A:A,1,FALSE)=Tabla2[[#This Row],[ID]],"SI","NO"),"NO")</f>
        <v/>
      </c>
      <c r="AD1377">
        <f>IF(AND(Y1377="",AA1377=""),"",IF(OR(LEFT(AA1377,2)="L0",LEFT(AA1377,2)="L1",Y1377="No Iniciado"),"CRÍTICO - Incumplimiento Normativo SEPS",IF(AND(OR(LEFT(AA1377,2)="L4",LEFT(AA1377,2)="L5"),AND(AC1377&lt;&gt;"",AC1377&lt;&gt;"N/A")),"CONFORME - Control Efectivo ISO 27001","OBSERVACIÓN - Revisar Controles")))</f>
        <v/>
      </c>
    </row>
    <row r="1378">
      <c r="A1378" s="99" t="inlineStr">
        <is>
          <t>38-GSO</t>
        </is>
      </c>
      <c r="B1378" s="10" t="inlineStr">
        <is>
          <t>APOYO</t>
        </is>
      </c>
      <c r="C1378" s="10" t="inlineStr">
        <is>
          <t>Gestión de Seguridad Organizacional</t>
        </is>
      </c>
      <c r="D1378" s="10" t="inlineStr">
        <is>
          <t>GSO</t>
        </is>
      </c>
      <c r="E1378" s="10" t="inlineStr">
        <is>
          <t>Gestión de Vigilancia</t>
        </is>
      </c>
      <c r="F1378" s="10" t="inlineStr">
        <is>
          <t>-</t>
        </is>
      </c>
      <c r="G1378" s="10" t="inlineStr">
        <is>
          <t xml:space="preserve">Administración del Servicio de Vigilancia </t>
        </is>
      </c>
      <c r="H1378" s="10" t="inlineStr">
        <is>
          <t>Informe de satisfacción del servicio de vigilancia</t>
        </is>
      </c>
      <c r="I1378" s="10" t="inlineStr">
        <is>
          <t>Documentación de sustento e informe de satisfacción del servicio de vigilancia, previo al pago mensual definitivo en el contrato</t>
        </is>
      </c>
      <c r="J1378" s="10" t="inlineStr">
        <is>
          <t>Oficial de Seguridad Física</t>
        </is>
      </c>
      <c r="K1378" s="10" t="inlineStr">
        <is>
          <t>Oficial de Seguridad Física</t>
        </is>
      </c>
      <c r="L1378" s="10" t="inlineStr">
        <is>
          <t>DOCUMENTOS FISICOS-ARCHIVOS DE LA OFICINA</t>
        </is>
      </c>
      <c r="M1378" s="10" t="inlineStr">
        <is>
          <t>DOCUMENTO DE ARCHIVO-FÍSICO</t>
        </is>
      </c>
      <c r="N1378" s="10" t="inlineStr">
        <is>
          <t>PRIMARIOS</t>
        </is>
      </c>
      <c r="O1378" s="10" t="inlineStr">
        <is>
          <t>DOCUMENTOS TÉCNICOS</t>
        </is>
      </c>
      <c r="P1378" s="10" t="inlineStr">
        <is>
          <t>USO INTERNO(2)</t>
        </is>
      </c>
      <c r="Q1378" s="10" t="inlineStr">
        <is>
          <t>BAJA(1)</t>
        </is>
      </c>
      <c r="R1378" s="10" t="inlineStr">
        <is>
          <t>MEDIA(2)</t>
        </is>
      </c>
      <c r="S1378" s="10">
        <f>+(IF(P1378="PUBLICA(1)",1,IF(P1378="USO INTERNO(2)",2,IF(P1378="RESTRINGIDO(3)",3,3))))+(IF(Q1378="BAJA(1)",1,IF(Q1378="MEDIA(2)",2,IF(Q1378="ALTA(3)",3,3))))+(IF(R1378="BAJA(1)",1,IF(R1378="MEDIA(2)",2,IF(R1378="ALTA(3)",3,3))))</f>
        <v/>
      </c>
      <c r="T1378" s="10">
        <f>+IF(S1378&lt;6,"BAJA",IF(S1378&lt;8,"MEDIA","ALTA"))</f>
        <v/>
      </c>
      <c r="U1378" s="10" t="inlineStr">
        <is>
          <t>-</t>
        </is>
      </c>
      <c r="V1378" s="24" t="n">
        <v>45712</v>
      </c>
      <c r="W1378" s="19" t="inlineStr">
        <is>
          <t>N/A</t>
        </is>
      </c>
      <c r="X1378" s="10">
        <f>+IFERROR(IF(VLOOKUP(Tabla2[[#This Row],[ID]],'EVALUACION DE RIESGO'!A:A,1,FALSE)=Tabla2[[#This Row],[ID]],"SI","NO"),"NO")</f>
        <v/>
      </c>
      <c r="AD1378">
        <f>IF(AND(Y1378="",AA1378=""),"",IF(OR(LEFT(AA1378,2)="L0",LEFT(AA1378,2)="L1",Y1378="No Iniciado"),"CRÍTICO - Incumplimiento Normativo SEPS",IF(AND(OR(LEFT(AA1378,2)="L4",LEFT(AA1378,2)="L5"),AND(AC1378&lt;&gt;"",AC1378&lt;&gt;"N/A")),"CONFORME - Control Efectivo ISO 27001","OBSERVACIÓN - Revisar Controles")))</f>
        <v/>
      </c>
    </row>
    <row r="1379">
      <c r="A1379" s="99" t="inlineStr">
        <is>
          <t>39-GSO</t>
        </is>
      </c>
      <c r="B1379" s="10" t="inlineStr">
        <is>
          <t>APOYO</t>
        </is>
      </c>
      <c r="C1379" s="10" t="inlineStr">
        <is>
          <t>Gestión de Seguridad Organizacional</t>
        </is>
      </c>
      <c r="D1379" s="10" t="inlineStr">
        <is>
          <t>GSO</t>
        </is>
      </c>
      <c r="E1379" s="10" t="inlineStr">
        <is>
          <t>Gestión de Vigilancia</t>
        </is>
      </c>
      <c r="F1379" s="10" t="inlineStr">
        <is>
          <t>-</t>
        </is>
      </c>
      <c r="G1379" s="10" t="inlineStr">
        <is>
          <t xml:space="preserve">Administración del Servicio de Vigilancia </t>
        </is>
      </c>
      <c r="H1379" s="10" t="inlineStr">
        <is>
          <t>Factura</t>
        </is>
      </c>
      <c r="I1379" s="10" t="inlineStr">
        <is>
          <t>Comprobante del pago a proveedores</t>
        </is>
      </c>
      <c r="J1379" s="10" t="inlineStr">
        <is>
          <t>Oficial de Seguridad Física</t>
        </is>
      </c>
      <c r="K1379" s="10" t="inlineStr">
        <is>
          <t>Oficial de Seguridad Física</t>
        </is>
      </c>
      <c r="L1379" s="10" t="inlineStr">
        <is>
          <t>UBICACIÓN DIGITAL-EQUIPO DEL RESPONSABLE</t>
        </is>
      </c>
      <c r="M1379" s="10" t="inlineStr">
        <is>
          <t>DISCOS DUROS, SERVIDORES, DISCOS O MEDIOS PORTÁTILES, CINTAS O MEDIOS DE VIDEO Y AUDIO, ETC.</t>
        </is>
      </c>
      <c r="N1379" s="10" t="inlineStr">
        <is>
          <t>PRIMARIOS</t>
        </is>
      </c>
      <c r="O1379" s="10" t="inlineStr">
        <is>
          <t>COMUNICACIÓN INTERNA</t>
        </is>
      </c>
      <c r="P1379" s="10" t="inlineStr">
        <is>
          <t>USO INTERNO(2)</t>
        </is>
      </c>
      <c r="Q1379" s="10" t="inlineStr">
        <is>
          <t>MEDIA(2)</t>
        </is>
      </c>
      <c r="R1379" s="10" t="inlineStr">
        <is>
          <t>MEDIA(2)</t>
        </is>
      </c>
      <c r="S1379" s="10">
        <f>+(IF(P1379="PUBLICA(1)",1,IF(P1379="USO INTERNO(2)",2,IF(P1379="RESTRINGIDO(3)",3,3))))+(IF(Q1379="BAJA(1)",1,IF(Q1379="MEDIA(2)",2,IF(Q1379="ALTA(3)",3,3))))+(IF(R1379="BAJA(1)",1,IF(R1379="MEDIA(2)",2,IF(R1379="ALTA(3)",3,3))))</f>
        <v/>
      </c>
      <c r="T1379" s="10">
        <f>+IF(S1379&lt;6,"BAJA",IF(S1379&lt;8,"MEDIA","ALTA"))</f>
        <v/>
      </c>
      <c r="U1379" s="10" t="inlineStr">
        <is>
          <t>-</t>
        </is>
      </c>
      <c r="V1379" s="24" t="n">
        <v>45712</v>
      </c>
      <c r="W1379" s="19" t="inlineStr">
        <is>
          <t>N/A</t>
        </is>
      </c>
      <c r="X1379" s="10">
        <f>+IFERROR(IF(VLOOKUP(Tabla2[[#This Row],[ID]],'EVALUACION DE RIESGO'!A:A,1,FALSE)=Tabla2[[#This Row],[ID]],"SI","NO"),"NO")</f>
        <v/>
      </c>
      <c r="AD1379">
        <f>IF(AND(Y1379="",AA1379=""),"",IF(OR(LEFT(AA1379,2)="L0",LEFT(AA1379,2)="L1",Y1379="No Iniciado"),"CRÍTICO - Incumplimiento Normativo SEPS",IF(AND(OR(LEFT(AA1379,2)="L4",LEFT(AA1379,2)="L5"),AND(AC1379&lt;&gt;"",AC1379&lt;&gt;"N/A")),"CONFORME - Control Efectivo ISO 27001","OBSERVACIÓN - Revisar Controles")))</f>
        <v/>
      </c>
    </row>
    <row r="1380">
      <c r="A1380" s="99" t="inlineStr">
        <is>
          <t>40-GSO</t>
        </is>
      </c>
      <c r="B1380" s="10" t="inlineStr">
        <is>
          <t>APOYO</t>
        </is>
      </c>
      <c r="C1380" s="10" t="inlineStr">
        <is>
          <t>Gestión de Seguridad Organizacional</t>
        </is>
      </c>
      <c r="D1380" s="10" t="inlineStr">
        <is>
          <t>GSO</t>
        </is>
      </c>
      <c r="E1380" s="10" t="inlineStr">
        <is>
          <t>Gestión de Vigilancia</t>
        </is>
      </c>
      <c r="F1380" s="10" t="inlineStr">
        <is>
          <t>-</t>
        </is>
      </c>
      <c r="G1380" s="10" t="inlineStr">
        <is>
          <t>N/A</t>
        </is>
      </c>
      <c r="H1380" s="10" t="inlineStr">
        <is>
          <t xml:space="preserve">Equipos de computación </t>
        </is>
      </c>
      <c r="I1380" s="10" t="inlineStr">
        <is>
          <t>Equipos de computación donde se realiza la gestión del área</t>
        </is>
      </c>
      <c r="J1380" s="10" t="inlineStr">
        <is>
          <t>Oficial de Seguridad Física</t>
        </is>
      </c>
      <c r="K1380" s="10" t="inlineStr">
        <is>
          <t>Oficial de Seguridad Física</t>
        </is>
      </c>
      <c r="L1380" s="10" t="inlineStr">
        <is>
          <t>UBICACIÓN FISICA-SUCURSAL IBARRA</t>
        </is>
      </c>
      <c r="M1380" s="10" t="inlineStr">
        <is>
          <t>DISCOS DUROS, SERVIDORES, DISCOS O MEDIOS PORTÁTILES, CINTAS O MEDIOS DE VIDEO Y AUDIO, ETC.</t>
        </is>
      </c>
      <c r="N1380" s="10" t="inlineStr">
        <is>
          <t>APOYO</t>
        </is>
      </c>
      <c r="O1380" s="10" t="inlineStr">
        <is>
          <t>HARDWARE</t>
        </is>
      </c>
      <c r="P1380" s="10" t="inlineStr">
        <is>
          <t>USO INTERNO(2)</t>
        </is>
      </c>
      <c r="Q1380" s="10" t="inlineStr">
        <is>
          <t>BAJA(1)</t>
        </is>
      </c>
      <c r="R1380" s="10" t="inlineStr">
        <is>
          <t>MEDIA(2)</t>
        </is>
      </c>
      <c r="S1380" s="10">
        <f>+(IF(P1380="PUBLICA(1)",1,IF(P1380="USO INTERNO(2)",2,IF(P1380="RESTRINGIDO(3)",3,3))))+(IF(Q1380="BAJA(1)",1,IF(Q1380="MEDIA(2)",2,IF(Q1380="ALTA(3)",3,3))))+(IF(R1380="BAJA(1)",1,IF(R1380="MEDIA(2)",2,IF(R1380="ALTA(3)",3,3))))</f>
        <v/>
      </c>
      <c r="T1380" s="10">
        <f>+IF(S1380&lt;6,"BAJA",IF(S1380&lt;8,"MEDIA","ALTA"))</f>
        <v/>
      </c>
      <c r="U1380" s="10" t="inlineStr">
        <is>
          <t>-</t>
        </is>
      </c>
      <c r="V1380" s="24" t="n">
        <v>45712</v>
      </c>
      <c r="W1380" s="19" t="inlineStr">
        <is>
          <t>N/A</t>
        </is>
      </c>
      <c r="X1380" s="10">
        <f>+IFERROR(IF(VLOOKUP(Tabla2[[#This Row],[ID]],'EVALUACION DE RIESGO'!A:A,1,FALSE)=Tabla2[[#This Row],[ID]],"SI","NO"),"NO")</f>
        <v/>
      </c>
      <c r="AD1380">
        <f>IF(AND(Y1380="",AA1380=""),"",IF(OR(LEFT(AA1380,2)="L0",LEFT(AA1380,2)="L1",Y1380="No Iniciado"),"CRÍTICO - Incumplimiento Normativo SEPS",IF(AND(OR(LEFT(AA1380,2)="L4",LEFT(AA1380,2)="L5"),AND(AC1380&lt;&gt;"",AC1380&lt;&gt;"N/A")),"CONFORME - Control Efectivo ISO 27001","OBSERVACIÓN - Revisar Controles")))</f>
        <v/>
      </c>
    </row>
    <row r="1381">
      <c r="A1381" s="99" t="inlineStr">
        <is>
          <t>41-GSO</t>
        </is>
      </c>
      <c r="B1381" s="10" t="inlineStr">
        <is>
          <t>APOYO</t>
        </is>
      </c>
      <c r="C1381" s="10" t="inlineStr">
        <is>
          <t>Gestión de Seguridad Organizacional</t>
        </is>
      </c>
      <c r="D1381" s="10" t="inlineStr">
        <is>
          <t>GSO</t>
        </is>
      </c>
      <c r="E1381" s="10" t="inlineStr">
        <is>
          <t>Gestión de Vigilancia</t>
        </is>
      </c>
      <c r="F1381" s="10" t="inlineStr">
        <is>
          <t>-</t>
        </is>
      </c>
      <c r="G1381" s="10" t="inlineStr">
        <is>
          <t>N/A</t>
        </is>
      </c>
      <c r="H1381" s="10" t="inlineStr">
        <is>
          <t>Oficial de Seguridad Física</t>
        </is>
      </c>
      <c r="I1381" s="10" t="inlineStr">
        <is>
          <t>N/A</t>
        </is>
      </c>
      <c r="J1381" s="10" t="inlineStr">
        <is>
          <t>Oficial de Seguridad Física</t>
        </is>
      </c>
      <c r="K1381" s="10" t="inlineStr">
        <is>
          <t>N/A</t>
        </is>
      </c>
      <c r="L1381" s="10" t="inlineStr">
        <is>
          <t>N/A</t>
        </is>
      </c>
      <c r="M1381" s="10" t="inlineStr">
        <is>
          <t>N/A</t>
        </is>
      </c>
      <c r="N1381" s="10" t="inlineStr">
        <is>
          <t>APOYO</t>
        </is>
      </c>
      <c r="O1381" s="10" t="inlineStr">
        <is>
          <t>RECURSO HUMANO</t>
        </is>
      </c>
      <c r="P1381" s="10" t="inlineStr">
        <is>
          <t>USO INTERNO(2)</t>
        </is>
      </c>
      <c r="Q1381" s="10" t="inlineStr">
        <is>
          <t>MEDIA(2)</t>
        </is>
      </c>
      <c r="R1381" s="10" t="inlineStr">
        <is>
          <t>MEDIA(2)</t>
        </is>
      </c>
      <c r="S1381" s="10">
        <f>+(IF(P1381="PUBLICA(1)",1,IF(P1381="USO INTERNO(2)",2,IF(P1381="RESTRINGIDO(3)",3,3))))+(IF(Q1381="BAJA(1)",1,IF(Q1381="MEDIA(2)",2,IF(Q1381="ALTA(3)",3,3))))+(IF(R1381="BAJA(1)",1,IF(R1381="MEDIA(2)",2,IF(R1381="ALTA(3)",3,3))))</f>
        <v/>
      </c>
      <c r="T1381" s="10">
        <f>+IF(S1381&lt;6,"BAJA",IF(S1381&lt;8,"MEDIA","ALTA"))</f>
        <v/>
      </c>
      <c r="U1381" s="10" t="inlineStr">
        <is>
          <t>-</t>
        </is>
      </c>
      <c r="V1381" s="24" t="n">
        <v>45712</v>
      </c>
      <c r="W1381" s="19" t="inlineStr">
        <is>
          <t>N/A</t>
        </is>
      </c>
      <c r="X1381" s="10">
        <f>+IFERROR(IF(VLOOKUP(Tabla2[[#This Row],[ID]],'EVALUACION DE RIESGO'!A:A,1,FALSE)=Tabla2[[#This Row],[ID]],"SI","NO"),"NO")</f>
        <v/>
      </c>
      <c r="AD1381">
        <f>IF(AND(Y1381="",AA1381=""),"",IF(OR(LEFT(AA1381,2)="L0",LEFT(AA1381,2)="L1",Y1381="No Iniciado"),"CRÍTICO - Incumplimiento Normativo SEPS",IF(AND(OR(LEFT(AA1381,2)="L4",LEFT(AA1381,2)="L5"),AND(AC1381&lt;&gt;"",AC1381&lt;&gt;"N/A")),"CONFORME - Control Efectivo ISO 27001","OBSERVACIÓN - Revisar Controles")))</f>
        <v/>
      </c>
    </row>
    <row r="1382">
      <c r="A1382" s="99" t="inlineStr">
        <is>
          <t>42-GSO</t>
        </is>
      </c>
      <c r="B1382" s="10" t="inlineStr">
        <is>
          <t>APOYO</t>
        </is>
      </c>
      <c r="C1382" s="10" t="inlineStr">
        <is>
          <t>Gestión de Seguridad Organizacional</t>
        </is>
      </c>
      <c r="D1382" s="10" t="inlineStr">
        <is>
          <t>GSO</t>
        </is>
      </c>
      <c r="E1382" s="10" t="inlineStr">
        <is>
          <t xml:space="preserve">Gestión de Seguridad de la Información </t>
        </is>
      </c>
      <c r="F1382" s="10" t="inlineStr">
        <is>
          <t>-</t>
        </is>
      </c>
      <c r="G1382" s="10" t="inlineStr">
        <is>
          <t xml:space="preserve">Creación de nuevos usuarios </t>
        </is>
      </c>
      <c r="H1382" s="10" t="inlineStr">
        <is>
          <t>Bitácora de seguridades de la Información</t>
        </is>
      </c>
      <c r="I1382" s="10" t="inlineStr">
        <is>
          <t>Bitácora de registro de la creación de nuevos usuarios en las aplicaciones administradas por el OSI</t>
        </is>
      </c>
      <c r="J1382" s="10" t="inlineStr">
        <is>
          <t xml:space="preserve">Oficial de Seguridad de la Información </t>
        </is>
      </c>
      <c r="K1382" s="10" t="inlineStr">
        <is>
          <t xml:space="preserve">Oficial de Seguridad de la Información </t>
        </is>
      </c>
      <c r="L1382" s="10" t="inlineStr">
        <is>
          <t>UBICACIÓN DIGITAL-EQUIPO DEL RESPONSABLE</t>
        </is>
      </c>
      <c r="M1382" s="10" t="inlineStr">
        <is>
          <t>DISCOS DUROS, SERVIDORES, DISCOS O MEDIOS PORTÁTILES, CINTAS O MEDIOS DE VIDEO Y AUDIO, ETC.</t>
        </is>
      </c>
      <c r="N1382" s="10" t="inlineStr">
        <is>
          <t>PRIMARIOS</t>
        </is>
      </c>
      <c r="O1382" s="10" t="inlineStr">
        <is>
          <t>DOCUMENTOS TÉCNICOS</t>
        </is>
      </c>
      <c r="P1382" s="10" t="inlineStr">
        <is>
          <t>RESTRINGIDO(3)</t>
        </is>
      </c>
      <c r="Q1382" s="10" t="inlineStr">
        <is>
          <t>MEDIA(2)</t>
        </is>
      </c>
      <c r="R1382" s="10" t="inlineStr">
        <is>
          <t>MEDIA(2)</t>
        </is>
      </c>
      <c r="S1382" s="10">
        <f>+(IF(P1382="PUBLICA(1)",1,IF(P1382="USO INTERNO(2)",2,IF(P1382="RESTRINGIDO(3)",3,3))))+(IF(Q1382="BAJA(1)",1,IF(Q1382="MEDIA(2)",2,IF(Q1382="ALTA(3)",3,3))))+(IF(R1382="BAJA(1)",1,IF(R1382="MEDIA(2)",2,IF(R1382="ALTA(3)",3,3))))</f>
        <v/>
      </c>
      <c r="T1382" s="10">
        <f>+IF(S1382&lt;6,"BAJA",IF(S1382&lt;8,"MEDIA","ALTA"))</f>
        <v/>
      </c>
      <c r="U1382" s="10" t="inlineStr">
        <is>
          <t>-</t>
        </is>
      </c>
      <c r="V1382" s="24" t="n">
        <v>45712</v>
      </c>
      <c r="W1382" s="19" t="inlineStr">
        <is>
          <t>N/A</t>
        </is>
      </c>
      <c r="X1382" s="10">
        <f>+IFERROR(IF(VLOOKUP(Tabla2[[#This Row],[ID]],'EVALUACION DE RIESGO'!A:A,1,FALSE)=Tabla2[[#This Row],[ID]],"SI","NO"),"NO")</f>
        <v/>
      </c>
      <c r="AD1382">
        <f>IF(AND(Y1382="",AA1382=""),"",IF(OR(LEFT(AA1382,2)="L0",LEFT(AA1382,2)="L1",Y1382="No Iniciado"),"CRÍTICO - Incumplimiento Normativo SEPS",IF(AND(OR(LEFT(AA1382,2)="L4",LEFT(AA1382,2)="L5"),AND(AC1382&lt;&gt;"",AC1382&lt;&gt;"N/A")),"CONFORME - Control Efectivo ISO 27001","OBSERVACIÓN - Revisar Controles")))</f>
        <v/>
      </c>
    </row>
    <row r="1383">
      <c r="A1383" s="99" t="inlineStr">
        <is>
          <t>43-GSO</t>
        </is>
      </c>
      <c r="B1383" s="10" t="inlineStr">
        <is>
          <t>APOYO</t>
        </is>
      </c>
      <c r="C1383" s="10" t="inlineStr">
        <is>
          <t>Gestión de Seguridad Organizacional</t>
        </is>
      </c>
      <c r="D1383" s="10" t="inlineStr">
        <is>
          <t>GSO</t>
        </is>
      </c>
      <c r="E1383" s="10" t="inlineStr">
        <is>
          <t xml:space="preserve">Gestión de Seguridad de la Información </t>
        </is>
      </c>
      <c r="F1383" s="10" t="inlineStr">
        <is>
          <t>-</t>
        </is>
      </c>
      <c r="G1383" s="10" t="inlineStr">
        <is>
          <t>Modificación del perfil  usuarios</t>
        </is>
      </c>
      <c r="H1383" s="10" t="inlineStr">
        <is>
          <t>Bitácora de seguridades de la Información</t>
        </is>
      </c>
      <c r="I1383" s="10" t="inlineStr">
        <is>
          <t>Bitácora de registro de la actualización de usuarios como el rol y la oficina</t>
        </is>
      </c>
      <c r="J1383" s="10" t="inlineStr">
        <is>
          <t xml:space="preserve">Oficial de Seguridad de la Información </t>
        </is>
      </c>
      <c r="K1383" s="10" t="inlineStr">
        <is>
          <t xml:space="preserve">Oficial de Seguridad de la Información </t>
        </is>
      </c>
      <c r="L1383" s="10" t="inlineStr">
        <is>
          <t>UBICACIÓN DIGITAL-EQUIPO DEL RESPONSABLE</t>
        </is>
      </c>
      <c r="M1383" s="10" t="inlineStr">
        <is>
          <t>DISCOS DUROS, SERVIDORES, DISCOS O MEDIOS PORTÁTILES, CINTAS O MEDIOS DE VIDEO Y AUDIO, ETC.</t>
        </is>
      </c>
      <c r="N1383" s="10" t="inlineStr">
        <is>
          <t>PRIMARIOS</t>
        </is>
      </c>
      <c r="O1383" s="10" t="inlineStr">
        <is>
          <t>DOCUMENTOS TÉCNICOS</t>
        </is>
      </c>
      <c r="P1383" s="10" t="inlineStr">
        <is>
          <t>USO INTERNO(2)</t>
        </is>
      </c>
      <c r="Q1383" s="10" t="inlineStr">
        <is>
          <t>MEDIA(2)</t>
        </is>
      </c>
      <c r="R1383" s="10" t="inlineStr">
        <is>
          <t>MEDIA(2)</t>
        </is>
      </c>
      <c r="S1383" s="10">
        <f>+(IF(P1383="PUBLICA(1)",1,IF(P1383="USO INTERNO(2)",2,IF(P1383="RESTRINGIDO(3)",3,3))))+(IF(Q1383="BAJA(1)",1,IF(Q1383="MEDIA(2)",2,IF(Q1383="ALTA(3)",3,3))))+(IF(R1383="BAJA(1)",1,IF(R1383="MEDIA(2)",2,IF(R1383="ALTA(3)",3,3))))</f>
        <v/>
      </c>
      <c r="T1383" s="10">
        <f>+IF(S1383&lt;6,"BAJA",IF(S1383&lt;8,"MEDIA","ALTA"))</f>
        <v/>
      </c>
      <c r="U1383" s="10" t="inlineStr">
        <is>
          <t>-</t>
        </is>
      </c>
      <c r="V1383" s="24" t="n">
        <v>45712</v>
      </c>
      <c r="W1383" s="19" t="inlineStr">
        <is>
          <t>N/A</t>
        </is>
      </c>
      <c r="X1383" s="10">
        <f>+IFERROR(IF(VLOOKUP(Tabla2[[#This Row],[ID]],'EVALUACION DE RIESGO'!A:A,1,FALSE)=Tabla2[[#This Row],[ID]],"SI","NO"),"NO")</f>
        <v/>
      </c>
      <c r="AD1383">
        <f>IF(AND(Y1383="",AA1383=""),"",IF(OR(LEFT(AA1383,2)="L0",LEFT(AA1383,2)="L1",Y1383="No Iniciado"),"CRÍTICO - Incumplimiento Normativo SEPS",IF(AND(OR(LEFT(AA1383,2)="L4",LEFT(AA1383,2)="L5"),AND(AC1383&lt;&gt;"",AC1383&lt;&gt;"N/A")),"CONFORME - Control Efectivo ISO 27001","OBSERVACIÓN - Revisar Controles")))</f>
        <v/>
      </c>
    </row>
    <row r="1384">
      <c r="A1384" s="99" t="inlineStr">
        <is>
          <t>44-GSO</t>
        </is>
      </c>
      <c r="B1384" s="10" t="inlineStr">
        <is>
          <t>APOYO</t>
        </is>
      </c>
      <c r="C1384" s="10" t="inlineStr">
        <is>
          <t>Gestión de Seguridad Organizacional</t>
        </is>
      </c>
      <c r="D1384" s="10" t="inlineStr">
        <is>
          <t>GSO</t>
        </is>
      </c>
      <c r="E1384" s="10" t="inlineStr">
        <is>
          <t xml:space="preserve">Gestión de Seguridad de la Información </t>
        </is>
      </c>
      <c r="F1384" s="10" t="inlineStr">
        <is>
          <t>-</t>
        </is>
      </c>
      <c r="G1384" s="10" t="inlineStr">
        <is>
          <t>Bloqueo y desbloqueo de usuarios</t>
        </is>
      </c>
      <c r="H1384" s="10" t="inlineStr">
        <is>
          <t>Bitácora de seguridades de la Información</t>
        </is>
      </c>
      <c r="I1384" s="10" t="inlineStr">
        <is>
          <t>Registro de requerimientos de activación y reseteo de claves de acceso</t>
        </is>
      </c>
      <c r="J1384" s="10" t="inlineStr">
        <is>
          <t xml:space="preserve">Oficial de Seguridad de la Información </t>
        </is>
      </c>
      <c r="K1384" s="10" t="inlineStr">
        <is>
          <t xml:space="preserve">Oficial de Seguridad de la Información </t>
        </is>
      </c>
      <c r="L1384" s="10" t="inlineStr">
        <is>
          <t>UBICACIÓN DIGITAL-EQUIPO DEL RESPONSABLE</t>
        </is>
      </c>
      <c r="M1384" s="10" t="inlineStr">
        <is>
          <t>DISCOS DUROS, SERVIDORES, DISCOS O MEDIOS PORTÁTILES, CINTAS O MEDIOS DE VIDEO Y AUDIO, ETC.</t>
        </is>
      </c>
      <c r="N1384" s="10" t="inlineStr">
        <is>
          <t>PRIMARIOS</t>
        </is>
      </c>
      <c r="O1384" s="10" t="inlineStr">
        <is>
          <t>DOCUMENTOS TÉCNICOS</t>
        </is>
      </c>
      <c r="P1384" s="10" t="inlineStr">
        <is>
          <t>USO INTERNO(2)</t>
        </is>
      </c>
      <c r="Q1384" s="10" t="inlineStr">
        <is>
          <t>MEDIA(2)</t>
        </is>
      </c>
      <c r="R1384" s="10" t="inlineStr">
        <is>
          <t>BAJA(1)</t>
        </is>
      </c>
      <c r="S1384" s="10">
        <f>+(IF(P1384="PUBLICA(1)",1,IF(P1384="USO INTERNO(2)",2,IF(P1384="RESTRINGIDO(3)",3,3))))+(IF(Q1384="BAJA(1)",1,IF(Q1384="MEDIA(2)",2,IF(Q1384="ALTA(3)",3,3))))+(IF(R1384="BAJA(1)",1,IF(R1384="MEDIA(2)",2,IF(R1384="ALTA(3)",3,3))))</f>
        <v/>
      </c>
      <c r="T1384" s="10">
        <f>+IF(S1384&lt;6,"BAJA",IF(S1384&lt;8,"MEDIA","ALTA"))</f>
        <v/>
      </c>
      <c r="U1384" s="10" t="inlineStr">
        <is>
          <t>-</t>
        </is>
      </c>
      <c r="V1384" s="24" t="n">
        <v>45712</v>
      </c>
      <c r="W1384" s="19" t="inlineStr">
        <is>
          <t>N/A</t>
        </is>
      </c>
      <c r="X1384" s="10">
        <f>+IFERROR(IF(VLOOKUP(Tabla2[[#This Row],[ID]],'EVALUACION DE RIESGO'!A:A,1,FALSE)=Tabla2[[#This Row],[ID]],"SI","NO"),"NO")</f>
        <v/>
      </c>
      <c r="AD1384">
        <f>IF(AND(Y1384="",AA1384=""),"",IF(OR(LEFT(AA1384,2)="L0",LEFT(AA1384,2)="L1",Y1384="No Iniciado"),"CRÍTICO - Incumplimiento Normativo SEPS",IF(AND(OR(LEFT(AA1384,2)="L4",LEFT(AA1384,2)="L5"),AND(AC1384&lt;&gt;"",AC1384&lt;&gt;"N/A")),"CONFORME - Control Efectivo ISO 27001","OBSERVACIÓN - Revisar Controles")))</f>
        <v/>
      </c>
    </row>
    <row r="1385">
      <c r="A1385" s="99" t="inlineStr">
        <is>
          <t>45-GSO</t>
        </is>
      </c>
      <c r="B1385" s="10" t="inlineStr">
        <is>
          <t>APOYO</t>
        </is>
      </c>
      <c r="C1385" s="10" t="inlineStr">
        <is>
          <t>Gestión de Seguridad Organizacional</t>
        </is>
      </c>
      <c r="D1385" s="10" t="inlineStr">
        <is>
          <t>GSO</t>
        </is>
      </c>
      <c r="E1385" s="10" t="inlineStr">
        <is>
          <t xml:space="preserve">Gestión de Seguridad de la Información </t>
        </is>
      </c>
      <c r="F1385" s="10" t="inlineStr">
        <is>
          <t>-</t>
        </is>
      </c>
      <c r="G1385" s="10" t="inlineStr">
        <is>
          <t>Eliminación de usuarios</t>
        </is>
      </c>
      <c r="H1385" s="10" t="inlineStr">
        <is>
          <t>Bitácora de seguridades de la Información</t>
        </is>
      </c>
      <c r="I1385" s="10" t="inlineStr">
        <is>
          <t>Bitácora de registro de la eliminación de  usuarios en las aplicaciones administradas por el OSI</t>
        </is>
      </c>
      <c r="J1385" s="10" t="inlineStr">
        <is>
          <t xml:space="preserve">Oficial de Seguridad de la Información </t>
        </is>
      </c>
      <c r="K1385" s="10" t="inlineStr">
        <is>
          <t xml:space="preserve">Oficial de Seguridad de la Información </t>
        </is>
      </c>
      <c r="L1385" s="10" t="inlineStr">
        <is>
          <t>UBICACIÓN DIGITAL-EQUIPO DEL RESPONSABLE</t>
        </is>
      </c>
      <c r="M1385" s="10" t="inlineStr">
        <is>
          <t>DISCOS DUROS, SERVIDORES, DISCOS O MEDIOS PORTÁTILES, CINTAS O MEDIOS DE VIDEO Y AUDIO, ETC.</t>
        </is>
      </c>
      <c r="N1385" s="10" t="inlineStr">
        <is>
          <t>PRIMARIOS</t>
        </is>
      </c>
      <c r="O1385" s="10" t="inlineStr">
        <is>
          <t>DOCUMENTOS TÉCNICOS</t>
        </is>
      </c>
      <c r="P1385" s="10" t="inlineStr">
        <is>
          <t>USO INTERNO(2)</t>
        </is>
      </c>
      <c r="Q1385" s="10" t="inlineStr">
        <is>
          <t>MEDIA(2)</t>
        </is>
      </c>
      <c r="R1385" s="10" t="inlineStr">
        <is>
          <t>BAJA(1)</t>
        </is>
      </c>
      <c r="S1385" s="10">
        <f>+(IF(P1385="PUBLICA(1)",1,IF(P1385="USO INTERNO(2)",2,IF(P1385="RESTRINGIDO(3)",3,3))))+(IF(Q1385="BAJA(1)",1,IF(Q1385="MEDIA(2)",2,IF(Q1385="ALTA(3)",3,3))))+(IF(R1385="BAJA(1)",1,IF(R1385="MEDIA(2)",2,IF(R1385="ALTA(3)",3,3))))</f>
        <v/>
      </c>
      <c r="T1385" s="10">
        <f>+IF(S1385&lt;6,"BAJA",IF(S1385&lt;8,"MEDIA","ALTA"))</f>
        <v/>
      </c>
      <c r="U1385" s="10" t="inlineStr">
        <is>
          <t>-</t>
        </is>
      </c>
      <c r="V1385" s="24" t="n">
        <v>45712</v>
      </c>
      <c r="W1385" s="19" t="inlineStr">
        <is>
          <t>N/A</t>
        </is>
      </c>
      <c r="X1385" s="10">
        <f>+IFERROR(IF(VLOOKUP(Tabla2[[#This Row],[ID]],'EVALUACION DE RIESGO'!A:A,1,FALSE)=Tabla2[[#This Row],[ID]],"SI","NO"),"NO")</f>
        <v/>
      </c>
      <c r="AD1385">
        <f>IF(AND(Y1385="",AA1385=""),"",IF(OR(LEFT(AA1385,2)="L0",LEFT(AA1385,2)="L1",Y1385="No Iniciado"),"CRÍTICO - Incumplimiento Normativo SEPS",IF(AND(OR(LEFT(AA1385,2)="L4",LEFT(AA1385,2)="L5"),AND(AC1385&lt;&gt;"",AC1385&lt;&gt;"N/A")),"CONFORME - Control Efectivo ISO 27001","OBSERVACIÓN - Revisar Controles")))</f>
        <v/>
      </c>
    </row>
    <row r="1386">
      <c r="A1386" s="99" t="inlineStr">
        <is>
          <t>46-GSO</t>
        </is>
      </c>
      <c r="B1386" s="10" t="inlineStr">
        <is>
          <t>APOYO</t>
        </is>
      </c>
      <c r="C1386" s="10" t="inlineStr">
        <is>
          <t>Gestión de Seguridad Organizacional</t>
        </is>
      </c>
      <c r="D1386" s="10" t="inlineStr">
        <is>
          <t>GSO</t>
        </is>
      </c>
      <c r="E1386" s="10" t="inlineStr">
        <is>
          <t xml:space="preserve">Gestión de Seguridad de la Información </t>
        </is>
      </c>
      <c r="F1386" s="10" t="inlineStr">
        <is>
          <t>-</t>
        </is>
      </c>
      <c r="G1386" s="10" t="inlineStr">
        <is>
          <t>Extensión de horarios y definición de fechas al sistema</t>
        </is>
      </c>
      <c r="H1386" s="10" t="inlineStr">
        <is>
          <t>Bitácora de seguridades de la Información</t>
        </is>
      </c>
      <c r="I1386" s="10" t="inlineStr">
        <is>
          <t>Registro de roles parametrizados con horarios extendidos</t>
        </is>
      </c>
      <c r="J1386" s="10" t="inlineStr">
        <is>
          <t xml:space="preserve">Oficial de Seguridad de la Información </t>
        </is>
      </c>
      <c r="K1386" s="10" t="inlineStr">
        <is>
          <t xml:space="preserve">Oficial de Seguridad de la Información </t>
        </is>
      </c>
      <c r="L1386" s="10" t="inlineStr">
        <is>
          <t>UBICACIÓN DIGITAL-EQUIPO DEL RESPONSABLE</t>
        </is>
      </c>
      <c r="M1386" s="10" t="inlineStr">
        <is>
          <t>DISCOS DUROS, SERVIDORES, DISCOS O MEDIOS PORTÁTILES, CINTAS O MEDIOS DE VIDEO Y AUDIO, ETC.</t>
        </is>
      </c>
      <c r="N1386" s="10" t="inlineStr">
        <is>
          <t>PRIMARIOS</t>
        </is>
      </c>
      <c r="O1386" s="10" t="inlineStr">
        <is>
          <t>DOCUMENTOS TÉCNICOS</t>
        </is>
      </c>
      <c r="P1386" s="10" t="inlineStr">
        <is>
          <t>USO INTERNO(2)</t>
        </is>
      </c>
      <c r="Q1386" s="10" t="inlineStr">
        <is>
          <t>MEDIA(2)</t>
        </is>
      </c>
      <c r="R1386" s="10" t="inlineStr">
        <is>
          <t>BAJA(1)</t>
        </is>
      </c>
      <c r="S1386" s="10">
        <f>+(IF(P1386="PUBLICA(1)",1,IF(P1386="USO INTERNO(2)",2,IF(P1386="RESTRINGIDO(3)",3,3))))+(IF(Q1386="BAJA(1)",1,IF(Q1386="MEDIA(2)",2,IF(Q1386="ALTA(3)",3,3))))+(IF(R1386="BAJA(1)",1,IF(R1386="MEDIA(2)",2,IF(R1386="ALTA(3)",3,3))))</f>
        <v/>
      </c>
      <c r="T1386" s="10">
        <f>+IF(S1386&lt;6,"BAJA",IF(S1386&lt;8,"MEDIA","ALTA"))</f>
        <v/>
      </c>
      <c r="U1386" s="10" t="inlineStr">
        <is>
          <t>-</t>
        </is>
      </c>
      <c r="V1386" s="24" t="n">
        <v>45712</v>
      </c>
      <c r="W1386" s="19" t="inlineStr">
        <is>
          <t>N/A</t>
        </is>
      </c>
      <c r="X1386" s="10">
        <f>+IFERROR(IF(VLOOKUP(Tabla2[[#This Row],[ID]],'EVALUACION DE RIESGO'!A:A,1,FALSE)=Tabla2[[#This Row],[ID]],"SI","NO"),"NO")</f>
        <v/>
      </c>
      <c r="AD1386">
        <f>IF(AND(Y1386="",AA1386=""),"",IF(OR(LEFT(AA1386,2)="L0",LEFT(AA1386,2)="L1",Y1386="No Iniciado"),"CRÍTICO - Incumplimiento Normativo SEPS",IF(AND(OR(LEFT(AA1386,2)="L4",LEFT(AA1386,2)="L5"),AND(AC1386&lt;&gt;"",AC1386&lt;&gt;"N/A")),"CONFORME - Control Efectivo ISO 27001","OBSERVACIÓN - Revisar Controles")))</f>
        <v/>
      </c>
    </row>
    <row r="1387">
      <c r="A1387" s="99" t="inlineStr">
        <is>
          <t>47-GSO</t>
        </is>
      </c>
      <c r="B1387" s="10" t="inlineStr">
        <is>
          <t>APOYO</t>
        </is>
      </c>
      <c r="C1387" s="10" t="inlineStr">
        <is>
          <t>Gestión de Seguridad Organizacional</t>
        </is>
      </c>
      <c r="D1387" s="10" t="inlineStr">
        <is>
          <t>GSO</t>
        </is>
      </c>
      <c r="E1387" s="10" t="inlineStr">
        <is>
          <t xml:space="preserve">Gestión de Seguridad de la Información </t>
        </is>
      </c>
      <c r="F1387" s="10" t="inlineStr">
        <is>
          <t>-</t>
        </is>
      </c>
      <c r="G1387" s="10" t="inlineStr">
        <is>
          <t>Administración de roles y perfiles</t>
        </is>
      </c>
      <c r="H1387" s="10" t="inlineStr">
        <is>
          <t>Matriz de roles y perfiles</t>
        </is>
      </c>
      <c r="I1387" s="10" t="inlineStr">
        <is>
          <t>Matriz de roles y perfiles del Core Financiero</t>
        </is>
      </c>
      <c r="J1387" s="10" t="inlineStr">
        <is>
          <t xml:space="preserve">Oficial de Seguridad de la Información </t>
        </is>
      </c>
      <c r="K1387" s="10" t="inlineStr">
        <is>
          <t xml:space="preserve">Oficial de Seguridad de la Información </t>
        </is>
      </c>
      <c r="L1387" s="10" t="inlineStr">
        <is>
          <t>UBICACIÓN DIGITAL-EQUIPO DEL RESPONSABLE</t>
        </is>
      </c>
      <c r="M1387" s="10" t="inlineStr">
        <is>
          <t>DISCOS DUROS, SERVIDORES, DISCOS O MEDIOS PORTÁTILES, CINTAS O MEDIOS DE VIDEO Y AUDIO, ETC.</t>
        </is>
      </c>
      <c r="N1387" s="10" t="inlineStr">
        <is>
          <t>PRIMARIOS</t>
        </is>
      </c>
      <c r="O1387" s="10" t="inlineStr">
        <is>
          <t>DOCUMENTOS TÉCNICOS</t>
        </is>
      </c>
      <c r="P1387" s="10" t="inlineStr">
        <is>
          <t>USO INTERNO(2)</t>
        </is>
      </c>
      <c r="Q1387" s="10" t="inlineStr">
        <is>
          <t>MEDIA(2)</t>
        </is>
      </c>
      <c r="R1387" s="10" t="inlineStr">
        <is>
          <t>BAJA(1)</t>
        </is>
      </c>
      <c r="S1387" s="10">
        <f>+(IF(P1387="PUBLICA(1)",1,IF(P1387="USO INTERNO(2)",2,IF(P1387="RESTRINGIDO(3)",3,3))))+(IF(Q1387="BAJA(1)",1,IF(Q1387="MEDIA(2)",2,IF(Q1387="ALTA(3)",3,3))))+(IF(R1387="BAJA(1)",1,IF(R1387="MEDIA(2)",2,IF(R1387="ALTA(3)",3,3))))</f>
        <v/>
      </c>
      <c r="T1387" s="10">
        <f>+IF(S1387&lt;6,"BAJA",IF(S1387&lt;8,"MEDIA","ALTA"))</f>
        <v/>
      </c>
      <c r="U1387" s="10" t="inlineStr">
        <is>
          <t>-</t>
        </is>
      </c>
      <c r="V1387" s="24" t="n">
        <v>45712</v>
      </c>
      <c r="W1387" s="19" t="inlineStr">
        <is>
          <t>N/A</t>
        </is>
      </c>
      <c r="X1387" s="10">
        <f>+IFERROR(IF(VLOOKUP(Tabla2[[#This Row],[ID]],'EVALUACION DE RIESGO'!A:A,1,FALSE)=Tabla2[[#This Row],[ID]],"SI","NO"),"NO")</f>
        <v/>
      </c>
      <c r="AD1387">
        <f>IF(AND(Y1387="",AA1387=""),"",IF(OR(LEFT(AA1387,2)="L0",LEFT(AA1387,2)="L1",Y1387="No Iniciado"),"CRÍTICO - Incumplimiento Normativo SEPS",IF(AND(OR(LEFT(AA1387,2)="L4",LEFT(AA1387,2)="L5"),AND(AC1387&lt;&gt;"",AC1387&lt;&gt;"N/A")),"CONFORME - Control Efectivo ISO 27001","OBSERVACIÓN - Revisar Controles")))</f>
        <v/>
      </c>
    </row>
    <row r="1388">
      <c r="A1388" s="99" t="inlineStr">
        <is>
          <t>48-GSO</t>
        </is>
      </c>
      <c r="B1388" s="10" t="inlineStr">
        <is>
          <t>APOYO</t>
        </is>
      </c>
      <c r="C1388" s="10" t="inlineStr">
        <is>
          <t>Gestión de Seguridad Organizacional</t>
        </is>
      </c>
      <c r="D1388" s="10" t="inlineStr">
        <is>
          <t>GSO</t>
        </is>
      </c>
      <c r="E1388" s="10" t="inlineStr">
        <is>
          <t xml:space="preserve">Gestión de Seguridad de la Información </t>
        </is>
      </c>
      <c r="F1388" s="10" t="inlineStr">
        <is>
          <t>-</t>
        </is>
      </c>
      <c r="G1388" s="10" t="inlineStr">
        <is>
          <t>Administración de roles y perfiles</t>
        </is>
      </c>
      <c r="H1388" s="10" t="inlineStr">
        <is>
          <t>Matriz de transacciones por rol</t>
        </is>
      </c>
      <c r="I1388" s="10" t="inlineStr">
        <is>
          <t>Matriz de transacciones habilitadas por rol del Core financiero</t>
        </is>
      </c>
      <c r="J1388" s="10" t="inlineStr">
        <is>
          <t xml:space="preserve">Oficial de Seguridad de la Información </t>
        </is>
      </c>
      <c r="K1388" s="10" t="inlineStr">
        <is>
          <t xml:space="preserve">Oficial de Seguridad de la Información </t>
        </is>
      </c>
      <c r="L1388" s="10" t="inlineStr">
        <is>
          <t>UBICACIÓN DIGITAL-EQUIPO DEL RESPONSABLE</t>
        </is>
      </c>
      <c r="M1388" s="10" t="inlineStr">
        <is>
          <t>DISCOS DUROS, SERVIDORES, DISCOS O MEDIOS PORTÁTILES, CINTAS O MEDIOS DE VIDEO Y AUDIO, ETC.</t>
        </is>
      </c>
      <c r="N1388" s="10" t="inlineStr">
        <is>
          <t>PRIMARIOS</t>
        </is>
      </c>
      <c r="O1388" s="10" t="inlineStr">
        <is>
          <t>DOCUMENTOS TÉCNICOS</t>
        </is>
      </c>
      <c r="P1388" s="10" t="inlineStr">
        <is>
          <t>USO INTERNO(2)</t>
        </is>
      </c>
      <c r="Q1388" s="10" t="inlineStr">
        <is>
          <t>MEDIA(2)</t>
        </is>
      </c>
      <c r="R1388" s="10" t="inlineStr">
        <is>
          <t>BAJA(1)</t>
        </is>
      </c>
      <c r="S1388" s="10">
        <f>+(IF(P1388="PUBLICA(1)",1,IF(P1388="USO INTERNO(2)",2,IF(P1388="RESTRINGIDO(3)",3,3))))+(IF(Q1388="BAJA(1)",1,IF(Q1388="MEDIA(2)",2,IF(Q1388="ALTA(3)",3,3))))+(IF(R1388="BAJA(1)",1,IF(R1388="MEDIA(2)",2,IF(R1388="ALTA(3)",3,3))))</f>
        <v/>
      </c>
      <c r="T1388" s="10">
        <f>+IF(S1388&lt;6,"BAJA",IF(S1388&lt;8,"MEDIA","ALTA"))</f>
        <v/>
      </c>
      <c r="U1388" s="10" t="inlineStr">
        <is>
          <t>-</t>
        </is>
      </c>
      <c r="V1388" s="24" t="n">
        <v>45712</v>
      </c>
      <c r="W1388" s="19" t="inlineStr">
        <is>
          <t>N/A</t>
        </is>
      </c>
      <c r="X1388" s="10">
        <f>+IFERROR(IF(VLOOKUP(Tabla2[[#This Row],[ID]],'EVALUACION DE RIESGO'!A:A,1,FALSE)=Tabla2[[#This Row],[ID]],"SI","NO"),"NO")</f>
        <v/>
      </c>
      <c r="AD1388">
        <f>IF(AND(Y1388="",AA1388=""),"",IF(OR(LEFT(AA1388,2)="L0",LEFT(AA1388,2)="L1",Y1388="No Iniciado"),"CRÍTICO - Incumplimiento Normativo SEPS",IF(AND(OR(LEFT(AA1388,2)="L4",LEFT(AA1388,2)="L5"),AND(AC1388&lt;&gt;"",AC1388&lt;&gt;"N/A")),"CONFORME - Control Efectivo ISO 27001","OBSERVACIÓN - Revisar Controles")))</f>
        <v/>
      </c>
    </row>
    <row r="1389">
      <c r="A1389" s="99" t="inlineStr">
        <is>
          <t>49-GSO</t>
        </is>
      </c>
      <c r="B1389" s="10" t="inlineStr">
        <is>
          <t>APOYO</t>
        </is>
      </c>
      <c r="C1389" s="10" t="inlineStr">
        <is>
          <t>Gestión de Seguridad Organizacional</t>
        </is>
      </c>
      <c r="D1389" s="10" t="inlineStr">
        <is>
          <t>GSO</t>
        </is>
      </c>
      <c r="E1389" s="10" t="inlineStr">
        <is>
          <t xml:space="preserve">Gestión de Seguridad de la Información </t>
        </is>
      </c>
      <c r="F1389" s="10" t="inlineStr">
        <is>
          <t>-</t>
        </is>
      </c>
      <c r="G1389" s="10" t="inlineStr">
        <is>
          <t>Evaluación de la matriz de roles y perfiles</t>
        </is>
      </c>
      <c r="H1389" s="10" t="inlineStr">
        <is>
          <t>Plan de acción</t>
        </is>
      </c>
      <c r="I1389" s="10" t="inlineStr">
        <is>
          <t>Registro de planes de acción finalizados y en proceso</t>
        </is>
      </c>
      <c r="J1389" s="10" t="inlineStr">
        <is>
          <t xml:space="preserve">Oficial de Seguridad de la Información </t>
        </is>
      </c>
      <c r="K1389" s="10" t="inlineStr">
        <is>
          <t xml:space="preserve">Oficial de Seguridad de la Información </t>
        </is>
      </c>
      <c r="L1389" s="10" t="inlineStr">
        <is>
          <t>UBICACIÓN DIGITAL-EQUIPO DEL RESPONSABLE</t>
        </is>
      </c>
      <c r="M1389" s="10" t="inlineStr">
        <is>
          <t>DISCOS DUROS, SERVIDORES, DISCOS O MEDIOS PORTÁTILES, CINTAS O MEDIOS DE VIDEO Y AUDIO, ETC.</t>
        </is>
      </c>
      <c r="N1389" s="10" t="inlineStr">
        <is>
          <t>PRIMARIOS</t>
        </is>
      </c>
      <c r="O1389" s="10" t="inlineStr">
        <is>
          <t>DOCUMENTOS TÉCNICOS</t>
        </is>
      </c>
      <c r="P1389" s="10" t="inlineStr">
        <is>
          <t>USO INTERNO(2)</t>
        </is>
      </c>
      <c r="Q1389" s="10" t="inlineStr">
        <is>
          <t>MEDIA(2)</t>
        </is>
      </c>
      <c r="R1389" s="10" t="inlineStr">
        <is>
          <t>BAJA(1)</t>
        </is>
      </c>
      <c r="S1389" s="10">
        <f>+(IF(P1389="PUBLICA(1)",1,IF(P1389="USO INTERNO(2)",2,IF(P1389="RESTRINGIDO(3)",3,3))))+(IF(Q1389="BAJA(1)",1,IF(Q1389="MEDIA(2)",2,IF(Q1389="ALTA(3)",3,3))))+(IF(R1389="BAJA(1)",1,IF(R1389="MEDIA(2)",2,IF(R1389="ALTA(3)",3,3))))</f>
        <v/>
      </c>
      <c r="T1389" s="10">
        <f>+IF(S1389&lt;6,"BAJA",IF(S1389&lt;8,"MEDIA","ALTA"))</f>
        <v/>
      </c>
      <c r="U1389" s="10" t="inlineStr">
        <is>
          <t>-</t>
        </is>
      </c>
      <c r="V1389" s="24" t="n">
        <v>45712</v>
      </c>
      <c r="W1389" s="19" t="inlineStr">
        <is>
          <t>N/A</t>
        </is>
      </c>
      <c r="X1389" s="10">
        <f>+IFERROR(IF(VLOOKUP(Tabla2[[#This Row],[ID]],'EVALUACION DE RIESGO'!A:A,1,FALSE)=Tabla2[[#This Row],[ID]],"SI","NO"),"NO")</f>
        <v/>
      </c>
      <c r="AD1389">
        <f>IF(AND(Y1389="",AA1389=""),"",IF(OR(LEFT(AA1389,2)="L0",LEFT(AA1389,2)="L1",Y1389="No Iniciado"),"CRÍTICO - Incumplimiento Normativo SEPS",IF(AND(OR(LEFT(AA1389,2)="L4",LEFT(AA1389,2)="L5"),AND(AC1389&lt;&gt;"",AC1389&lt;&gt;"N/A")),"CONFORME - Control Efectivo ISO 27001","OBSERVACIÓN - Revisar Controles")))</f>
        <v/>
      </c>
    </row>
    <row r="1390">
      <c r="A1390" s="99" t="inlineStr">
        <is>
          <t>50-GSO</t>
        </is>
      </c>
      <c r="B1390" s="10" t="inlineStr">
        <is>
          <t>APOYO</t>
        </is>
      </c>
      <c r="C1390" s="10" t="inlineStr">
        <is>
          <t>Gestión de Seguridad Organizacional</t>
        </is>
      </c>
      <c r="D1390" s="10" t="inlineStr">
        <is>
          <t>GSO</t>
        </is>
      </c>
      <c r="E1390" s="10" t="inlineStr">
        <is>
          <t xml:space="preserve">Gestión de Seguridad de la Información </t>
        </is>
      </c>
      <c r="F1390" s="10" t="inlineStr">
        <is>
          <t>-</t>
        </is>
      </c>
      <c r="G1390" s="10" t="inlineStr">
        <is>
          <t>Evaluación de la matriz de roles y perfiles</t>
        </is>
      </c>
      <c r="H1390" s="10" t="inlineStr">
        <is>
          <t>Matriz de roles y perfiles</t>
        </is>
      </c>
      <c r="I1390" s="10" t="inlineStr">
        <is>
          <t>Matriz de roles y perfiles del Core Financiero</t>
        </is>
      </c>
      <c r="J1390" s="10" t="inlineStr">
        <is>
          <t xml:space="preserve">Oficial de Seguridad de la Información </t>
        </is>
      </c>
      <c r="K1390" s="10" t="inlineStr">
        <is>
          <t xml:space="preserve">Oficial de Seguridad de la Información </t>
        </is>
      </c>
      <c r="L1390" s="10" t="inlineStr">
        <is>
          <t>UBICACIÓN DIGITAL-EQUIPO DEL RESPONSABLE</t>
        </is>
      </c>
      <c r="M1390" s="10" t="inlineStr">
        <is>
          <t>DISCOS DUROS, SERVIDORES, DISCOS O MEDIOS PORTÁTILES, CINTAS O MEDIOS DE VIDEO Y AUDIO, ETC.</t>
        </is>
      </c>
      <c r="N1390" s="10" t="inlineStr">
        <is>
          <t>PRIMARIOS</t>
        </is>
      </c>
      <c r="O1390" s="10" t="inlineStr">
        <is>
          <t>DOCUMENTOS TÉCNICOS</t>
        </is>
      </c>
      <c r="P1390" s="10" t="inlineStr">
        <is>
          <t>USO INTERNO(2)</t>
        </is>
      </c>
      <c r="Q1390" s="10" t="inlineStr">
        <is>
          <t>MEDIA(2)</t>
        </is>
      </c>
      <c r="R1390" s="10" t="inlineStr">
        <is>
          <t>BAJA(1)</t>
        </is>
      </c>
      <c r="S1390" s="10">
        <f>+(IF(P1390="PUBLICA(1)",1,IF(P1390="USO INTERNO(2)",2,IF(P1390="RESTRINGIDO(3)",3,3))))+(IF(Q1390="BAJA(1)",1,IF(Q1390="MEDIA(2)",2,IF(Q1390="ALTA(3)",3,3))))+(IF(R1390="BAJA(1)",1,IF(R1390="MEDIA(2)",2,IF(R1390="ALTA(3)",3,3))))</f>
        <v/>
      </c>
      <c r="T1390" s="10">
        <f>+IF(S1390&lt;6,"BAJA",IF(S1390&lt;8,"MEDIA","ALTA"))</f>
        <v/>
      </c>
      <c r="U1390" s="10" t="inlineStr">
        <is>
          <t>-</t>
        </is>
      </c>
      <c r="V1390" s="24" t="n">
        <v>45712</v>
      </c>
      <c r="W1390" s="19" t="inlineStr">
        <is>
          <t>N/A</t>
        </is>
      </c>
      <c r="X1390" s="10">
        <f>+IFERROR(IF(VLOOKUP(Tabla2[[#This Row],[ID]],'EVALUACION DE RIESGO'!A:A,1,FALSE)=Tabla2[[#This Row],[ID]],"SI","NO"),"NO")</f>
        <v/>
      </c>
      <c r="AD1390">
        <f>IF(AND(Y1390="",AA1390=""),"",IF(OR(LEFT(AA1390,2)="L0",LEFT(AA1390,2)="L1",Y1390="No Iniciado"),"CRÍTICO - Incumplimiento Normativo SEPS",IF(AND(OR(LEFT(AA1390,2)="L4",LEFT(AA1390,2)="L5"),AND(AC1390&lt;&gt;"",AC1390&lt;&gt;"N/A")),"CONFORME - Control Efectivo ISO 27001","OBSERVACIÓN - Revisar Controles")))</f>
        <v/>
      </c>
    </row>
    <row r="1391">
      <c r="A1391" s="99" t="inlineStr">
        <is>
          <t>51-GSO</t>
        </is>
      </c>
      <c r="B1391" s="10" t="inlineStr">
        <is>
          <t>APOYO</t>
        </is>
      </c>
      <c r="C1391" s="10" t="inlineStr">
        <is>
          <t>Gestión de Seguridad Organizacional</t>
        </is>
      </c>
      <c r="D1391" s="10" t="inlineStr">
        <is>
          <t>GSO</t>
        </is>
      </c>
      <c r="E1391" s="10" t="inlineStr">
        <is>
          <t xml:space="preserve">Gestión de Seguridad de la Información </t>
        </is>
      </c>
      <c r="F1391" s="10" t="inlineStr">
        <is>
          <t>-</t>
        </is>
      </c>
      <c r="G1391" s="10" t="inlineStr">
        <is>
          <t>Control de acceso de usuarios a información interna vía FTP</t>
        </is>
      </c>
      <c r="H1391" s="10" t="inlineStr">
        <is>
          <t>Requerimiento de Servicie Desk</t>
        </is>
      </c>
      <c r="I1391" s="10" t="inlineStr">
        <is>
          <t>Requerimiento de acceso al recurso FTP detallando la necesidad y el usuario beneficiario</t>
        </is>
      </c>
      <c r="J1391" s="10" t="inlineStr">
        <is>
          <t xml:space="preserve">Oficial de Seguridad de la Información </t>
        </is>
      </c>
      <c r="K1391" s="10" t="inlineStr">
        <is>
          <t xml:space="preserve">Oficial de Seguridad de la Información </t>
        </is>
      </c>
      <c r="L1391" s="10" t="inlineStr">
        <is>
          <t>UBICACIÓN DIGITAL-WEBCOOP</t>
        </is>
      </c>
      <c r="M1391" s="10" t="inlineStr">
        <is>
          <t>DOCUMENTO DE ARCHIVO-ELECTRÓNICO</t>
        </is>
      </c>
      <c r="N1391" s="10" t="inlineStr">
        <is>
          <t>PRIMARIOS</t>
        </is>
      </c>
      <c r="O1391" s="10" t="inlineStr">
        <is>
          <t>DOCUMENTOS TÉCNICOS</t>
        </is>
      </c>
      <c r="P1391" s="10" t="inlineStr">
        <is>
          <t>USO INTERNO(2)</t>
        </is>
      </c>
      <c r="Q1391" s="10" t="inlineStr">
        <is>
          <t>MEDIA(2)</t>
        </is>
      </c>
      <c r="R1391" s="10" t="inlineStr">
        <is>
          <t>BAJA(1)</t>
        </is>
      </c>
      <c r="S1391" s="10">
        <f>+(IF(P1391="PUBLICA(1)",1,IF(P1391="USO INTERNO(2)",2,IF(P1391="RESTRINGIDO(3)",3,3))))+(IF(Q1391="BAJA(1)",1,IF(Q1391="MEDIA(2)",2,IF(Q1391="ALTA(3)",3,3))))+(IF(R1391="BAJA(1)",1,IF(R1391="MEDIA(2)",2,IF(R1391="ALTA(3)",3,3))))</f>
        <v/>
      </c>
      <c r="T1391" s="10">
        <f>+IF(S1391&lt;6,"BAJA",IF(S1391&lt;8,"MEDIA","ALTA"))</f>
        <v/>
      </c>
      <c r="U1391" s="10" t="inlineStr">
        <is>
          <t>-</t>
        </is>
      </c>
      <c r="V1391" s="24" t="n">
        <v>45712</v>
      </c>
      <c r="W1391" s="19" t="inlineStr">
        <is>
          <t>N/A</t>
        </is>
      </c>
      <c r="X1391" s="10">
        <f>+IFERROR(IF(VLOOKUP(Tabla2[[#This Row],[ID]],'EVALUACION DE RIESGO'!A:A,1,FALSE)=Tabla2[[#This Row],[ID]],"SI","NO"),"NO")</f>
        <v/>
      </c>
      <c r="AD1391">
        <f>IF(AND(Y1391="",AA1391=""),"",IF(OR(LEFT(AA1391,2)="L0",LEFT(AA1391,2)="L1",Y1391="No Iniciado"),"CRÍTICO - Incumplimiento Normativo SEPS",IF(AND(OR(LEFT(AA1391,2)="L4",LEFT(AA1391,2)="L5"),AND(AC1391&lt;&gt;"",AC1391&lt;&gt;"N/A")),"CONFORME - Control Efectivo ISO 27001","OBSERVACIÓN - Revisar Controles")))</f>
        <v/>
      </c>
    </row>
    <row r="1392">
      <c r="A1392" s="99" t="inlineStr">
        <is>
          <t>52-GSO</t>
        </is>
      </c>
      <c r="B1392" s="10" t="inlineStr">
        <is>
          <t>APOYO</t>
        </is>
      </c>
      <c r="C1392" s="10" t="inlineStr">
        <is>
          <t>Gestión de Seguridad Organizacional</t>
        </is>
      </c>
      <c r="D1392" s="10" t="inlineStr">
        <is>
          <t>GSO</t>
        </is>
      </c>
      <c r="E1392" s="10" t="inlineStr">
        <is>
          <t xml:space="preserve">Gestión de Seguridad de la Información </t>
        </is>
      </c>
      <c r="F1392" s="10" t="inlineStr">
        <is>
          <t>-</t>
        </is>
      </c>
      <c r="G1392" s="10" t="inlineStr">
        <is>
          <t>Cambio de claves de cuentas críticas</t>
        </is>
      </c>
      <c r="H1392" s="10" t="inlineStr">
        <is>
          <t>Formulario de cambio de claves críticas</t>
        </is>
      </c>
      <c r="I1392" s="10" t="inlineStr">
        <is>
          <t xml:space="preserve">Formulario de registros de usuarios de cuentas críticas y modelo de impresión </t>
        </is>
      </c>
      <c r="J1392" s="10" t="inlineStr">
        <is>
          <t xml:space="preserve">Oficial de Seguridad de la Información </t>
        </is>
      </c>
      <c r="K1392" s="10" t="inlineStr">
        <is>
          <t xml:space="preserve">Oficial de Seguridad de la Información </t>
        </is>
      </c>
      <c r="L1392" s="10" t="inlineStr">
        <is>
          <t>UBICACIÓN DIGITAL-WEBCOOP</t>
        </is>
      </c>
      <c r="M1392" s="10" t="inlineStr">
        <is>
          <t>DOCUMENTO DE ARCHIVO-ELECTRÓNICO</t>
        </is>
      </c>
      <c r="N1392" s="10" t="inlineStr">
        <is>
          <t>PRIMARIOS</t>
        </is>
      </c>
      <c r="O1392" s="10" t="inlineStr">
        <is>
          <t>DOCUMENTOS TÉCNICOS</t>
        </is>
      </c>
      <c r="P1392" s="10" t="inlineStr">
        <is>
          <t>USO INTERNO(2)</t>
        </is>
      </c>
      <c r="Q1392" s="10" t="inlineStr">
        <is>
          <t>MEDIA(2)</t>
        </is>
      </c>
      <c r="R1392" s="10" t="inlineStr">
        <is>
          <t>BAJA(1)</t>
        </is>
      </c>
      <c r="S1392" s="10">
        <f>+(IF(P1392="PUBLICA(1)",1,IF(P1392="USO INTERNO(2)",2,IF(P1392="RESTRINGIDO(3)",3,3))))+(IF(Q1392="BAJA(1)",1,IF(Q1392="MEDIA(2)",2,IF(Q1392="ALTA(3)",3,3))))+(IF(R1392="BAJA(1)",1,IF(R1392="MEDIA(2)",2,IF(R1392="ALTA(3)",3,3))))</f>
        <v/>
      </c>
      <c r="T1392" s="10">
        <f>+IF(S1392&lt;6,"BAJA",IF(S1392&lt;8,"MEDIA","ALTA"))</f>
        <v/>
      </c>
      <c r="U1392" s="10" t="inlineStr">
        <is>
          <t>-</t>
        </is>
      </c>
      <c r="V1392" s="24" t="n">
        <v>45712</v>
      </c>
      <c r="W1392" s="19" t="inlineStr">
        <is>
          <t>N/A</t>
        </is>
      </c>
      <c r="X1392" s="10">
        <f>+IFERROR(IF(VLOOKUP(Tabla2[[#This Row],[ID]],'EVALUACION DE RIESGO'!A:A,1,FALSE)=Tabla2[[#This Row],[ID]],"SI","NO"),"NO")</f>
        <v/>
      </c>
      <c r="AD1392">
        <f>IF(AND(Y1392="",AA1392=""),"",IF(OR(LEFT(AA1392,2)="L0",LEFT(AA1392,2)="L1",Y1392="No Iniciado"),"CRÍTICO - Incumplimiento Normativo SEPS",IF(AND(OR(LEFT(AA1392,2)="L4",LEFT(AA1392,2)="L5"),AND(AC1392&lt;&gt;"",AC1392&lt;&gt;"N/A")),"CONFORME - Control Efectivo ISO 27001","OBSERVACIÓN - Revisar Controles")))</f>
        <v/>
      </c>
    </row>
    <row r="1393">
      <c r="A1393" s="99" t="inlineStr">
        <is>
          <t>53-GSO</t>
        </is>
      </c>
      <c r="B1393" s="10" t="inlineStr">
        <is>
          <t>APOYO</t>
        </is>
      </c>
      <c r="C1393" s="10" t="inlineStr">
        <is>
          <t>Gestión de Seguridad Organizacional</t>
        </is>
      </c>
      <c r="D1393" s="10" t="inlineStr">
        <is>
          <t>GSO</t>
        </is>
      </c>
      <c r="E1393" s="10" t="inlineStr">
        <is>
          <t xml:space="preserve">Gestión de Seguridad de la Información </t>
        </is>
      </c>
      <c r="F1393" s="10" t="inlineStr">
        <is>
          <t>-</t>
        </is>
      </c>
      <c r="G1393" s="10" t="inlineStr">
        <is>
          <t>Cambio de claves de cuentas críticas</t>
        </is>
      </c>
      <c r="H1393" s="10" t="inlineStr">
        <is>
          <t>Acta entrega recepción</t>
        </is>
      </c>
      <c r="I1393" s="10" t="inlineStr">
        <is>
          <t>Documento de recepción de sobres cerrados de claves de cuantas criticas</t>
        </is>
      </c>
      <c r="J1393" s="10" t="inlineStr">
        <is>
          <t xml:space="preserve">Oficial de Seguridad de la Información </t>
        </is>
      </c>
      <c r="K1393" s="10" t="inlineStr">
        <is>
          <t xml:space="preserve">Oficial de Seguridad de la Información </t>
        </is>
      </c>
      <c r="L1393" s="10" t="inlineStr">
        <is>
          <t>DOCUMENTOS FISICOS-ARCHIVOS DE LA OFICINA</t>
        </is>
      </c>
      <c r="M1393" s="10" t="inlineStr">
        <is>
          <t>DOCUMENTO DE ARCHIVO-FÍSICO</t>
        </is>
      </c>
      <c r="N1393" s="10" t="inlineStr">
        <is>
          <t>PRIMARIOS</t>
        </is>
      </c>
      <c r="O1393" s="10" t="inlineStr">
        <is>
          <t>DOCUMENTOS HABILITANTES</t>
        </is>
      </c>
      <c r="P1393" s="10" t="inlineStr">
        <is>
          <t>USO INTERNO(2)</t>
        </is>
      </c>
      <c r="Q1393" s="10" t="inlineStr">
        <is>
          <t>MEDIA(2)</t>
        </is>
      </c>
      <c r="R1393" s="10" t="inlineStr">
        <is>
          <t>BAJA(1)</t>
        </is>
      </c>
      <c r="S1393" s="10">
        <f>+(IF(P1393="PUBLICA(1)",1,IF(P1393="USO INTERNO(2)",2,IF(P1393="RESTRINGIDO(3)",3,3))))+(IF(Q1393="BAJA(1)",1,IF(Q1393="MEDIA(2)",2,IF(Q1393="ALTA(3)",3,3))))+(IF(R1393="BAJA(1)",1,IF(R1393="MEDIA(2)",2,IF(R1393="ALTA(3)",3,3))))</f>
        <v/>
      </c>
      <c r="T1393" s="10">
        <f>+IF(S1393&lt;6,"BAJA",IF(S1393&lt;8,"MEDIA","ALTA"))</f>
        <v/>
      </c>
      <c r="U1393" s="10" t="inlineStr">
        <is>
          <t>-</t>
        </is>
      </c>
      <c r="V1393" s="24" t="n">
        <v>45712</v>
      </c>
      <c r="W1393" s="19" t="inlineStr">
        <is>
          <t>N/A</t>
        </is>
      </c>
      <c r="X1393" s="10">
        <f>+IFERROR(IF(VLOOKUP(Tabla2[[#This Row],[ID]],'EVALUACION DE RIESGO'!A:A,1,FALSE)=Tabla2[[#This Row],[ID]],"SI","NO"),"NO")</f>
        <v/>
      </c>
      <c r="AD1393">
        <f>IF(AND(Y1393="",AA1393=""),"",IF(OR(LEFT(AA1393,2)="L0",LEFT(AA1393,2)="L1",Y1393="No Iniciado"),"CRÍTICO - Incumplimiento Normativo SEPS",IF(AND(OR(LEFT(AA1393,2)="L4",LEFT(AA1393,2)="L5"),AND(AC1393&lt;&gt;"",AC1393&lt;&gt;"N/A")),"CONFORME - Control Efectivo ISO 27001","OBSERVACIÓN - Revisar Controles")))</f>
        <v/>
      </c>
    </row>
    <row r="1394">
      <c r="A1394" s="99" t="inlineStr">
        <is>
          <t>54-GSO</t>
        </is>
      </c>
      <c r="B1394" s="10" t="inlineStr">
        <is>
          <t>APOYO</t>
        </is>
      </c>
      <c r="C1394" s="10" t="inlineStr">
        <is>
          <t>Gestión de Seguridad Organizacional</t>
        </is>
      </c>
      <c r="D1394" s="10" t="inlineStr">
        <is>
          <t>GSO</t>
        </is>
      </c>
      <c r="E1394" s="10" t="inlineStr">
        <is>
          <t xml:space="preserve">Gestión de Seguridad de la Información </t>
        </is>
      </c>
      <c r="F1394" s="10" t="inlineStr">
        <is>
          <t>-</t>
        </is>
      </c>
      <c r="G1394" s="10" t="inlineStr">
        <is>
          <t xml:space="preserve"> Creación, ingreso y custodia de llaves criptográficas</t>
        </is>
      </c>
      <c r="H1394" s="10" t="inlineStr">
        <is>
          <t>Llaves criptográficas</t>
        </is>
      </c>
      <c r="I1394" s="10" t="inlineStr">
        <is>
          <t xml:space="preserve">Documentos tipo Boucher de llaves criptográficas de ATM y PINPAD </t>
        </is>
      </c>
      <c r="J1394" s="10" t="inlineStr">
        <is>
          <t xml:space="preserve">Oficial de Seguridad de la Información </t>
        </is>
      </c>
      <c r="K1394" s="10" t="inlineStr">
        <is>
          <t xml:space="preserve">Oficial de Seguridad de la Información </t>
        </is>
      </c>
      <c r="L1394" s="10" t="inlineStr">
        <is>
          <t>DOCUMENTOS FISICOS-ARCHIVOS DE LA OFICINA</t>
        </is>
      </c>
      <c r="M1394" s="10" t="inlineStr">
        <is>
          <t>DOCUMENTO DE ARCHIVO-FÍSICO</t>
        </is>
      </c>
      <c r="N1394" s="10" t="inlineStr">
        <is>
          <t>PRIMARIOS</t>
        </is>
      </c>
      <c r="O1394" s="10" t="inlineStr">
        <is>
          <t>DOCUMENTOS TÉCNICOS</t>
        </is>
      </c>
      <c r="P1394" s="10" t="inlineStr">
        <is>
          <t>USO INTERNO(2)</t>
        </is>
      </c>
      <c r="Q1394" s="10" t="inlineStr">
        <is>
          <t>MEDIA(2)</t>
        </is>
      </c>
      <c r="R1394" s="10" t="inlineStr">
        <is>
          <t>BAJA(1)</t>
        </is>
      </c>
      <c r="S1394" s="10">
        <f>+(IF(P1394="PUBLICA(1)",1,IF(P1394="USO INTERNO(2)",2,IF(P1394="RESTRINGIDO(3)",3,3))))+(IF(Q1394="BAJA(1)",1,IF(Q1394="MEDIA(2)",2,IF(Q1394="ALTA(3)",3,3))))+(IF(R1394="BAJA(1)",1,IF(R1394="MEDIA(2)",2,IF(R1394="ALTA(3)",3,3))))</f>
        <v/>
      </c>
      <c r="T1394" s="10">
        <f>+IF(S1394&lt;6,"BAJA",IF(S1394&lt;8,"MEDIA","ALTA"))</f>
        <v/>
      </c>
      <c r="U1394" s="10" t="inlineStr">
        <is>
          <t>-</t>
        </is>
      </c>
      <c r="V1394" s="24" t="n">
        <v>45712</v>
      </c>
      <c r="W1394" s="19" t="inlineStr">
        <is>
          <t>N/A</t>
        </is>
      </c>
      <c r="X1394" s="10">
        <f>+IFERROR(IF(VLOOKUP(Tabla2[[#This Row],[ID]],'EVALUACION DE RIESGO'!A:A,1,FALSE)=Tabla2[[#This Row],[ID]],"SI","NO"),"NO")</f>
        <v/>
      </c>
      <c r="AD1394">
        <f>IF(AND(Y1394="",AA1394=""),"",IF(OR(LEFT(AA1394,2)="L0",LEFT(AA1394,2)="L1",Y1394="No Iniciado"),"CRÍTICO - Incumplimiento Normativo SEPS",IF(AND(OR(LEFT(AA1394,2)="L4",LEFT(AA1394,2)="L5"),AND(AC1394&lt;&gt;"",AC1394&lt;&gt;"N/A")),"CONFORME - Control Efectivo ISO 27001","OBSERVACIÓN - Revisar Controles")))</f>
        <v/>
      </c>
    </row>
    <row r="1395">
      <c r="A1395" s="99" t="inlineStr">
        <is>
          <t>55-GSO</t>
        </is>
      </c>
      <c r="B1395" s="10" t="inlineStr">
        <is>
          <t>APOYO</t>
        </is>
      </c>
      <c r="C1395" s="10" t="inlineStr">
        <is>
          <t>Gestión de Seguridad Organizacional</t>
        </is>
      </c>
      <c r="D1395" s="10" t="inlineStr">
        <is>
          <t>GSO</t>
        </is>
      </c>
      <c r="E1395" s="10" t="inlineStr">
        <is>
          <t xml:space="preserve">Gestión de Seguridad de la Información </t>
        </is>
      </c>
      <c r="F1395" s="10" t="inlineStr">
        <is>
          <t>-</t>
        </is>
      </c>
      <c r="G1395" s="10" t="inlineStr">
        <is>
          <t xml:space="preserve">Gestión de activos de información </t>
        </is>
      </c>
      <c r="H1395" s="10" t="inlineStr">
        <is>
          <t>Matriz de riesgos de Seguridad de la Información</t>
        </is>
      </c>
      <c r="I1395" s="10" t="inlineStr">
        <is>
          <t>Matriz de activos de información y la calificación de riesgo de cada activo</t>
        </is>
      </c>
      <c r="J1395" s="10" t="inlineStr">
        <is>
          <t xml:space="preserve">Oficial de Seguridad de la Información </t>
        </is>
      </c>
      <c r="K1395" s="10" t="inlineStr">
        <is>
          <t xml:space="preserve">Oficial de Seguridad de la Información </t>
        </is>
      </c>
      <c r="L1395" s="10" t="inlineStr">
        <is>
          <t>UBICACIÓN DIGITAL-EQUIPO DEL RESPONSABLE</t>
        </is>
      </c>
      <c r="M1395" s="10" t="inlineStr">
        <is>
          <t>DISCOS DUROS, SERVIDORES, DISCOS O MEDIOS PORTÁTILES, CINTAS O MEDIOS DE VIDEO Y AUDIO, ETC.</t>
        </is>
      </c>
      <c r="N1395" s="10" t="inlineStr">
        <is>
          <t>PRIMARIOS</t>
        </is>
      </c>
      <c r="O1395" s="10" t="inlineStr">
        <is>
          <t>DOCUMENTOS TÉCNICOS</t>
        </is>
      </c>
      <c r="P1395" s="10" t="inlineStr">
        <is>
          <t>USO INTERNO(2)</t>
        </is>
      </c>
      <c r="Q1395" s="10" t="inlineStr">
        <is>
          <t>MEDIA(2)</t>
        </is>
      </c>
      <c r="R1395" s="10" t="inlineStr">
        <is>
          <t>BAJA(1)</t>
        </is>
      </c>
      <c r="S1395" s="10">
        <f>+(IF(P1395="PUBLICA(1)",1,IF(P1395="USO INTERNO(2)",2,IF(P1395="RESTRINGIDO(3)",3,3))))+(IF(Q1395="BAJA(1)",1,IF(Q1395="MEDIA(2)",2,IF(Q1395="ALTA(3)",3,3))))+(IF(R1395="BAJA(1)",1,IF(R1395="MEDIA(2)",2,IF(R1395="ALTA(3)",3,3))))</f>
        <v/>
      </c>
      <c r="T1395" s="10">
        <f>+IF(S1395&lt;6,"BAJA",IF(S1395&lt;8,"MEDIA","ALTA"))</f>
        <v/>
      </c>
      <c r="U1395" s="10" t="inlineStr">
        <is>
          <t>-</t>
        </is>
      </c>
      <c r="V1395" s="24" t="n">
        <v>45712</v>
      </c>
      <c r="W1395" s="19" t="inlineStr">
        <is>
          <t>N/A</t>
        </is>
      </c>
      <c r="X1395" s="10">
        <f>+IFERROR(IF(VLOOKUP(Tabla2[[#This Row],[ID]],'EVALUACION DE RIESGO'!A:A,1,FALSE)=Tabla2[[#This Row],[ID]],"SI","NO"),"NO")</f>
        <v/>
      </c>
      <c r="AD1395">
        <f>IF(AND(Y1395="",AA1395=""),"",IF(OR(LEFT(AA1395,2)="L0",LEFT(AA1395,2)="L1",Y1395="No Iniciado"),"CRÍTICO - Incumplimiento Normativo SEPS",IF(AND(OR(LEFT(AA1395,2)="L4",LEFT(AA1395,2)="L5"),AND(AC1395&lt;&gt;"",AC1395&lt;&gt;"N/A")),"CONFORME - Control Efectivo ISO 27001","OBSERVACIÓN - Revisar Controles")))</f>
        <v/>
      </c>
    </row>
    <row r="1396" ht="20.45" customHeight="1" s="106">
      <c r="A1396" s="99" t="inlineStr">
        <is>
          <t>56-GSO</t>
        </is>
      </c>
      <c r="B1396" s="10" t="inlineStr">
        <is>
          <t>APOYO</t>
        </is>
      </c>
      <c r="C1396" s="10" t="inlineStr">
        <is>
          <t>Gestión de Seguridad Organizacional</t>
        </is>
      </c>
      <c r="D1396" s="10" t="inlineStr">
        <is>
          <t>GSO</t>
        </is>
      </c>
      <c r="E1396" s="10" t="inlineStr">
        <is>
          <t xml:space="preserve">Gestión de Seguridad de la Información </t>
        </is>
      </c>
      <c r="F1396" s="10" t="inlineStr">
        <is>
          <t>-</t>
        </is>
      </c>
      <c r="G1396" s="10" t="inlineStr">
        <is>
          <t xml:space="preserve">Administración de la auditoría de la base de datos </t>
        </is>
      </c>
      <c r="H1396" s="17" t="inlineStr">
        <is>
          <t>Formulario activación o desactivación de la auditoria</t>
        </is>
      </c>
      <c r="I1396" s="17" t="inlineStr">
        <is>
          <t>Formulario de registro de activación y desactivación, responsables y justificación</t>
        </is>
      </c>
      <c r="J1396" s="10" t="inlineStr">
        <is>
          <t xml:space="preserve">Oficial de Seguridad de la Información </t>
        </is>
      </c>
      <c r="K1396" s="10" t="inlineStr">
        <is>
          <t xml:space="preserve">Oficial de Seguridad de la Información </t>
        </is>
      </c>
      <c r="L1396" s="10" t="inlineStr">
        <is>
          <t>UBICACIÓN DIGITAL-EQUIPO DEL RESPONSABLE</t>
        </is>
      </c>
      <c r="M1396" s="10" t="inlineStr">
        <is>
          <t>DISCOS DUROS, SERVIDORES, DISCOS O MEDIOS PORTÁTILES, CINTAS O MEDIOS DE VIDEO Y AUDIO, ETC.</t>
        </is>
      </c>
      <c r="N1396" s="10" t="inlineStr">
        <is>
          <t>PRIMARIOS</t>
        </is>
      </c>
      <c r="O1396" s="10" t="inlineStr">
        <is>
          <t>DOCUMENTOS TÉCNICOS</t>
        </is>
      </c>
      <c r="P1396" s="10" t="inlineStr">
        <is>
          <t>RESTRINGIDO(3)</t>
        </is>
      </c>
      <c r="Q1396" s="10" t="inlineStr">
        <is>
          <t>MEDIA(2)</t>
        </is>
      </c>
      <c r="R1396" s="10" t="inlineStr">
        <is>
          <t>ALTA(3)</t>
        </is>
      </c>
      <c r="S1396" s="10">
        <f>+(IF(P1396="PUBLICA(1)",1,IF(P1396="USO INTERNO(2)",2,IF(P1396="RESTRINGIDO(3)",3,3))))+(IF(Q1396="BAJA(1)",1,IF(Q1396="MEDIA(2)",2,IF(Q1396="ALTA(3)",3,3))))+(IF(R1396="BAJA(1)",1,IF(R1396="MEDIA(2)",2,IF(R1396="ALTA(3)",3,3))))</f>
        <v/>
      </c>
      <c r="T1396" s="10">
        <f>+IF(S1396&lt;6,"BAJA",IF(S1396&lt;8,"MEDIA","ALTA"))</f>
        <v/>
      </c>
      <c r="U1396" s="10" t="inlineStr">
        <is>
          <t>-</t>
        </is>
      </c>
      <c r="V1396" s="24" t="n">
        <v>45712</v>
      </c>
      <c r="W1396" s="19" t="inlineStr">
        <is>
          <t>N/A</t>
        </is>
      </c>
      <c r="X1396" s="10">
        <f>+IFERROR(IF(VLOOKUP(Tabla2[[#This Row],[ID]],'EVALUACION DE RIESGO'!A:A,1,FALSE)=Tabla2[[#This Row],[ID]],"SI","NO"),"NO")</f>
        <v/>
      </c>
      <c r="AD1396">
        <f>IF(AND(Y1396="",AA1396=""),"",IF(OR(LEFT(AA1396,2)="L0",LEFT(AA1396,2)="L1",Y1396="No Iniciado"),"CRÍTICO - Incumplimiento Normativo SEPS",IF(AND(OR(LEFT(AA1396,2)="L4",LEFT(AA1396,2)="L5"),AND(AC1396&lt;&gt;"",AC1396&lt;&gt;"N/A")),"CONFORME - Control Efectivo ISO 27001","OBSERVACIÓN - Revisar Controles")))</f>
        <v/>
      </c>
    </row>
    <row r="1397">
      <c r="A1397" s="99" t="inlineStr">
        <is>
          <t>57-GSO</t>
        </is>
      </c>
      <c r="B1397" s="10" t="inlineStr">
        <is>
          <t>APOYO</t>
        </is>
      </c>
      <c r="C1397" s="10" t="inlineStr">
        <is>
          <t>Gestión de Seguridad Organizacional</t>
        </is>
      </c>
      <c r="D1397" s="10" t="inlineStr">
        <is>
          <t>GSO</t>
        </is>
      </c>
      <c r="E1397" s="10" t="inlineStr">
        <is>
          <t xml:space="preserve">Gestión de Seguridad de la Información </t>
        </is>
      </c>
      <c r="F1397" s="10" t="inlineStr">
        <is>
          <t>-</t>
        </is>
      </c>
      <c r="G1397" s="10" t="inlineStr">
        <is>
          <t xml:space="preserve">Gestión de incidentes de seguridad de la información </t>
        </is>
      </c>
      <c r="H1397" s="10" t="inlineStr">
        <is>
          <t>Informe de incidentes</t>
        </is>
      </c>
      <c r="I1397" s="10" t="inlineStr">
        <is>
          <t>Informe de los incidentes identificados y acciones a realizar</t>
        </is>
      </c>
      <c r="J1397" s="10" t="inlineStr">
        <is>
          <t xml:space="preserve">Oficial de Seguridad de la Información </t>
        </is>
      </c>
      <c r="K1397" s="10" t="inlineStr">
        <is>
          <t xml:space="preserve">Oficial de Seguridad de la Información </t>
        </is>
      </c>
      <c r="L1397" s="10" t="inlineStr">
        <is>
          <t>UBICACIÓN DIGITAL-EQUIPO DEL RESPONSABLE</t>
        </is>
      </c>
      <c r="M1397" s="10" t="inlineStr">
        <is>
          <t>DISCOS DUROS, SERVIDORES, DISCOS O MEDIOS PORTÁTILES, CINTAS O MEDIOS DE VIDEO Y AUDIO, ETC.</t>
        </is>
      </c>
      <c r="N1397" s="10" t="inlineStr">
        <is>
          <t>PRIMARIOS</t>
        </is>
      </c>
      <c r="O1397" s="10" t="inlineStr">
        <is>
          <t>DOCUMENTOS TÉCNICOS</t>
        </is>
      </c>
      <c r="P1397" s="10" t="inlineStr">
        <is>
          <t>USO INTERNO(2)</t>
        </is>
      </c>
      <c r="Q1397" s="10" t="inlineStr">
        <is>
          <t>MEDIA(2)</t>
        </is>
      </c>
      <c r="R1397" s="10" t="inlineStr">
        <is>
          <t>MEDIA(2)</t>
        </is>
      </c>
      <c r="S1397" s="10">
        <f>+(IF(P1397="PUBLICA(1)",1,IF(P1397="USO INTERNO(2)",2,IF(P1397="RESTRINGIDO(3)",3,3))))+(IF(Q1397="BAJA(1)",1,IF(Q1397="MEDIA(2)",2,IF(Q1397="ALTA(3)",3,3))))+(IF(R1397="BAJA(1)",1,IF(R1397="MEDIA(2)",2,IF(R1397="ALTA(3)",3,3))))</f>
        <v/>
      </c>
      <c r="T1397" s="10">
        <f>+IF(S1397&lt;6,"BAJA",IF(S1397&lt;8,"MEDIA","ALTA"))</f>
        <v/>
      </c>
      <c r="U1397" s="10" t="inlineStr">
        <is>
          <t>-</t>
        </is>
      </c>
      <c r="V1397" s="24" t="n">
        <v>45712</v>
      </c>
      <c r="W1397" s="19" t="inlineStr">
        <is>
          <t>N/A</t>
        </is>
      </c>
      <c r="X1397" s="10">
        <f>+IFERROR(IF(VLOOKUP(Tabla2[[#This Row],[ID]],'EVALUACION DE RIESGO'!A:A,1,FALSE)=Tabla2[[#This Row],[ID]],"SI","NO"),"NO")</f>
        <v/>
      </c>
      <c r="AD1397">
        <f>IF(AND(Y1397="",AA1397=""),"",IF(OR(LEFT(AA1397,2)="L0",LEFT(AA1397,2)="L1",Y1397="No Iniciado"),"CRÍTICO - Incumplimiento Normativo SEPS",IF(AND(OR(LEFT(AA1397,2)="L4",LEFT(AA1397,2)="L5"),AND(AC1397&lt;&gt;"",AC1397&lt;&gt;"N/A")),"CONFORME - Control Efectivo ISO 27001","OBSERVACIÓN - Revisar Controles")))</f>
        <v/>
      </c>
    </row>
    <row r="1398">
      <c r="A1398" s="99" t="inlineStr">
        <is>
          <t>58-GSO</t>
        </is>
      </c>
      <c r="B1398" s="10" t="inlineStr">
        <is>
          <t>APOYO</t>
        </is>
      </c>
      <c r="C1398" s="10" t="inlineStr">
        <is>
          <t>Gestión de Seguridad Organizacional</t>
        </is>
      </c>
      <c r="D1398" s="10" t="inlineStr">
        <is>
          <t>GSO</t>
        </is>
      </c>
      <c r="E1398" s="10" t="inlineStr">
        <is>
          <t xml:space="preserve">Gestión de Seguridad de la Información </t>
        </is>
      </c>
      <c r="F1398" s="10" t="inlineStr">
        <is>
          <t>-</t>
        </is>
      </c>
      <c r="G1398" s="10" t="inlineStr">
        <is>
          <t xml:space="preserve">Revisión y monitoreo de políticas de seguridad de la información de usuario </t>
        </is>
      </c>
      <c r="H1398" s="10" t="inlineStr">
        <is>
          <t>Informe de revisión y monitoreo de políticas de seguridad de la información</t>
        </is>
      </c>
      <c r="I1398" s="10" t="inlineStr">
        <is>
          <t>Informe de registro de los equipos revisados y reporte de observaciones</t>
        </is>
      </c>
      <c r="J1398" s="10" t="inlineStr">
        <is>
          <t xml:space="preserve">Oficial de Seguridad de la Información </t>
        </is>
      </c>
      <c r="K1398" s="10" t="inlineStr">
        <is>
          <t xml:space="preserve">Oficial de Seguridad de la Información </t>
        </is>
      </c>
      <c r="L1398" s="10" t="inlineStr">
        <is>
          <t>UBICACIÓN DIGITAL-EQUIPO DEL RESPONSABLE</t>
        </is>
      </c>
      <c r="M1398" s="10" t="inlineStr">
        <is>
          <t>DISCOS DUROS, SERVIDORES, DISCOS O MEDIOS PORTÁTILES, CINTAS O MEDIOS DE VIDEO Y AUDIO, ETC.</t>
        </is>
      </c>
      <c r="N1398" s="10" t="inlineStr">
        <is>
          <t>PRIMARIOS</t>
        </is>
      </c>
      <c r="O1398" s="10" t="inlineStr">
        <is>
          <t>DOCUMENTOS TÉCNICOS</t>
        </is>
      </c>
      <c r="P1398" s="10" t="inlineStr">
        <is>
          <t>USO INTERNO(2)</t>
        </is>
      </c>
      <c r="Q1398" s="10" t="inlineStr">
        <is>
          <t>MEDIA(2)</t>
        </is>
      </c>
      <c r="R1398" s="10" t="inlineStr">
        <is>
          <t>BAJA(1)</t>
        </is>
      </c>
      <c r="S1398" s="10">
        <f>+(IF(P1398="PUBLICA(1)",1,IF(P1398="USO INTERNO(2)",2,IF(P1398="RESTRINGIDO(3)",3,3))))+(IF(Q1398="BAJA(1)",1,IF(Q1398="MEDIA(2)",2,IF(Q1398="ALTA(3)",3,3))))+(IF(R1398="BAJA(1)",1,IF(R1398="MEDIA(2)",2,IF(R1398="ALTA(3)",3,3))))</f>
        <v/>
      </c>
      <c r="T1398" s="10">
        <f>+IF(S1398&lt;6,"BAJA",IF(S1398&lt;8,"MEDIA","ALTA"))</f>
        <v/>
      </c>
      <c r="U1398" s="10" t="inlineStr">
        <is>
          <t>-</t>
        </is>
      </c>
      <c r="V1398" s="24" t="n">
        <v>45712</v>
      </c>
      <c r="W1398" s="19" t="inlineStr">
        <is>
          <t>N/A</t>
        </is>
      </c>
      <c r="X1398" s="10">
        <f>+IFERROR(IF(VLOOKUP(Tabla2[[#This Row],[ID]],'EVALUACION DE RIESGO'!A:A,1,FALSE)=Tabla2[[#This Row],[ID]],"SI","NO"),"NO")</f>
        <v/>
      </c>
      <c r="AD1398">
        <f>IF(AND(Y1398="",AA1398=""),"",IF(OR(LEFT(AA1398,2)="L0",LEFT(AA1398,2)="L1",Y1398="No Iniciado"),"CRÍTICO - Incumplimiento Normativo SEPS",IF(AND(OR(LEFT(AA1398,2)="L4",LEFT(AA1398,2)="L5"),AND(AC1398&lt;&gt;"",AC1398&lt;&gt;"N/A")),"CONFORME - Control Efectivo ISO 27001","OBSERVACIÓN - Revisar Controles")))</f>
        <v/>
      </c>
    </row>
    <row r="1399">
      <c r="A1399" s="99" t="inlineStr">
        <is>
          <t>59-GSO</t>
        </is>
      </c>
      <c r="B1399" s="10" t="inlineStr">
        <is>
          <t>APOYO</t>
        </is>
      </c>
      <c r="C1399" s="10" t="inlineStr">
        <is>
          <t>Gestión de Seguridad Organizacional</t>
        </is>
      </c>
      <c r="D1399" s="10" t="inlineStr">
        <is>
          <t>GSO</t>
        </is>
      </c>
      <c r="E1399" s="10" t="inlineStr">
        <is>
          <t xml:space="preserve">Gestión de Seguridad de la Información </t>
        </is>
      </c>
      <c r="F1399" s="10" t="inlineStr">
        <is>
          <t>-</t>
        </is>
      </c>
      <c r="G1399" s="10" t="inlineStr">
        <is>
          <t xml:space="preserve">Escaneo de número de tarjeta habiente a servidores y equipos del ambiente PCI DSS </t>
        </is>
      </c>
      <c r="H1399" s="10" t="inlineStr">
        <is>
          <t>Informe de escaneo de tarjeta habiente</t>
        </is>
      </c>
      <c r="I1399" s="10" t="inlineStr">
        <is>
          <t>Informe de verificación de ofuscación de información de números de tarjeta habiente en equipos que trabajan con reportes transaccionales de tarjetas</t>
        </is>
      </c>
      <c r="J1399" s="10" t="inlineStr">
        <is>
          <t xml:space="preserve">Oficial de Seguridad de la Información </t>
        </is>
      </c>
      <c r="K1399" s="10" t="inlineStr">
        <is>
          <t xml:space="preserve">Oficial de Seguridad de la Información </t>
        </is>
      </c>
      <c r="L1399" s="10" t="inlineStr">
        <is>
          <t>UBICACIÓN DIGITAL-EQUIPO DEL RESPONSABLE</t>
        </is>
      </c>
      <c r="M1399" s="10" t="inlineStr">
        <is>
          <t>DISCOS DUROS, SERVIDORES, DISCOS O MEDIOS PORTÁTILES, CINTAS O MEDIOS DE VIDEO Y AUDIO, ETC.</t>
        </is>
      </c>
      <c r="N1399" s="10" t="inlineStr">
        <is>
          <t>PRIMARIOS</t>
        </is>
      </c>
      <c r="O1399" s="10" t="inlineStr">
        <is>
          <t>DOCUMENTOS TÉCNICOS</t>
        </is>
      </c>
      <c r="P1399" s="10" t="inlineStr">
        <is>
          <t>USO INTERNO(2)</t>
        </is>
      </c>
      <c r="Q1399" s="10" t="inlineStr">
        <is>
          <t>MEDIA(2)</t>
        </is>
      </c>
      <c r="R1399" s="10" t="inlineStr">
        <is>
          <t>BAJA(1)</t>
        </is>
      </c>
      <c r="S1399" s="10">
        <f>+(IF(P1399="PUBLICA(1)",1,IF(P1399="USO INTERNO(2)",2,IF(P1399="RESTRINGIDO(3)",3,3))))+(IF(Q1399="BAJA(1)",1,IF(Q1399="MEDIA(2)",2,IF(Q1399="ALTA(3)",3,3))))+(IF(R1399="BAJA(1)",1,IF(R1399="MEDIA(2)",2,IF(R1399="ALTA(3)",3,3))))</f>
        <v/>
      </c>
      <c r="T1399" s="10">
        <f>+IF(S1399&lt;6,"BAJA",IF(S1399&lt;8,"MEDIA","ALTA"))</f>
        <v/>
      </c>
      <c r="U1399" s="10" t="inlineStr">
        <is>
          <t>-</t>
        </is>
      </c>
      <c r="V1399" s="24" t="n">
        <v>45712</v>
      </c>
      <c r="W1399" s="19" t="inlineStr">
        <is>
          <t>N/A</t>
        </is>
      </c>
      <c r="X1399" s="10">
        <f>+IFERROR(IF(VLOOKUP(Tabla2[[#This Row],[ID]],'EVALUACION DE RIESGO'!A:A,1,FALSE)=Tabla2[[#This Row],[ID]],"SI","NO"),"NO")</f>
        <v/>
      </c>
      <c r="AD1399">
        <f>IF(AND(Y1399="",AA1399=""),"",IF(OR(LEFT(AA1399,2)="L0",LEFT(AA1399,2)="L1",Y1399="No Iniciado"),"CRÍTICO - Incumplimiento Normativo SEPS",IF(AND(OR(LEFT(AA1399,2)="L4",LEFT(AA1399,2)="L5"),AND(AC1399&lt;&gt;"",AC1399&lt;&gt;"N/A")),"CONFORME - Control Efectivo ISO 27001","OBSERVACIÓN - Revisar Controles")))</f>
        <v/>
      </c>
    </row>
    <row r="1400">
      <c r="A1400" s="99" t="inlineStr">
        <is>
          <t>60-GSO</t>
        </is>
      </c>
      <c r="B1400" s="10" t="inlineStr">
        <is>
          <t>APOYO</t>
        </is>
      </c>
      <c r="C1400" s="10" t="inlineStr">
        <is>
          <t>Gestión de Seguridad Organizacional</t>
        </is>
      </c>
      <c r="D1400" s="10" t="inlineStr">
        <is>
          <t>GSO</t>
        </is>
      </c>
      <c r="E1400" s="10" t="inlineStr">
        <is>
          <t xml:space="preserve">Gestión de Seguridad de la Información </t>
        </is>
      </c>
      <c r="F1400" s="10" t="inlineStr">
        <is>
          <t>-</t>
        </is>
      </c>
      <c r="G1400" s="10" t="inlineStr">
        <is>
          <t>Escaneo de red wireless</t>
        </is>
      </c>
      <c r="H1400" s="10" t="inlineStr">
        <is>
          <t>Informe de análisis de redes Wireless</t>
        </is>
      </c>
      <c r="I1400" s="10" t="inlineStr">
        <is>
          <t>Informe de revisión de redes inalámbricas de cada oficina</t>
        </is>
      </c>
      <c r="J1400" s="10" t="inlineStr">
        <is>
          <t xml:space="preserve">Oficial de Seguridad de la Información </t>
        </is>
      </c>
      <c r="K1400" s="10" t="inlineStr">
        <is>
          <t xml:space="preserve">Oficial de Seguridad de la Información </t>
        </is>
      </c>
      <c r="L1400" s="10" t="inlineStr">
        <is>
          <t>UBICACIÓN DIGITAL-EQUIPO DEL RESPONSABLE</t>
        </is>
      </c>
      <c r="M1400" s="10" t="inlineStr">
        <is>
          <t>DISCOS DUROS, SERVIDORES, DISCOS O MEDIOS PORTÁTILES, CINTAS O MEDIOS DE VIDEO Y AUDIO, ETC.</t>
        </is>
      </c>
      <c r="N1400" s="10" t="inlineStr">
        <is>
          <t>PRIMARIOS</t>
        </is>
      </c>
      <c r="O1400" s="10" t="inlineStr">
        <is>
          <t>DOCUMENTOS TÉCNICOS</t>
        </is>
      </c>
      <c r="P1400" s="10" t="inlineStr">
        <is>
          <t>USO INTERNO(2)</t>
        </is>
      </c>
      <c r="Q1400" s="10" t="inlineStr">
        <is>
          <t>MEDIA(2)</t>
        </is>
      </c>
      <c r="R1400" s="10" t="inlineStr">
        <is>
          <t>BAJA(1)</t>
        </is>
      </c>
      <c r="S1400" s="10">
        <f>+(IF(P1400="PUBLICA(1)",1,IF(P1400="USO INTERNO(2)",2,IF(P1400="RESTRINGIDO(3)",3,3))))+(IF(Q1400="BAJA(1)",1,IF(Q1400="MEDIA(2)",2,IF(Q1400="ALTA(3)",3,3))))+(IF(R1400="BAJA(1)",1,IF(R1400="MEDIA(2)",2,IF(R1400="ALTA(3)",3,3))))</f>
        <v/>
      </c>
      <c r="T1400" s="10">
        <f>+IF(S1400&lt;6,"BAJA",IF(S1400&lt;8,"MEDIA","ALTA"))</f>
        <v/>
      </c>
      <c r="U1400" s="10" t="inlineStr">
        <is>
          <t>-</t>
        </is>
      </c>
      <c r="V1400" s="24" t="n">
        <v>45712</v>
      </c>
      <c r="W1400" s="19" t="inlineStr">
        <is>
          <t>N/A</t>
        </is>
      </c>
      <c r="X1400" s="10">
        <f>+IFERROR(IF(VLOOKUP(Tabla2[[#This Row],[ID]],'EVALUACION DE RIESGO'!A:A,1,FALSE)=Tabla2[[#This Row],[ID]],"SI","NO"),"NO")</f>
        <v/>
      </c>
      <c r="AD1400">
        <f>IF(AND(Y1400="",AA1400=""),"",IF(OR(LEFT(AA1400,2)="L0",LEFT(AA1400,2)="L1",Y1400="No Iniciado"),"CRÍTICO - Incumplimiento Normativo SEPS",IF(AND(OR(LEFT(AA1400,2)="L4",LEFT(AA1400,2)="L5"),AND(AC1400&lt;&gt;"",AC1400&lt;&gt;"N/A")),"CONFORME - Control Efectivo ISO 27001","OBSERVACIÓN - Revisar Controles")))</f>
        <v/>
      </c>
    </row>
    <row r="1401">
      <c r="A1401" s="99" t="inlineStr">
        <is>
          <t>61-GSO</t>
        </is>
      </c>
      <c r="B1401" s="10" t="inlineStr">
        <is>
          <t>APOYO</t>
        </is>
      </c>
      <c r="C1401" s="10" t="inlineStr">
        <is>
          <t>Gestión de Seguridad Organizacional</t>
        </is>
      </c>
      <c r="D1401" s="10" t="inlineStr">
        <is>
          <t>GSO</t>
        </is>
      </c>
      <c r="E1401" s="10" t="inlineStr">
        <is>
          <t xml:space="preserve">Gestión de Seguridad de la Información </t>
        </is>
      </c>
      <c r="F1401" s="10" t="inlineStr">
        <is>
          <t>-</t>
        </is>
      </c>
      <c r="G1401" s="10" t="inlineStr">
        <is>
          <t>Escaneo de vulnerabilidades internas y externas</t>
        </is>
      </c>
      <c r="H1401" s="10" t="inlineStr">
        <is>
          <t>Informe de vulnerabilidades y acciones</t>
        </is>
      </c>
      <c r="I1401" s="10" t="inlineStr">
        <is>
          <t>Informe de vulnerabilidades reportadas por el proveedor , detalle de la vulnerabilidad y la posible solución</t>
        </is>
      </c>
      <c r="J1401" s="10" t="inlineStr">
        <is>
          <t xml:space="preserve">Oficial de Seguridad de la Información </t>
        </is>
      </c>
      <c r="K1401" s="10" t="inlineStr">
        <is>
          <t xml:space="preserve">Oficial de Seguridad de la Información </t>
        </is>
      </c>
      <c r="L1401" s="10" t="inlineStr">
        <is>
          <t>UBICACIÓN DIGITAL-EQUIPO DEL RESPONSABLE</t>
        </is>
      </c>
      <c r="M1401" s="10" t="inlineStr">
        <is>
          <t>DISCOS DUROS, SERVIDORES, DISCOS O MEDIOS PORTÁTILES, CINTAS O MEDIOS DE VIDEO Y AUDIO, ETC.</t>
        </is>
      </c>
      <c r="N1401" s="10" t="inlineStr">
        <is>
          <t>PRIMARIOS</t>
        </is>
      </c>
      <c r="O1401" s="10" t="inlineStr">
        <is>
          <t>DOCUMENTOS TÉCNICOS</t>
        </is>
      </c>
      <c r="P1401" s="10" t="inlineStr">
        <is>
          <t>USO INTERNO(2)</t>
        </is>
      </c>
      <c r="Q1401" s="10" t="inlineStr">
        <is>
          <t>MEDIA(2)</t>
        </is>
      </c>
      <c r="R1401" s="10" t="inlineStr">
        <is>
          <t>BAJA(1)</t>
        </is>
      </c>
      <c r="S1401" s="10">
        <f>+(IF(P1401="PUBLICA(1)",1,IF(P1401="USO INTERNO(2)",2,IF(P1401="RESTRINGIDO(3)",3,3))))+(IF(Q1401="BAJA(1)",1,IF(Q1401="MEDIA(2)",2,IF(Q1401="ALTA(3)",3,3))))+(IF(R1401="BAJA(1)",1,IF(R1401="MEDIA(2)",2,IF(R1401="ALTA(3)",3,3))))</f>
        <v/>
      </c>
      <c r="T1401" s="10">
        <f>+IF(S1401&lt;6,"BAJA",IF(S1401&lt;8,"MEDIA","ALTA"))</f>
        <v/>
      </c>
      <c r="U1401" s="10" t="inlineStr">
        <is>
          <t>-</t>
        </is>
      </c>
      <c r="V1401" s="24" t="n">
        <v>45712</v>
      </c>
      <c r="W1401" s="19" t="inlineStr">
        <is>
          <t>N/A</t>
        </is>
      </c>
      <c r="X1401" s="10">
        <f>+IFERROR(IF(VLOOKUP(Tabla2[[#This Row],[ID]],'EVALUACION DE RIESGO'!A:A,1,FALSE)=Tabla2[[#This Row],[ID]],"SI","NO"),"NO")</f>
        <v/>
      </c>
      <c r="AD1401">
        <f>IF(AND(Y1401="",AA1401=""),"",IF(OR(LEFT(AA1401,2)="L0",LEFT(AA1401,2)="L1",Y1401="No Iniciado"),"CRÍTICO - Incumplimiento Normativo SEPS",IF(AND(OR(LEFT(AA1401,2)="L4",LEFT(AA1401,2)="L5"),AND(AC1401&lt;&gt;"",AC1401&lt;&gt;"N/A")),"CONFORME - Control Efectivo ISO 27001","OBSERVACIÓN - Revisar Controles")))</f>
        <v/>
      </c>
    </row>
    <row r="1402">
      <c r="A1402" s="99" t="inlineStr">
        <is>
          <t>62-GSO</t>
        </is>
      </c>
      <c r="B1402" s="10" t="inlineStr">
        <is>
          <t>APOYO</t>
        </is>
      </c>
      <c r="C1402" s="10" t="inlineStr">
        <is>
          <t>Gestión de Seguridad Organizacional</t>
        </is>
      </c>
      <c r="D1402" s="10" t="inlineStr">
        <is>
          <t>GSO</t>
        </is>
      </c>
      <c r="E1402" s="10" t="inlineStr">
        <is>
          <t xml:space="preserve">Gestión de Seguridad de la Información </t>
        </is>
      </c>
      <c r="F1402" s="10" t="inlineStr">
        <is>
          <t>-</t>
        </is>
      </c>
      <c r="G1402" s="10" t="inlineStr">
        <is>
          <t>Control de la seguridad de la red</t>
        </is>
      </c>
      <c r="H1402" s="10" t="inlineStr">
        <is>
          <t>Informe Ethical Hacking</t>
        </is>
      </c>
      <c r="I1402" s="10" t="inlineStr">
        <is>
          <t>Informe receptado por el Proveedor con el detalle de los activos analizados</t>
        </is>
      </c>
      <c r="J1402" s="10" t="inlineStr">
        <is>
          <t xml:space="preserve">Oficial de Seguridad de la Información </t>
        </is>
      </c>
      <c r="K1402" s="10" t="inlineStr">
        <is>
          <t xml:space="preserve">Oficial de Seguridad de la Información </t>
        </is>
      </c>
      <c r="L1402" s="10" t="inlineStr">
        <is>
          <t>UBICACIÓN DIGITAL-EQUIPO DEL RESPONSABLE</t>
        </is>
      </c>
      <c r="M1402" s="10" t="inlineStr">
        <is>
          <t>DISCOS DUROS, SERVIDORES, DISCOS O MEDIOS PORTÁTILES, CINTAS O MEDIOS DE VIDEO Y AUDIO, ETC.</t>
        </is>
      </c>
      <c r="N1402" s="10" t="inlineStr">
        <is>
          <t>PRIMARIOS</t>
        </is>
      </c>
      <c r="O1402" s="10" t="inlineStr">
        <is>
          <t>DOCUMENTOS TÉCNICOS</t>
        </is>
      </c>
      <c r="P1402" s="10" t="inlineStr">
        <is>
          <t>USO INTERNO(2)</t>
        </is>
      </c>
      <c r="Q1402" s="10" t="inlineStr">
        <is>
          <t>MEDIA(2)</t>
        </is>
      </c>
      <c r="R1402" s="10" t="inlineStr">
        <is>
          <t>BAJA(1)</t>
        </is>
      </c>
      <c r="S1402" s="10">
        <f>+(IF(P1402="PUBLICA(1)",1,IF(P1402="USO INTERNO(2)",2,IF(P1402="RESTRINGIDO(3)",3,3))))+(IF(Q1402="BAJA(1)",1,IF(Q1402="MEDIA(2)",2,IF(Q1402="ALTA(3)",3,3))))+(IF(R1402="BAJA(1)",1,IF(R1402="MEDIA(2)",2,IF(R1402="ALTA(3)",3,3))))</f>
        <v/>
      </c>
      <c r="T1402" s="10">
        <f>+IF(S1402&lt;6,"BAJA",IF(S1402&lt;8,"MEDIA","ALTA"))</f>
        <v/>
      </c>
      <c r="U1402" s="10" t="inlineStr">
        <is>
          <t>-</t>
        </is>
      </c>
      <c r="V1402" s="24" t="n">
        <v>45712</v>
      </c>
      <c r="W1402" s="19" t="inlineStr">
        <is>
          <t>N/A</t>
        </is>
      </c>
      <c r="X1402" s="10">
        <f>+IFERROR(IF(VLOOKUP(Tabla2[[#This Row],[ID]],'EVALUACION DE RIESGO'!A:A,1,FALSE)=Tabla2[[#This Row],[ID]],"SI","NO"),"NO")</f>
        <v/>
      </c>
      <c r="AD1402">
        <f>IF(AND(Y1402="",AA1402=""),"",IF(OR(LEFT(AA1402,2)="L0",LEFT(AA1402,2)="L1",Y1402="No Iniciado"),"CRÍTICO - Incumplimiento Normativo SEPS",IF(AND(OR(LEFT(AA1402,2)="L4",LEFT(AA1402,2)="L5"),AND(AC1402&lt;&gt;"",AC1402&lt;&gt;"N/A")),"CONFORME - Control Efectivo ISO 27001","OBSERVACIÓN - Revisar Controles")))</f>
        <v/>
      </c>
    </row>
    <row r="1403">
      <c r="A1403" s="99" t="inlineStr">
        <is>
          <t>63-GSO</t>
        </is>
      </c>
      <c r="B1403" s="10" t="inlineStr">
        <is>
          <t>APOYO</t>
        </is>
      </c>
      <c r="C1403" s="10" t="inlineStr">
        <is>
          <t>Gestión de Seguridad Organizacional</t>
        </is>
      </c>
      <c r="D1403" s="10" t="inlineStr">
        <is>
          <t>GSO</t>
        </is>
      </c>
      <c r="E1403" s="10" t="inlineStr">
        <is>
          <t xml:space="preserve">Gestión de Seguridad de la Información </t>
        </is>
      </c>
      <c r="F1403" s="10" t="inlineStr">
        <is>
          <t>-</t>
        </is>
      </c>
      <c r="G1403" s="10" t="inlineStr">
        <is>
          <t>Control de la seguridad de la red</t>
        </is>
      </c>
      <c r="H1403" s="10" t="inlineStr">
        <is>
          <t>Plan de acción</t>
        </is>
      </c>
      <c r="I1403" s="10" t="inlineStr">
        <is>
          <t>Plan de acción propuesto por el OSI para la remediación de las vulnerabilidades</t>
        </is>
      </c>
      <c r="J1403" s="10" t="inlineStr">
        <is>
          <t xml:space="preserve">Oficial de Seguridad de la Información </t>
        </is>
      </c>
      <c r="K1403" s="10" t="inlineStr">
        <is>
          <t xml:space="preserve">Oficial de Seguridad de la Información </t>
        </is>
      </c>
      <c r="L1403" s="10" t="inlineStr">
        <is>
          <t>UBICACIÓN DIGITAL-EQUIPO DEL RESPONSABLE</t>
        </is>
      </c>
      <c r="M1403" s="10" t="inlineStr">
        <is>
          <t>DISCOS DUROS, SERVIDORES, DISCOS O MEDIOS PORTÁTILES, CINTAS O MEDIOS DE VIDEO Y AUDIO, ETC.</t>
        </is>
      </c>
      <c r="N1403" s="10" t="inlineStr">
        <is>
          <t>PRIMARIOS</t>
        </is>
      </c>
      <c r="O1403" s="10" t="inlineStr">
        <is>
          <t>DOCUMENTOS TÉCNICOS</t>
        </is>
      </c>
      <c r="P1403" s="10" t="inlineStr">
        <is>
          <t>USO INTERNO(2)</t>
        </is>
      </c>
      <c r="Q1403" s="10" t="inlineStr">
        <is>
          <t>MEDIA(2)</t>
        </is>
      </c>
      <c r="R1403" s="10" t="inlineStr">
        <is>
          <t>BAJA(1)</t>
        </is>
      </c>
      <c r="S1403" s="10">
        <f>+(IF(P1403="PUBLICA(1)",1,IF(P1403="USO INTERNO(2)",2,IF(P1403="RESTRINGIDO(3)",3,3))))+(IF(Q1403="BAJA(1)",1,IF(Q1403="MEDIA(2)",2,IF(Q1403="ALTA(3)",3,3))))+(IF(R1403="BAJA(1)",1,IF(R1403="MEDIA(2)",2,IF(R1403="ALTA(3)",3,3))))</f>
        <v/>
      </c>
      <c r="T1403" s="10">
        <f>+IF(S1403&lt;6,"BAJA",IF(S1403&lt;8,"MEDIA","ALTA"))</f>
        <v/>
      </c>
      <c r="U1403" s="10" t="inlineStr">
        <is>
          <t>-</t>
        </is>
      </c>
      <c r="V1403" s="24" t="n">
        <v>45712</v>
      </c>
      <c r="W1403" s="19" t="inlineStr">
        <is>
          <t>N/A</t>
        </is>
      </c>
      <c r="X1403" s="10">
        <f>+IFERROR(IF(VLOOKUP(Tabla2[[#This Row],[ID]],'EVALUACION DE RIESGO'!A:A,1,FALSE)=Tabla2[[#This Row],[ID]],"SI","NO"),"NO")</f>
        <v/>
      </c>
      <c r="AD1403">
        <f>IF(AND(Y1403="",AA1403=""),"",IF(OR(LEFT(AA1403,2)="L0",LEFT(AA1403,2)="L1",Y1403="No Iniciado"),"CRÍTICO - Incumplimiento Normativo SEPS",IF(AND(OR(LEFT(AA1403,2)="L4",LEFT(AA1403,2)="L5"),AND(AC1403&lt;&gt;"",AC1403&lt;&gt;"N/A")),"CONFORME - Control Efectivo ISO 27001","OBSERVACIÓN - Revisar Controles")))</f>
        <v/>
      </c>
    </row>
    <row r="1404">
      <c r="A1404" s="99" t="inlineStr">
        <is>
          <t>64-GSO</t>
        </is>
      </c>
      <c r="B1404" s="10" t="inlineStr">
        <is>
          <t>APOYO</t>
        </is>
      </c>
      <c r="C1404" s="10" t="inlineStr">
        <is>
          <t>Gestión de Seguridad Organizacional</t>
        </is>
      </c>
      <c r="D1404" s="10" t="inlineStr">
        <is>
          <t>GSO</t>
        </is>
      </c>
      <c r="E1404" s="10" t="inlineStr">
        <is>
          <t xml:space="preserve">Gestión de Seguridad de la Información </t>
        </is>
      </c>
      <c r="F1404" s="10" t="inlineStr">
        <is>
          <t>-</t>
        </is>
      </c>
      <c r="G1404" s="10" t="inlineStr">
        <is>
          <t xml:space="preserve">Consolidación de información </t>
        </is>
      </c>
      <c r="H1404" s="10" t="inlineStr">
        <is>
          <t>Informe de gestión mensual</t>
        </is>
      </c>
      <c r="I1404" s="10" t="inlineStr">
        <is>
          <t>Informe de gestión mensual de las actividades desarrolladas según el plan operativo</t>
        </is>
      </c>
      <c r="J1404" s="10" t="inlineStr">
        <is>
          <t xml:space="preserve">Oficial de Seguridad de la Información </t>
        </is>
      </c>
      <c r="K1404" s="10" t="inlineStr">
        <is>
          <t xml:space="preserve">Oficial de Seguridad de la Información </t>
        </is>
      </c>
      <c r="L1404" s="10" t="inlineStr">
        <is>
          <t>UBICACIÓN DIGITAL-EQUIPO DEL RESPONSABLE</t>
        </is>
      </c>
      <c r="M1404" s="10" t="inlineStr">
        <is>
          <t>DISCOS DUROS, SERVIDORES, DISCOS O MEDIOS PORTÁTILES, CINTAS O MEDIOS DE VIDEO Y AUDIO, ETC.</t>
        </is>
      </c>
      <c r="N1404" s="10" t="inlineStr">
        <is>
          <t>PRIMARIOS</t>
        </is>
      </c>
      <c r="O1404" s="10" t="inlineStr">
        <is>
          <t>DOCUMENTOS TÉCNICOS</t>
        </is>
      </c>
      <c r="P1404" s="10" t="inlineStr">
        <is>
          <t>RESTRINGIDO(3)</t>
        </is>
      </c>
      <c r="Q1404" s="10" t="inlineStr">
        <is>
          <t>MEDIA(2)</t>
        </is>
      </c>
      <c r="R1404" s="10" t="inlineStr">
        <is>
          <t>MEDIA(2)</t>
        </is>
      </c>
      <c r="S1404" s="10">
        <f>+(IF(P1404="PUBLICA(1)",1,IF(P1404="USO INTERNO(2)",2,IF(P1404="RESTRINGIDO(3)",3,3))))+(IF(Q1404="BAJA(1)",1,IF(Q1404="MEDIA(2)",2,IF(Q1404="ALTA(3)",3,3))))+(IF(R1404="BAJA(1)",1,IF(R1404="MEDIA(2)",2,IF(R1404="ALTA(3)",3,3))))</f>
        <v/>
      </c>
      <c r="T1404" s="10">
        <f>+IF(S1404&lt;6,"BAJA",IF(S1404&lt;8,"MEDIA","ALTA"))</f>
        <v/>
      </c>
      <c r="U1404" s="10" t="inlineStr">
        <is>
          <t>-</t>
        </is>
      </c>
      <c r="V1404" s="24" t="n">
        <v>45712</v>
      </c>
      <c r="W1404" s="19" t="inlineStr">
        <is>
          <t>N/A</t>
        </is>
      </c>
      <c r="X1404" s="10">
        <f>+IFERROR(IF(VLOOKUP(Tabla2[[#This Row],[ID]],'EVALUACION DE RIESGO'!A:A,1,FALSE)=Tabla2[[#This Row],[ID]],"SI","NO"),"NO")</f>
        <v/>
      </c>
      <c r="AD1404">
        <f>IF(AND(Y1404="",AA1404=""),"",IF(OR(LEFT(AA1404,2)="L0",LEFT(AA1404,2)="L1",Y1404="No Iniciado"),"CRÍTICO - Incumplimiento Normativo SEPS",IF(AND(OR(LEFT(AA1404,2)="L4",LEFT(AA1404,2)="L5"),AND(AC1404&lt;&gt;"",AC1404&lt;&gt;"N/A")),"CONFORME - Control Efectivo ISO 27001","OBSERVACIÓN - Revisar Controles")))</f>
        <v/>
      </c>
    </row>
    <row r="1405">
      <c r="A1405" s="99" t="inlineStr">
        <is>
          <t>65-GSO</t>
        </is>
      </c>
      <c r="B1405" s="10" t="inlineStr">
        <is>
          <t>APOYO</t>
        </is>
      </c>
      <c r="C1405" s="10" t="inlineStr">
        <is>
          <t>Gestión de Seguridad Organizacional</t>
        </is>
      </c>
      <c r="D1405" s="10" t="inlineStr">
        <is>
          <t>GSO</t>
        </is>
      </c>
      <c r="E1405" s="10" t="inlineStr">
        <is>
          <t xml:space="preserve">Gestión de Seguridad de la Información </t>
        </is>
      </c>
      <c r="F1405" s="10" t="inlineStr">
        <is>
          <t>-</t>
        </is>
      </c>
      <c r="G1405" s="10" t="inlineStr">
        <is>
          <t>N/A</t>
        </is>
      </c>
      <c r="H1405" s="10" t="inlineStr">
        <is>
          <t xml:space="preserve">Equipos de computación </t>
        </is>
      </c>
      <c r="I1405" s="10" t="inlineStr">
        <is>
          <t>Equipos de computación donde se realiza la gestión del área</t>
        </is>
      </c>
      <c r="J1405" s="10" t="inlineStr">
        <is>
          <t xml:space="preserve">Oficial de Seguridad de la Información </t>
        </is>
      </c>
      <c r="K1405" s="10" t="inlineStr">
        <is>
          <t xml:space="preserve">Oficial de Seguridad de la Información </t>
        </is>
      </c>
      <c r="L1405" s="10" t="inlineStr">
        <is>
          <t>UBICACIÓN FISICA-SUCURSAL IBARRA</t>
        </is>
      </c>
      <c r="M1405" s="10" t="inlineStr">
        <is>
          <t>DISCOS DUROS, SERVIDORES, DISCOS O MEDIOS PORTÁTILES, CINTAS O MEDIOS DE VIDEO Y AUDIO, ETC.</t>
        </is>
      </c>
      <c r="N1405" s="10" t="inlineStr">
        <is>
          <t>APOYO</t>
        </is>
      </c>
      <c r="O1405" s="10" t="inlineStr">
        <is>
          <t>HARDWARE</t>
        </is>
      </c>
      <c r="P1405" s="10" t="inlineStr">
        <is>
          <t>USO INTERNO(2)</t>
        </is>
      </c>
      <c r="Q1405" s="10" t="inlineStr">
        <is>
          <t>MEDIA(2)</t>
        </is>
      </c>
      <c r="R1405" s="10" t="inlineStr">
        <is>
          <t>MEDIA(2)</t>
        </is>
      </c>
      <c r="S1405" s="10">
        <f>+(IF(P1405="PUBLICA(1)",1,IF(P1405="USO INTERNO(2)",2,IF(P1405="RESTRINGIDO(3)",3,3))))+(IF(Q1405="BAJA(1)",1,IF(Q1405="MEDIA(2)",2,IF(Q1405="ALTA(3)",3,3))))+(IF(R1405="BAJA(1)",1,IF(R1405="MEDIA(2)",2,IF(R1405="ALTA(3)",3,3))))</f>
        <v/>
      </c>
      <c r="T1405" s="10">
        <f>+IF(S1405&lt;6,"BAJA",IF(S1405&lt;8,"MEDIA","ALTA"))</f>
        <v/>
      </c>
      <c r="U1405" s="10" t="inlineStr">
        <is>
          <t>-</t>
        </is>
      </c>
      <c r="V1405" s="24" t="n">
        <v>45712</v>
      </c>
      <c r="W1405" s="19" t="inlineStr">
        <is>
          <t>N/A</t>
        </is>
      </c>
      <c r="X1405" s="10">
        <f>+IFERROR(IF(VLOOKUP(Tabla2[[#This Row],[ID]],'EVALUACION DE RIESGO'!A:A,1,FALSE)=Tabla2[[#This Row],[ID]],"SI","NO"),"NO")</f>
        <v/>
      </c>
      <c r="AD1405">
        <f>IF(AND(Y1405="",AA1405=""),"",IF(OR(LEFT(AA1405,2)="L0",LEFT(AA1405,2)="L1",Y1405="No Iniciado"),"CRÍTICO - Incumplimiento Normativo SEPS",IF(AND(OR(LEFT(AA1405,2)="L4",LEFT(AA1405,2)="L5"),AND(AC1405&lt;&gt;"",AC1405&lt;&gt;"N/A")),"CONFORME - Control Efectivo ISO 27001","OBSERVACIÓN - Revisar Controles")))</f>
        <v/>
      </c>
    </row>
    <row r="1406">
      <c r="A1406" s="20" t="inlineStr">
        <is>
          <t>66-GSO</t>
        </is>
      </c>
      <c r="B1406" s="21" t="inlineStr">
        <is>
          <t>APOYO</t>
        </is>
      </c>
      <c r="C1406" s="21" t="inlineStr">
        <is>
          <t>Gestión de Seguridad Organizacional</t>
        </is>
      </c>
      <c r="D1406" s="21" t="inlineStr">
        <is>
          <t>GSO</t>
        </is>
      </c>
      <c r="E1406" s="21" t="inlineStr">
        <is>
          <t xml:space="preserve">Gestión de Seguridad de la Información </t>
        </is>
      </c>
      <c r="F1406" s="21" t="inlineStr">
        <is>
          <t>-</t>
        </is>
      </c>
      <c r="G1406" s="21" t="inlineStr">
        <is>
          <t>N/A</t>
        </is>
      </c>
      <c r="H1406" s="21" t="inlineStr">
        <is>
          <t>Oficial de Seguridad de la Información</t>
        </is>
      </c>
      <c r="I1406" s="21" t="inlineStr">
        <is>
          <t>N/A</t>
        </is>
      </c>
      <c r="J1406" s="21" t="inlineStr">
        <is>
          <t xml:space="preserve">Oficial de Seguridad de la Información </t>
        </is>
      </c>
      <c r="K1406" s="21" t="inlineStr">
        <is>
          <t>N/A</t>
        </is>
      </c>
      <c r="L1406" s="21" t="inlineStr">
        <is>
          <t>N/A</t>
        </is>
      </c>
      <c r="M1406" s="21" t="inlineStr">
        <is>
          <t>N/A</t>
        </is>
      </c>
      <c r="N1406" s="21" t="inlineStr">
        <is>
          <t>APOYO</t>
        </is>
      </c>
      <c r="O1406" s="21" t="inlineStr">
        <is>
          <t>RECURSO HUMANO</t>
        </is>
      </c>
      <c r="P1406" s="21" t="inlineStr">
        <is>
          <t>USO INTERNO(2)</t>
        </is>
      </c>
      <c r="Q1406" s="21" t="inlineStr">
        <is>
          <t>MEDIA(2)</t>
        </is>
      </c>
      <c r="R1406" s="21" t="inlineStr">
        <is>
          <t>MEDIA(2)</t>
        </is>
      </c>
      <c r="S1406" s="21">
        <f>+(IF(P1406="PUBLICA(1)",1,IF(P1406="USO INTERNO(2)",2,IF(P1406="RESTRINGIDO(3)",3,3))))+(IF(Q1406="BAJA(1)",1,IF(Q1406="MEDIA(2)",2,IF(Q1406="ALTA(3)",3,3))))+(IF(R1406="BAJA(1)",1,IF(R1406="MEDIA(2)",2,IF(R1406="ALTA(3)",3,3))))</f>
        <v/>
      </c>
      <c r="T1406" s="21">
        <f>+IF(S1406&lt;6,"BAJA",IF(S1406&lt;8,"MEDIA","ALTA"))</f>
        <v/>
      </c>
      <c r="U1406" s="21" t="inlineStr">
        <is>
          <t>-</t>
        </is>
      </c>
      <c r="V1406" s="25" t="n">
        <v>45712</v>
      </c>
      <c r="W1406" s="22" t="inlineStr">
        <is>
          <t>N/A</t>
        </is>
      </c>
      <c r="X1406" s="21">
        <f>+IFERROR(IF(VLOOKUP(Tabla2[[#This Row],[ID]],'EVALUACION DE RIESGO'!A:A,1,FALSE)=Tabla2[[#This Row],[ID]],"SI","NO"),"NO")</f>
        <v/>
      </c>
      <c r="AD1406">
        <f>IF(AND(Y1406="",AA1406=""),"",IF(OR(LEFT(AA1406,2)="L0",LEFT(AA1406,2)="L1",Y1406="No Iniciado"),"CRÍTICO - Incumplimiento Normativo SEPS",IF(AND(OR(LEFT(AA1406,2)="L4",LEFT(AA1406,2)="L5"),AND(AC1406&lt;&gt;"",AC1406&lt;&gt;"N/A")),"CONFORME - Control Efectivo ISO 27001","OBSERVACIÓN - Revisar Controles")))</f>
        <v/>
      </c>
    </row>
    <row r="1407"/>
  </sheetData>
  <autoFilter ref="Y2:AC1406"/>
  <mergeCells count="3">
    <mergeCell ref="P1:R1"/>
    <mergeCell ref="S1:T1"/>
    <mergeCell ref="B1:G1"/>
  </mergeCells>
  <conditionalFormatting sqref="AD3:AD1406">
    <cfRule type="cellIs" priority="1" operator="equal" dxfId="80" stopIfTrue="1">
      <formula>"CRÍTICO - Incumplimiento Normativo SEPS"</formula>
    </cfRule>
    <cfRule type="cellIs" priority="2" operator="equal" dxfId="81" stopIfTrue="1">
      <formula>"CONFORME - Control Efectivo ISO 27001"</formula>
    </cfRule>
    <cfRule type="cellIs" priority="3" operator="equal" dxfId="82" stopIfTrue="1">
      <formula>"OBSERVACIÓN - Revisar Controles"</formula>
    </cfRule>
    <cfRule type="cellIs" priority="4" operator="equal" dxfId="80" stopIfTrue="0">
      <formula>"CRÍTICO - Incumplimiento Normativo SEPS"</formula>
    </cfRule>
    <cfRule type="cellIs" priority="5" operator="equal" dxfId="81" stopIfTrue="0">
      <formula>"CONFORME - Control Efectivo ISO 27001"</formula>
    </cfRule>
    <cfRule type="cellIs" priority="6" operator="equal" dxfId="82" stopIfTrue="0">
      <formula>"OBSERVACIÓN - Revisar Controles"</formula>
    </cfRule>
    <cfRule type="cellIs" priority="7" operator="equal" dxfId="80" stopIfTrue="0">
      <formula>"CRÍTICO - Incumplimiento Normativo SEPS"</formula>
    </cfRule>
    <cfRule type="cellIs" priority="8" operator="equal" dxfId="81" stopIfTrue="0">
      <formula>"CONFORME - Control Efectivo ISO 27001"</formula>
    </cfRule>
    <cfRule type="cellIs" priority="9" operator="equal" dxfId="82" stopIfTrue="0">
      <formula>"OBSERVACIÓN - Revisar Controles"</formula>
    </cfRule>
  </conditionalFormatting>
  <dataValidations count="5">
    <dataValidation sqref="Y3 Y4 Y5 Y6 Y7 Y8 Y9 Y10 Y11 Y12 Y13 Y14 Y15 Y16 Y17 Y18 Y19 Y20 Y21 Y22 Y23 Y24 Y25 Y26 Y27 Y28 Y29 Y30 Y31 Y32 Y33 Y34 Y35 Y36 Y37 Y38 Y39 Y40 Y41 Y42 Y43 Y44 Y45 Y46 Y47 Y48 Y49 Y50 Y51 Y52 Y53 Y54 Y55 Y56 Y57 Y58 Y59 Y60 Y61 Y62 Y63 Y64 Y65 Y66 Y67 Y68 Y69 Y70 Y71 Y72 Y73 Y74 Y75 Y76 Y77 Y78 Y79 Y80 Y81 Y82 Y83 Y84 Y85 Y86 Y87 Y88 Y89 Y90 Y91 Y92 Y93 Y94 Y95 Y96 Y97 Y98 Y99 Y100 Y101 Y102 Y103 Y104 Y105 Y106 Y107 Y108 Y109 Y110 Y111 Y112 Y113 Y114 Y115 Y116 Y117 Y118 Y119 Y120 Y121 Y122 Y123 Y124 Y125 Y126 Y127 Y128 Y129 Y130 Y131 Y132 Y133 Y134 Y135 Y136 Y137 Y138 Y139 Y140 Y141 Y142 Y143 Y144 Y145 Y146 Y147 Y148 Y149 Y150 Y151 Y152 Y153 Y154 Y155 Y156 Y157 Y158 Y159 Y160 Y161 Y162 Y163 Y164 Y165 Y166 Y167 Y168 Y169 Y170 Y171 Y172 Y173 Y174 Y175 Y176 Y177 Y178 Y179 Y180 Y181 Y182 Y183 Y184 Y185 Y186 Y187 Y188 Y189 Y190 Y191 Y192 Y193 Y194 Y195 Y196 Y197 Y198 Y199 Y200 Y201 Y202 Y203 Y204 Y205 Y206 Y207 Y208 Y209 Y210 Y211 Y212 Y213 Y214 Y215 Y216 Y217 Y218 Y219 Y220 Y221 Y222 Y223 Y224 Y225 Y226 Y227 Y228 Y229 Y230 Y231 Y232 Y233 Y234 Y235 Y236 Y237 Y238 Y239 Y240 Y241 Y242 Y243 Y244 Y245 Y246 Y247 Y248 Y249 Y250 Y251 Y252 Y253 Y254 Y255 Y256 Y257 Y258 Y259 Y260 Y261 Y262 Y263 Y264 Y265 Y266 Y267 Y268 Y269 Y270 Y271 Y272 Y273 Y274 Y275 Y276 Y277 Y278 Y279 Y280 Y281 Y282 Y283 Y284 Y285 Y286 Y287 Y288 Y289 Y290 Y291 Y292 Y293 Y294 Y295 Y296 Y297 Y298 Y299 Y300 Y301 Y302 Y303 Y304 Y305 Y306 Y307 Y308 Y309 Y310 Y311 Y312 Y313 Y314 Y315 Y316 Y317 Y318 Y319 Y320 Y321 Y322 Y323 Y324 Y325 Y326 Y327 Y328 Y329 Y330 Y331 Y332 Y333 Y334 Y335 Y336 Y337 Y338 Y339 Y340 Y341 Y342 Y343 Y344 Y345 Y346 Y347 Y348 Y349 Y350 Y351 Y352 Y353 Y354 Y355 Y356 Y357 Y358 Y359 Y360 Y361 Y362 Y363 Y364 Y365 Y366 Y367 Y368 Y369 Y370 Y371 Y372 Y373 Y374 Y375 Y376 Y377 Y378 Y379 Y380 Y381 Y382 Y383 Y384 Y385 Y386 Y387 Y388 Y389 Y390 Y391 Y392 Y393 Y394 Y395 Y396 Y397 Y398 Y399 Y400 Y401 Y402 Y403 Y404 Y405 Y406 Y407 Y408 Y409 Y410 Y411 Y412 Y413 Y414 Y415 Y416 Y417 Y418 Y419 Y420 Y421 Y422 Y423 Y424 Y425 Y426 Y427 Y428 Y429 Y430 Y431 Y432 Y433 Y434 Y435 Y436 Y437 Y438 Y439 Y440 Y441 Y442 Y443 Y444 Y445 Y446 Y447 Y448 Y449 Y450 Y451 Y452 Y453 Y454 Y455 Y456 Y457 Y458 Y459 Y460 Y461 Y462 Y463 Y464 Y465 Y466 Y467 Y468 Y469 Y470 Y471 Y472 Y473 Y474 Y475 Y476 Y477 Y478 Y479 Y480 Y481 Y482 Y483 Y484 Y485 Y486 Y487 Y488 Y489 Y490 Y491 Y492 Y493 Y494 Y495 Y496 Y497 Y498 Y499 Y500 Y501 Y502 Y503 Y504 Y505 Y506 Y507 Y508 Y509 Y510 Y511 Y512 Y513 Y514 Y515 Y516 Y517 Y518 Y519 Y520 Y521 Y522 Y523 Y524 Y525 Y526 Y527 Y528 Y529 Y530 Y531 Y532 Y533 Y534 Y535 Y536 Y537 Y538 Y539 Y540 Y541 Y542 Y543 Y544 Y545 Y546 Y547 Y548 Y549 Y550 Y551 Y552 Y553 Y554 Y555 Y556 Y557 Y558 Y559 Y560 Y561 Y562 Y563 Y564 Y565 Y566 Y567 Y568 Y569 Y570 Y571 Y572 Y573 Y574 Y575 Y576 Y577 Y578 Y579 Y580 Y581 Y582 Y583 Y584 Y585 Y586 Y587 Y588 Y589 Y590 Y591 Y592 Y593 Y594 Y595 Y596 Y597 Y598 Y599 Y600 Y601 Y602 Y603 Y604 Y605 Y606 Y607 Y608 Y609 Y610 Y611 Y612 Y613 Y614 Y615 Y616 Y617 Y618 Y619 Y620 Y621 Y622 Y623 Y624 Y625 Y626 Y627 Y628 Y629 Y630 Y631 Y632 Y633 Y634 Y635 Y636 Y637 Y638 Y639 Y640 Y641 Y642 Y643 Y644 Y645 Y646 Y647 Y648 Y649 Y650 Y651 Y652 Y653 Y654 Y655 Y656 Y657 Y658 Y659 Y660 Y661 Y662 Y663 Y664 Y665 Y666 Y667 Y668 Y669 Y670 Y671 Y672 Y673 Y674 Y675 Y676 Y677 Y678 Y679 Y680 Y681 Y682 Y683 Y684 Y685 Y686 Y687 Y688 Y689 Y690 Y691 Y692 Y693 Y694 Y695 Y696 Y697 Y698 Y699 Y700 Y701 Y702 Y703 Y704 Y705 Y706 Y707 Y708 Y709 Y710 Y711 Y712 Y713 Y714 Y715 Y716 Y717 Y718 Y719 Y720 Y721 Y722 Y723 Y724 Y725 Y726 Y727 Y728 Y729 Y730 Y731 Y732 Y733 Y734 Y735 Y736 Y737 Y738 Y739 Y740 Y741 Y742 Y743 Y744 Y745 Y746 Y747 Y748 Y749 Y750 Y751 Y752 Y753 Y754 Y755 Y756 Y757 Y758 Y759 Y760 Y761 Y762 Y763 Y764 Y765 Y766 Y767 Y768 Y769 Y770 Y771 Y772 Y773 Y774 Y775 Y776 Y777 Y778 Y779 Y780 Y781 Y782 Y783 Y784 Y785 Y786 Y787 Y788 Y789 Y790 Y791 Y792 Y793 Y794 Y795 Y796 Y797 Y798 Y799 Y800 Y801 Y802 Y803 Y804 Y805 Y806 Y807 Y808 Y809 Y810 Y811 Y812 Y813 Y814 Y815 Y816 Y817 Y818 Y819 Y820 Y821 Y822 Y823 Y824 Y825 Y826 Y827 Y828 Y829 Y830 Y831 Y832 Y833 Y834 Y835 Y836 Y837 Y838 Y839 Y840 Y841 Y842 Y843 Y844 Y845 Y846 Y847 Y848 Y849 Y850 Y851 Y852 Y853 Y854 Y855 Y856 Y857 Y858 Y859 Y860 Y861 Y862 Y863 Y864 Y865 Y866 Y867 Y868 Y869 Y870 Y871 Y872 Y873 Y874 Y875 Y876 Y877 Y878 Y879 Y880 Y881 Y882 Y883 Y884 Y885 Y886 Y887 Y888 Y889 Y890 Y891 Y892 Y893 Y894 Y895 Y896 Y897 Y898 Y899 Y900 Y901 Y902 Y903 Y904 Y905 Y906 Y907 Y908 Y909 Y910 Y911 Y912 Y913 Y914 Y915 Y916 Y917 Y918 Y919 Y920 Y921 Y922 Y923 Y924 Y925 Y926 Y927 Y928 Y929 Y930 Y931 Y932 Y933 Y934 Y935 Y936 Y937 Y938 Y939 Y940 Y941 Y942 Y943 Y944 Y945 Y946 Y947 Y948 Y949 Y950 Y951 Y952 Y953 Y954 Y955 Y956 Y957 Y958 Y959 Y960 Y961 Y962 Y963 Y964 Y965 Y966 Y967 Y968 Y969 Y970 Y971 Y972 Y973 Y974 Y975 Y976 Y977 Y978 Y979 Y980 Y981 Y982 Y983 Y984 Y985 Y986 Y987 Y988 Y989 Y990 Y991 Y992 Y993 Y994 Y995 Y996 Y997 Y998 Y999 Y1000 Y1001 Y1002 Y1003 Y1004 Y1005 Y1006 Y1007 Y1008 Y1009 Y1010 Y1011 Y1012 Y1013 Y1014 Y1015 Y1016 Y1017 Y1018 Y1019 Y1020 Y1021 Y1022 Y1023 Y1024 Y1025 Y1026 Y1027 Y1028 Y1029 Y1030 Y1031 Y1032 Y1033 Y1034 Y1035 Y1036 Y1037 Y1038 Y1039 Y1040 Y1041 Y1042 Y1043 Y1044 Y1045 Y1046 Y1047 Y1048 Y1049 Y1050 Y1051 Y1052 Y1053 Y1054 Y1055 Y1056 Y1057 Y1058 Y1059 Y1060 Y1061 Y1062 Y1063 Y1064 Y1065 Y1066 Y1067 Y1068 Y1069 Y1070 Y1071 Y1072 Y1073 Y1074 Y1075 Y1076 Y1077 Y1078 Y1079 Y1080 Y1081 Y1082 Y1083 Y1084 Y1085 Y1086 Y1087 Y1088 Y1089 Y1090 Y1091 Y1092 Y1093 Y1094 Y1095 Y1096 Y1097 Y1098 Y1099 Y1100 Y1101 Y1102 Y1103 Y1104 Y1105 Y1106 Y1107 Y1108 Y1109 Y1110 Y1111 Y1112 Y1113 Y1114 Y1115 Y1116 Y1117 Y1118 Y1119 Y1120 Y1121 Y1122 Y1123 Y1124 Y1125 Y1126 Y1127 Y1128 Y1129 Y1130 Y1131 Y1132 Y1133 Y1134 Y1135 Y1136 Y1137 Y1138 Y1139 Y1140 Y1141 Y1142 Y1143 Y1144 Y1145 Y1146 Y1147 Y1148 Y1149 Y1150 Y1151 Y1152 Y1153 Y1154 Y1155 Y1156 Y1157 Y1158 Y1159 Y1160 Y1161 Y1162 Y1163 Y1164 Y1165 Y1166 Y1167 Y1168 Y1169 Y1170 Y1171 Y1172 Y1173 Y1174 Y1175 Y1176 Y1177 Y1178 Y1179 Y1180 Y1181 Y1182 Y1183 Y1184 Y1185 Y1186 Y1187 Y1188 Y1189 Y1190 Y1191 Y1192 Y1193 Y1194 Y1195 Y1196 Y1197 Y1198 Y1199 Y1200 Y1201 Y1202 Y1203 Y1204 Y1205 Y1206 Y1207 Y1208 Y1209 Y1210 Y1211 Y1212 Y1213 Y1214 Y1215 Y1216 Y1217 Y1218 Y1219 Y1220 Y1221 Y1222 Y1223 Y1224 Y1225 Y1226 Y1227 Y1228 Y1229 Y1230 Y1231 Y1232 Y1233 Y1234 Y1235 Y1236 Y1237 Y1238 Y1239 Y1240 Y1241 Y1242 Y1243 Y1244 Y1245 Y1246 Y1247 Y1248 Y1249 Y1250 Y1251 Y1252 Y1253 Y1254 Y1255 Y1256 Y1257 Y1258 Y1259 Y1260 Y1261 Y1262 Y1263 Y1264 Y1265 Y1266 Y1267 Y1268 Y1269 Y1270 Y1271 Y1272 Y1273 Y1274 Y1275 Y1276 Y1277 Y1278 Y1279 Y1280 Y1281 Y1282 Y1283 Y1284 Y1285 Y1286 Y1287 Y1288 Y1289 Y1290 Y1291 Y1292 Y1293 Y1294 Y1295 Y1296 Y1297 Y1298 Y1299 Y1300 Y1301 Y1302 Y1303 Y1304 Y1305 Y1306 Y1307 Y1308 Y1309 Y1310 Y1311 Y1312 Y1313 Y1314 Y1315 Y1316 Y1317 Y1318 Y1319 Y1320 Y1321 Y1322 Y1323 Y1324 Y1325 Y1326 Y1327 Y1328 Y1329 Y1330 Y1331 Y1332 Y1333 Y1334 Y1335 Y1336 Y1337 Y1338 Y1339 Y1340 Y1341 Y1342 Y1343 Y1344 Y1345 Y1346 Y1347 Y1348 Y1349 Y1350 Y1351 Y1352 Y1353 Y1354 Y1355 Y1356 Y1357 Y1358 Y1359 Y1360 Y1361 Y1362 Y1363 Y1364 Y1365 Y1366 Y1367 Y1368 Y1369 Y1370 Y1371 Y1372 Y1373 Y1374 Y1375 Y1376 Y1377 Y1378 Y1379 Y1380 Y1381 Y1382 Y1383 Y1384 Y1385 Y1386 Y1387 Y1388 Y1389 Y1390 Y1391 Y1392 Y1393 Y1394 Y1395 Y1396 Y1397 Y1398 Y1399 Y1400 Y1401 Y1402 Y1403 Y1404 Y1405 Y1406" showDropDown="0" showInputMessage="0" showErrorMessage="0" allowBlank="1" type="list">
      <formula1>"Implementado,En proceso,No Iniciado,No Aplica"</formula1>
    </dataValidation>
    <dataValidation sqref="Z3 Z4 Z5 Z6 Z7 Z8 Z9 Z10 Z11 Z12 Z13 Z14 Z15 Z16 Z17 Z18 Z19 Z20 Z21 Z22 Z23 Z24 Z25 Z26 Z27 Z28 Z29 Z30 Z31 Z32 Z33 Z34 Z35 Z36 Z37 Z38 Z39 Z40 Z41 Z42 Z43 Z44 Z45 Z46 Z47 Z48 Z49 Z50 Z51 Z52 Z53 Z54 Z55 Z56 Z57 Z58 Z59 Z60 Z61 Z62 Z63 Z64 Z65 Z66 Z67 Z68 Z69 Z70 Z71 Z72 Z73 Z74 Z75 Z76 Z77 Z78 Z79 Z80 Z81 Z82 Z83 Z84 Z85 Z86 Z87 Z88 Z89 Z90 Z91 Z92 Z93 Z94 Z95 Z96 Z97 Z98 Z99 Z100 Z101 Z102 Z103 Z104 Z105 Z106 Z107 Z108 Z109 Z110 Z111 Z112 Z113 Z114 Z115 Z116 Z117 Z118 Z119 Z120 Z121 Z122 Z123 Z124 Z125 Z126 Z127 Z128 Z129 Z130 Z131 Z132 Z133 Z134 Z135 Z136 Z137 Z138 Z139 Z140 Z141 Z142 Z143 Z144 Z145 Z146 Z147 Z148 Z149 Z150 Z151 Z152 Z153 Z154 Z155 Z156 Z157 Z158 Z159 Z160 Z161 Z162 Z163 Z164 Z165 Z166 Z167 Z168 Z169 Z170 Z171 Z172 Z173 Z174 Z175 Z176 Z177 Z178 Z179 Z180 Z181 Z182 Z183 Z184 Z185 Z186 Z187 Z188 Z189 Z190 Z191 Z192 Z193 Z194 Z195 Z196 Z197 Z198 Z199 Z200 Z201 Z202 Z203 Z204 Z205 Z206 Z207 Z208 Z209 Z210 Z211 Z212 Z213 Z214 Z215 Z216 Z217 Z218 Z219 Z220 Z221 Z222 Z223 Z224 Z225 Z226 Z227 Z228 Z229 Z230 Z231 Z232 Z233 Z234 Z235 Z236 Z237 Z238 Z239 Z240 Z241 Z242 Z243 Z244 Z245 Z246 Z247 Z248 Z249 Z250 Z251 Z252 Z253 Z254 Z255 Z256 Z257 Z258 Z259 Z260 Z261 Z262 Z263 Z264 Z265 Z266 Z267 Z268 Z269 Z270 Z271 Z272 Z273 Z274 Z275 Z276 Z277 Z278 Z279 Z280 Z281 Z282 Z283 Z284 Z285 Z286 Z287 Z288 Z289 Z290 Z291 Z292 Z293 Z294 Z295 Z296 Z297 Z298 Z299 Z300 Z301 Z302 Z303 Z304 Z305 Z306 Z307 Z308 Z309 Z310 Z311 Z312 Z313 Z314 Z315 Z316 Z317 Z318 Z319 Z320 Z321 Z322 Z323 Z324 Z325 Z326 Z327 Z328 Z329 Z330 Z331 Z332 Z333 Z334 Z335 Z336 Z337 Z338 Z339 Z340 Z341 Z342 Z343 Z344 Z345 Z346 Z347 Z348 Z349 Z350 Z351 Z352 Z353 Z354 Z355 Z356 Z357 Z358 Z359 Z360 Z361 Z362 Z363 Z364 Z365 Z366 Z367 Z368 Z369 Z370 Z371 Z372 Z373 Z374 Z375 Z376 Z377 Z378 Z379 Z380 Z381 Z382 Z383 Z384 Z385 Z386 Z387 Z388 Z389 Z390 Z391 Z392 Z393 Z394 Z395 Z396 Z397 Z398 Z399 Z400 Z401 Z402 Z403 Z404 Z405 Z406 Z407 Z408 Z409 Z410 Z411 Z412 Z413 Z414 Z415 Z416 Z417 Z418 Z419 Z420 Z421 Z422 Z423 Z424 Z425 Z426 Z427 Z428 Z429 Z430 Z431 Z432 Z433 Z434 Z435 Z436 Z437 Z438 Z439 Z440 Z441 Z442 Z443 Z444 Z445 Z446 Z447 Z448 Z449 Z450 Z451 Z452 Z453 Z454 Z455 Z456 Z457 Z458 Z459 Z460 Z461 Z462 Z463 Z464 Z465 Z466 Z467 Z468 Z469 Z470 Z471 Z472 Z473 Z474 Z475 Z476 Z477 Z478 Z479 Z480 Z481 Z482 Z483 Z484 Z485 Z486 Z487 Z488 Z489 Z490 Z491 Z492 Z493 Z494 Z495 Z496 Z497 Z498 Z499 Z500 Z501 Z502 Z503 Z504 Z505 Z506 Z507 Z508 Z509 Z510 Z511 Z512 Z513 Z514 Z515 Z516 Z517 Z518 Z519 Z520 Z521 Z522 Z523 Z524 Z525 Z526 Z527 Z528 Z529 Z530 Z531 Z532 Z533 Z534 Z535 Z536 Z537 Z538 Z539 Z540 Z541 Z542 Z543 Z544 Z545 Z546 Z547 Z548 Z549 Z550 Z551 Z552 Z553 Z554 Z555 Z556 Z557 Z558 Z559 Z560 Z561 Z562 Z563 Z564 Z565 Z566 Z567 Z568 Z569 Z570 Z571 Z572 Z573 Z574 Z575 Z576 Z577 Z578 Z579 Z580 Z581 Z582 Z583 Z584 Z585 Z586 Z587 Z588 Z589 Z590 Z591 Z592 Z593 Z594 Z595 Z596 Z597 Z598 Z599 Z600 Z601 Z602 Z603 Z604 Z605 Z606 Z607 Z608 Z609 Z610 Z611 Z612 Z613 Z614 Z615 Z616 Z617 Z618 Z619 Z620 Z621 Z622 Z623 Z624 Z625 Z626 Z627 Z628 Z629 Z630 Z631 Z632 Z633 Z634 Z635 Z636 Z637 Z638 Z639 Z640 Z641 Z642 Z643 Z644 Z645 Z646 Z647 Z648 Z649 Z650 Z651 Z652 Z653 Z654 Z655 Z656 Z657 Z658 Z659 Z660 Z661 Z662 Z663 Z664 Z665 Z666 Z667 Z668 Z669 Z670 Z671 Z672 Z673 Z674 Z675 Z676 Z677 Z678 Z679 Z680 Z681 Z682 Z683 Z684 Z685 Z686 Z687 Z688 Z689 Z690 Z691 Z692 Z693 Z694 Z695 Z696 Z697 Z698 Z699 Z700 Z701 Z702 Z703 Z704 Z705 Z706 Z707 Z708 Z709 Z710 Z711 Z712 Z713 Z714 Z715 Z716 Z717 Z718 Z719 Z720 Z721 Z722 Z723 Z724 Z725 Z726 Z727 Z728 Z729 Z730 Z731 Z732 Z733 Z734 Z735 Z736 Z737 Z738 Z739 Z740 Z741 Z742 Z743 Z744 Z745 Z746 Z747 Z748 Z749 Z750 Z751 Z752 Z753 Z754 Z755 Z756 Z757 Z758 Z759 Z760 Z761 Z762 Z763 Z764 Z765 Z766 Z767 Z768 Z769 Z770 Z771 Z772 Z773 Z774 Z775 Z776 Z777 Z778 Z779 Z780 Z781 Z782 Z783 Z784 Z785 Z786 Z787 Z788 Z789 Z790 Z791 Z792 Z793 Z794 Z795 Z796 Z797 Z798 Z799 Z800 Z801 Z802 Z803 Z804 Z805 Z806 Z807 Z808 Z809 Z810 Z811 Z812 Z813 Z814 Z815 Z816 Z817 Z818 Z819 Z820 Z821 Z822 Z823 Z824 Z825 Z826 Z827 Z828 Z829 Z830 Z831 Z832 Z833 Z834 Z835 Z836 Z837 Z838 Z839 Z840 Z841 Z842 Z843 Z844 Z845 Z846 Z847 Z848 Z849 Z850 Z851 Z852 Z853 Z854 Z855 Z856 Z857 Z858 Z859 Z860 Z861 Z862 Z863 Z864 Z865 Z866 Z867 Z868 Z869 Z870 Z871 Z872 Z873 Z874 Z875 Z876 Z877 Z878 Z879 Z880 Z881 Z882 Z883 Z884 Z885 Z886 Z887 Z888 Z889 Z890 Z891 Z892 Z893 Z894 Z895 Z896 Z897 Z898 Z899 Z900 Z901 Z902 Z903 Z904 Z905 Z906 Z907 Z908 Z909 Z910 Z911 Z912 Z913 Z914 Z915 Z916 Z917 Z918 Z919 Z920 Z921 Z922 Z923 Z924 Z925 Z926 Z927 Z928 Z929 Z930 Z931 Z932 Z933 Z934 Z935 Z936 Z937 Z938 Z939 Z940 Z941 Z942 Z943 Z944 Z945 Z946 Z947 Z948 Z949 Z950 Z951 Z952 Z953 Z954 Z955 Z956 Z957 Z958 Z959 Z960 Z961 Z962 Z963 Z964 Z965 Z966 Z967 Z968 Z969 Z970 Z971 Z972 Z973 Z974 Z975 Z976 Z977 Z978 Z979 Z980 Z981 Z982 Z983 Z984 Z985 Z986 Z987 Z988 Z989 Z990 Z991 Z992 Z993 Z994 Z995 Z996 Z997 Z998 Z999 Z1000 Z1001 Z1002 Z1003 Z1004 Z1005 Z1006 Z1007 Z1008 Z1009 Z1010 Z1011 Z1012 Z1013 Z1014 Z1015 Z1016 Z1017 Z1018 Z1019 Z1020 Z1021 Z1022 Z1023 Z1024 Z1025 Z1026 Z1027 Z1028 Z1029 Z1030 Z1031 Z1032 Z1033 Z1034 Z1035 Z1036 Z1037 Z1038 Z1039 Z1040 Z1041 Z1042 Z1043 Z1044 Z1045 Z1046 Z1047 Z1048 Z1049 Z1050 Z1051 Z1052 Z1053 Z1054 Z1055 Z1056 Z1057 Z1058 Z1059 Z1060 Z1061 Z1062 Z1063 Z1064 Z1065 Z1066 Z1067 Z1068 Z1069 Z1070 Z1071 Z1072 Z1073 Z1074 Z1075 Z1076 Z1077 Z1078 Z1079 Z1080 Z1081 Z1082 Z1083 Z1084 Z1085 Z1086 Z1087 Z1088 Z1089 Z1090 Z1091 Z1092 Z1093 Z1094 Z1095 Z1096 Z1097 Z1098 Z1099 Z1100 Z1101 Z1102 Z1103 Z1104 Z1105 Z1106 Z1107 Z1108 Z1109 Z1110 Z1111 Z1112 Z1113 Z1114 Z1115 Z1116 Z1117 Z1118 Z1119 Z1120 Z1121 Z1122 Z1123 Z1124 Z1125 Z1126 Z1127 Z1128 Z1129 Z1130 Z1131 Z1132 Z1133 Z1134 Z1135 Z1136 Z1137 Z1138 Z1139 Z1140 Z1141 Z1142 Z1143 Z1144 Z1145 Z1146 Z1147 Z1148 Z1149 Z1150 Z1151 Z1152 Z1153 Z1154 Z1155 Z1156 Z1157 Z1158 Z1159 Z1160 Z1161 Z1162 Z1163 Z1164 Z1165 Z1166 Z1167 Z1168 Z1169 Z1170 Z1171 Z1172 Z1173 Z1174 Z1175 Z1176 Z1177 Z1178 Z1179 Z1180 Z1181 Z1182 Z1183 Z1184 Z1185 Z1186 Z1187 Z1188 Z1189 Z1190 Z1191 Z1192 Z1193 Z1194 Z1195 Z1196 Z1197 Z1198 Z1199 Z1200 Z1201 Z1202 Z1203 Z1204 Z1205 Z1206 Z1207 Z1208 Z1209 Z1210 Z1211 Z1212 Z1213 Z1214 Z1215 Z1216 Z1217 Z1218 Z1219 Z1220 Z1221 Z1222 Z1223 Z1224 Z1225 Z1226 Z1227 Z1228 Z1229 Z1230 Z1231 Z1232 Z1233 Z1234 Z1235 Z1236 Z1237 Z1238 Z1239 Z1240 Z1241 Z1242 Z1243 Z1244 Z1245 Z1246 Z1247 Z1248 Z1249 Z1250 Z1251 Z1252 Z1253 Z1254 Z1255 Z1256 Z1257 Z1258 Z1259 Z1260 Z1261 Z1262 Z1263 Z1264 Z1265 Z1266 Z1267 Z1268 Z1269 Z1270 Z1271 Z1272 Z1273 Z1274 Z1275 Z1276 Z1277 Z1278 Z1279 Z1280 Z1281 Z1282 Z1283 Z1284 Z1285 Z1286 Z1287 Z1288 Z1289 Z1290 Z1291 Z1292 Z1293 Z1294 Z1295 Z1296 Z1297 Z1298 Z1299 Z1300 Z1301 Z1302 Z1303 Z1304 Z1305 Z1306 Z1307 Z1308 Z1309 Z1310 Z1311 Z1312 Z1313 Z1314 Z1315 Z1316 Z1317 Z1318 Z1319 Z1320 Z1321 Z1322 Z1323 Z1324 Z1325 Z1326 Z1327 Z1328 Z1329 Z1330 Z1331 Z1332 Z1333 Z1334 Z1335 Z1336 Z1337 Z1338 Z1339 Z1340 Z1341 Z1342 Z1343 Z1344 Z1345 Z1346 Z1347 Z1348 Z1349 Z1350 Z1351 Z1352 Z1353 Z1354 Z1355 Z1356 Z1357 Z1358 Z1359 Z1360 Z1361 Z1362 Z1363 Z1364 Z1365 Z1366 Z1367 Z1368 Z1369 Z1370 Z1371 Z1372 Z1373 Z1374 Z1375 Z1376 Z1377 Z1378 Z1379 Z1380 Z1381 Z1382 Z1383 Z1384 Z1385 Z1386 Z1387 Z1388 Z1389 Z1390 Z1391 Z1392 Z1393 Z1394 Z1395 Z1396 Z1397 Z1398 Z1399 Z1400 Z1401 Z1402 Z1403 Z1404 Z1405 Z1406" showDropDown="0" showInputMessage="0" showErrorMessage="0" allowBlank="1" type="list">
      <formula1>"PREVENTIVO,DETECTIVO,ADMINISTRACION,RECUPERACION,ELIMINACION"</formula1>
    </dataValidation>
    <dataValidation sqref="AA3 AA4 AA5 AA6 AA7 AA8 AA9 AA10 AA11 AA12 AA13 AA14 AA15 AA16 AA17 AA18 AA19 AA20 AA21 AA22 AA23 AA24 AA25 AA26 AA27 AA28 AA29 AA30 AA31 AA32 AA33 AA34 AA35 AA36 AA37 AA38 AA39 AA40 AA41 AA42 AA43 AA44 AA45 AA46 AA47 AA48 AA49 AA50 AA51 AA52 AA53 AA54 AA55 AA56 AA57 AA58 AA59 AA60 AA61 AA62 AA63 AA64 AA65 AA66 AA67 AA68 AA69 AA70 AA71 AA72 AA73 AA74 AA75 AA76 AA77 AA78 AA79 AA80 AA81 AA82 AA83 AA84 AA85 AA86 AA87 AA88 AA89 AA90 AA91 AA92 AA93 AA94 AA95 AA96 AA97 AA98 AA99 AA100 AA101 AA102 AA103 AA104 AA105 AA106 AA107 AA108 AA109 AA110 AA111 AA112 AA113 AA114 AA115 AA116 AA117 AA118 AA119 AA120 AA121 AA122 AA123 AA124 AA125 AA126 AA127 AA128 AA129 AA130 AA131 AA132 AA133 AA134 AA135 AA136 AA137 AA138 AA139 AA140 AA141 AA142 AA143 AA144 AA145 AA146 AA147 AA148 AA149 AA150 AA151 AA152 AA153 AA154 AA155 AA156 AA157 AA158 AA159 AA160 AA161 AA162 AA163 AA164 AA165 AA166 AA167 AA168 AA169 AA170 AA171 AA172 AA173 AA174 AA175 AA176 AA177 AA178 AA179 AA180 AA181 AA182 AA183 AA184 AA185 AA186 AA187 AA188 AA189 AA190 AA191 AA192 AA193 AA194 AA195 AA196 AA197 AA198 AA199 AA200 AA201 AA202 AA203 AA204 AA205 AA206 AA207 AA208 AA209 AA210 AA211 AA212 AA213 AA214 AA215 AA216 AA217 AA218 AA219 AA220 AA221 AA222 AA223 AA224 AA225 AA226 AA227 AA228 AA229 AA230 AA231 AA232 AA233 AA234 AA235 AA236 AA237 AA238 AA239 AA240 AA241 AA242 AA243 AA244 AA245 AA246 AA247 AA248 AA249 AA250 AA251 AA252 AA253 AA254 AA255 AA256 AA257 AA258 AA259 AA260 AA261 AA262 AA263 AA264 AA265 AA266 AA267 AA268 AA269 AA270 AA271 AA272 AA273 AA274 AA275 AA276 AA277 AA278 AA279 AA280 AA281 AA282 AA283 AA284 AA285 AA286 AA287 AA288 AA289 AA290 AA291 AA292 AA293 AA294 AA295 AA296 AA297 AA298 AA299 AA300 AA301 AA302 AA303 AA304 AA305 AA306 AA307 AA308 AA309 AA310 AA311 AA312 AA313 AA314 AA315 AA316 AA317 AA318 AA319 AA320 AA321 AA322 AA323 AA324 AA325 AA326 AA327 AA328 AA329 AA330 AA331 AA332 AA333 AA334 AA335 AA336 AA337 AA338 AA339 AA340 AA341 AA342 AA343 AA344 AA345 AA346 AA347 AA348 AA349 AA350 AA351 AA352 AA353 AA354 AA355 AA356 AA357 AA358 AA359 AA360 AA361 AA362 AA363 AA364 AA365 AA366 AA367 AA368 AA369 AA370 AA371 AA372 AA373 AA374 AA375 AA376 AA377 AA378 AA379 AA380 AA381 AA382 AA383 AA384 AA385 AA386 AA387 AA388 AA389 AA390 AA391 AA392 AA393 AA394 AA395 AA396 AA397 AA398 AA399 AA400 AA401 AA402 AA403 AA404 AA405 AA406 AA407 AA408 AA409 AA410 AA411 AA412 AA413 AA414 AA415 AA416 AA417 AA418 AA419 AA420 AA421 AA422 AA423 AA424 AA425 AA426 AA427 AA428 AA429 AA430 AA431 AA432 AA433 AA434 AA435 AA436 AA437 AA438 AA439 AA440 AA441 AA442 AA443 AA444 AA445 AA446 AA447 AA448 AA449 AA450 AA451 AA452 AA453 AA454 AA455 AA456 AA457 AA458 AA459 AA460 AA461 AA462 AA463 AA464 AA465 AA466 AA467 AA468 AA469 AA470 AA471 AA472 AA473 AA474 AA475 AA476 AA477 AA478 AA479 AA480 AA481 AA482 AA483 AA484 AA485 AA486 AA487 AA488 AA489 AA490 AA491 AA492 AA493 AA494 AA495 AA496 AA497 AA498 AA499 AA500 AA501 AA502 AA503 AA504 AA505 AA506 AA507 AA508 AA509 AA510 AA511 AA512 AA513 AA514 AA515 AA516 AA517 AA518 AA519 AA520 AA521 AA522 AA523 AA524 AA525 AA526 AA527 AA528 AA529 AA530 AA531 AA532 AA533 AA534 AA535 AA536 AA537 AA538 AA539 AA540 AA541 AA542 AA543 AA544 AA545 AA546 AA547 AA548 AA549 AA550 AA551 AA552 AA553 AA554 AA555 AA556 AA557 AA558 AA559 AA560 AA561 AA562 AA563 AA564 AA565 AA566 AA567 AA568 AA569 AA570 AA571 AA572 AA573 AA574 AA575 AA576 AA577 AA578 AA579 AA580 AA581 AA582 AA583 AA584 AA585 AA586 AA587 AA588 AA589 AA590 AA591 AA592 AA593 AA594 AA595 AA596 AA597 AA598 AA599 AA600 AA601 AA602 AA603 AA604 AA605 AA606 AA607 AA608 AA609 AA610 AA611 AA612 AA613 AA614 AA615 AA616 AA617 AA618 AA619 AA620 AA621 AA622 AA623 AA624 AA625 AA626 AA627 AA628 AA629 AA630 AA631 AA632 AA633 AA634 AA635 AA636 AA637 AA638 AA639 AA640 AA641 AA642 AA643 AA644 AA645 AA646 AA647 AA648 AA649 AA650 AA651 AA652 AA653 AA654 AA655 AA656 AA657 AA658 AA659 AA660 AA661 AA662 AA663 AA664 AA665 AA666 AA667 AA668 AA669 AA670 AA671 AA672 AA673 AA674 AA675 AA676 AA677 AA678 AA679 AA680 AA681 AA682 AA683 AA684 AA685 AA686 AA687 AA688 AA689 AA690 AA691 AA692 AA693 AA694 AA695 AA696 AA697 AA698 AA699 AA700 AA701 AA702 AA703 AA704 AA705 AA706 AA707 AA708 AA709 AA710 AA711 AA712 AA713 AA714 AA715 AA716 AA717 AA718 AA719 AA720 AA721 AA722 AA723 AA724 AA725 AA726 AA727 AA728 AA729 AA730 AA731 AA732 AA733 AA734 AA735 AA736 AA737 AA738 AA739 AA740 AA741 AA742 AA743 AA744 AA745 AA746 AA747 AA748 AA749 AA750 AA751 AA752 AA753 AA754 AA755 AA756 AA757 AA758 AA759 AA760 AA761 AA762 AA763 AA764 AA765 AA766 AA767 AA768 AA769 AA770 AA771 AA772 AA773 AA774 AA775 AA776 AA777 AA778 AA779 AA780 AA781 AA782 AA783 AA784 AA785 AA786 AA787 AA788 AA789 AA790 AA791 AA792 AA793 AA794 AA795 AA796 AA797 AA798 AA799 AA800 AA801 AA802 AA803 AA804 AA805 AA806 AA807 AA808 AA809 AA810 AA811 AA812 AA813 AA814 AA815 AA816 AA817 AA818 AA819 AA820 AA821 AA822 AA823 AA824 AA825 AA826 AA827 AA828 AA829 AA830 AA831 AA832 AA833 AA834 AA835 AA836 AA837 AA838 AA839 AA840 AA841 AA842 AA843 AA844 AA845 AA846 AA847 AA848 AA849 AA850 AA851 AA852 AA853 AA854 AA855 AA856 AA857 AA858 AA859 AA860 AA861 AA862 AA863 AA864 AA865 AA866 AA867 AA868 AA869 AA870 AA871 AA872 AA873 AA874 AA875 AA876 AA877 AA878 AA879 AA880 AA881 AA882 AA883 AA884 AA885 AA886 AA887 AA888 AA889 AA890 AA891 AA892 AA893 AA894 AA895 AA896 AA897 AA898 AA899 AA900 AA901 AA902 AA903 AA904 AA905 AA906 AA907 AA908 AA909 AA910 AA911 AA912 AA913 AA914 AA915 AA916 AA917 AA918 AA919 AA920 AA921 AA922 AA923 AA924 AA925 AA926 AA927 AA928 AA929 AA930 AA931 AA932 AA933 AA934 AA935 AA936 AA937 AA938 AA939 AA940 AA941 AA942 AA943 AA944 AA945 AA946 AA947 AA948 AA949 AA950 AA951 AA952 AA953 AA954 AA955 AA956 AA957 AA958 AA959 AA960 AA961 AA962 AA963 AA964 AA965 AA966 AA967 AA968 AA969 AA970 AA971 AA972 AA973 AA974 AA975 AA976 AA977 AA978 AA979 AA980 AA981 AA982 AA983 AA984 AA985 AA986 AA987 AA988 AA989 AA990 AA991 AA992 AA993 AA994 AA995 AA996 AA997 AA998 AA999 AA1000 AA1001 AA1002 AA1003 AA1004 AA1005 AA1006 AA1007 AA1008 AA1009 AA1010 AA1011 AA1012 AA1013 AA1014 AA1015 AA1016 AA1017 AA1018 AA1019 AA1020 AA1021 AA1022 AA1023 AA1024 AA1025 AA1026 AA1027 AA1028 AA1029 AA1030 AA1031 AA1032 AA1033 AA1034 AA1035 AA1036 AA1037 AA1038 AA1039 AA1040 AA1041 AA1042 AA1043 AA1044 AA1045 AA1046 AA1047 AA1048 AA1049 AA1050 AA1051 AA1052 AA1053 AA1054 AA1055 AA1056 AA1057 AA1058 AA1059 AA1060 AA1061 AA1062 AA1063 AA1064 AA1065 AA1066 AA1067 AA1068 AA1069 AA1070 AA1071 AA1072 AA1073 AA1074 AA1075 AA1076 AA1077 AA1078 AA1079 AA1080 AA1081 AA1082 AA1083 AA1084 AA1085 AA1086 AA1087 AA1088 AA1089 AA1090 AA1091 AA1092 AA1093 AA1094 AA1095 AA1096 AA1097 AA1098 AA1099 AA1100 AA1101 AA1102 AA1103 AA1104 AA1105 AA1106 AA1107 AA1108 AA1109 AA1110 AA1111 AA1112 AA1113 AA1114 AA1115 AA1116 AA1117 AA1118 AA1119 AA1120 AA1121 AA1122 AA1123 AA1124 AA1125 AA1126 AA1127 AA1128 AA1129 AA1130 AA1131 AA1132 AA1133 AA1134 AA1135 AA1136 AA1137 AA1138 AA1139 AA1140 AA1141 AA1142 AA1143 AA1144 AA1145 AA1146 AA1147 AA1148 AA1149 AA1150 AA1151 AA1152 AA1153 AA1154 AA1155 AA1156 AA1157 AA1158 AA1159 AA1160 AA1161 AA1162 AA1163 AA1164 AA1165 AA1166 AA1167 AA1168 AA1169 AA1170 AA1171 AA1172 AA1173 AA1174 AA1175 AA1176 AA1177 AA1178 AA1179 AA1180 AA1181 AA1182 AA1183 AA1184 AA1185 AA1186 AA1187 AA1188 AA1189 AA1190 AA1191 AA1192 AA1193 AA1194 AA1195 AA1196 AA1197 AA1198 AA1199 AA1200 AA1201 AA1202 AA1203 AA1204 AA1205 AA1206 AA1207 AA1208 AA1209 AA1210 AA1211 AA1212 AA1213 AA1214 AA1215 AA1216 AA1217 AA1218 AA1219 AA1220 AA1221 AA1222 AA1223 AA1224 AA1225 AA1226 AA1227 AA1228 AA1229 AA1230 AA1231 AA1232 AA1233 AA1234 AA1235 AA1236 AA1237 AA1238 AA1239 AA1240 AA1241 AA1242 AA1243 AA1244 AA1245 AA1246 AA1247 AA1248 AA1249 AA1250 AA1251 AA1252 AA1253 AA1254 AA1255 AA1256 AA1257 AA1258 AA1259 AA1260 AA1261 AA1262 AA1263 AA1264 AA1265 AA1266 AA1267 AA1268 AA1269 AA1270 AA1271 AA1272 AA1273 AA1274 AA1275 AA1276 AA1277 AA1278 AA1279 AA1280 AA1281 AA1282 AA1283 AA1284 AA1285 AA1286 AA1287 AA1288 AA1289 AA1290 AA1291 AA1292 AA1293 AA1294 AA1295 AA1296 AA1297 AA1298 AA1299 AA1300 AA1301 AA1302 AA1303 AA1304 AA1305 AA1306 AA1307 AA1308 AA1309 AA1310 AA1311 AA1312 AA1313 AA1314 AA1315 AA1316 AA1317 AA1318 AA1319 AA1320 AA1321 AA1322 AA1323 AA1324 AA1325 AA1326 AA1327 AA1328 AA1329 AA1330 AA1331 AA1332 AA1333 AA1334 AA1335 AA1336 AA1337 AA1338 AA1339 AA1340 AA1341 AA1342 AA1343 AA1344 AA1345 AA1346 AA1347 AA1348 AA1349 AA1350 AA1351 AA1352 AA1353 AA1354 AA1355 AA1356 AA1357 AA1358 AA1359 AA1360 AA1361 AA1362 AA1363 AA1364 AA1365 AA1366 AA1367 AA1368 AA1369 AA1370 AA1371 AA1372 AA1373 AA1374 AA1375 AA1376 AA1377 AA1378 AA1379 AA1380 AA1381 AA1382 AA1383 AA1384 AA1385 AA1386 AA1387 AA1388 AA1389 AA1390 AA1391 AA1392 AA1393 AA1394 AA1395 AA1396 AA1397 AA1398 AA1399 AA1400 AA1401 AA1402 AA1403 AA1404 AA1405 AA1406" showDropDown="0" showInputMessage="0" showErrorMessage="0" allowBlank="1" type="list">
      <formula1>"L0 Inexistente,L1 Inicial / Ad Hoc,L2 Reproducible pero Intuitivo,L3 Proceso Definido,L4 Gestionado y Medible,L5 Optimizado"</formula1>
    </dataValidation>
    <dataValidation sqref="AB3 AB4 AB5 AB6 AB7 AB8 AB9 AB10 AB11 AB12 AB13 AB14 AB15 AB16 AB17 AB18 AB19 AB20 AB21 AB22 AB23 AB24 AB25 AB26 AB27 AB28 AB29 AB30 AB31 AB32 AB33 AB34 AB35 AB36 AB37 AB38 AB39 AB40 AB41 AB42 AB43 AB44 AB45 AB46 AB47 AB48 AB49 AB50 AB51 AB52 AB53 AB54 AB55 AB56 AB57 AB58 AB59 AB60 AB61 AB62 AB63 AB64 AB65 AB66 AB67 AB68 AB69 AB70 AB71 AB72 AB73 AB74 AB75 AB76 AB77 AB78 AB79 AB80 AB81 AB82 AB83 AB84 AB85 AB86 AB87 AB88 AB89 AB90 AB91 AB92 AB93 AB94 AB95 AB96 AB97 AB98 AB99 AB100 AB101 AB102 AB103 AB104 AB105 AB106 AB107 AB108 AB109 AB110 AB111 AB112 AB113 AB114 AB115 AB116 AB117 AB118 AB119 AB120 AB121 AB122 AB123 AB124 AB125 AB126 AB127 AB128 AB129 AB130 AB131 AB132 AB133 AB134 AB135 AB136 AB137 AB138 AB139 AB140 AB141 AB142 AB143 AB144 AB145 AB146 AB147 AB148 AB149 AB150 AB151 AB152 AB153 AB154 AB155 AB156 AB157 AB158 AB159 AB160 AB161 AB162 AB163 AB164 AB165 AB166 AB167 AB168 AB169 AB170 AB171 AB172 AB173 AB174 AB175 AB176 AB177 AB178 AB179 AB180 AB181 AB182 AB183 AB184 AB185 AB186 AB187 AB188 AB189 AB190 AB191 AB192 AB193 AB194 AB195 AB196 AB197 AB198 AB199 AB200 AB201 AB202 AB203 AB204 AB205 AB206 AB207 AB208 AB209 AB210 AB211 AB212 AB213 AB214 AB215 AB216 AB217 AB218 AB219 AB220 AB221 AB222 AB223 AB224 AB225 AB226 AB227 AB228 AB229 AB230 AB231 AB232 AB233 AB234 AB235 AB236 AB237 AB238 AB239 AB240 AB241 AB242 AB243 AB244 AB245 AB246 AB247 AB248 AB249 AB250 AB251 AB252 AB253 AB254 AB255 AB256 AB257 AB258 AB259 AB260 AB261 AB262 AB263 AB264 AB265 AB266 AB267 AB268 AB269 AB270 AB271 AB272 AB273 AB274 AB275 AB276 AB277 AB278 AB279 AB280 AB281 AB282 AB283 AB284 AB285 AB286 AB287 AB288 AB289 AB290 AB291 AB292 AB293 AB294 AB295 AB296 AB297 AB298 AB299 AB300 AB301 AB302 AB303 AB304 AB305 AB306 AB307 AB308 AB309 AB310 AB311 AB312 AB313 AB314 AB315 AB316 AB317 AB318 AB319 AB320 AB321 AB322 AB323 AB324 AB325 AB326 AB327 AB328 AB329 AB330 AB331 AB332 AB333 AB334 AB335 AB336 AB337 AB338 AB339 AB340 AB341 AB342 AB343 AB344 AB345 AB346 AB347 AB348 AB349 AB350 AB351 AB352 AB353 AB354 AB355 AB356 AB357 AB358 AB359 AB360 AB361 AB362 AB363 AB364 AB365 AB366 AB367 AB368 AB369 AB370 AB371 AB372 AB373 AB374 AB375 AB376 AB377 AB378 AB379 AB380 AB381 AB382 AB383 AB384 AB385 AB386 AB387 AB388 AB389 AB390 AB391 AB392 AB393 AB394 AB395 AB396 AB397 AB398 AB399 AB400 AB401 AB402 AB403 AB404 AB405 AB406 AB407 AB408 AB409 AB410 AB411 AB412 AB413 AB414 AB415 AB416 AB417 AB418 AB419 AB420 AB421 AB422 AB423 AB424 AB425 AB426 AB427 AB428 AB429 AB430 AB431 AB432 AB433 AB434 AB435 AB436 AB437 AB438 AB439 AB440 AB441 AB442 AB443 AB444 AB445 AB446 AB447 AB448 AB449 AB450 AB451 AB452 AB453 AB454 AB455 AB456 AB457 AB458 AB459 AB460 AB461 AB462 AB463 AB464 AB465 AB466 AB467 AB468 AB469 AB470 AB471 AB472 AB473 AB474 AB475 AB476 AB477 AB478 AB479 AB480 AB481 AB482 AB483 AB484 AB485 AB486 AB487 AB488 AB489 AB490 AB491 AB492 AB493 AB494 AB495 AB496 AB497 AB498 AB499 AB500 AB501 AB502 AB503 AB504 AB505 AB506 AB507 AB508 AB509 AB510 AB511 AB512 AB513 AB514 AB515 AB516 AB517 AB518 AB519 AB520 AB521 AB522 AB523 AB524 AB525 AB526 AB527 AB528 AB529 AB530 AB531 AB532 AB533 AB534 AB535 AB536 AB537 AB538 AB539 AB540 AB541 AB542 AB543 AB544 AB545 AB546 AB547 AB548 AB549 AB550 AB551 AB552 AB553 AB554 AB555 AB556 AB557 AB558 AB559 AB560 AB561 AB562 AB563 AB564 AB565 AB566 AB567 AB568 AB569 AB570 AB571 AB572 AB573 AB574 AB575 AB576 AB577 AB578 AB579 AB580 AB581 AB582 AB583 AB584 AB585 AB586 AB587 AB588 AB589 AB590 AB591 AB592 AB593 AB594 AB595 AB596 AB597 AB598 AB599 AB600 AB601 AB602 AB603 AB604 AB605 AB606 AB607 AB608 AB609 AB610 AB611 AB612 AB613 AB614 AB615 AB616 AB617 AB618 AB619 AB620 AB621 AB622 AB623 AB624 AB625 AB626 AB627 AB628 AB629 AB630 AB631 AB632 AB633 AB634 AB635 AB636 AB637 AB638 AB639 AB640 AB641 AB642 AB643 AB644 AB645 AB646 AB647 AB648 AB649 AB650 AB651 AB652 AB653 AB654 AB655 AB656 AB657 AB658 AB659 AB660 AB661 AB662 AB663 AB664 AB665 AB666 AB667 AB668 AB669 AB670 AB671 AB672 AB673 AB674 AB675 AB676 AB677 AB678 AB679 AB680 AB681 AB682 AB683 AB684 AB685 AB686 AB687 AB688 AB689 AB690 AB691 AB692 AB693 AB694 AB695 AB696 AB697 AB698 AB699 AB700 AB701 AB702 AB703 AB704 AB705 AB706 AB707 AB708 AB709 AB710 AB711 AB712 AB713 AB714 AB715 AB716 AB717 AB718 AB719 AB720 AB721 AB722 AB723 AB724 AB725 AB726 AB727 AB728 AB729 AB730 AB731 AB732 AB733 AB734 AB735 AB736 AB737 AB738 AB739 AB740 AB741 AB742 AB743 AB744 AB745 AB746 AB747 AB748 AB749 AB750 AB751 AB752 AB753 AB754 AB755 AB756 AB757 AB758 AB759 AB760 AB761 AB762 AB763 AB764 AB765 AB766 AB767 AB768 AB769 AB770 AB771 AB772 AB773 AB774 AB775 AB776 AB777 AB778 AB779 AB780 AB781 AB782 AB783 AB784 AB785 AB786 AB787 AB788 AB789 AB790 AB791 AB792 AB793 AB794 AB795 AB796 AB797 AB798 AB799 AB800 AB801 AB802 AB803 AB804 AB805 AB806 AB807 AB808 AB809 AB810 AB811 AB812 AB813 AB814 AB815 AB816 AB817 AB818 AB819 AB820 AB821 AB822 AB823 AB824 AB825 AB826 AB827 AB828 AB829 AB830 AB831 AB832 AB833 AB834 AB835 AB836 AB837 AB838 AB839 AB840 AB841 AB842 AB843 AB844 AB845 AB846 AB847 AB848 AB849 AB850 AB851 AB852 AB853 AB854 AB855 AB856 AB857 AB858 AB859 AB860 AB861 AB862 AB863 AB864 AB865 AB866 AB867 AB868 AB869 AB870 AB871 AB872 AB873 AB874 AB875 AB876 AB877 AB878 AB879 AB880 AB881 AB882 AB883 AB884 AB885 AB886 AB887 AB888 AB889 AB890 AB891 AB892 AB893 AB894 AB895 AB896 AB897 AB898 AB899 AB900 AB901 AB902 AB903 AB904 AB905 AB906 AB907 AB908 AB909 AB910 AB911 AB912 AB913 AB914 AB915 AB916 AB917 AB918 AB919 AB920 AB921 AB922 AB923 AB924 AB925 AB926 AB927 AB928 AB929 AB930 AB931 AB932 AB933 AB934 AB935 AB936 AB937 AB938 AB939 AB940 AB941 AB942 AB943 AB944 AB945 AB946 AB947 AB948 AB949 AB950 AB951 AB952 AB953 AB954 AB955 AB956 AB957 AB958 AB959 AB960 AB961 AB962 AB963 AB964 AB965 AB966 AB967 AB968 AB969 AB970 AB971 AB972 AB973 AB974 AB975 AB976 AB977 AB978 AB979 AB980 AB981 AB982 AB983 AB984 AB985 AB986 AB987 AB988 AB989 AB990 AB991 AB992 AB993 AB994 AB995 AB996 AB997 AB998 AB999 AB1000 AB1001 AB1002 AB1003 AB1004 AB1005 AB1006 AB1007 AB1008 AB1009 AB1010 AB1011 AB1012 AB1013 AB1014 AB1015 AB1016 AB1017 AB1018 AB1019 AB1020 AB1021 AB1022 AB1023 AB1024 AB1025 AB1026 AB1027 AB1028 AB1029 AB1030 AB1031 AB1032 AB1033 AB1034 AB1035 AB1036 AB1037 AB1038 AB1039 AB1040 AB1041 AB1042 AB1043 AB1044 AB1045 AB1046 AB1047 AB1048 AB1049 AB1050 AB1051 AB1052 AB1053 AB1054 AB1055 AB1056 AB1057 AB1058 AB1059 AB1060 AB1061 AB1062 AB1063 AB1064 AB1065 AB1066 AB1067 AB1068 AB1069 AB1070 AB1071 AB1072 AB1073 AB1074 AB1075 AB1076 AB1077 AB1078 AB1079 AB1080 AB1081 AB1082 AB1083 AB1084 AB1085 AB1086 AB1087 AB1088 AB1089 AB1090 AB1091 AB1092 AB1093 AB1094 AB1095 AB1096 AB1097 AB1098 AB1099 AB1100 AB1101 AB1102 AB1103 AB1104 AB1105 AB1106 AB1107 AB1108 AB1109 AB1110 AB1111 AB1112 AB1113 AB1114 AB1115 AB1116 AB1117 AB1118 AB1119 AB1120 AB1121 AB1122 AB1123 AB1124 AB1125 AB1126 AB1127 AB1128 AB1129 AB1130 AB1131 AB1132 AB1133 AB1134 AB1135 AB1136 AB1137 AB1138 AB1139 AB1140 AB1141 AB1142 AB1143 AB1144 AB1145 AB1146 AB1147 AB1148 AB1149 AB1150 AB1151 AB1152 AB1153 AB1154 AB1155 AB1156 AB1157 AB1158 AB1159 AB1160 AB1161 AB1162 AB1163 AB1164 AB1165 AB1166 AB1167 AB1168 AB1169 AB1170 AB1171 AB1172 AB1173 AB1174 AB1175 AB1176 AB1177 AB1178 AB1179 AB1180 AB1181 AB1182 AB1183 AB1184 AB1185 AB1186 AB1187 AB1188 AB1189 AB1190 AB1191 AB1192 AB1193 AB1194 AB1195 AB1196 AB1197 AB1198 AB1199 AB1200 AB1201 AB1202 AB1203 AB1204 AB1205 AB1206 AB1207 AB1208 AB1209 AB1210 AB1211 AB1212 AB1213 AB1214 AB1215 AB1216 AB1217 AB1218 AB1219 AB1220 AB1221 AB1222 AB1223 AB1224 AB1225 AB1226 AB1227 AB1228 AB1229 AB1230 AB1231 AB1232 AB1233 AB1234 AB1235 AB1236 AB1237 AB1238 AB1239 AB1240 AB1241 AB1242 AB1243 AB1244 AB1245 AB1246 AB1247 AB1248 AB1249 AB1250 AB1251 AB1252 AB1253 AB1254 AB1255 AB1256 AB1257 AB1258 AB1259 AB1260 AB1261 AB1262 AB1263 AB1264 AB1265 AB1266 AB1267 AB1268 AB1269 AB1270 AB1271 AB1272 AB1273 AB1274 AB1275 AB1276 AB1277 AB1278 AB1279 AB1280 AB1281 AB1282 AB1283 AB1284 AB1285 AB1286 AB1287 AB1288 AB1289 AB1290 AB1291 AB1292 AB1293 AB1294 AB1295 AB1296 AB1297 AB1298 AB1299 AB1300 AB1301 AB1302 AB1303 AB1304 AB1305 AB1306 AB1307 AB1308 AB1309 AB1310 AB1311 AB1312 AB1313 AB1314 AB1315 AB1316 AB1317 AB1318 AB1319 AB1320 AB1321 AB1322 AB1323 AB1324 AB1325 AB1326 AB1327 AB1328 AB1329 AB1330 AB1331 AB1332 AB1333 AB1334 AB1335 AB1336 AB1337 AB1338 AB1339 AB1340 AB1341 AB1342 AB1343 AB1344 AB1345 AB1346 AB1347 AB1348 AB1349 AB1350 AB1351 AB1352 AB1353 AB1354 AB1355 AB1356 AB1357 AB1358 AB1359 AB1360 AB1361 AB1362 AB1363 AB1364 AB1365 AB1366 AB1367 AB1368 AB1369 AB1370 AB1371 AB1372 AB1373 AB1374 AB1375 AB1376 AB1377 AB1378 AB1379 AB1380 AB1381 AB1382 AB1383 AB1384 AB1385 AB1386 AB1387 AB1388 AB1389 AB1390 AB1391 AB1392 AB1393 AB1394 AB1395 AB1396 AB1397 AB1398 AB1399 AB1400 AB1401 AB1402 AB1403 AB1404 AB1405 AB1406" showDropDown="0" showInputMessage="0" showErrorMessage="0" allowBlank="1" type="list">
      <formula1>"[A.5] Suplantación de la identidad del usuario,[A.6] Abuso de privilegios de acceso,[A.7] Uso no previsto,[A.11] Acceso no autorizado,[A.19] Divulgación de información,[A.24] Denegación de servicio,[A.25] Robo,[A.30] Ingeniería social (Phishing),[E.2] Errores del administrador,[E.18] Destrucción de información,[E.19] Fugas de información,[E.20] Vulnerabilidades de los programas (software),[E.23] Errores de mantenimiento / actualización de equipos (hardware),[E.24] Caída del sistema por agotamiento de recursos,[E.25] Pérdida de equipos,[E.28] Indisponibilidad del personal,[N.1] Fuego,[N.2] Daños por agua"</formula1>
    </dataValidation>
    <dataValidation sqref="AC3 AC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AC105 AC106 AC107 AC108 AC109 AC110 AC111 AC112 AC113 AC114 AC115 AC116 AC117 AC118 AC119 AC120 AC121 AC122 AC123 AC124 AC125 AC126 AC127 AC128 AC129 AC130 AC131 AC132 AC133 AC134 AC135 AC136 AC137 AC138 AC139 AC140 AC141 AC142 AC143 AC144 AC145 AC146 AC147 AC148 AC149 AC150 AC151 AC152 AC153 AC154 AC155 AC156 AC157 AC158 AC159 AC160 AC161 AC162 AC163 AC164 AC165 AC166 AC167 AC168 AC169 AC170 AC171 AC172 AC173 AC174 AC175 AC176 AC177 AC178 AC179 AC180 AC181 AC182 AC183 AC184 AC185 AC186 AC187 AC188 AC189 AC190 AC191 AC192 AC193 AC194 AC195 AC196 AC197 AC198 AC199 AC200 AC201 AC202 AC203 AC204 AC205 AC206 AC207 AC208 AC209 AC210 AC211 AC212 AC213 AC214 AC215 AC216 AC217 AC218 AC219 AC220 AC221 AC222 AC223 AC224 AC225 AC226 AC227 AC228 AC229 AC230 AC231 AC232 AC233 AC234 AC235 AC236 AC237 AC238 AC239 AC240 AC241 AC242 AC243 AC244 AC245 AC246 AC247 AC248 AC249 AC250 AC251 AC252 AC253 AC254 AC255 AC256 AC257 AC258 AC259 AC260 AC261 AC262 AC263 AC264 AC265 AC266 AC267 AC268 AC269 AC270 AC271 AC272 AC273 AC274 AC275 AC276 AC277 AC278 AC279 AC280 AC281 AC282 AC283 AC284 AC285 AC286 AC287 AC288 AC289 AC290 AC291 AC292 AC293 AC294 AC295 AC296 AC297 AC298 AC299 AC300 AC301 AC302 AC303 AC304 AC305 AC306 AC307 AC308 AC309 AC310 AC311 AC312 AC313 AC314 AC315 AC316 AC317 AC318 AC319 AC320 AC321 AC322 AC323 AC324 AC325 AC326 AC327 AC328 AC329 AC330 AC331 AC332 AC333 AC334 AC335 AC336 AC337 AC338 AC339 AC340 AC341 AC342 AC343 AC344 AC345 AC346 AC347 AC348 AC349 AC350 AC351 AC352 AC353 AC354 AC355 AC356 AC357 AC358 AC359 AC360 AC361 AC362 AC363 AC364 AC365 AC366 AC367 AC368 AC369 AC370 AC371 AC372 AC373 AC374 AC375 AC376 AC377 AC378 AC379 AC380 AC381 AC382 AC383 AC384 AC385 AC386 AC387 AC388 AC389 AC390 AC391 AC392 AC393 AC394 AC395 AC396 AC397 AC398 AC399 AC400 AC401 AC402 AC403 AC404 AC405 AC406 AC407 AC408 AC409 AC410 AC411 AC412 AC413 AC414 AC415 AC416 AC417 AC418 AC419 AC420 AC421 AC422 AC423 AC424 AC425 AC426 AC427 AC428 AC429 AC430 AC431 AC432 AC433 AC434 AC435 AC436 AC437 AC438 AC439 AC440 AC441 AC442 AC443 AC444 AC445 AC446 AC447 AC448 AC449 AC450 AC451 AC452 AC453 AC454 AC455 AC456 AC457 AC458 AC459 AC460 AC461 AC462 AC463 AC464 AC465 AC466 AC467 AC468 AC469 AC470 AC471 AC472 AC473 AC474 AC475 AC476 AC477 AC478 AC479 AC480 AC481 AC482 AC483 AC484 AC485 AC486 AC487 AC488 AC489 AC490 AC491 AC492 AC493 AC494 AC495 AC496 AC497 AC498 AC499 AC500 AC501 AC502 AC503 AC504 AC505 AC506 AC507 AC508 AC509 AC510 AC511 AC512 AC513 AC514 AC515 AC516 AC517 AC518 AC519 AC520 AC521 AC522 AC523 AC524 AC525 AC526 AC527 AC528 AC529 AC530 AC531 AC532 AC533 AC534 AC535 AC536 AC537 AC538 AC539 AC540 AC541 AC542 AC543 AC544 AC545 AC546 AC547 AC548 AC549 AC550 AC551 AC552 AC553 AC554 AC555 AC556 AC557 AC558 AC559 AC560 AC561 AC562 AC563 AC564 AC565 AC566 AC567 AC568 AC569 AC570 AC571 AC572 AC573 AC574 AC575 AC576 AC577 AC578 AC579 AC580 AC581 AC582 AC583 AC584 AC585 AC586 AC587 AC588 AC589 AC590 AC591 AC592 AC593 AC594 AC595 AC596 AC597 AC598 AC599 AC600 AC601 AC602 AC603 AC604 AC605 AC606 AC607 AC608 AC609 AC610 AC611 AC612 AC613 AC614 AC615 AC616 AC617 AC618 AC619 AC620 AC621 AC622 AC623 AC624 AC625 AC626 AC627 AC628 AC629 AC630 AC631 AC632 AC633 AC634 AC635 AC636 AC637 AC638 AC639 AC640 AC641 AC642 AC643 AC644 AC645 AC646 AC647 AC648 AC649 AC650 AC651 AC652 AC653 AC654 AC655 AC656 AC657 AC658 AC659 AC660 AC661 AC662 AC663 AC664 AC665 AC666 AC667 AC668 AC669 AC670 AC671 AC672 AC673 AC674 AC675 AC676 AC677 AC678 AC679 AC680 AC681 AC682 AC683 AC684 AC685 AC686 AC687 AC688 AC689 AC690 AC691 AC692 AC693 AC694 AC695 AC696 AC697 AC698 AC699 AC700 AC701 AC702 AC703 AC704 AC705 AC706 AC707 AC708 AC709 AC710 AC711 AC712 AC713 AC714 AC715 AC716 AC717 AC718 AC719 AC720 AC721 AC722 AC723 AC724 AC725 AC726 AC727 AC728 AC729 AC730 AC731 AC732 AC733 AC734 AC735 AC736 AC737 AC738 AC739 AC740 AC741 AC742 AC743 AC744 AC745 AC746 AC747 AC748 AC749 AC750 AC751 AC752 AC753 AC754 AC755 AC756 AC757 AC758 AC759 AC760 AC761 AC762 AC763 AC764 AC765 AC766 AC767 AC768 AC769 AC770 AC771 AC772 AC773 AC774 AC775 AC776 AC777 AC778 AC779 AC780 AC781 AC782 AC783 AC784 AC785 AC786 AC787 AC788 AC789 AC790 AC791 AC792 AC793 AC794 AC795 AC796 AC797 AC798 AC799 AC800 AC801 AC802 AC803 AC804 AC805 AC806 AC807 AC808 AC809 AC810 AC811 AC812 AC813 AC814 AC815 AC816 AC817 AC818 AC819 AC820 AC821 AC822 AC823 AC824 AC825 AC826 AC827 AC828 AC829 AC830 AC831 AC832 AC833 AC834 AC835 AC836 AC837 AC838 AC839 AC840 AC841 AC842 AC843 AC844 AC845 AC846 AC847 AC848 AC849 AC850 AC851 AC852 AC853 AC854 AC855 AC856 AC857 AC858 AC859 AC860 AC861 AC862 AC863 AC864 AC865 AC866 AC867 AC868 AC869 AC870 AC871 AC872 AC873 AC874 AC875 AC876 AC877 AC878 AC879 AC880 AC881 AC882 AC883 AC884 AC885 AC886 AC887 AC888 AC889 AC890 AC891 AC892 AC893 AC894 AC895 AC896 AC897 AC898 AC899 AC900 AC901 AC902 AC903 AC904 AC905 AC906 AC907 AC908 AC909 AC910 AC911 AC912 AC913 AC914 AC915 AC916 AC917 AC918 AC919 AC920 AC921 AC922 AC923 AC924 AC925 AC926 AC927 AC928 AC929 AC930 AC931 AC932 AC933 AC934 AC935 AC936 AC937 AC938 AC939 AC940 AC941 AC942 AC943 AC944 AC945 AC946 AC947 AC948 AC949 AC950 AC951 AC952 AC953 AC954 AC955 AC956 AC957 AC958 AC959 AC960 AC961 AC962 AC963 AC964 AC965 AC966 AC967 AC968 AC969 AC970 AC971 AC972 AC973 AC974 AC975 AC976 AC977 AC978 AC979 AC980 AC981 AC982 AC983 AC984 AC985 AC986 AC987 AC988 AC989 AC990 AC991 AC992 AC993 AC994 AC995 AC996 AC997 AC998 AC999 AC1000 AC1001 AC1002 AC1003 AC1004 AC1005 AC1006 AC1007 AC1008 AC1009 AC1010 AC1011 AC1012 AC1013 AC1014 AC1015 AC1016 AC1017 AC1018 AC1019 AC1020 AC1021 AC1022 AC1023 AC1024 AC1025 AC1026 AC1027 AC1028 AC1029 AC1030 AC1031 AC1032 AC1033 AC1034 AC1035 AC1036 AC1037 AC1038 AC1039 AC1040 AC1041 AC1042 AC1043 AC1044 AC1045 AC1046 AC1047 AC1048 AC1049 AC1050 AC1051 AC1052 AC1053 AC1054 AC1055 AC1056 AC1057 AC1058 AC1059 AC1060 AC1061 AC1062 AC1063 AC1064 AC1065 AC1066 AC1067 AC1068 AC1069 AC1070 AC1071 AC1072 AC1073 AC1074 AC1075 AC1076 AC1077 AC1078 AC1079 AC1080 AC1081 AC1082 AC1083 AC1084 AC1085 AC1086 AC1087 AC1088 AC1089 AC1090 AC1091 AC1092 AC1093 AC1094 AC1095 AC1096 AC1097 AC1098 AC1099 AC1100 AC1101 AC1102 AC1103 AC1104 AC1105 AC1106 AC1107 AC1108 AC1109 AC1110 AC1111 AC1112 AC1113 AC1114 AC1115 AC1116 AC1117 AC1118 AC1119 AC1120 AC1121 AC1122 AC1123 AC1124 AC1125 AC1126 AC1127 AC1128 AC1129 AC1130 AC1131 AC1132 AC1133 AC1134 AC1135 AC1136 AC1137 AC1138 AC1139 AC1140 AC1141 AC1142 AC1143 AC1144 AC1145 AC1146 AC1147 AC1148 AC1149 AC1150 AC1151 AC1152 AC1153 AC1154 AC1155 AC1156 AC1157 AC1158 AC1159 AC1160 AC1161 AC1162 AC1163 AC1164 AC1165 AC1166 AC1167 AC1168 AC1169 AC1170 AC1171 AC1172 AC1173 AC1174 AC1175 AC1176 AC1177 AC1178 AC1179 AC1180 AC1181 AC1182 AC1183 AC1184 AC1185 AC1186 AC1187 AC1188 AC1189 AC1190 AC1191 AC1192 AC1193 AC1194 AC1195 AC1196 AC1197 AC1198 AC1199 AC1200 AC1201 AC1202 AC1203 AC1204 AC1205 AC1206 AC1207 AC1208 AC1209 AC1210 AC1211 AC1212 AC1213 AC1214 AC1215 AC1216 AC1217 AC1218 AC1219 AC1220 AC1221 AC1222 AC1223 AC1224 AC1225 AC1226 AC1227 AC1228 AC1229 AC1230 AC1231 AC1232 AC1233 AC1234 AC1235 AC1236 AC1237 AC1238 AC1239 AC1240 AC1241 AC1242 AC1243 AC1244 AC1245 AC1246 AC1247 AC1248 AC1249 AC1250 AC1251 AC1252 AC1253 AC1254 AC1255 AC1256 AC1257 AC1258 AC1259 AC1260 AC1261 AC1262 AC1263 AC1264 AC1265 AC1266 AC1267 AC1268 AC1269 AC1270 AC1271 AC1272 AC1273 AC1274 AC1275 AC1276 AC1277 AC1278 AC1279 AC1280 AC1281 AC1282 AC1283 AC1284 AC1285 AC1286 AC1287 AC1288 AC1289 AC1290 AC1291 AC1292 AC1293 AC1294 AC1295 AC1296 AC1297 AC1298 AC1299 AC1300 AC1301 AC1302 AC1303 AC1304 AC1305 AC1306 AC1307 AC1308 AC1309 AC1310 AC1311 AC1312 AC1313 AC1314 AC1315 AC1316 AC1317 AC1318 AC1319 AC1320 AC1321 AC1322 AC1323 AC1324 AC1325 AC1326 AC1327 AC1328 AC1329 AC1330 AC1331 AC1332 AC1333 AC1334 AC1335 AC1336 AC1337 AC1338 AC1339 AC1340 AC1341 AC1342 AC1343 AC1344 AC1345 AC1346 AC1347 AC1348 AC1349 AC1350 AC1351 AC1352 AC1353 AC1354 AC1355 AC1356 AC1357 AC1358 AC1359 AC1360 AC1361 AC1362 AC1363 AC1364 AC1365 AC1366 AC1367 AC1368 AC1369 AC1370 AC1371 AC1372 AC1373 AC1374 AC1375 AC1376 AC1377 AC1378 AC1379 AC1380 AC1381 AC1382 AC1383 AC1384 AC1385 AC1386 AC1387 AC1388 AC1389 AC1390 AC1391 AC1392 AC1393 AC1394 AC1395 AC1396 AC1397 AC1398 AC1399 AC1400 AC1401 AC1402 AC1403 AC1404 AC1405 AC1406" showDropDown="0" showInputMessage="0" showErrorMessage="0" allowBlank="1" type="list">
      <formula1>"Manual de Políticas de Seguridad de la Información (MPSI),Manual de Gestión de Seguridad de la Información (MGSI),Matriz de Roles y Perfiles,Informe Técnico de Pentesting / Ethical Hacking,Bitácora de Seguridad de la Información,Contrato de Proveedor / Terceros,Acta de Respaldos y Resguardo"</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2:C59"/>
  <sheetViews>
    <sheetView tabSelected="1" zoomScale="115" zoomScaleNormal="115" workbookViewId="0">
      <selection activeCell="B2" sqref="B2:B59"/>
    </sheetView>
  </sheetViews>
  <sheetFormatPr baseColWidth="10" defaultRowHeight="11.25"/>
  <cols>
    <col width="17.5" customWidth="1" style="106" min="1" max="1"/>
    <col width="57.1640625" customWidth="1" style="106" min="2" max="2"/>
    <col width="69.1640625" customWidth="1" style="16" min="3" max="3"/>
  </cols>
  <sheetData>
    <row r="2">
      <c r="A2" s="112" t="n"/>
      <c r="B2" s="111" t="inlineStr">
        <is>
          <t>Nivel de Madurez y efectivifad Magerit</t>
        </is>
      </c>
    </row>
    <row r="3">
      <c r="B3" s="112" t="n"/>
    </row>
    <row r="4">
      <c r="B4" s="108" t="inlineStr">
        <is>
          <t>L0 Inexistente</t>
        </is>
      </c>
      <c r="C4" s="16" t="inlineStr">
        <is>
          <t>La salvaguarda no está implementada en absoluto</t>
        </is>
      </c>
    </row>
    <row r="5" ht="22.5" customHeight="1" s="106">
      <c r="B5" s="108" t="inlineStr">
        <is>
          <t>L1 Inicial / Ad Hoc</t>
        </is>
      </c>
      <c r="C5" s="16" t="inlineStr">
        <is>
          <t>El control se ejecuta de manera improvisada. Las personas actúan reactivamente y no existen pautas definidas</t>
        </is>
      </c>
    </row>
    <row r="6" ht="33.75" customHeight="1" s="106">
      <c r="B6" s="108" t="inlineStr">
        <is>
          <t>L2 Reproducible pero Intuitivo</t>
        </is>
      </c>
      <c r="C6" s="16" t="inlineStr">
        <is>
          <t>Las tareas de control se repiten de forma similar ante incidentes, pero dependen enteramente del conocimiento intuitivo de las personas (no están formalizadas ni escritas).</t>
        </is>
      </c>
    </row>
    <row r="7" ht="22.5" customHeight="1" s="106">
      <c r="B7" s="108" t="inlineStr">
        <is>
          <t>L3 Proceso Definido</t>
        </is>
      </c>
      <c r="C7" s="16" t="inlineStr">
        <is>
          <t>El control está plenamente documentado, formalizado en políticas o manuales oficiales, y los empleados han sido capacitados para usarlo</t>
        </is>
      </c>
    </row>
    <row r="8" ht="22.5" customHeight="1" s="106">
      <c r="B8" s="108" t="inlineStr">
        <is>
          <t>L4 Gestionado y Medible</t>
        </is>
      </c>
      <c r="C8" s="16" t="inlineStr">
        <is>
          <t>Además de estar documentado, el control se monitorea continuamente mediante métricas o indicadores clave (KRI) para medir su efectividad real</t>
        </is>
      </c>
    </row>
    <row r="9" ht="22.5" customHeight="1" s="106">
      <c r="B9" s="108" t="inlineStr">
        <is>
          <t>L5 Optimizado</t>
        </is>
      </c>
      <c r="C9" s="16" t="inlineStr">
        <is>
          <t>El control forma parte de un ciclo de mejora continua (PDCA), donde los fallos se corrigen sistemáticamente y la medida se adapta a los cambios del entorno.</t>
        </is>
      </c>
    </row>
    <row r="12">
      <c r="B12" s="113" t="inlineStr">
        <is>
          <t xml:space="preserve">Implementacion </t>
        </is>
      </c>
    </row>
    <row r="13">
      <c r="B13" s="112" t="n"/>
      <c r="C13" s="112" t="n"/>
    </row>
    <row r="14" ht="22.5" customHeight="1" s="106">
      <c r="B14" s="114" t="inlineStr">
        <is>
          <t>Implementado</t>
        </is>
      </c>
      <c r="C14" s="112" t="inlineStr">
        <is>
          <t>El control existe, está operativo y se ejecuta de forma regular con evidencia auditable.</t>
        </is>
      </c>
    </row>
    <row r="15" ht="22.5" customHeight="1" s="106">
      <c r="B15" s="114" t="inlineStr">
        <is>
          <t>En proceso</t>
        </is>
      </c>
      <c r="C15" s="112" t="inlineStr">
        <is>
          <t>El control está diseñado o en fase de despliegue, pero aún no está 100% operativo o requiere ajustes.</t>
        </is>
      </c>
    </row>
    <row r="16" ht="22.5" customHeight="1" s="106">
      <c r="B16" s="114" t="inlineStr">
        <is>
          <t>No Iniciado</t>
        </is>
      </c>
      <c r="C16" s="112" t="inlineStr">
        <is>
          <t>El control es necesario (aplica), pero aún no se ha tomado ninguna medida operativa para su desarrollo.</t>
        </is>
      </c>
    </row>
    <row r="17" ht="22.5" customHeight="1" s="106">
      <c r="B17" s="114" t="inlineStr">
        <is>
          <t>No Aplica</t>
        </is>
      </c>
      <c r="C17" s="112" t="inlineStr">
        <is>
          <t>El control ha sido formalmente excluido mediante justificación técnica aprobada por la administración.</t>
        </is>
      </c>
    </row>
    <row r="20">
      <c r="B20" s="113" t="inlineStr">
        <is>
          <t>Tipo de Protección</t>
        </is>
      </c>
    </row>
    <row r="21">
      <c r="B21" s="114" t="n"/>
    </row>
    <row r="22" ht="22.5" customHeight="1" s="106">
      <c r="B22" s="114" t="inlineStr">
        <is>
          <t>PREVENTIVO</t>
        </is>
      </c>
      <c r="C22" s="16" t="inlineStr">
        <is>
          <t>Diseñado para evitar que ocurra un incidente de seguridad (ej. políticas, cifrado, firewall, concientización).</t>
        </is>
      </c>
    </row>
    <row r="23" ht="22.5" customHeight="1" s="106">
      <c r="B23" t="inlineStr">
        <is>
          <t>DETECTIVO</t>
        </is>
      </c>
      <c r="C23" s="16" t="inlineStr">
        <is>
          <t>Diseñado para identificar, registrar o alertar cuando ocurre una anomalía o evento inusual (ej. análisis de logs, escaneos, monitoreo).</t>
        </is>
      </c>
    </row>
    <row r="24" ht="22.5" customHeight="1" s="106">
      <c r="B24" t="inlineStr">
        <is>
          <t>ADMINISTRACION</t>
        </is>
      </c>
      <c r="C24" s="16" t="inlineStr">
        <is>
          <t>Enfocado en la gobernanza, procesos de control y aprobaciones documentadas (ej. gestión de cambios, matrices de roles)</t>
        </is>
      </c>
    </row>
    <row r="25" ht="22.5" customHeight="1" s="106">
      <c r="B25" t="inlineStr">
        <is>
          <t>RECUPERACION</t>
        </is>
      </c>
      <c r="C25" s="16" t="inlineStr">
        <is>
          <t>Diseñado para restaurar la continuidad operativa y mitigar las consecuencias de un incidente materializado (ej. DRP, backups).</t>
        </is>
      </c>
    </row>
    <row r="26" ht="22.5" customHeight="1" s="106">
      <c r="B26" t="inlineStr">
        <is>
          <t>ELIMINACION</t>
        </is>
      </c>
      <c r="C26" s="16" t="inlineStr">
        <is>
          <t>Medidas drásticas que anulan de raíz la posibilidad de que se explote una vulnerabilidad (ej. eliminar accesos genéricos, retirar tecnología obsoleta).</t>
        </is>
      </c>
    </row>
    <row r="29">
      <c r="B29" s="113" t="inlineStr">
        <is>
          <t>Riesgos / Amenazas que Mitiga Magerit</t>
        </is>
      </c>
    </row>
    <row r="30">
      <c r="A30" s="111" t="n"/>
      <c r="B30" s="114" t="n"/>
    </row>
    <row r="31" ht="22.5" customHeight="1" s="106">
      <c r="A31" s="111" t="inlineStr">
        <is>
          <t>Ataques Intencionados [A]</t>
        </is>
      </c>
      <c r="B31" s="112" t="inlineStr">
        <is>
          <t>[A.5] Suplantación de la identidad del usuario</t>
        </is>
      </c>
    </row>
    <row r="32">
      <c r="B32" s="112" t="inlineStr">
        <is>
          <t>[A.6] Abuso de privilegios de acceso</t>
        </is>
      </c>
    </row>
    <row r="33">
      <c r="B33" s="112" t="inlineStr">
        <is>
          <t>[A.7] Uso no previsto</t>
        </is>
      </c>
    </row>
    <row r="34">
      <c r="B34" s="112" t="inlineStr">
        <is>
          <t>[A.11] Acceso no autorizado</t>
        </is>
      </c>
    </row>
    <row r="35">
      <c r="B35" s="112" t="inlineStr">
        <is>
          <t>[A.19] Divulgación de información</t>
        </is>
      </c>
    </row>
    <row r="36">
      <c r="B36" s="112" t="inlineStr">
        <is>
          <t>[A.24] Denegación de servicio</t>
        </is>
      </c>
    </row>
    <row r="37">
      <c r="B37" s="112" t="inlineStr">
        <is>
          <t>[A.25] Robo</t>
        </is>
      </c>
    </row>
    <row r="38">
      <c r="B38" s="112" t="inlineStr">
        <is>
          <t>[A.30] Ingeniería social (Phishing)</t>
        </is>
      </c>
    </row>
    <row r="39" ht="33.75" customHeight="1" s="106">
      <c r="A39" s="111" t="inlineStr">
        <is>
          <t>Errores y fallos no intencionados [E]</t>
        </is>
      </c>
      <c r="B39" s="112" t="inlineStr">
        <is>
          <t>[E.2] Errores del administrador</t>
        </is>
      </c>
    </row>
    <row r="40">
      <c r="A40" s="111" t="n"/>
      <c r="B40" s="112" t="inlineStr">
        <is>
          <t>[E.18] Destrucción de información</t>
        </is>
      </c>
    </row>
    <row r="41">
      <c r="B41" s="112" t="inlineStr">
        <is>
          <t>[E.19] Fugas de información</t>
        </is>
      </c>
    </row>
    <row r="42">
      <c r="B42" s="112" t="inlineStr">
        <is>
          <t>[E.20] Vulnerabilidades de los programas (software)</t>
        </is>
      </c>
    </row>
    <row r="43" ht="22.5" customHeight="1" s="106">
      <c r="B43" s="112" t="inlineStr">
        <is>
          <t>[E.23] Errores de mantenimiento / actualización de equipos (hardware)</t>
        </is>
      </c>
    </row>
    <row r="44">
      <c r="B44" s="112" t="inlineStr">
        <is>
          <t>[E.24] Caída del sistema por agotamiento de recursos</t>
        </is>
      </c>
    </row>
    <row r="45">
      <c r="B45" s="112" t="inlineStr">
        <is>
          <t>[E.25] Pérdida de equipos</t>
        </is>
      </c>
      <c r="C45" s="90" t="n"/>
    </row>
    <row r="46">
      <c r="B46" s="112" t="inlineStr">
        <is>
          <t>[E.28] Indisponibilidad del personal</t>
        </is>
      </c>
    </row>
    <row r="47" ht="22.5" customHeight="1" s="106">
      <c r="A47" s="111" t="inlineStr">
        <is>
          <t>Desastres naturales [N]</t>
        </is>
      </c>
      <c r="B47" s="112" t="inlineStr">
        <is>
          <t>[N.1] Fuego</t>
        </is>
      </c>
    </row>
    <row r="48">
      <c r="B48" s="112" t="inlineStr">
        <is>
          <t>[N.2] Daños por agua</t>
        </is>
      </c>
    </row>
    <row r="49">
      <c r="A49" s="111" t="n"/>
    </row>
    <row r="51">
      <c r="B51" s="111" t="inlineStr">
        <is>
          <t>Evidencia</t>
        </is>
      </c>
    </row>
    <row r="53">
      <c r="B53" t="inlineStr">
        <is>
          <t>Manual de Políticas de Seguridad de la Información (MPSI)</t>
        </is>
      </c>
    </row>
    <row r="54">
      <c r="B54" t="inlineStr">
        <is>
          <t>Manual de Gestión de Seguridad de la Información (MGSI)</t>
        </is>
      </c>
    </row>
    <row r="55">
      <c r="B55" t="inlineStr">
        <is>
          <t>Matriz de Roles y Perfiles</t>
        </is>
      </c>
    </row>
    <row r="56">
      <c r="B56" t="inlineStr">
        <is>
          <t>Informe Técnico de Pentesting / Ethical Hacking</t>
        </is>
      </c>
    </row>
    <row r="57">
      <c r="B57" t="inlineStr">
        <is>
          <t>Bitácora de Seguridad de la Información</t>
        </is>
      </c>
    </row>
    <row r="58">
      <c r="B58" t="inlineStr">
        <is>
          <t>Contrato de Proveedor / Terceros</t>
        </is>
      </c>
    </row>
    <row r="59">
      <c r="B59" t="inlineStr">
        <is>
          <t>Acta de Respaldos y Resguardo</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24"/>
  <sheetViews>
    <sheetView topLeftCell="A8" workbookViewId="0">
      <selection activeCell="B28" sqref="B28"/>
    </sheetView>
  </sheetViews>
  <sheetFormatPr baseColWidth="10" defaultRowHeight="11.25"/>
  <cols>
    <col width="29" bestFit="1" customWidth="1" style="106" min="1" max="1"/>
    <col width="16.5" customWidth="1" style="106" min="2" max="2"/>
    <col width="20.6640625" customWidth="1" style="106" min="3" max="3"/>
    <col width="24.1640625" bestFit="1" customWidth="1" style="106" min="4" max="4"/>
  </cols>
  <sheetData>
    <row r="1">
      <c r="A1" s="100" t="inlineStr">
        <is>
          <t>PROBABILIDAD</t>
        </is>
      </c>
      <c r="B1" s="101" t="n"/>
      <c r="C1" s="101" t="n"/>
      <c r="D1" s="101" t="n"/>
    </row>
    <row r="2" ht="25.5" customHeight="1" s="106">
      <c r="A2" s="1" t="inlineStr">
        <is>
          <t>Descripción</t>
        </is>
      </c>
      <c r="B2" s="1" t="inlineStr">
        <is>
          <t>Nivel</t>
        </is>
      </c>
      <c r="C2" s="9" t="inlineStr">
        <is>
          <t xml:space="preserve">Porcentaje de ocurrencia del evento </t>
        </is>
      </c>
      <c r="D2" s="9" t="inlineStr">
        <is>
          <t>Frecuencia</t>
        </is>
      </c>
    </row>
    <row r="3" ht="12" customHeight="1" s="106">
      <c r="A3" s="2" t="inlineStr">
        <is>
          <t>Muy Baja</t>
        </is>
      </c>
      <c r="B3" s="3" t="n">
        <v>1</v>
      </c>
      <c r="C3" s="3" t="inlineStr">
        <is>
          <t>0,00% al 4,64%</t>
        </is>
      </c>
      <c r="D3" s="4" t="inlineStr">
        <is>
          <t>Ocurre una vez al año</t>
        </is>
      </c>
    </row>
    <row r="4" ht="12" customHeight="1" s="106">
      <c r="A4" s="5" t="inlineStr">
        <is>
          <t>Baja</t>
        </is>
      </c>
      <c r="B4" s="3" t="n">
        <v>2</v>
      </c>
      <c r="C4" s="3" t="inlineStr">
        <is>
          <t>4,65% al 7,60%</t>
        </is>
      </c>
      <c r="D4" s="4" t="inlineStr">
        <is>
          <t>Ocurre una vez al mes</t>
        </is>
      </c>
    </row>
    <row r="5" ht="20.45" customHeight="1" s="106">
      <c r="A5" s="6" t="inlineStr">
        <is>
          <t>Media</t>
        </is>
      </c>
      <c r="B5" s="3" t="n">
        <v>3</v>
      </c>
      <c r="C5" s="3" t="inlineStr">
        <is>
          <t>7.61% al 28,26%</t>
        </is>
      </c>
      <c r="D5" s="4" t="inlineStr">
        <is>
          <t>Ocurre una vez a la semana</t>
        </is>
      </c>
    </row>
    <row r="6" ht="12" customHeight="1" s="106">
      <c r="A6" s="7" t="inlineStr">
        <is>
          <t>Alta</t>
        </is>
      </c>
      <c r="B6" s="3" t="n">
        <v>4</v>
      </c>
      <c r="C6" s="3" t="inlineStr">
        <is>
          <t>28,27% al 40,70%</t>
        </is>
      </c>
      <c r="D6" s="4" t="inlineStr">
        <is>
          <t>Ocurre una vez al día</t>
        </is>
      </c>
    </row>
    <row r="7" ht="24" customHeight="1" s="106">
      <c r="A7" s="8" t="inlineStr">
        <is>
          <t>Muy Alta</t>
        </is>
      </c>
      <c r="B7" s="3" t="n">
        <v>5</v>
      </c>
      <c r="C7" s="3" t="inlineStr">
        <is>
          <t>40,71% al 100%</t>
        </is>
      </c>
      <c r="D7" s="4" t="inlineStr">
        <is>
          <t>Ocurre varias veces al día.</t>
        </is>
      </c>
    </row>
    <row r="9">
      <c r="A9" s="100" t="inlineStr">
        <is>
          <t>IMPACTO/DEGRADACIÓN</t>
        </is>
      </c>
      <c r="B9" s="101" t="n"/>
    </row>
    <row r="10">
      <c r="A10" s="11" t="inlineStr">
        <is>
          <t>Descripcion</t>
        </is>
      </c>
      <c r="B10" s="11" t="inlineStr">
        <is>
          <t>Nivel</t>
        </is>
      </c>
    </row>
    <row r="11">
      <c r="A11" s="2" t="inlineStr">
        <is>
          <t>Insignificante</t>
        </is>
      </c>
      <c r="B11" s="3" t="n">
        <v>1</v>
      </c>
    </row>
    <row r="12">
      <c r="A12" s="5" t="inlineStr">
        <is>
          <t>Bajo</t>
        </is>
      </c>
      <c r="B12" s="3" t="n">
        <v>2</v>
      </c>
    </row>
    <row r="13">
      <c r="A13" s="6" t="inlineStr">
        <is>
          <t>Medio</t>
        </is>
      </c>
      <c r="B13" s="3" t="n">
        <v>3</v>
      </c>
    </row>
    <row r="14">
      <c r="A14" s="7" t="inlineStr">
        <is>
          <t>Alto</t>
        </is>
      </c>
      <c r="B14" s="3" t="n">
        <v>4</v>
      </c>
    </row>
    <row r="15">
      <c r="A15" s="8" t="inlineStr">
        <is>
          <t>Severo</t>
        </is>
      </c>
      <c r="B15" s="3" t="n">
        <v>5</v>
      </c>
    </row>
    <row r="17">
      <c r="A17" s="102" t="inlineStr">
        <is>
          <t>NIVEL DE RIESGO DE SEGURIDAD = IMPACTO * PROBABILIDAD</t>
        </is>
      </c>
      <c r="B17" s="98" t="n"/>
      <c r="C17" s="98" t="n"/>
      <c r="D17" s="98" t="n"/>
      <c r="E17" s="98" t="n"/>
      <c r="F17" s="99" t="n"/>
      <c r="H17" s="105" t="n"/>
    </row>
    <row r="18">
      <c r="A18" s="103" t="inlineStr">
        <is>
          <t>PROBABILIDAD</t>
        </is>
      </c>
      <c r="B18" s="102" t="inlineStr">
        <is>
          <t>IMPACTO</t>
        </is>
      </c>
      <c r="C18" s="98" t="n"/>
      <c r="D18" s="98" t="n"/>
      <c r="E18" s="98" t="n"/>
      <c r="F18" s="99" t="n"/>
    </row>
    <row r="19">
      <c r="A19" s="104" t="n"/>
      <c r="B19" s="3" t="inlineStr">
        <is>
          <t>Insignificante</t>
        </is>
      </c>
      <c r="C19" s="3" t="inlineStr">
        <is>
          <t>Bajo</t>
        </is>
      </c>
      <c r="D19" s="3" t="inlineStr">
        <is>
          <t>Medio</t>
        </is>
      </c>
      <c r="E19" s="3" t="inlineStr">
        <is>
          <t>Alto</t>
        </is>
      </c>
      <c r="F19" s="3" t="inlineStr">
        <is>
          <t>Severo</t>
        </is>
      </c>
      <c r="H19" s="102" t="inlineStr">
        <is>
          <t>NIVEL DE RIESGO</t>
        </is>
      </c>
      <c r="I19" s="99" t="n"/>
      <c r="K19" s="14" t="n"/>
    </row>
    <row r="20">
      <c r="A20" s="3" t="inlineStr">
        <is>
          <t>Muy Alta</t>
        </is>
      </c>
      <c r="B20" s="78" t="n">
        <v>5</v>
      </c>
      <c r="C20" s="77" t="n">
        <v>10</v>
      </c>
      <c r="D20" s="77" t="n">
        <v>15</v>
      </c>
      <c r="E20" s="76" t="n">
        <v>20</v>
      </c>
      <c r="F20" s="76" t="n">
        <v>25</v>
      </c>
      <c r="H20" s="15" t="inlineStr">
        <is>
          <t>Crítico</t>
        </is>
      </c>
      <c r="I20" s="14" t="inlineStr">
        <is>
          <t>17-25</t>
        </is>
      </c>
    </row>
    <row r="21">
      <c r="A21" s="3" t="inlineStr">
        <is>
          <t>Alta</t>
        </is>
      </c>
      <c r="B21" s="79" t="n">
        <v>4</v>
      </c>
      <c r="C21" s="78" t="n">
        <v>8</v>
      </c>
      <c r="D21" s="77" t="n">
        <v>12</v>
      </c>
      <c r="E21" s="77" t="n">
        <v>16</v>
      </c>
      <c r="F21" s="76" t="n">
        <v>20</v>
      </c>
      <c r="H21" s="7" t="inlineStr">
        <is>
          <t>Alto</t>
        </is>
      </c>
      <c r="I21" s="14" t="inlineStr">
        <is>
          <t>10-16</t>
        </is>
      </c>
    </row>
    <row r="22">
      <c r="A22" s="3" t="inlineStr">
        <is>
          <t>Media</t>
        </is>
      </c>
      <c r="B22" s="79" t="n">
        <v>3</v>
      </c>
      <c r="C22" s="78" t="n">
        <v>6</v>
      </c>
      <c r="D22" s="78" t="n">
        <v>9</v>
      </c>
      <c r="E22" s="77" t="n">
        <v>12</v>
      </c>
      <c r="F22" s="77" t="n">
        <v>15</v>
      </c>
      <c r="H22" s="6" t="inlineStr">
        <is>
          <t>Medio</t>
        </is>
      </c>
      <c r="I22" s="14" t="inlineStr">
        <is>
          <t>5-9</t>
        </is>
      </c>
    </row>
    <row r="23">
      <c r="A23" s="3" t="inlineStr">
        <is>
          <t>Baja</t>
        </is>
      </c>
      <c r="B23" s="79" t="n">
        <v>2</v>
      </c>
      <c r="C23" s="79" t="n">
        <v>4</v>
      </c>
      <c r="D23" s="78" t="n">
        <v>6</v>
      </c>
      <c r="E23" s="78" t="n">
        <v>8</v>
      </c>
      <c r="F23" s="77" t="n">
        <v>10</v>
      </c>
      <c r="H23" s="5" t="inlineStr">
        <is>
          <t>Bajo</t>
        </is>
      </c>
      <c r="I23" s="75" t="inlineStr">
        <is>
          <t>1-4</t>
        </is>
      </c>
    </row>
    <row r="24">
      <c r="A24" s="3" t="inlineStr">
        <is>
          <t>Muy Baja</t>
        </is>
      </c>
      <c r="B24" s="79" t="n">
        <v>1</v>
      </c>
      <c r="C24" s="79" t="n">
        <v>2</v>
      </c>
      <c r="D24" s="79" t="n">
        <v>3</v>
      </c>
      <c r="E24" s="79" t="n">
        <v>4</v>
      </c>
      <c r="F24" s="78" t="n">
        <v>5</v>
      </c>
    </row>
  </sheetData>
  <mergeCells count="7">
    <mergeCell ref="A1:D1"/>
    <mergeCell ref="H19:I19"/>
    <mergeCell ref="A17:F17"/>
    <mergeCell ref="A9:B9"/>
    <mergeCell ref="A18:A19"/>
    <mergeCell ref="B18:F18"/>
    <mergeCell ref="H17:I17"/>
  </mergeCells>
  <pageMargins left="0.7" right="0.7" top="0.75" bottom="0.75" header="0.3" footer="0.3"/>
</worksheet>
</file>

<file path=xl/worksheets/sheet4.xml><?xml version="1.0" encoding="utf-8"?>
<worksheet xmlns="http://schemas.openxmlformats.org/spreadsheetml/2006/main">
  <sheetPr>
    <outlinePr summaryBelow="1" summaryRight="1"/>
    <pageSetUpPr fitToPage="1"/>
  </sheetPr>
  <dimension ref="A1:Z211"/>
  <sheetViews>
    <sheetView workbookViewId="0">
      <selection activeCell="Z137" sqref="Z137"/>
    </sheetView>
  </sheetViews>
  <sheetFormatPr baseColWidth="10" defaultRowHeight="11.25"/>
  <cols>
    <col width="11" bestFit="1" customWidth="1" style="38" min="1" max="1"/>
    <col width="24" customWidth="1" style="38" min="2" max="2"/>
    <col hidden="1" width="24.1640625" customWidth="1" style="112" min="3" max="3"/>
    <col hidden="1" width="32.5" customWidth="1" style="112" min="4" max="4"/>
    <col width="31" bestFit="1" customWidth="1" style="38" min="5" max="5"/>
    <col hidden="1" width="17.1640625" customWidth="1" style="38" min="6" max="9"/>
    <col hidden="1" width="12.6640625" customWidth="1" style="38" min="10" max="11"/>
    <col hidden="1" width="13.6640625" customWidth="1" style="38" min="12" max="12"/>
    <col hidden="1" width="15.6640625" customWidth="1" style="38" min="13" max="13"/>
    <col hidden="1" width="18" customWidth="1" style="38" min="14" max="14"/>
    <col hidden="1" width="15" customWidth="1" style="38" min="15" max="15"/>
    <col hidden="1" width="22.6640625" customWidth="1" style="38" min="16" max="16"/>
    <col hidden="1" width="13.6640625" customWidth="1" style="38" min="17" max="17"/>
    <col hidden="1" width="31.6640625" customWidth="1" style="38" min="18" max="18"/>
    <col hidden="1" width="15" customWidth="1" style="38" min="19" max="19"/>
    <col hidden="1" width="17.1640625" customWidth="1" style="38" min="20" max="20"/>
    <col hidden="1" width="13.6640625" customWidth="1" style="33" min="21" max="21"/>
    <col width="11" customWidth="1" style="106" min="22" max="22"/>
    <col width="14.5" customWidth="1" style="106" min="23" max="23"/>
    <col width="19.1640625" customWidth="1" style="106" min="24" max="24"/>
    <col width="13.1640625" customWidth="1" style="106" min="25" max="25"/>
    <col width="37.1640625" customWidth="1" style="106" min="26" max="26"/>
  </cols>
  <sheetData>
    <row r="1">
      <c r="O1" s="16" t="n"/>
      <c r="P1" s="16" t="n"/>
      <c r="Q1" s="16" t="n"/>
    </row>
    <row r="2" ht="41.1" customHeight="1" s="106">
      <c r="A2" s="61" t="inlineStr">
        <is>
          <t>ACTIVO</t>
        </is>
      </c>
      <c r="B2" s="62" t="inlineStr">
        <is>
          <t>NOMBRE</t>
        </is>
      </c>
      <c r="C2" s="62" t="inlineStr">
        <is>
          <t>DESCRIPCION</t>
        </is>
      </c>
      <c r="D2" s="62" t="inlineStr">
        <is>
          <t>TIPO DE ACTIVO MAGGERIT</t>
        </is>
      </c>
      <c r="E2" s="62" t="inlineStr">
        <is>
          <t>EVENTO DE AMENAZA</t>
        </is>
      </c>
      <c r="F2" s="62" t="inlineStr">
        <is>
          <t>CID</t>
        </is>
      </c>
      <c r="G2" s="62" t="inlineStr">
        <is>
          <t>CONFIDENCIALIDAD</t>
        </is>
      </c>
      <c r="H2" s="62" t="inlineStr">
        <is>
          <t>INTEGRIDAD</t>
        </is>
      </c>
      <c r="I2" s="62" t="inlineStr">
        <is>
          <t>DISPONIBILIDAD</t>
        </is>
      </c>
      <c r="J2" s="62" t="inlineStr">
        <is>
          <t>PROBABILIDAD</t>
        </is>
      </c>
      <c r="K2" s="62" t="inlineStr">
        <is>
          <t>IMPACTO</t>
        </is>
      </c>
      <c r="L2" s="62" t="inlineStr">
        <is>
          <t>RIESGO INHERENTE</t>
        </is>
      </c>
      <c r="M2" s="62" t="inlineStr">
        <is>
          <t>DETERMINACION RIESGO ACUMULADO O INHERENTE</t>
        </is>
      </c>
      <c r="N2" s="62" t="inlineStr">
        <is>
          <t>CONTROLES EXISTENTES</t>
        </is>
      </c>
      <c r="O2" s="62" t="inlineStr">
        <is>
          <t>TIPO DE PROTECCION</t>
        </is>
      </c>
      <c r="P2" s="62" t="inlineStr">
        <is>
          <t>MADUREZ DEL CONTROL</t>
        </is>
      </c>
      <c r="Q2" s="62" t="inlineStr">
        <is>
          <t>VALOR DE EFICACIA</t>
        </is>
      </c>
      <c r="R2" s="62" t="inlineStr">
        <is>
          <t>VULNERABILIDADES</t>
        </is>
      </c>
      <c r="S2" s="62" t="inlineStr">
        <is>
          <t>PROBABILIDAD RESIDUAL</t>
        </is>
      </c>
      <c r="T2" s="62" t="inlineStr">
        <is>
          <t>IMPACTO RESIDUAL</t>
        </is>
      </c>
      <c r="U2" s="62" t="inlineStr">
        <is>
          <t>RIESGO RESIDUAL</t>
        </is>
      </c>
      <c r="V2" s="63" t="inlineStr">
        <is>
          <t>DETERMINACION RIESGO RESIDUAL</t>
        </is>
      </c>
      <c r="W2" s="63" t="inlineStr">
        <is>
          <t>APETITO DE RIESGO</t>
        </is>
      </c>
      <c r="X2" s="62" t="inlineStr">
        <is>
          <t>REQUIERE TRATAMIENTO
NORMATIVA SEPS 002-2022</t>
        </is>
      </c>
      <c r="Y2" s="62" t="inlineStr">
        <is>
          <t>PLAN DE ACCION</t>
        </is>
      </c>
      <c r="Z2" s="62" t="inlineStr">
        <is>
          <t>DESCIPCION PLAN DE ACCIÓN</t>
        </is>
      </c>
    </row>
    <row r="3" hidden="1" ht="20.1" customHeight="1" s="106">
      <c r="A3" s="56" t="inlineStr">
        <is>
          <t>16-GTI</t>
        </is>
      </c>
      <c r="B3" s="4" t="inlineStr">
        <is>
          <t>Respaldo de información</t>
        </is>
      </c>
      <c r="C3" s="4" t="inlineStr">
        <is>
          <t xml:space="preserve">Respaldo de Base de Datos (diario) </t>
        </is>
      </c>
      <c r="D3" s="64" t="inlineStr">
        <is>
          <t>[Media] Soportes de información</t>
        </is>
      </c>
      <c r="E3" s="34" t="inlineStr">
        <is>
          <t>[E.2] Errores del administrador</t>
        </is>
      </c>
      <c r="F3" s="34">
        <f>+VLOOKUP(E3,'CATALOGO AMENAZA'!$B$2:$D$46,3,FALSE)</f>
        <v/>
      </c>
      <c r="G3" s="34" t="inlineStr">
        <is>
          <t>X</t>
        </is>
      </c>
      <c r="H3" s="34" t="inlineStr">
        <is>
          <t>X</t>
        </is>
      </c>
      <c r="I3" s="34" t="inlineStr">
        <is>
          <t>X</t>
        </is>
      </c>
      <c r="J3" s="34" t="n">
        <v>2</v>
      </c>
      <c r="K3" s="34" t="n">
        <v>4</v>
      </c>
      <c r="L3" s="34">
        <f>+J3*K3</f>
        <v/>
      </c>
      <c r="M3" s="34">
        <f>+IF(L3&lt;5,"BAJO",IF(L3&lt;10,"MEDIO",IF(L3&lt;17,"ALTO","CRITICO")))</f>
        <v/>
      </c>
      <c r="N3" s="4" t="inlineStr">
        <is>
          <t>Procedimientos operativos documentados</t>
        </is>
      </c>
      <c r="O3" s="34" t="inlineStr">
        <is>
          <t>PREVENTIVO</t>
        </is>
      </c>
      <c r="P3" s="34" t="inlineStr">
        <is>
          <t>Control Implementado sin evidencia de efectividad (Inefectivo prueba)</t>
        </is>
      </c>
      <c r="Q3" s="52" t="n">
        <v>0.3</v>
      </c>
      <c r="R3" s="4" t="inlineStr">
        <is>
          <t>Dependencia del administrador (error humano)</t>
        </is>
      </c>
      <c r="S3" s="53">
        <f>+IF(O3="PREVENTIVO",J3*(1-Q3),IF(O3="ADMINISTRACION",J3*(1-Q3),IF(O3="ELIMINACION",J3*(1-Q3),J3)))</f>
        <v/>
      </c>
      <c r="T3" s="53">
        <f>+IF(O3="DETECTIVO",K3*(1-Q3),IF(O3="RECUPERACION",K3*(1-Q3),K3))</f>
        <v/>
      </c>
      <c r="U3" s="54">
        <f>+S3*T3</f>
        <v/>
      </c>
      <c r="V3" s="65">
        <f>+IF(U3&lt;5,"BAJO",IF(U3&lt;10,"MEDIO",IF(U3&lt;17,"ALTO","CRITICO")))</f>
        <v/>
      </c>
      <c r="W3" s="87" t="inlineStr">
        <is>
          <t>MITIGAR</t>
        </is>
      </c>
      <c r="X3" s="80" t="inlineStr">
        <is>
          <t>-</t>
        </is>
      </c>
      <c r="Y3" s="80" t="inlineStr">
        <is>
          <t>-</t>
        </is>
      </c>
      <c r="Z3" s="80" t="inlineStr">
        <is>
          <t>-</t>
        </is>
      </c>
    </row>
    <row r="4" hidden="1" ht="30.6" customHeight="1" s="106">
      <c r="A4" s="56" t="inlineStr">
        <is>
          <t>16-GTI</t>
        </is>
      </c>
      <c r="B4" s="4" t="inlineStr">
        <is>
          <t>Respaldo de información</t>
        </is>
      </c>
      <c r="C4" s="4" t="inlineStr">
        <is>
          <t xml:space="preserve">Respaldo de Base de Datos (diario) </t>
        </is>
      </c>
      <c r="D4" s="64" t="inlineStr">
        <is>
          <t>[Media] Soportes de información</t>
        </is>
      </c>
      <c r="E4" s="34" t="inlineStr">
        <is>
          <t>[E.18] Destrucción de información</t>
        </is>
      </c>
      <c r="F4" s="34">
        <f>+VLOOKUP(E4,'CATALOGO AMENAZA'!$B$2:$D$46,3,FALSE)</f>
        <v/>
      </c>
      <c r="G4" s="34" t="n"/>
      <c r="H4" s="34" t="n"/>
      <c r="I4" s="34" t="inlineStr">
        <is>
          <t>X</t>
        </is>
      </c>
      <c r="J4" s="34" t="n">
        <v>2</v>
      </c>
      <c r="K4" s="34" t="n">
        <v>4</v>
      </c>
      <c r="L4" s="34">
        <f>+J4*K4</f>
        <v/>
      </c>
      <c r="M4" s="34">
        <f>+IF(L4&lt;5,"BAJO",IF(L4&lt;10,"MEDIO",IF(L4&lt;17,"ALTO","CRITICO")))</f>
        <v/>
      </c>
      <c r="N4" s="54" t="inlineStr">
        <is>
          <t>Respaldo digital de información</t>
        </is>
      </c>
      <c r="O4" s="54" t="inlineStr">
        <is>
          <t>PREVENTIVO</t>
        </is>
      </c>
      <c r="P4" s="34" t="inlineStr">
        <is>
          <t>Control Implementado sin evidencia de efectividad (Inefectivo prueba)</t>
        </is>
      </c>
      <c r="Q4" s="52" t="n">
        <v>0.3</v>
      </c>
      <c r="R4" s="4" t="inlineStr">
        <is>
          <t>Almacenamiento manual en medio extraible</t>
        </is>
      </c>
      <c r="S4" s="53">
        <f>+IF(O4="PREVENTIVO",J4*(1-Q4),IF(O4="ADMINISTRACION",J4*(1-Q4),IF(O4="ELIMINACION",J4*(1-Q4),J4)))</f>
        <v/>
      </c>
      <c r="T4" s="53">
        <f>+IF(O4="DETECTIVO",K4*(1-Q4),IF(O4="RECUPERACION",K4*(1-Q4),K4))</f>
        <v/>
      </c>
      <c r="U4" s="54">
        <f>+S4*T4</f>
        <v/>
      </c>
      <c r="V4" s="65">
        <f>+IF(U4&lt;5,"BAJO",IF(U4&lt;10,"MEDIO",IF(U4&lt;17,"ALTO","CRITICO")))</f>
        <v/>
      </c>
      <c r="W4" s="87" t="inlineStr">
        <is>
          <t>MITIGAR</t>
        </is>
      </c>
      <c r="X4" s="80" t="inlineStr">
        <is>
          <t>-</t>
        </is>
      </c>
      <c r="Y4" s="80" t="inlineStr">
        <is>
          <t>-</t>
        </is>
      </c>
      <c r="Z4" s="80" t="inlineStr">
        <is>
          <t>-</t>
        </is>
      </c>
    </row>
    <row r="5" hidden="1" ht="30.6" customHeight="1" s="106">
      <c r="A5" s="56" t="inlineStr">
        <is>
          <t>16-GTI</t>
        </is>
      </c>
      <c r="B5" s="4" t="inlineStr">
        <is>
          <t>Respaldo de información</t>
        </is>
      </c>
      <c r="C5" s="4" t="inlineStr">
        <is>
          <t xml:space="preserve">Respaldo de Base de Datos (diario) </t>
        </is>
      </c>
      <c r="D5" s="64" t="inlineStr">
        <is>
          <t>[Media] Soportes de información</t>
        </is>
      </c>
      <c r="E5" s="34" t="inlineStr">
        <is>
          <t>[N.1] Fuego</t>
        </is>
      </c>
      <c r="F5" s="34">
        <f>+VLOOKUP(E5,'CATALOGO AMENAZA'!$B$2:$D$46,3,FALSE)</f>
        <v/>
      </c>
      <c r="G5" s="34" t="n"/>
      <c r="H5" s="34" t="n"/>
      <c r="I5" s="34" t="inlineStr">
        <is>
          <t>X</t>
        </is>
      </c>
      <c r="J5" s="34" t="n">
        <v>1</v>
      </c>
      <c r="K5" s="34" t="n">
        <v>4</v>
      </c>
      <c r="L5" s="34">
        <f>+J5*K5</f>
        <v/>
      </c>
      <c r="M5" s="34">
        <f>+IF(L5&lt;5,"BAJO",IF(L5&lt;10,"MEDIO",IF(L5&lt;17,"ALTO","CRITICO")))</f>
        <v/>
      </c>
      <c r="N5" s="4" t="inlineStr">
        <is>
          <t>Sistema contra incendios</t>
        </is>
      </c>
      <c r="O5" s="34" t="inlineStr">
        <is>
          <t>PREVENTIVO</t>
        </is>
      </c>
      <c r="P5" s="34" t="inlineStr">
        <is>
          <t>Control Implementado sin evidencia de efectividad (Inefectivo prueba)</t>
        </is>
      </c>
      <c r="Q5" s="52" t="n">
        <v>0.3</v>
      </c>
      <c r="R5" s="4" t="inlineStr">
        <is>
          <t>-</t>
        </is>
      </c>
      <c r="S5" s="53">
        <f>+IF(O5="PREVENTIVO",J5*(1-Q5),IF(O5="ADMINISTRACION",J5*(1-Q5),IF(O5="ELIMINACION",J5*(1-Q5),J5)))</f>
        <v/>
      </c>
      <c r="T5" s="53">
        <f>+IF(O5="DETECTIVO",K5*(1-Q5),IF(O5="RECUPERACION",K5*(1-Q5),K5))</f>
        <v/>
      </c>
      <c r="U5" s="54">
        <f>+S5*T5</f>
        <v/>
      </c>
      <c r="V5" s="65">
        <f>+IF(U5&lt;5,"BAJO",IF(U5&lt;10,"MEDIO",IF(U5&lt;17,"ALTO","CRITICO")))</f>
        <v/>
      </c>
      <c r="W5" s="65" t="inlineStr">
        <is>
          <t>ACEPTABLE</t>
        </is>
      </c>
      <c r="X5" s="80" t="inlineStr">
        <is>
          <t>-</t>
        </is>
      </c>
      <c r="Y5" s="80" t="inlineStr">
        <is>
          <t>-</t>
        </is>
      </c>
      <c r="Z5" s="80" t="inlineStr">
        <is>
          <t>-</t>
        </is>
      </c>
    </row>
    <row r="6" hidden="1" ht="30.6" customHeight="1" s="106">
      <c r="A6" s="56" t="inlineStr">
        <is>
          <t>16-GTI</t>
        </is>
      </c>
      <c r="B6" s="4" t="inlineStr">
        <is>
          <t>Respaldo de información</t>
        </is>
      </c>
      <c r="C6" s="4" t="inlineStr">
        <is>
          <t xml:space="preserve">Respaldo de Base de Datos (diario) </t>
        </is>
      </c>
      <c r="D6" s="64" t="inlineStr">
        <is>
          <t>[Media] Soportes de información</t>
        </is>
      </c>
      <c r="E6" s="34" t="inlineStr">
        <is>
          <t>[E.19] Fugas de información</t>
        </is>
      </c>
      <c r="F6" s="34">
        <f>+VLOOKUP(E6,'CATALOGO AMENAZA'!$B$2:$D$46,3,FALSE)</f>
        <v/>
      </c>
      <c r="G6" s="34" t="inlineStr">
        <is>
          <t>X</t>
        </is>
      </c>
      <c r="H6" s="34" t="n"/>
      <c r="I6" s="34" t="n"/>
      <c r="J6" s="34" t="n">
        <v>2</v>
      </c>
      <c r="K6" s="34" t="n">
        <v>4</v>
      </c>
      <c r="L6" s="34">
        <f>+J6*K6</f>
        <v/>
      </c>
      <c r="M6" s="34">
        <f>+IF(L6&lt;5,"BAJO",IF(L6&lt;10,"MEDIO",IF(L6&lt;17,"ALTO","CRITICO")))</f>
        <v/>
      </c>
      <c r="N6" s="4" t="inlineStr">
        <is>
          <t>Politicas de manejo de información</t>
        </is>
      </c>
      <c r="O6" s="34" t="inlineStr">
        <is>
          <t>PREVENTIVO</t>
        </is>
      </c>
      <c r="P6" s="34" t="inlineStr">
        <is>
          <t>Control Implementado sin evidencia de efectividad (Inefectivo prueba)</t>
        </is>
      </c>
      <c r="Q6" s="52" t="n">
        <v>0.3</v>
      </c>
      <c r="R6" s="4" t="inlineStr">
        <is>
          <t>Dispositivos no encriptados</t>
        </is>
      </c>
      <c r="S6" s="53">
        <f>+IF(O6="PREVENTIVO",J6*(1-Q6),IF(O6="ADMINISTRACION",J6*(1-Q6),IF(O6="ELIMINACION",J6*(1-Q6),J6)))</f>
        <v/>
      </c>
      <c r="T6" s="53">
        <f>+IF(O6="DETECTIVO",K6*(1-Q6),IF(O6="RECUPERACION",K6*(1-Q6),K6))</f>
        <v/>
      </c>
      <c r="U6" s="54">
        <f>+S6*T6</f>
        <v/>
      </c>
      <c r="V6" s="65">
        <f>+IF(U6&lt;5,"BAJO",IF(U6&lt;10,"MEDIO",IF(U6&lt;17,"ALTO","CRITICO")))</f>
        <v/>
      </c>
      <c r="W6" s="87" t="inlineStr">
        <is>
          <t>MITIGAR</t>
        </is>
      </c>
      <c r="X6" s="80" t="inlineStr">
        <is>
          <t>-</t>
        </is>
      </c>
      <c r="Y6" s="80" t="inlineStr">
        <is>
          <t>-</t>
        </is>
      </c>
      <c r="Z6" s="80" t="inlineStr">
        <is>
          <t>-</t>
        </is>
      </c>
    </row>
    <row r="7" hidden="1" ht="42" customHeight="1" s="106">
      <c r="A7" s="56" t="inlineStr">
        <is>
          <t>21-GTI</t>
        </is>
      </c>
      <c r="B7" s="4" t="inlineStr">
        <is>
          <t>Registro control de respaldos</t>
        </is>
      </c>
      <c r="C7" s="4" t="inlineStr">
        <is>
          <t>Matriz de registro de respaldos realizados por fechas, tipo de respaldo y responsable</t>
        </is>
      </c>
      <c r="D7" s="64" t="inlineStr">
        <is>
          <t>[D] Datos / Información / datos de configuración</t>
        </is>
      </c>
      <c r="E7" s="34" t="inlineStr">
        <is>
          <t>[E.2] Errores del administrador</t>
        </is>
      </c>
      <c r="F7" s="34">
        <f>+VLOOKUP(E7,'CATALOGO AMENAZA'!$B$2:$D$46,3,FALSE)</f>
        <v/>
      </c>
      <c r="G7" s="34" t="inlineStr">
        <is>
          <t>X</t>
        </is>
      </c>
      <c r="H7" s="34" t="inlineStr">
        <is>
          <t>X</t>
        </is>
      </c>
      <c r="I7" s="34" t="inlineStr">
        <is>
          <t>X</t>
        </is>
      </c>
      <c r="J7" s="34" t="n">
        <v>1</v>
      </c>
      <c r="K7" s="34" t="n">
        <v>2</v>
      </c>
      <c r="L7" s="34">
        <f>+J7*K7</f>
        <v/>
      </c>
      <c r="M7" s="34">
        <f>+IF(L7&lt;5,"BAJO",IF(L7&lt;10,"MEDIO",IF(L7&lt;17,"ALTO","CRITICO")))</f>
        <v/>
      </c>
      <c r="N7" s="4" t="inlineStr">
        <is>
          <t>Procedimientos operativos documentados</t>
        </is>
      </c>
      <c r="O7" s="34" t="inlineStr">
        <is>
          <t>PREVENTIVO</t>
        </is>
      </c>
      <c r="P7" s="34" t="inlineStr">
        <is>
          <t>Control Implementado sin evidencia de efectividad (Inefectivo prueba)</t>
        </is>
      </c>
      <c r="Q7" s="52" t="n">
        <v>0.3</v>
      </c>
      <c r="R7" s="4" t="inlineStr">
        <is>
          <t>Dependencia del administrador (error humano)</t>
        </is>
      </c>
      <c r="S7" s="53">
        <f>+IF(O7="PREVENTIVO",J7*(1-Q7),IF(O7="ADMINISTRACION",J7*(1-Q7),IF(O7="ELIMINACION",J7*(1-Q7),J7)))</f>
        <v/>
      </c>
      <c r="T7" s="53">
        <f>+IF(O7="DETECTIVO",K7*(1-Q7),IF(O7="RECUPERACION",K7*(1-Q7),K7))</f>
        <v/>
      </c>
      <c r="U7" s="54">
        <f>+S7*T7</f>
        <v/>
      </c>
      <c r="V7" s="65">
        <f>+IF(U7&lt;5,"BAJO",IF(U7&lt;10,"MEDIO",IF(U7&lt;17,"ALTO","CRITICO")))</f>
        <v/>
      </c>
      <c r="W7" s="65" t="inlineStr">
        <is>
          <t>ACEPTABLE</t>
        </is>
      </c>
      <c r="X7" s="80" t="inlineStr">
        <is>
          <t>-</t>
        </is>
      </c>
      <c r="Y7" s="80" t="inlineStr">
        <is>
          <t>-</t>
        </is>
      </c>
      <c r="Z7" s="80" t="inlineStr">
        <is>
          <t>-</t>
        </is>
      </c>
    </row>
    <row r="8" ht="30.6" customHeight="1" s="106">
      <c r="A8" s="56" t="inlineStr">
        <is>
          <t>63-GTI</t>
        </is>
      </c>
      <c r="B8" s="4" t="inlineStr">
        <is>
          <t>Home Banking</t>
        </is>
      </c>
      <c r="C8" s="4" t="inlineStr">
        <is>
          <t>Aplicación Banca Virtual</t>
        </is>
      </c>
      <c r="D8" s="64" t="inlineStr">
        <is>
          <t>[SW] Software - Aplicaciones informáticas</t>
        </is>
      </c>
      <c r="E8" s="34" t="inlineStr">
        <is>
          <t>[A.11] Acceso no autorizado</t>
        </is>
      </c>
      <c r="F8" s="34">
        <f>+VLOOKUP(E8,'CATALOGO AMENAZA'!$B$2:$D$46,3,FALSE)</f>
        <v/>
      </c>
      <c r="G8" s="34" t="inlineStr">
        <is>
          <t>X</t>
        </is>
      </c>
      <c r="H8" s="34" t="inlineStr">
        <is>
          <t>X</t>
        </is>
      </c>
      <c r="I8" s="34" t="n"/>
      <c r="J8" s="34" t="n">
        <v>4</v>
      </c>
      <c r="K8" s="34" t="n">
        <v>5</v>
      </c>
      <c r="L8" s="34">
        <f>+J8*K8</f>
        <v/>
      </c>
      <c r="M8" s="34">
        <f>+IF(L8&lt;5,"BAJO",IF(L8&lt;10,"MEDIO",IF(L8&lt;17,"ALTO","CRITICO")))</f>
        <v/>
      </c>
      <c r="N8" s="4" t="inlineStr">
        <is>
          <t>Control de accesos</t>
        </is>
      </c>
      <c r="O8" s="34" t="inlineStr">
        <is>
          <t>PREVENTIVO</t>
        </is>
      </c>
      <c r="P8" s="34" t="inlineStr">
        <is>
          <t>Control Implementado sin evidencia de efectividad (Inefectivo prueba)</t>
        </is>
      </c>
      <c r="Q8" s="52" t="n">
        <v>0.3</v>
      </c>
      <c r="R8" s="4" t="inlineStr">
        <is>
          <t>Usuarios sin monitoreo</t>
        </is>
      </c>
      <c r="S8" s="53">
        <f>+IF(O8="PREVENTIVO",J8*(1-Q8),IF(O8="ADMINISTRACION",J8*(1-Q8),IF(O8="ELIMINACION",J8*(1-Q8),J8)))</f>
        <v/>
      </c>
      <c r="T8" s="53">
        <f>+IF(O8="DETECTIVO",K8*(1-Q8),IF(O8="RECUPERACION",K8*(1-Q8),K8))</f>
        <v/>
      </c>
      <c r="U8" s="54">
        <f>+S8*T8</f>
        <v/>
      </c>
      <c r="V8" s="65">
        <f>+IF(U8&lt;5,"BAJO",IF(U8&lt;10,"MEDIO",IF(U8&lt;17,"ALTO","CRITICO")))</f>
        <v/>
      </c>
      <c r="W8" s="65" t="inlineStr">
        <is>
          <t>MITIGAR</t>
        </is>
      </c>
      <c r="X8" s="34" t="inlineStr">
        <is>
          <t>REQUIERE TRATAMIENTO</t>
        </is>
      </c>
      <c r="Y8" s="34" t="inlineStr">
        <is>
          <t>PA-SI-001</t>
        </is>
      </c>
      <c r="Z8" s="34" t="inlineStr">
        <is>
          <t>Identificar herramientas que permitan realizar un análisis de LOGS</t>
        </is>
      </c>
    </row>
    <row r="9" hidden="1" ht="24.75" customHeight="1" s="106">
      <c r="A9" s="56" t="inlineStr">
        <is>
          <t>63-GTI</t>
        </is>
      </c>
      <c r="B9" s="4" t="inlineStr">
        <is>
          <t>Home Banking</t>
        </is>
      </c>
      <c r="C9" s="4" t="inlineStr">
        <is>
          <t>Aplicación Banca Virtual</t>
        </is>
      </c>
      <c r="D9" s="64" t="inlineStr">
        <is>
          <t>[SW] Software - Aplicaciones informáticas</t>
        </is>
      </c>
      <c r="E9" s="34" t="inlineStr">
        <is>
          <t>[A.5] Suplantación de la identidad del usuario</t>
        </is>
      </c>
      <c r="F9" s="34">
        <f>+VLOOKUP(E9,'CATALOGO AMENAZA'!$B$2:$D$46,3,FALSE)</f>
        <v/>
      </c>
      <c r="G9" s="34" t="inlineStr">
        <is>
          <t>X</t>
        </is>
      </c>
      <c r="H9" s="34" t="inlineStr">
        <is>
          <t>X</t>
        </is>
      </c>
      <c r="I9" s="34" t="n"/>
      <c r="J9" s="34" t="n">
        <v>4</v>
      </c>
      <c r="K9" s="34" t="n">
        <v>5</v>
      </c>
      <c r="L9" s="34">
        <f>+J9*K9</f>
        <v/>
      </c>
      <c r="M9" s="34">
        <f>+IF(L9&lt;5,"BAJO",IF(L9&lt;10,"MEDIO",IF(L9&lt;17,"ALTO","CRITICO")))</f>
        <v/>
      </c>
      <c r="N9" s="4" t="inlineStr">
        <is>
          <t>Doble autenticación</t>
        </is>
      </c>
      <c r="O9" s="34" t="inlineStr">
        <is>
          <t>ELIMINACION</t>
        </is>
      </c>
      <c r="P9" s="34" t="inlineStr">
        <is>
          <t>Control Implementado sin evidencia de efectividad (Inefectivo prueba)</t>
        </is>
      </c>
      <c r="Q9" s="52" t="n">
        <v>0.8</v>
      </c>
      <c r="R9" s="4" t="inlineStr">
        <is>
          <t>-</t>
        </is>
      </c>
      <c r="S9" s="53">
        <f>+IF(O9="PREVENTIVO",J9*(1-Q9),IF(O9="ADMINISTRACION",J9*(1-Q9),IF(O9="ELIMINACION",J9*(1-Q9),J9)))</f>
        <v/>
      </c>
      <c r="T9" s="53">
        <f>+IF(O9="DETECTIVO",K9*(1-Q9),IF(O9="RECUPERACION",K9*(1-Q9),K9))</f>
        <v/>
      </c>
      <c r="U9" s="54">
        <f>+S9*T9</f>
        <v/>
      </c>
      <c r="V9" s="65">
        <f>+IF(U9&lt;5,"BAJO",IF(U9&lt;10,"MEDIO",IF(U9&lt;17,"ALTO","CRITICO")))</f>
        <v/>
      </c>
      <c r="W9" s="65" t="inlineStr">
        <is>
          <t>ACEPTABLE</t>
        </is>
      </c>
      <c r="X9" s="80" t="inlineStr">
        <is>
          <t>-</t>
        </is>
      </c>
      <c r="Y9" s="80" t="inlineStr">
        <is>
          <t>-</t>
        </is>
      </c>
      <c r="Z9" s="80" t="inlineStr">
        <is>
          <t>-</t>
        </is>
      </c>
    </row>
    <row r="10" hidden="1" ht="30.6" customHeight="1" s="106">
      <c r="A10" s="56" t="inlineStr">
        <is>
          <t>63-GTI</t>
        </is>
      </c>
      <c r="B10" s="4" t="inlineStr">
        <is>
          <t>Home Banking</t>
        </is>
      </c>
      <c r="C10" s="4" t="inlineStr">
        <is>
          <t>Aplicación Banca Virtual</t>
        </is>
      </c>
      <c r="D10" s="64" t="inlineStr">
        <is>
          <t>[SW] Software - Aplicaciones informáticas</t>
        </is>
      </c>
      <c r="E10" s="34" t="inlineStr">
        <is>
          <t>[A.6] Abuso de privilegios de acceso</t>
        </is>
      </c>
      <c r="F10" s="34">
        <f>+VLOOKUP(E10,'CATALOGO AMENAZA'!$B$2:$D$46,3,FALSE)</f>
        <v/>
      </c>
      <c r="G10" s="34" t="inlineStr">
        <is>
          <t>X</t>
        </is>
      </c>
      <c r="H10" s="34" t="inlineStr">
        <is>
          <t>X</t>
        </is>
      </c>
      <c r="I10" s="34" t="inlineStr">
        <is>
          <t>X</t>
        </is>
      </c>
      <c r="J10" s="34" t="n">
        <v>2</v>
      </c>
      <c r="K10" s="34" t="n">
        <v>4</v>
      </c>
      <c r="L10" s="34">
        <f>+J10*K10</f>
        <v/>
      </c>
      <c r="M10" s="34">
        <f>+IF(L10&lt;5,"BAJO",IF(L10&lt;10,"MEDIO",IF(L10&lt;17,"ALTO","CRITICO")))</f>
        <v/>
      </c>
      <c r="N10" s="4" t="inlineStr">
        <is>
          <t>Registro de logs</t>
        </is>
      </c>
      <c r="O10" s="34" t="inlineStr">
        <is>
          <t>DETECTIVO</t>
        </is>
      </c>
      <c r="P10" s="34" t="inlineStr">
        <is>
          <t>Control Implementado sin evidencia de efectividad (Inefectivo prueba)</t>
        </is>
      </c>
      <c r="Q10" s="52" t="n">
        <v>0.3</v>
      </c>
      <c r="R10" s="4" t="inlineStr">
        <is>
          <t>Falta de revisión de perfiles de acceso</t>
        </is>
      </c>
      <c r="S10" s="53">
        <f>+IF(O10="PREVENTIVO",J10*(1-Q10),IF(O10="ADMINISTRACION",J10*(1-Q10),IF(O10="ELIMINACION",J10*(1-Q10),J10)))</f>
        <v/>
      </c>
      <c r="T10" s="53">
        <f>+IF(O10="DETECTIVO",K10*(1-Q10),IF(O10="RECUPERACION",K10*(1-Q10),K10))</f>
        <v/>
      </c>
      <c r="U10" s="54">
        <f>+S10*T10</f>
        <v/>
      </c>
      <c r="V10" s="65">
        <f>+IF(U10&lt;5,"BAJO",IF(U10&lt;10,"MEDIO",IF(U10&lt;17,"ALTO","CRITICO")))</f>
        <v/>
      </c>
      <c r="W10" s="87" t="inlineStr">
        <is>
          <t>MITIGAR</t>
        </is>
      </c>
      <c r="X10" s="80" t="inlineStr">
        <is>
          <t>-</t>
        </is>
      </c>
      <c r="Y10" s="80" t="inlineStr">
        <is>
          <t>-</t>
        </is>
      </c>
      <c r="Z10" s="80" t="inlineStr">
        <is>
          <t>-</t>
        </is>
      </c>
    </row>
    <row r="11" hidden="1" ht="30.6" customHeight="1" s="106">
      <c r="A11" s="56" t="inlineStr">
        <is>
          <t>63-GTI</t>
        </is>
      </c>
      <c r="B11" s="4" t="inlineStr">
        <is>
          <t>Home Banking</t>
        </is>
      </c>
      <c r="C11" s="4" t="inlineStr">
        <is>
          <t>Aplicación Banca Virtual</t>
        </is>
      </c>
      <c r="D11" s="64" t="inlineStr">
        <is>
          <t>[SW] Software - Aplicaciones informáticas</t>
        </is>
      </c>
      <c r="E11" s="34" t="inlineStr">
        <is>
          <t>[E.20] Vulnerabilidades de los programas (software)</t>
        </is>
      </c>
      <c r="F11" s="34">
        <f>+VLOOKUP(E11,'CATALOGO AMENAZA'!$B$2:$D$46,3,FALSE)</f>
        <v/>
      </c>
      <c r="G11" s="34" t="inlineStr">
        <is>
          <t>X</t>
        </is>
      </c>
      <c r="H11" s="34" t="inlineStr">
        <is>
          <t>X</t>
        </is>
      </c>
      <c r="I11" s="34" t="inlineStr">
        <is>
          <t>X</t>
        </is>
      </c>
      <c r="J11" s="34" t="n">
        <v>4</v>
      </c>
      <c r="K11" s="34" t="n">
        <v>4</v>
      </c>
      <c r="L11" s="34">
        <f>+J11*K11</f>
        <v/>
      </c>
      <c r="M11" s="34">
        <f>+IF(L11&lt;5,"BAJO",IF(L11&lt;10,"MEDIO",IF(L11&lt;17,"ALTO","CRITICO")))</f>
        <v/>
      </c>
      <c r="N11" s="4" t="inlineStr">
        <is>
          <t>Gestión de vulnerabilidades</t>
        </is>
      </c>
      <c r="O11" s="34" t="inlineStr">
        <is>
          <t>PREVENTIVO</t>
        </is>
      </c>
      <c r="P11" s="34" t="inlineStr">
        <is>
          <t>Control Implementado sin evidencia de efectividad (Inefectivo prueba)</t>
        </is>
      </c>
      <c r="Q11" s="52" t="n">
        <v>0.4</v>
      </c>
      <c r="R11" s="4" t="inlineStr">
        <is>
          <t>Recursos tecnológicos insuficientes para remediación</t>
        </is>
      </c>
      <c r="S11" s="53">
        <f>+IF(O11="PREVENTIVO",J11*(1-Q11),IF(O11="ADMINISTRACION",J11*(1-Q11),IF(O11="ELIMINACION",J11*(1-Q11),J11)))</f>
        <v/>
      </c>
      <c r="T11" s="53">
        <f>+IF(O11="DETECTIVO",K11*(1-Q11),IF(O11="RECUPERACION",K11*(1-Q11),K11))</f>
        <v/>
      </c>
      <c r="U11" s="54">
        <f>+S11*T11</f>
        <v/>
      </c>
      <c r="V11" s="65">
        <f>+IF(U11&lt;5,"BAJO",IF(U11&lt;10,"MEDIO",IF(U11&lt;17,"ALTO","CRITICO")))</f>
        <v/>
      </c>
      <c r="W11" s="87" t="inlineStr">
        <is>
          <t>MITIGAR</t>
        </is>
      </c>
      <c r="X11" s="80" t="inlineStr">
        <is>
          <t>-</t>
        </is>
      </c>
      <c r="Y11" s="80" t="inlineStr">
        <is>
          <t>-</t>
        </is>
      </c>
      <c r="Z11" s="80" t="inlineStr">
        <is>
          <t>-</t>
        </is>
      </c>
    </row>
    <row r="12" hidden="1" ht="41.1" customHeight="1" s="106">
      <c r="A12" s="56" t="inlineStr">
        <is>
          <t>63-GTI</t>
        </is>
      </c>
      <c r="B12" s="4" t="inlineStr">
        <is>
          <t>Home Banking</t>
        </is>
      </c>
      <c r="C12" s="4" t="inlineStr">
        <is>
          <t>Aplicación Banca Virtual</t>
        </is>
      </c>
      <c r="D12" s="64" t="inlineStr">
        <is>
          <t>[SW] Software - Aplicaciones informáticas</t>
        </is>
      </c>
      <c r="E12" s="34" t="inlineStr">
        <is>
          <t>[E.21] Errores de mantenimiento / actualización de programas (software)</t>
        </is>
      </c>
      <c r="F12" s="34">
        <f>+VLOOKUP(E12,'CATALOGO AMENAZA'!$B$2:$D$46,3,FALSE)</f>
        <v/>
      </c>
      <c r="G12" s="34" t="n"/>
      <c r="H12" s="34" t="inlineStr">
        <is>
          <t>X</t>
        </is>
      </c>
      <c r="I12" s="34" t="inlineStr">
        <is>
          <t>X</t>
        </is>
      </c>
      <c r="J12" s="34" t="n">
        <v>3</v>
      </c>
      <c r="K12" s="34" t="n">
        <v>4</v>
      </c>
      <c r="L12" s="34">
        <f>+J12*K12</f>
        <v/>
      </c>
      <c r="M12" s="34">
        <f>+IF(L12&lt;5,"BAJO",IF(L12&lt;10,"MEDIO",IF(L12&lt;17,"ALTO","CRITICO")))</f>
        <v/>
      </c>
      <c r="N12" s="4" t="inlineStr">
        <is>
          <t>Gestión de vulnerabilidades</t>
        </is>
      </c>
      <c r="O12" s="34" t="inlineStr">
        <is>
          <t>PREVENTIVO</t>
        </is>
      </c>
      <c r="P12" s="34" t="inlineStr">
        <is>
          <t>Control Implementado sin evidencia de efectividad (Inefectivo prueba)</t>
        </is>
      </c>
      <c r="Q12" s="52" t="n">
        <v>0.4</v>
      </c>
      <c r="R12" s="4" t="inlineStr">
        <is>
          <t>Recursos tecnológicos insuficientes para remediación</t>
        </is>
      </c>
      <c r="S12" s="53">
        <f>+IF(O12="PREVENTIVO",J12*(1-Q12),IF(O12="ADMINISTRACION",J12*(1-Q12),IF(O12="ELIMINACION",J12*(1-Q12),J12)))</f>
        <v/>
      </c>
      <c r="T12" s="53">
        <f>+IF(O12="DETECTIVO",K12*(1-Q12),IF(O12="RECUPERACION",K12*(1-Q12),K12))</f>
        <v/>
      </c>
      <c r="U12" s="54">
        <f>+S12*T12</f>
        <v/>
      </c>
      <c r="V12" s="65">
        <f>+IF(U12&lt;5,"BAJO",IF(U12&lt;10,"MEDIO",IF(U12&lt;17,"ALTO","CRITICO")))</f>
        <v/>
      </c>
      <c r="W12" s="87" t="inlineStr">
        <is>
          <t>MITIGAR</t>
        </is>
      </c>
      <c r="X12" s="80" t="inlineStr">
        <is>
          <t>-</t>
        </is>
      </c>
      <c r="Y12" s="80" t="inlineStr">
        <is>
          <t>-</t>
        </is>
      </c>
      <c r="Z12" s="80" t="inlineStr">
        <is>
          <t>-</t>
        </is>
      </c>
    </row>
    <row r="13" hidden="1" ht="41.1" customHeight="1" s="106">
      <c r="A13" s="56" t="inlineStr">
        <is>
          <t>64-GTI</t>
        </is>
      </c>
      <c r="B13" s="4" t="inlineStr">
        <is>
          <t>Cooperativa Virtual</t>
        </is>
      </c>
      <c r="C13" s="4" t="inlineStr">
        <is>
          <t>Servidor que aloja la Banca Electronica  
192.168.23.11</t>
        </is>
      </c>
      <c r="D13" s="64" t="inlineStr">
        <is>
          <t>[HW] Equipamiento informático (hardware)</t>
        </is>
      </c>
      <c r="E13" s="34" t="inlineStr">
        <is>
          <t>[E.2] Errores del administrador</t>
        </is>
      </c>
      <c r="F13" s="34">
        <f>+VLOOKUP(E13,'CATALOGO AMENAZA'!$B$2:$D$46,3,FALSE)</f>
        <v/>
      </c>
      <c r="G13" s="34" t="inlineStr">
        <is>
          <t>X</t>
        </is>
      </c>
      <c r="H13" s="34" t="inlineStr">
        <is>
          <t>X</t>
        </is>
      </c>
      <c r="I13" s="34" t="inlineStr">
        <is>
          <t>X</t>
        </is>
      </c>
      <c r="J13" s="34" t="n">
        <v>2</v>
      </c>
      <c r="K13" s="34" t="n">
        <v>4</v>
      </c>
      <c r="L13" s="34">
        <f>+J13*K13</f>
        <v/>
      </c>
      <c r="M13" s="34">
        <f>+IF(L13&lt;5,"BAJO",IF(L13&lt;10,"MEDIO",IF(L13&lt;17,"ALTO","CRITICO")))</f>
        <v/>
      </c>
      <c r="N13" s="4" t="inlineStr">
        <is>
          <t>Control de cambios en los sistemas
Verificación posterior (informe)</t>
        </is>
      </c>
      <c r="O13" s="34" t="inlineStr">
        <is>
          <t>ADMINISTRACION</t>
        </is>
      </c>
      <c r="P13" s="34" t="inlineStr">
        <is>
          <t>Control Implementado sin evidencia de efectividad (Inefectivo prueba)</t>
        </is>
      </c>
      <c r="Q13" s="52" t="n">
        <v>0.3</v>
      </c>
      <c r="R13" s="4" t="inlineStr">
        <is>
          <t>No existe procedimiento formal de gestión de cambios</t>
        </is>
      </c>
      <c r="S13" s="53">
        <f>+IF(O13="PREVENTIVO",J13*(1-Q13),IF(O13="ADMINISTRACION",J13*(1-Q13),IF(O13="ELIMINACION",J13*(1-Q13),J13)))</f>
        <v/>
      </c>
      <c r="T13" s="53">
        <f>+IF(O13="DETECTIVO",K13*(1-Q13),IF(O13="RECUPERACION",K13*(1-Q13),K13))</f>
        <v/>
      </c>
      <c r="U13" s="54">
        <f>+S13*T13</f>
        <v/>
      </c>
      <c r="V13" s="65">
        <f>+IF(U13&lt;5,"BAJO",IF(U13&lt;10,"MEDIO",IF(U13&lt;17,"ALTO","CRITICO")))</f>
        <v/>
      </c>
      <c r="W13" s="87" t="inlineStr">
        <is>
          <t>MITIGAR</t>
        </is>
      </c>
      <c r="X13" s="80" t="inlineStr">
        <is>
          <t>-</t>
        </is>
      </c>
      <c r="Y13" s="80" t="inlineStr">
        <is>
          <t>-</t>
        </is>
      </c>
      <c r="Z13" s="80" t="inlineStr">
        <is>
          <t>-</t>
        </is>
      </c>
    </row>
    <row r="14" hidden="1" ht="41.1" customHeight="1" s="106">
      <c r="A14" s="56" t="inlineStr">
        <is>
          <t>64-GTI</t>
        </is>
      </c>
      <c r="B14" s="4" t="inlineStr">
        <is>
          <t>Cooperativa Virtual</t>
        </is>
      </c>
      <c r="C14" s="4" t="inlineStr">
        <is>
          <t>Servidor que aloja la Banca Electronica  
192.168.23.11</t>
        </is>
      </c>
      <c r="D14" s="64" t="inlineStr">
        <is>
          <t>[HW] Equipamiento informático (hardware)</t>
        </is>
      </c>
      <c r="E14" s="34" t="inlineStr">
        <is>
          <t>[E.24] Caída del sistema por agotamiento de recursos</t>
        </is>
      </c>
      <c r="F14" s="34">
        <f>+VLOOKUP(E14,'CATALOGO AMENAZA'!$B$2:$D$46,3,FALSE)</f>
        <v/>
      </c>
      <c r="G14" s="34" t="n"/>
      <c r="H14" s="34" t="n"/>
      <c r="I14" s="34" t="inlineStr">
        <is>
          <t>X</t>
        </is>
      </c>
      <c r="J14" s="34" t="n">
        <v>4</v>
      </c>
      <c r="K14" s="34" t="n">
        <v>4</v>
      </c>
      <c r="L14" s="34">
        <f>+J14*K14</f>
        <v/>
      </c>
      <c r="M14" s="34">
        <f>+IF(L14&lt;5,"BAJO",IF(L14&lt;10,"MEDIO",IF(L14&lt;17,"ALTO","CRITICO")))</f>
        <v/>
      </c>
      <c r="N14" s="4" t="inlineStr">
        <is>
          <t>Monitoreo de Servidores presenta en el procedimiento operativo  Administración de Servidores en el Manua de Gestión de las Operaciones de TI</t>
        </is>
      </c>
      <c r="O14" s="34" t="inlineStr">
        <is>
          <t>PREVENTIVO</t>
        </is>
      </c>
      <c r="P14" s="34" t="inlineStr">
        <is>
          <t>Control Implementado sin evidencia de efectividad (Inefectivo prueba)</t>
        </is>
      </c>
      <c r="Q14" s="52" t="n">
        <v>0.4</v>
      </c>
      <c r="R14" s="4" t="inlineStr">
        <is>
          <t>Falta de alertas automáticas</t>
        </is>
      </c>
      <c r="S14" s="53">
        <f>+IF(O14="PREVENTIVO",J14*(1-Q14),IF(O14="ADMINISTRACION",J14*(1-Q14),IF(O14="ELIMINACION",J14*(1-Q14),J14)))</f>
        <v/>
      </c>
      <c r="T14" s="53">
        <f>+IF(O14="DETECTIVO",K14*(1-Q14),IF(O14="RECUPERACION",K14*(1-Q14),K14))</f>
        <v/>
      </c>
      <c r="U14" s="54">
        <f>+S14*T14</f>
        <v/>
      </c>
      <c r="V14" s="65">
        <f>+IF(U14&lt;5,"BAJO",IF(U14&lt;10,"MEDIO",IF(U14&lt;17,"ALTO","CRITICO")))</f>
        <v/>
      </c>
      <c r="W14" s="87" t="inlineStr">
        <is>
          <t>MITIGAR</t>
        </is>
      </c>
      <c r="X14" s="80" t="inlineStr">
        <is>
          <t>-</t>
        </is>
      </c>
      <c r="Y14" s="80" t="inlineStr">
        <is>
          <t>-</t>
        </is>
      </c>
      <c r="Z14" s="80" t="inlineStr">
        <is>
          <t>-</t>
        </is>
      </c>
    </row>
    <row r="15" hidden="1" ht="30.6" customHeight="1" s="106">
      <c r="A15" s="56" t="inlineStr">
        <is>
          <t>64-GTI</t>
        </is>
      </c>
      <c r="B15" s="4" t="inlineStr">
        <is>
          <t>Cooperativa Virtual</t>
        </is>
      </c>
      <c r="C15" s="4" t="inlineStr">
        <is>
          <t>Servidor que aloja la Banca Electronica  
192.168.23.11</t>
        </is>
      </c>
      <c r="D15" s="64" t="inlineStr">
        <is>
          <t>[HW] Equipamiento informático (hardware)</t>
        </is>
      </c>
      <c r="E15" s="34" t="inlineStr">
        <is>
          <t>[A.11] Acceso no autorizado</t>
        </is>
      </c>
      <c r="F15" s="34">
        <f>+VLOOKUP(E15,'CATALOGO AMENAZA'!$B$2:$D$46,3,FALSE)</f>
        <v/>
      </c>
      <c r="G15" s="34" t="inlineStr">
        <is>
          <t>X</t>
        </is>
      </c>
      <c r="H15" s="34" t="inlineStr">
        <is>
          <t>X</t>
        </is>
      </c>
      <c r="I15" s="34" t="n"/>
      <c r="J15" s="34" t="n">
        <v>3</v>
      </c>
      <c r="K15" s="34" t="n">
        <v>4</v>
      </c>
      <c r="L15" s="34">
        <f>+J15*K15</f>
        <v/>
      </c>
      <c r="M15" s="34">
        <f>+IF(L15&lt;5,"BAJO",IF(L15&lt;10,"MEDIO",IF(L15&lt;17,"ALTO","CRITICO")))</f>
        <v/>
      </c>
      <c r="N15" s="4" t="inlineStr">
        <is>
          <t>Control de accesos / VPN</t>
        </is>
      </c>
      <c r="O15" s="34" t="inlineStr">
        <is>
          <t>PREVENTIVO</t>
        </is>
      </c>
      <c r="P15" s="34" t="inlineStr">
        <is>
          <t>Control Implementado sin evidencia de efectividad (Inefectivo prueba)</t>
        </is>
      </c>
      <c r="Q15" s="52" t="n">
        <v>0.3</v>
      </c>
      <c r="R15" s="4" t="inlineStr">
        <is>
          <t>Contreaseñas de VPN no expiran</t>
        </is>
      </c>
      <c r="S15" s="53">
        <f>+IF(O15="PREVENTIVO",J15*(1-Q15),IF(O15="ADMINISTRACION",J15*(1-Q15),IF(O15="ELIMINACION",J15*(1-Q15),J15)))</f>
        <v/>
      </c>
      <c r="T15" s="53">
        <f>+IF(O15="DETECTIVO",K15*(1-Q15),IF(O15="RECUPERACION",K15*(1-Q15),K15))</f>
        <v/>
      </c>
      <c r="U15" s="54">
        <f>+S15*T15</f>
        <v/>
      </c>
      <c r="V15" s="65">
        <f>+IF(U15&lt;5,"BAJO",IF(U15&lt;10,"MEDIO",IF(U15&lt;17,"ALTO","CRITICO")))</f>
        <v/>
      </c>
      <c r="W15" s="87" t="inlineStr">
        <is>
          <t>MITIGAR</t>
        </is>
      </c>
      <c r="X15" s="80" t="inlineStr">
        <is>
          <t>-</t>
        </is>
      </c>
      <c r="Y15" s="80" t="inlineStr">
        <is>
          <t>-</t>
        </is>
      </c>
      <c r="Z15" s="80" t="inlineStr">
        <is>
          <t>-</t>
        </is>
      </c>
    </row>
    <row r="16" hidden="1" ht="30.6" customHeight="1" s="106">
      <c r="A16" s="56" t="inlineStr">
        <is>
          <t>64-GTI</t>
        </is>
      </c>
      <c r="B16" s="4" t="inlineStr">
        <is>
          <t>Cooperativa Virtual</t>
        </is>
      </c>
      <c r="C16" s="4" t="inlineStr">
        <is>
          <t>Servidor que aloja la Banca Electronica  
192.168.23.11</t>
        </is>
      </c>
      <c r="D16" s="64" t="inlineStr">
        <is>
          <t>[HW] Equipamiento informático (hardware)</t>
        </is>
      </c>
      <c r="E16" s="34" t="inlineStr">
        <is>
          <t>[A.23] Manipulación de los equipos</t>
        </is>
      </c>
      <c r="F16" s="34">
        <f>+VLOOKUP(E16,'CATALOGO AMENAZA'!$B$2:$D$46,3,FALSE)</f>
        <v/>
      </c>
      <c r="G16" s="34" t="inlineStr">
        <is>
          <t>X</t>
        </is>
      </c>
      <c r="H16" s="34" t="n"/>
      <c r="I16" s="34" t="inlineStr">
        <is>
          <t>X</t>
        </is>
      </c>
      <c r="J16" s="34" t="n">
        <v>3</v>
      </c>
      <c r="K16" s="34" t="n">
        <v>4</v>
      </c>
      <c r="L16" s="34">
        <f>+J16*K16</f>
        <v/>
      </c>
      <c r="M16" s="34">
        <f>+IF(L16&lt;5,"BAJO",IF(L16&lt;10,"MEDIO",IF(L16&lt;17,"ALTO","CRITICO")))</f>
        <v/>
      </c>
      <c r="N16" s="4" t="inlineStr">
        <is>
          <t>Control de accesos</t>
        </is>
      </c>
      <c r="O16" s="34" t="inlineStr">
        <is>
          <t>PREVENTIVO</t>
        </is>
      </c>
      <c r="P16" s="34" t="inlineStr">
        <is>
          <t>Control Implementado sin evidencia de efectividad (Inefectivo prueba)</t>
        </is>
      </c>
      <c r="Q16" s="52" t="n">
        <v>0.3</v>
      </c>
      <c r="R16" s="4" t="inlineStr">
        <is>
          <t>Usuarios genéricos</t>
        </is>
      </c>
      <c r="S16" s="53">
        <f>+IF(O16="PREVENTIVO",J16*(1-Q16),IF(O16="ADMINISTRACION",J16*(1-Q16),IF(O16="ELIMINACION",J16*(1-Q16),J16)))</f>
        <v/>
      </c>
      <c r="T16" s="53">
        <f>+IF(O16="DETECTIVO",K16*(1-Q16),IF(O16="RECUPERACION",K16*(1-Q16),K16))</f>
        <v/>
      </c>
      <c r="U16" s="54">
        <f>+S16*T16</f>
        <v/>
      </c>
      <c r="V16" s="65">
        <f>+IF(U16&lt;5,"BAJO",IF(U16&lt;10,"MEDIO",IF(U16&lt;17,"ALTO","CRITICO")))</f>
        <v/>
      </c>
      <c r="W16" s="87" t="inlineStr">
        <is>
          <t>MITIGAR</t>
        </is>
      </c>
      <c r="X16" s="80" t="inlineStr">
        <is>
          <t>-</t>
        </is>
      </c>
      <c r="Y16" s="80" t="inlineStr">
        <is>
          <t>-</t>
        </is>
      </c>
      <c r="Z16" s="80" t="inlineStr">
        <is>
          <t>-</t>
        </is>
      </c>
    </row>
    <row r="17" ht="39.6" customHeight="1" s="106">
      <c r="A17" s="56" t="inlineStr">
        <is>
          <t>64-GTI</t>
        </is>
      </c>
      <c r="B17" s="4" t="inlineStr">
        <is>
          <t>Cooperativa Virtual</t>
        </is>
      </c>
      <c r="C17" s="4" t="inlineStr">
        <is>
          <t>Servidor que aloja la Banca Electronica  
192.168.23.11</t>
        </is>
      </c>
      <c r="D17" s="64" t="inlineStr">
        <is>
          <t>[HW] Equipamiento informático (hardware)</t>
        </is>
      </c>
      <c r="E17" s="34" t="inlineStr">
        <is>
          <t>[A.24] Denegación de servicio</t>
        </is>
      </c>
      <c r="F17" s="34">
        <f>+VLOOKUP(E17,'CATALOGO AMENAZA'!$B$2:$D$46,3,FALSE)</f>
        <v/>
      </c>
      <c r="G17" s="34" t="n"/>
      <c r="H17" s="34" t="n"/>
      <c r="I17" s="34" t="inlineStr">
        <is>
          <t>X</t>
        </is>
      </c>
      <c r="J17" s="34" t="n">
        <v>4</v>
      </c>
      <c r="K17" s="34" t="n">
        <v>5</v>
      </c>
      <c r="L17" s="34">
        <f>+J17*K17</f>
        <v/>
      </c>
      <c r="M17" s="34">
        <f>+IF(L17&lt;5,"BAJO",IF(L17&lt;10,"MEDIO",IF(L17&lt;17,"ALTO","CRITICO")))</f>
        <v/>
      </c>
      <c r="N17" s="4" t="inlineStr">
        <is>
          <t>Configuración segura de firewall</t>
        </is>
      </c>
      <c r="O17" s="34" t="inlineStr">
        <is>
          <t>PREVENTIVO</t>
        </is>
      </c>
      <c r="P17" s="34" t="inlineStr">
        <is>
          <t>Control Implementado sin evidencia de efectividad (Inefectivo prueba)</t>
        </is>
      </c>
      <c r="Q17" s="52" t="n">
        <v>0.3</v>
      </c>
      <c r="R17" s="34" t="inlineStr">
        <is>
          <t>Evidencia de validación de las configuraciones</t>
        </is>
      </c>
      <c r="S17" s="53">
        <f>+IF(O17="PREVENTIVO",J17*(1-Q17),IF(O17="ADMINISTRACION",J17*(1-Q17),IF(O17="ELIMINACION",J17*(1-Q17),J17)))</f>
        <v/>
      </c>
      <c r="T17" s="53">
        <f>+IF(O17="DETECTIVO",K17*(1-Q17),IF(O17="RECUPERACION",K17*(1-Q17),K17))</f>
        <v/>
      </c>
      <c r="U17" s="54">
        <f>+S17*T17</f>
        <v/>
      </c>
      <c r="V17" s="65">
        <f>+IF(U17&lt;5,"BAJO",IF(U17&lt;10,"MEDIO",IF(U17&lt;17,"ALTO","CRITICO")))</f>
        <v/>
      </c>
      <c r="W17" s="65" t="inlineStr">
        <is>
          <t>MITIGAR</t>
        </is>
      </c>
      <c r="X17" s="34" t="inlineStr">
        <is>
          <t>REQUIERE TRATAMIENTO</t>
        </is>
      </c>
      <c r="Y17" s="34" t="inlineStr">
        <is>
          <t>PA-SI-002</t>
        </is>
      </c>
      <c r="Z17" s="34" t="inlineStr">
        <is>
          <t>Fortalecer mecanismos de protección contra ataques DoS/DDoS</t>
        </is>
      </c>
    </row>
    <row r="18" hidden="1" ht="20.45" customHeight="1" s="106">
      <c r="A18" s="56" t="inlineStr">
        <is>
          <t>64-GTI</t>
        </is>
      </c>
      <c r="B18" s="4" t="inlineStr">
        <is>
          <t>Cooperativa Virtual</t>
        </is>
      </c>
      <c r="C18" s="4" t="inlineStr">
        <is>
          <t>Servidor que aloja la Banca Electronica  
192.168.23.11</t>
        </is>
      </c>
      <c r="D18" s="64" t="inlineStr">
        <is>
          <t>[HW] Equipamiento informático (hardware)</t>
        </is>
      </c>
      <c r="E18" s="34" t="inlineStr">
        <is>
          <t>[E.23] Errores de mantenimiento / actualización de equipos (hardware)</t>
        </is>
      </c>
      <c r="F18" s="34">
        <f>+VLOOKUP(E18,'CATALOGO AMENAZA'!$B$2:$D$46,3,FALSE)</f>
        <v/>
      </c>
      <c r="G18" s="34" t="n"/>
      <c r="H18" s="34" t="n"/>
      <c r="I18" s="34" t="inlineStr">
        <is>
          <t>X</t>
        </is>
      </c>
      <c r="J18" s="34" t="n">
        <v>3</v>
      </c>
      <c r="K18" s="34" t="n">
        <v>4</v>
      </c>
      <c r="L18" s="34">
        <f>+J18*K18</f>
        <v/>
      </c>
      <c r="M18" s="34">
        <f>+IF(L18&lt;5,"BAJO",IF(L18&lt;10,"MEDIO",IF(L18&lt;17,"ALTO","CRITICO")))</f>
        <v/>
      </c>
      <c r="N18" s="4" t="inlineStr">
        <is>
          <t>Gestión de vulnerabilidades</t>
        </is>
      </c>
      <c r="O18" s="34" t="inlineStr">
        <is>
          <t>PREVENTIVO</t>
        </is>
      </c>
      <c r="P18" s="34" t="inlineStr">
        <is>
          <t>Control Implementado sin evidencia de efectividad (Inefectivo prueba)</t>
        </is>
      </c>
      <c r="Q18" s="52" t="n">
        <v>0.4</v>
      </c>
      <c r="R18" s="4" t="inlineStr">
        <is>
          <t>Recursos tecnológicos insuficientes para remediación</t>
        </is>
      </c>
      <c r="S18" s="53">
        <f>+IF(O18="PREVENTIVO",J18*(1-Q18),IF(O18="ADMINISTRACION",J18*(1-Q18),IF(O18="ELIMINACION",J18*(1-Q18),J18)))</f>
        <v/>
      </c>
      <c r="T18" s="53">
        <f>+IF(O18="DETECTIVO",K18*(1-Q18),IF(O18="RECUPERACION",K18*(1-Q18),K18))</f>
        <v/>
      </c>
      <c r="U18" s="54">
        <f>+S18*T18</f>
        <v/>
      </c>
      <c r="V18" s="65">
        <f>+IF(U18&lt;5,"BAJO",IF(U18&lt;10,"MEDIO",IF(U18&lt;17,"ALTO","CRITICO")))</f>
        <v/>
      </c>
      <c r="W18" s="87" t="inlineStr">
        <is>
          <t>MITIGAR</t>
        </is>
      </c>
      <c r="X18" s="80" t="inlineStr">
        <is>
          <t>-</t>
        </is>
      </c>
      <c r="Y18" s="80" t="inlineStr">
        <is>
          <t>-</t>
        </is>
      </c>
      <c r="Z18" s="80" t="inlineStr">
        <is>
          <t>-</t>
        </is>
      </c>
    </row>
    <row r="19" hidden="1" ht="30.6" customHeight="1" s="106">
      <c r="A19" s="56" t="inlineStr">
        <is>
          <t>65-GTI</t>
        </is>
      </c>
      <c r="B19" s="4" t="inlineStr">
        <is>
          <t>Sendmail</t>
        </is>
      </c>
      <c r="C19" s="4" t="inlineStr">
        <is>
          <t>Administracion Contenidos y Correo electrónico</t>
        </is>
      </c>
      <c r="D19" s="64" t="inlineStr">
        <is>
          <t>[S] Servicios</t>
        </is>
      </c>
      <c r="E19" s="34" t="inlineStr">
        <is>
          <t>[A.11] Acceso no autorizado</t>
        </is>
      </c>
      <c r="F19" s="34">
        <f>+VLOOKUP(E19,'CATALOGO AMENAZA'!$B$2:$D$46,3,FALSE)</f>
        <v/>
      </c>
      <c r="G19" s="34" t="inlineStr">
        <is>
          <t>X</t>
        </is>
      </c>
      <c r="H19" s="34" t="inlineStr">
        <is>
          <t>X</t>
        </is>
      </c>
      <c r="I19" s="34" t="n"/>
      <c r="J19" s="34" t="n">
        <v>2</v>
      </c>
      <c r="K19" s="34" t="n">
        <v>3</v>
      </c>
      <c r="L19" s="34">
        <f>+J19*K19</f>
        <v/>
      </c>
      <c r="M19" s="34">
        <f>+IF(L19&lt;5,"BAJO",IF(L19&lt;10,"MEDIO",IF(L19&lt;17,"ALTO","CRITICO")))</f>
        <v/>
      </c>
      <c r="N19" s="4" t="inlineStr">
        <is>
          <t>Control de accesos</t>
        </is>
      </c>
      <c r="O19" s="34" t="inlineStr">
        <is>
          <t>PREVENTIVO</t>
        </is>
      </c>
      <c r="P19" s="34" t="inlineStr">
        <is>
          <t>Control Implementado sin evidencia de efectividad (Inefectivo prueba)</t>
        </is>
      </c>
      <c r="Q19" s="52" t="n">
        <v>0.3</v>
      </c>
      <c r="R19" s="4" t="inlineStr">
        <is>
          <t>Usuarios genéricos</t>
        </is>
      </c>
      <c r="S19" s="53">
        <f>+IF(O19="PREVENTIVO",J19*(1-Q19),IF(O19="ADMINISTRACION",J19*(1-Q19),IF(O19="ELIMINACION",J19*(1-Q19),J19)))</f>
        <v/>
      </c>
      <c r="T19" s="53">
        <f>+IF(O19="DETECTIVO",K19*(1-Q19),IF(O19="RECUPERACION",K19*(1-Q19),K19))</f>
        <v/>
      </c>
      <c r="U19" s="54">
        <f>+S19*T19</f>
        <v/>
      </c>
      <c r="V19" s="65">
        <f>+IF(U19&lt;5,"BAJO",IF(U19&lt;10,"MEDIO",IF(U19&lt;17,"ALTO","CRITICO")))</f>
        <v/>
      </c>
      <c r="W19" s="65" t="inlineStr">
        <is>
          <t>ACEPTABLE</t>
        </is>
      </c>
      <c r="X19" s="80" t="inlineStr">
        <is>
          <t>-</t>
        </is>
      </c>
      <c r="Y19" s="80" t="inlineStr">
        <is>
          <t>-</t>
        </is>
      </c>
      <c r="Z19" s="80" t="inlineStr">
        <is>
          <t>-</t>
        </is>
      </c>
    </row>
    <row r="20" hidden="1" ht="20.45" customHeight="1" s="106">
      <c r="A20" s="56" t="inlineStr">
        <is>
          <t>65-GTI</t>
        </is>
      </c>
      <c r="B20" s="4" t="inlineStr">
        <is>
          <t>Sendmail</t>
        </is>
      </c>
      <c r="C20" s="4" t="inlineStr">
        <is>
          <t>Administracion Contenidos y Correo electrónico</t>
        </is>
      </c>
      <c r="D20" s="64" t="inlineStr">
        <is>
          <t>[S] Servicios</t>
        </is>
      </c>
      <c r="E20" s="34" t="inlineStr">
        <is>
          <t>[A.5] Suplantación de la identidad del usuario</t>
        </is>
      </c>
      <c r="F20" s="34">
        <f>+VLOOKUP(E20,'CATALOGO AMENAZA'!$B$2:$D$46,3,FALSE)</f>
        <v/>
      </c>
      <c r="G20" s="34" t="inlineStr">
        <is>
          <t>X</t>
        </is>
      </c>
      <c r="H20" s="34" t="inlineStr">
        <is>
          <t>X</t>
        </is>
      </c>
      <c r="I20" s="34" t="n"/>
      <c r="J20" s="34" t="n">
        <v>2</v>
      </c>
      <c r="K20" s="34" t="n">
        <v>3</v>
      </c>
      <c r="L20" s="34">
        <f>+J20*K20</f>
        <v/>
      </c>
      <c r="M20" s="34">
        <f>+IF(L20&lt;5,"BAJO",IF(L20&lt;10,"MEDIO",IF(L20&lt;17,"ALTO","CRITICO")))</f>
        <v/>
      </c>
      <c r="N20" s="4" t="inlineStr">
        <is>
          <t>Politicas de contraseñas robustas</t>
        </is>
      </c>
      <c r="O20" s="34" t="inlineStr">
        <is>
          <t>PREVENTIVO</t>
        </is>
      </c>
      <c r="P20" s="34" t="inlineStr">
        <is>
          <t>Control Implementado sin evidencia de efectividad (Inefectivo prueba)</t>
        </is>
      </c>
      <c r="Q20" s="52" t="n">
        <v>0.3</v>
      </c>
      <c r="R20" s="4" t="inlineStr">
        <is>
          <t>Usuarios genéricos / claves compartidas y almacenadas en navegadores</t>
        </is>
      </c>
      <c r="S20" s="53">
        <f>+IF(O20="PREVENTIVO",J20*(1-Q20),IF(O20="ADMINISTRACION",J20*(1-Q20),IF(O20="ELIMINACION",J20*(1-Q20),J20)))</f>
        <v/>
      </c>
      <c r="T20" s="53">
        <f>+IF(O20="DETECTIVO",K20*(1-Q20),IF(O20="RECUPERACION",K20*(1-Q20),K20))</f>
        <v/>
      </c>
      <c r="U20" s="54">
        <f>+S20*T20</f>
        <v/>
      </c>
      <c r="V20" s="65">
        <f>+IF(U20&lt;5,"BAJO",IF(U20&lt;10,"MEDIO",IF(U20&lt;17,"ALTO","CRITICO")))</f>
        <v/>
      </c>
      <c r="W20" s="65" t="inlineStr">
        <is>
          <t>ACEPTABLE</t>
        </is>
      </c>
      <c r="X20" s="80" t="inlineStr">
        <is>
          <t>-</t>
        </is>
      </c>
      <c r="Y20" s="80" t="inlineStr">
        <is>
          <t>-</t>
        </is>
      </c>
      <c r="Z20" s="80" t="inlineStr">
        <is>
          <t>-</t>
        </is>
      </c>
    </row>
    <row r="21" hidden="1" ht="33.75" customHeight="1" s="106">
      <c r="A21" s="56" t="inlineStr">
        <is>
          <t>65-GTI</t>
        </is>
      </c>
      <c r="B21" s="4" t="inlineStr">
        <is>
          <t>Sendmail</t>
        </is>
      </c>
      <c r="C21" s="4" t="inlineStr">
        <is>
          <t>Administracion Contenidos y Correo electrónico</t>
        </is>
      </c>
      <c r="D21" s="64" t="inlineStr">
        <is>
          <t>[S] Servicios</t>
        </is>
      </c>
      <c r="E21" s="34" t="inlineStr">
        <is>
          <t>[A.19] Divulgación de información</t>
        </is>
      </c>
      <c r="F21" s="34">
        <f>+VLOOKUP(E21,'CATALOGO AMENAZA'!$B$2:$D$46,3,FALSE)</f>
        <v/>
      </c>
      <c r="G21" s="34" t="inlineStr">
        <is>
          <t>X</t>
        </is>
      </c>
      <c r="H21" s="34" t="n"/>
      <c r="I21" s="34" t="n"/>
      <c r="J21" s="34" t="n">
        <v>2</v>
      </c>
      <c r="K21" s="34" t="n">
        <v>3</v>
      </c>
      <c r="L21" s="34">
        <f>+J21*K21</f>
        <v/>
      </c>
      <c r="M21" s="34">
        <f>+IF(L21&lt;5,"BAJO",IF(L21&lt;10,"MEDIO",IF(L21&lt;17,"ALTO","CRITICO")))</f>
        <v/>
      </c>
      <c r="N21" s="4" t="inlineStr">
        <is>
          <t>Validación de destinatarios</t>
        </is>
      </c>
      <c r="O21" s="34" t="inlineStr">
        <is>
          <t>PREVENTIVO</t>
        </is>
      </c>
      <c r="P21" s="34" t="inlineStr">
        <is>
          <t>Control Implementado sin evidencia de efectividad (Inefectivo prueba)</t>
        </is>
      </c>
      <c r="Q21" s="52" t="n">
        <v>0.3</v>
      </c>
      <c r="R21" s="4" t="inlineStr">
        <is>
          <t>Politicas sin restricción para jefaturas</t>
        </is>
      </c>
      <c r="S21" s="53">
        <f>+IF(O21="PREVENTIVO",J21*(1-Q21),IF(O21="ADMINISTRACION",J21*(1-Q21),IF(O21="ELIMINACION",J21*(1-Q21),J21)))</f>
        <v/>
      </c>
      <c r="T21" s="53">
        <f>+IF(O21="DETECTIVO",K21*(1-Q21),IF(O21="RECUPERACION",K21*(1-Q21),K21))</f>
        <v/>
      </c>
      <c r="U21" s="54">
        <f>+S21*T21</f>
        <v/>
      </c>
      <c r="V21" s="65">
        <f>+IF(U21&lt;5,"BAJO",IF(U21&lt;10,"MEDIO",IF(U21&lt;17,"ALTO","CRITICO")))</f>
        <v/>
      </c>
      <c r="W21" s="65" t="inlineStr">
        <is>
          <t>ACEPTABLE</t>
        </is>
      </c>
      <c r="X21" s="80" t="inlineStr">
        <is>
          <t>-</t>
        </is>
      </c>
      <c r="Y21" s="80" t="inlineStr">
        <is>
          <t>-</t>
        </is>
      </c>
      <c r="Z21" s="80" t="inlineStr">
        <is>
          <t>-</t>
        </is>
      </c>
    </row>
    <row r="22" hidden="1" ht="30.6" customHeight="1" s="106">
      <c r="A22" s="56" t="inlineStr">
        <is>
          <t>65-GTI</t>
        </is>
      </c>
      <c r="B22" s="4" t="inlineStr">
        <is>
          <t>Sendmail</t>
        </is>
      </c>
      <c r="C22" s="4" t="inlineStr">
        <is>
          <t>Administracion Contenidos y Correo electrónico</t>
        </is>
      </c>
      <c r="D22" s="64" t="inlineStr">
        <is>
          <t>[S] Servicios</t>
        </is>
      </c>
      <c r="E22" s="34" t="inlineStr">
        <is>
          <t>[A.24] Denegación de servicio</t>
        </is>
      </c>
      <c r="F22" s="34">
        <f>+VLOOKUP(E22,'CATALOGO AMENAZA'!$B$2:$D$46,3,FALSE)</f>
        <v/>
      </c>
      <c r="G22" s="34" t="n"/>
      <c r="H22" s="34" t="n"/>
      <c r="I22" s="34" t="inlineStr">
        <is>
          <t>X</t>
        </is>
      </c>
      <c r="J22" s="34" t="n">
        <v>3</v>
      </c>
      <c r="K22" s="34" t="n">
        <v>4</v>
      </c>
      <c r="L22" s="34">
        <f>+J22*K22</f>
        <v/>
      </c>
      <c r="M22" s="34">
        <f>+IF(L22&lt;5,"BAJO",IF(L22&lt;10,"MEDIO",IF(L22&lt;17,"ALTO","CRITICO")))</f>
        <v/>
      </c>
      <c r="N22" s="4" t="inlineStr">
        <is>
          <t>Software Antispam Fortimail</t>
        </is>
      </c>
      <c r="O22" s="34" t="inlineStr">
        <is>
          <t>PREVENTIVO</t>
        </is>
      </c>
      <c r="P22" s="34" t="inlineStr">
        <is>
          <t>Control Implementado sin evidencia de efectividad (Inefectivo prueba)</t>
        </is>
      </c>
      <c r="Q22" s="52" t="n">
        <v>0.3</v>
      </c>
      <c r="R22" s="4" t="inlineStr">
        <is>
          <t>No se realiza pruebas de carga</t>
        </is>
      </c>
      <c r="S22" s="53">
        <f>+IF(O22="PREVENTIVO",J22*(1-Q22),IF(O22="ADMINISTRACION",J22*(1-Q22),IF(O22="ELIMINACION",J22*(1-Q22),J22)))</f>
        <v/>
      </c>
      <c r="T22" s="53">
        <f>+IF(O22="DETECTIVO",K22*(1-Q22),IF(O22="RECUPERACION",K22*(1-Q22),K22))</f>
        <v/>
      </c>
      <c r="U22" s="54">
        <f>+S22*T22</f>
        <v/>
      </c>
      <c r="V22" s="65">
        <f>+IF(U22&lt;5,"BAJO",IF(U22&lt;10,"MEDIO",IF(U22&lt;17,"ALTO","CRITICO")))</f>
        <v/>
      </c>
      <c r="W22" s="87" t="inlineStr">
        <is>
          <t>MITIGAR</t>
        </is>
      </c>
      <c r="X22" s="80" t="inlineStr">
        <is>
          <t>-</t>
        </is>
      </c>
      <c r="Y22" s="80" t="inlineStr">
        <is>
          <t>-</t>
        </is>
      </c>
      <c r="Z22" s="80" t="inlineStr">
        <is>
          <t>-</t>
        </is>
      </c>
    </row>
    <row r="23" hidden="1" ht="22.5" customHeight="1" s="106">
      <c r="A23" s="56" t="inlineStr">
        <is>
          <t>65-GTI</t>
        </is>
      </c>
      <c r="B23" s="4" t="inlineStr">
        <is>
          <t>Sendmail</t>
        </is>
      </c>
      <c r="C23" s="4" t="inlineStr">
        <is>
          <t>Administracion Contenidos y Correo electrónico</t>
        </is>
      </c>
      <c r="D23" s="64" t="inlineStr">
        <is>
          <t>[S] Servicios</t>
        </is>
      </c>
      <c r="E23" s="34" t="inlineStr">
        <is>
          <t>[E.24] Caída del sistema por agotamiento de recursos</t>
        </is>
      </c>
      <c r="F23" s="34">
        <f>+VLOOKUP(E23,'CATALOGO AMENAZA'!$B$2:$D$46,3,FALSE)</f>
        <v/>
      </c>
      <c r="G23" s="34" t="n"/>
      <c r="H23" s="34" t="n"/>
      <c r="I23" s="34" t="inlineStr">
        <is>
          <t>X</t>
        </is>
      </c>
      <c r="J23" s="34" t="n">
        <v>2</v>
      </c>
      <c r="K23" s="34" t="n">
        <v>3</v>
      </c>
      <c r="L23" s="34">
        <f>+J23*K23</f>
        <v/>
      </c>
      <c r="M23" s="34">
        <f>+IF(L23&lt;5,"BAJO",IF(L23&lt;10,"MEDIO",IF(L23&lt;17,"ALTO","CRITICO")))</f>
        <v/>
      </c>
      <c r="N23" s="4" t="inlineStr">
        <is>
          <t>Monitoreo de Servidores presenta en el procedimiento operativo  Administración de Servidores en el Manua de Gestión de las Operaciones de TI</t>
        </is>
      </c>
      <c r="O23" s="34" t="inlineStr">
        <is>
          <t>PREVENTIVO</t>
        </is>
      </c>
      <c r="P23" s="34" t="inlineStr">
        <is>
          <t>Control Implementado sin evidencia de efectividad (Inefectivo prueba)</t>
        </is>
      </c>
      <c r="Q23" s="52" t="n">
        <v>0.4</v>
      </c>
      <c r="R23" s="4" t="inlineStr">
        <is>
          <t>Falta de alertas automáticas</t>
        </is>
      </c>
      <c r="S23" s="53">
        <f>+IF(O23="PREVENTIVO",J23*(1-Q23),IF(O23="ADMINISTRACION",J23*(1-Q23),IF(O23="ELIMINACION",J23*(1-Q23),J23)))</f>
        <v/>
      </c>
      <c r="T23" s="53">
        <f>+IF(O23="DETECTIVO",K23*(1-Q23),IF(O23="RECUPERACION",K23*(1-Q23),K23))</f>
        <v/>
      </c>
      <c r="U23" s="54">
        <f>+S23*T23</f>
        <v/>
      </c>
      <c r="V23" s="65">
        <f>+IF(U23&lt;5,"BAJO",IF(U23&lt;10,"MEDIO",IF(U23&lt;17,"ALTO","CRITICO")))</f>
        <v/>
      </c>
      <c r="W23" s="65" t="inlineStr">
        <is>
          <t>ACEPTABLE</t>
        </is>
      </c>
      <c r="X23" s="80" t="inlineStr">
        <is>
          <t>-</t>
        </is>
      </c>
      <c r="Y23" s="80" t="inlineStr">
        <is>
          <t>-</t>
        </is>
      </c>
      <c r="Z23" s="80" t="inlineStr">
        <is>
          <t>-</t>
        </is>
      </c>
    </row>
    <row r="24" hidden="1" ht="30.6" customHeight="1" s="106">
      <c r="A24" s="56" t="inlineStr">
        <is>
          <t>66-GTI</t>
        </is>
      </c>
      <c r="B24" s="4" t="inlineStr">
        <is>
          <t>correo electronico</t>
        </is>
      </c>
      <c r="C24" s="4" t="inlineStr">
        <is>
          <t>Servidor web administracion correo electronico
192.168.23.2</t>
        </is>
      </c>
      <c r="D24" s="64" t="inlineStr">
        <is>
          <t>[S] Servicios</t>
        </is>
      </c>
      <c r="E24" s="34" t="inlineStr">
        <is>
          <t>[A.11] Acceso no autorizado</t>
        </is>
      </c>
      <c r="F24" s="34">
        <f>+VLOOKUP(E24,'CATALOGO AMENAZA'!$B$2:$D$46,3,FALSE)</f>
        <v/>
      </c>
      <c r="G24" s="34" t="inlineStr">
        <is>
          <t>X</t>
        </is>
      </c>
      <c r="H24" s="34" t="inlineStr">
        <is>
          <t>X</t>
        </is>
      </c>
      <c r="I24" s="34" t="n"/>
      <c r="J24" s="34" t="n">
        <v>3</v>
      </c>
      <c r="K24" s="34" t="n">
        <v>3</v>
      </c>
      <c r="L24" s="34">
        <f>+J24*K24</f>
        <v/>
      </c>
      <c r="M24" s="34">
        <f>+IF(L24&lt;5,"BAJO",IF(L24&lt;10,"MEDIO",IF(L24&lt;17,"ALTO","CRITICO")))</f>
        <v/>
      </c>
      <c r="N24" s="4" t="inlineStr">
        <is>
          <t>Control de accesos</t>
        </is>
      </c>
      <c r="O24" s="34" t="inlineStr">
        <is>
          <t>PREVENTIVO</t>
        </is>
      </c>
      <c r="P24" s="34" t="inlineStr">
        <is>
          <t>Control Implementado sin evidencia de efectividad (Inefectivo prueba)</t>
        </is>
      </c>
      <c r="Q24" s="52" t="n">
        <v>0.3</v>
      </c>
      <c r="R24" s="4" t="inlineStr">
        <is>
          <t>Usuarios genéricos</t>
        </is>
      </c>
      <c r="S24" s="53">
        <f>+IF(O24="PREVENTIVO",J24*(1-Q24),IF(O24="ADMINISTRACION",J24*(1-Q24),IF(O24="ELIMINACION",J24*(1-Q24),J24)))</f>
        <v/>
      </c>
      <c r="T24" s="53">
        <f>+IF(O24="DETECTIVO",K24*(1-Q24),IF(O24="RECUPERACION",K24*(1-Q24),K24))</f>
        <v/>
      </c>
      <c r="U24" s="54">
        <f>+S24*T24</f>
        <v/>
      </c>
      <c r="V24" s="65">
        <f>+IF(U24&lt;5,"BAJO",IF(U24&lt;10,"MEDIO",IF(U24&lt;17,"ALTO","CRITICO")))</f>
        <v/>
      </c>
      <c r="W24" s="87" t="inlineStr">
        <is>
          <t>MITIGAR</t>
        </is>
      </c>
      <c r="X24" s="80" t="inlineStr">
        <is>
          <t>-</t>
        </is>
      </c>
      <c r="Y24" s="80" t="inlineStr">
        <is>
          <t>-</t>
        </is>
      </c>
      <c r="Z24" s="80" t="inlineStr">
        <is>
          <t>-</t>
        </is>
      </c>
    </row>
    <row r="25" hidden="1" ht="30.6" customHeight="1" s="106">
      <c r="A25" s="56" t="inlineStr">
        <is>
          <t>66-GTI</t>
        </is>
      </c>
      <c r="B25" s="4" t="inlineStr">
        <is>
          <t>correo electronico</t>
        </is>
      </c>
      <c r="C25" s="4" t="inlineStr">
        <is>
          <t>Servidor web administracion correo electronico
192.168.23.2</t>
        </is>
      </c>
      <c r="D25" s="64" t="inlineStr">
        <is>
          <t>[S] Servicios</t>
        </is>
      </c>
      <c r="E25" s="34" t="inlineStr">
        <is>
          <t>[A.5] Suplantación de la identidad del usuario</t>
        </is>
      </c>
      <c r="F25" s="34">
        <f>+VLOOKUP(E25,'CATALOGO AMENAZA'!$B$2:$D$46,3,FALSE)</f>
        <v/>
      </c>
      <c r="G25" s="34" t="inlineStr">
        <is>
          <t>X</t>
        </is>
      </c>
      <c r="H25" s="34" t="inlineStr">
        <is>
          <t>X</t>
        </is>
      </c>
      <c r="I25" s="34" t="n"/>
      <c r="J25" s="34" t="n">
        <v>3</v>
      </c>
      <c r="K25" s="34" t="n">
        <v>3</v>
      </c>
      <c r="L25" s="34">
        <f>+J25*K25</f>
        <v/>
      </c>
      <c r="M25" s="34">
        <f>+IF(L25&lt;5,"BAJO",IF(L25&lt;10,"MEDIO",IF(L25&lt;17,"ALTO","CRITICO")))</f>
        <v/>
      </c>
      <c r="N25" s="4" t="inlineStr">
        <is>
          <t>Politicas de contraseñas robustas</t>
        </is>
      </c>
      <c r="O25" s="34" t="inlineStr">
        <is>
          <t>PREVENTIVO</t>
        </is>
      </c>
      <c r="P25" s="34" t="inlineStr">
        <is>
          <t>Control Implementado sin evidencia de efectividad (Inefectivo prueba)</t>
        </is>
      </c>
      <c r="Q25" s="52" t="n">
        <v>0.3</v>
      </c>
      <c r="R25" s="4" t="inlineStr">
        <is>
          <t>Usuarios genéricos / claves compartidas y almacenadas en navegadores</t>
        </is>
      </c>
      <c r="S25" s="53">
        <f>+IF(O25="PREVENTIVO",J25*(1-Q25),IF(O25="ADMINISTRACION",J25*(1-Q25),IF(O25="ELIMINACION",J25*(1-Q25),J25)))</f>
        <v/>
      </c>
      <c r="T25" s="53">
        <f>+IF(O25="DETECTIVO",K25*(1-Q25),IF(O25="RECUPERACION",K25*(1-Q25),K25))</f>
        <v/>
      </c>
      <c r="U25" s="54">
        <f>+S25*T25</f>
        <v/>
      </c>
      <c r="V25" s="65">
        <f>+IF(U25&lt;5,"BAJO",IF(U25&lt;10,"MEDIO",IF(U25&lt;17,"ALTO","CRITICO")))</f>
        <v/>
      </c>
      <c r="W25" s="87" t="inlineStr">
        <is>
          <t>MITIGAR</t>
        </is>
      </c>
      <c r="X25" s="80" t="inlineStr">
        <is>
          <t>-</t>
        </is>
      </c>
      <c r="Y25" s="80" t="inlineStr">
        <is>
          <t>-</t>
        </is>
      </c>
      <c r="Z25" s="80" t="inlineStr">
        <is>
          <t>-</t>
        </is>
      </c>
    </row>
    <row r="26" hidden="1" ht="30.6" customHeight="1" s="106">
      <c r="A26" s="56" t="inlineStr">
        <is>
          <t>66-GTI</t>
        </is>
      </c>
      <c r="B26" s="4" t="inlineStr">
        <is>
          <t>correo electronico</t>
        </is>
      </c>
      <c r="C26" s="4" t="inlineStr">
        <is>
          <t>Servidor web administracion correo electronico
192.168.23.2</t>
        </is>
      </c>
      <c r="D26" s="64" t="inlineStr">
        <is>
          <t>[S] Servicios</t>
        </is>
      </c>
      <c r="E26" s="34" t="inlineStr">
        <is>
          <t>[A.19] Divulgación de información</t>
        </is>
      </c>
      <c r="F26" s="34">
        <f>+VLOOKUP(E26,'CATALOGO AMENAZA'!$B$2:$D$46,3,FALSE)</f>
        <v/>
      </c>
      <c r="G26" s="34" t="inlineStr">
        <is>
          <t>X</t>
        </is>
      </c>
      <c r="H26" s="34" t="n"/>
      <c r="I26" s="34" t="n"/>
      <c r="J26" s="34" t="n">
        <v>3</v>
      </c>
      <c r="K26" s="34" t="n">
        <v>3</v>
      </c>
      <c r="L26" s="34">
        <f>+J26*K26</f>
        <v/>
      </c>
      <c r="M26" s="34">
        <f>+IF(L26&lt;5,"BAJO",IF(L26&lt;10,"MEDIO",IF(L26&lt;17,"ALTO","CRITICO")))</f>
        <v/>
      </c>
      <c r="N26" s="4" t="inlineStr">
        <is>
          <t>Validación de destinatarios</t>
        </is>
      </c>
      <c r="O26" s="34" t="inlineStr">
        <is>
          <t>PREVENTIVO</t>
        </is>
      </c>
      <c r="P26" s="34" t="inlineStr">
        <is>
          <t>Control Implementado sin evidencia de efectividad (Inefectivo prueba)</t>
        </is>
      </c>
      <c r="Q26" s="52" t="n">
        <v>0.3</v>
      </c>
      <c r="R26" s="4" t="inlineStr">
        <is>
          <t>Politicas sin restricción para jefaturas</t>
        </is>
      </c>
      <c r="S26" s="53">
        <f>+IF(O26="PREVENTIVO",J26*(1-Q26),IF(O26="ADMINISTRACION",J26*(1-Q26),IF(O26="ELIMINACION",J26*(1-Q26),J26)))</f>
        <v/>
      </c>
      <c r="T26" s="53">
        <f>+IF(O26="DETECTIVO",K26*(1-Q26),IF(O26="RECUPERACION",K26*(1-Q26),K26))</f>
        <v/>
      </c>
      <c r="U26" s="54">
        <f>+S26*T26</f>
        <v/>
      </c>
      <c r="V26" s="65">
        <f>+IF(U26&lt;5,"BAJO",IF(U26&lt;10,"MEDIO",IF(U26&lt;17,"ALTO","CRITICO")))</f>
        <v/>
      </c>
      <c r="W26" s="87" t="inlineStr">
        <is>
          <t>MITIGAR</t>
        </is>
      </c>
      <c r="X26" s="80" t="inlineStr">
        <is>
          <t>-</t>
        </is>
      </c>
      <c r="Y26" s="80" t="inlineStr">
        <is>
          <t>-</t>
        </is>
      </c>
      <c r="Z26" s="80" t="inlineStr">
        <is>
          <t>-</t>
        </is>
      </c>
    </row>
    <row r="27" hidden="1" ht="30.6" customHeight="1" s="106">
      <c r="A27" s="56" t="inlineStr">
        <is>
          <t>66-GTI</t>
        </is>
      </c>
      <c r="B27" s="4" t="inlineStr">
        <is>
          <t>correo electronico</t>
        </is>
      </c>
      <c r="C27" s="4" t="inlineStr">
        <is>
          <t>Servidor web administracion correo electronico
192.168.23.2</t>
        </is>
      </c>
      <c r="D27" s="64" t="inlineStr">
        <is>
          <t>[S] Servicios</t>
        </is>
      </c>
      <c r="E27" s="34" t="inlineStr">
        <is>
          <t>[A.24] Denegación de servicio</t>
        </is>
      </c>
      <c r="F27" s="34">
        <f>+VLOOKUP(E27,'CATALOGO AMENAZA'!$B$2:$D$46,3,FALSE)</f>
        <v/>
      </c>
      <c r="G27" s="34" t="n"/>
      <c r="H27" s="34" t="n"/>
      <c r="I27" s="34" t="inlineStr">
        <is>
          <t>X</t>
        </is>
      </c>
      <c r="J27" s="34" t="n">
        <v>3</v>
      </c>
      <c r="K27" s="34" t="n">
        <v>3</v>
      </c>
      <c r="L27" s="34">
        <f>+J27*K27</f>
        <v/>
      </c>
      <c r="M27" s="34">
        <f>+IF(L27&lt;5,"BAJO",IF(L27&lt;10,"MEDIO",IF(L27&lt;17,"ALTO","CRITICO")))</f>
        <v/>
      </c>
      <c r="N27" s="4" t="inlineStr">
        <is>
          <t>Configuración segura de firewall</t>
        </is>
      </c>
      <c r="O27" s="34" t="inlineStr">
        <is>
          <t>PREVENTIVO</t>
        </is>
      </c>
      <c r="P27" s="34" t="inlineStr">
        <is>
          <t>Control Implementado sin evidencia de efectividad (Inefectivo prueba)</t>
        </is>
      </c>
      <c r="Q27" s="52" t="n">
        <v>0.3</v>
      </c>
      <c r="R27" s="34" t="inlineStr">
        <is>
          <t>Evidencia de validación de las configuraciones</t>
        </is>
      </c>
      <c r="S27" s="53">
        <f>+IF(O27="PREVENTIVO",J27*(1-Q27),IF(O27="ADMINISTRACION",J27*(1-Q27),IF(O27="ELIMINACION",J27*(1-Q27),J27)))</f>
        <v/>
      </c>
      <c r="T27" s="53">
        <f>+IF(O27="DETECTIVO",K27*(1-Q27),IF(O27="RECUPERACION",K27*(1-Q27),K27))</f>
        <v/>
      </c>
      <c r="U27" s="54">
        <f>+S27*T27</f>
        <v/>
      </c>
      <c r="V27" s="65">
        <f>+IF(U27&lt;5,"BAJO",IF(U27&lt;10,"MEDIO",IF(U27&lt;17,"ALTO","CRITICO")))</f>
        <v/>
      </c>
      <c r="W27" s="87" t="inlineStr">
        <is>
          <t>MITIGAR</t>
        </is>
      </c>
      <c r="X27" s="80" t="inlineStr">
        <is>
          <t>-</t>
        </is>
      </c>
      <c r="Y27" s="80" t="inlineStr">
        <is>
          <t>-</t>
        </is>
      </c>
      <c r="Z27" s="80" t="inlineStr">
        <is>
          <t>-</t>
        </is>
      </c>
    </row>
    <row r="28" hidden="1" ht="41.1" customHeight="1" s="106">
      <c r="A28" s="56" t="inlineStr">
        <is>
          <t>66-GTI</t>
        </is>
      </c>
      <c r="B28" s="4" t="inlineStr">
        <is>
          <t>correo electronico</t>
        </is>
      </c>
      <c r="C28" s="4" t="inlineStr">
        <is>
          <t>Servidor web administracion correo electronico
192.168.23.2</t>
        </is>
      </c>
      <c r="D28" s="64" t="inlineStr">
        <is>
          <t>[S] Servicios</t>
        </is>
      </c>
      <c r="E28" s="34" t="inlineStr">
        <is>
          <t>[E.24] Caída del sistema por agotamiento de recursos</t>
        </is>
      </c>
      <c r="F28" s="34">
        <f>+VLOOKUP(E28,'CATALOGO AMENAZA'!$B$2:$D$46,3,FALSE)</f>
        <v/>
      </c>
      <c r="G28" s="34" t="n"/>
      <c r="H28" s="34" t="n"/>
      <c r="I28" s="34" t="inlineStr">
        <is>
          <t>X</t>
        </is>
      </c>
      <c r="J28" s="34" t="n">
        <v>2</v>
      </c>
      <c r="K28" s="34" t="n">
        <v>4</v>
      </c>
      <c r="L28" s="34">
        <f>+J28*K28</f>
        <v/>
      </c>
      <c r="M28" s="34">
        <f>+IF(L28&lt;5,"BAJO",IF(L28&lt;10,"MEDIO",IF(L28&lt;17,"ALTO","CRITICO")))</f>
        <v/>
      </c>
      <c r="N28" s="4" t="inlineStr">
        <is>
          <t>Monitoreo de Servidores presenta en el procedimiento operativo  Administración de Servidores en el Manua de Gestión de las Operaciones de TI</t>
        </is>
      </c>
      <c r="O28" s="34" t="inlineStr">
        <is>
          <t>PREVENTIVO</t>
        </is>
      </c>
      <c r="P28" s="34" t="inlineStr">
        <is>
          <t>Control Implementado sin evidencia de efectividad (Inefectivo prueba)</t>
        </is>
      </c>
      <c r="Q28" s="52" t="n">
        <v>0.4</v>
      </c>
      <c r="R28" s="4" t="inlineStr">
        <is>
          <t>Falta de alertas automáticas</t>
        </is>
      </c>
      <c r="S28" s="53">
        <f>+IF(O28="PREVENTIVO",J28*(1-Q28),IF(O28="ADMINISTRACION",J28*(1-Q28),IF(O28="ELIMINACION",J28*(1-Q28),J28)))</f>
        <v/>
      </c>
      <c r="T28" s="53">
        <f>+IF(O28="DETECTIVO",K28*(1-Q28),IF(O28="RECUPERACION",K28*(1-Q28),K28))</f>
        <v/>
      </c>
      <c r="U28" s="54">
        <f>+S28*T28</f>
        <v/>
      </c>
      <c r="V28" s="65">
        <f>+IF(U28&lt;5,"BAJO",IF(U28&lt;10,"MEDIO",IF(U28&lt;17,"ALTO","CRITICO")))</f>
        <v/>
      </c>
      <c r="W28" s="65" t="inlineStr">
        <is>
          <t>ACEPTABLE</t>
        </is>
      </c>
      <c r="X28" s="80" t="inlineStr">
        <is>
          <t>-</t>
        </is>
      </c>
      <c r="Y28" s="80" t="inlineStr">
        <is>
          <t>-</t>
        </is>
      </c>
      <c r="Z28" s="80" t="inlineStr">
        <is>
          <t>-</t>
        </is>
      </c>
    </row>
    <row r="29" hidden="1" ht="41.1" customHeight="1" s="106">
      <c r="A29" s="56" t="inlineStr">
        <is>
          <t>67-GTI</t>
        </is>
      </c>
      <c r="B29" s="4" t="inlineStr">
        <is>
          <t>Check Point</t>
        </is>
      </c>
      <c r="C29" s="4" t="inlineStr">
        <is>
          <t>Proteccion perimetral, Analiza todas las conexiones, eventos inusuales</t>
        </is>
      </c>
      <c r="D29" s="64" t="inlineStr">
        <is>
          <t>[HW] Equipamiento informático (hardware)</t>
        </is>
      </c>
      <c r="E29" s="34" t="inlineStr">
        <is>
          <t>[A.11] Acceso no autorizado</t>
        </is>
      </c>
      <c r="F29" s="34">
        <f>+VLOOKUP(E29,'CATALOGO AMENAZA'!$B$2:$D$46,3,FALSE)</f>
        <v/>
      </c>
      <c r="G29" s="34" t="inlineStr">
        <is>
          <t>X</t>
        </is>
      </c>
      <c r="H29" s="34" t="inlineStr">
        <is>
          <t>X</t>
        </is>
      </c>
      <c r="I29" s="34" t="n"/>
      <c r="J29" s="34" t="n">
        <v>2</v>
      </c>
      <c r="K29" s="34" t="n">
        <v>4</v>
      </c>
      <c r="L29" s="34">
        <f>+J29*K29</f>
        <v/>
      </c>
      <c r="M29" s="34">
        <f>+IF(L29&lt;5,"BAJO",IF(L29&lt;10,"MEDIO",IF(L29&lt;17,"ALTO","CRITICO")))</f>
        <v/>
      </c>
      <c r="N29" s="4" t="inlineStr">
        <is>
          <t>Control de accesos / VPN</t>
        </is>
      </c>
      <c r="O29" s="34" t="inlineStr">
        <is>
          <t>PREVENTIVO</t>
        </is>
      </c>
      <c r="P29" s="34" t="inlineStr">
        <is>
          <t>Control Implementado sin evidencia de efectividad (Inefectivo prueba)</t>
        </is>
      </c>
      <c r="Q29" s="52" t="n">
        <v>0.3</v>
      </c>
      <c r="R29" s="4" t="inlineStr">
        <is>
          <t>Contreaseñas de VPN no expiran</t>
        </is>
      </c>
      <c r="S29" s="53">
        <f>+IF(O29="PREVENTIVO",J29*(1-Q29),IF(O29="ADMINISTRACION",J29*(1-Q29),IF(O29="ELIMINACION",J29*(1-Q29),J29)))</f>
        <v/>
      </c>
      <c r="T29" s="53">
        <f>+IF(O29="DETECTIVO",K29*(1-Q29),IF(O29="RECUPERACION",K29*(1-Q29),K29))</f>
        <v/>
      </c>
      <c r="U29" s="54">
        <f>+S29*T29</f>
        <v/>
      </c>
      <c r="V29" s="65">
        <f>+IF(U29&lt;5,"BAJO",IF(U29&lt;10,"MEDIO",IF(U29&lt;17,"ALTO","CRITICO")))</f>
        <v/>
      </c>
      <c r="W29" s="87" t="inlineStr">
        <is>
          <t>MITIGAR</t>
        </is>
      </c>
      <c r="X29" s="80" t="inlineStr">
        <is>
          <t>-</t>
        </is>
      </c>
      <c r="Y29" s="80" t="inlineStr">
        <is>
          <t>-</t>
        </is>
      </c>
      <c r="Z29" s="80" t="inlineStr">
        <is>
          <t>-</t>
        </is>
      </c>
    </row>
    <row r="30" hidden="1" ht="41.1" customHeight="1" s="106">
      <c r="A30" s="56" t="inlineStr">
        <is>
          <t>67-GTI</t>
        </is>
      </c>
      <c r="B30" s="4" t="inlineStr">
        <is>
          <t>Check Point</t>
        </is>
      </c>
      <c r="C30" s="4" t="inlineStr">
        <is>
          <t>Proteccion perimetral, Analiza todas las conexiones, eventos inusuales</t>
        </is>
      </c>
      <c r="D30" s="64" t="inlineStr">
        <is>
          <t>[HW] Equipamiento informático (hardware)</t>
        </is>
      </c>
      <c r="E30" s="34" t="inlineStr">
        <is>
          <t>[A.23] Manipulación de los equipos</t>
        </is>
      </c>
      <c r="F30" s="34">
        <f>+VLOOKUP(E30,'CATALOGO AMENAZA'!$B$2:$D$46,3,FALSE)</f>
        <v/>
      </c>
      <c r="G30" s="34" t="inlineStr">
        <is>
          <t>X</t>
        </is>
      </c>
      <c r="H30" s="34" t="n"/>
      <c r="I30" s="34" t="inlineStr">
        <is>
          <t>X</t>
        </is>
      </c>
      <c r="J30" s="34" t="n">
        <v>2</v>
      </c>
      <c r="K30" s="34" t="n">
        <v>3</v>
      </c>
      <c r="L30" s="34">
        <f>+J30*K30</f>
        <v/>
      </c>
      <c r="M30" s="34">
        <f>+IF(L30&lt;5,"BAJO",IF(L30&lt;10,"MEDIO",IF(L30&lt;17,"ALTO","CRITICO")))</f>
        <v/>
      </c>
      <c r="N30" s="4" t="inlineStr">
        <is>
          <t>Control de accesos</t>
        </is>
      </c>
      <c r="O30" s="34" t="inlineStr">
        <is>
          <t>PREVENTIVO</t>
        </is>
      </c>
      <c r="P30" s="34" t="inlineStr">
        <is>
          <t>Control Implementado sin evidencia de efectividad (Inefectivo prueba)</t>
        </is>
      </c>
      <c r="Q30" s="52" t="n">
        <v>0.3</v>
      </c>
      <c r="R30" s="4" t="inlineStr">
        <is>
          <t>Usuarios genéricos</t>
        </is>
      </c>
      <c r="S30" s="53">
        <f>+IF(O30="PREVENTIVO",J30*(1-Q30),IF(O30="ADMINISTRACION",J30*(1-Q30),IF(O30="ELIMINACION",J30*(1-Q30),J30)))</f>
        <v/>
      </c>
      <c r="T30" s="53">
        <f>+IF(O30="DETECTIVO",K30*(1-Q30),IF(O30="RECUPERACION",K30*(1-Q30),K30))</f>
        <v/>
      </c>
      <c r="U30" s="54">
        <f>+S30*T30</f>
        <v/>
      </c>
      <c r="V30" s="65">
        <f>+IF(U30&lt;5,"BAJO",IF(U30&lt;10,"MEDIO",IF(U30&lt;17,"ALTO","CRITICO")))</f>
        <v/>
      </c>
      <c r="W30" s="65" t="inlineStr">
        <is>
          <t>ACEPTABLE</t>
        </is>
      </c>
      <c r="X30" s="80" t="inlineStr">
        <is>
          <t>-</t>
        </is>
      </c>
      <c r="Y30" s="80" t="inlineStr">
        <is>
          <t>-</t>
        </is>
      </c>
      <c r="Z30" s="80" t="inlineStr">
        <is>
          <t>-</t>
        </is>
      </c>
    </row>
    <row r="31" hidden="1" ht="41.1" customHeight="1" s="106">
      <c r="A31" s="56" t="inlineStr">
        <is>
          <t>67-GTI</t>
        </is>
      </c>
      <c r="B31" s="4" t="inlineStr">
        <is>
          <t>Check Point</t>
        </is>
      </c>
      <c r="C31" s="4" t="inlineStr">
        <is>
          <t>Proteccion perimetral, Analiza todas las conexiones, eventos inusuales</t>
        </is>
      </c>
      <c r="D31" s="64" t="inlineStr">
        <is>
          <t>[HW] Equipamiento informático (hardware)</t>
        </is>
      </c>
      <c r="E31" s="34" t="inlineStr">
        <is>
          <t>[A.24] Denegación de servicio</t>
        </is>
      </c>
      <c r="F31" s="34">
        <f>+VLOOKUP(E31,'CATALOGO AMENAZA'!$B$2:$D$46,3,FALSE)</f>
        <v/>
      </c>
      <c r="G31" s="34" t="n"/>
      <c r="H31" s="34" t="n"/>
      <c r="I31" s="34" t="inlineStr">
        <is>
          <t>X</t>
        </is>
      </c>
      <c r="J31" s="34" t="n">
        <v>3</v>
      </c>
      <c r="K31" s="34" t="n">
        <v>4</v>
      </c>
      <c r="L31" s="34">
        <f>+J31*K31</f>
        <v/>
      </c>
      <c r="M31" s="34">
        <f>+IF(L31&lt;5,"BAJO",IF(L31&lt;10,"MEDIO",IF(L31&lt;17,"ALTO","CRITICO")))</f>
        <v/>
      </c>
      <c r="N31" s="4" t="inlineStr">
        <is>
          <t>Configuración segura de firewall</t>
        </is>
      </c>
      <c r="O31" s="34" t="inlineStr">
        <is>
          <t>PREVENTIVO</t>
        </is>
      </c>
      <c r="P31" s="34" t="inlineStr">
        <is>
          <t>Control Implementado sin evidencia de efectividad (Inefectivo prueba)</t>
        </is>
      </c>
      <c r="Q31" s="52" t="n">
        <v>0.3</v>
      </c>
      <c r="R31" s="34" t="inlineStr">
        <is>
          <t>Evidencia de validación de las configuraciones</t>
        </is>
      </c>
      <c r="S31" s="53">
        <f>+IF(O31="PREVENTIVO",J31*(1-Q31),IF(O31="ADMINISTRACION",J31*(1-Q31),IF(O31="ELIMINACION",J31*(1-Q31),J31)))</f>
        <v/>
      </c>
      <c r="T31" s="53">
        <f>+IF(O31="DETECTIVO",K31*(1-Q31),IF(O31="RECUPERACION",K31*(1-Q31),K31))</f>
        <v/>
      </c>
      <c r="U31" s="54">
        <f>+S31*T31</f>
        <v/>
      </c>
      <c r="V31" s="65">
        <f>+IF(U31&lt;5,"BAJO",IF(U31&lt;10,"MEDIO",IF(U31&lt;17,"ALTO","CRITICO")))</f>
        <v/>
      </c>
      <c r="W31" s="87" t="inlineStr">
        <is>
          <t>MITIGAR</t>
        </is>
      </c>
      <c r="X31" s="80" t="inlineStr">
        <is>
          <t>-</t>
        </is>
      </c>
      <c r="Y31" s="80" t="inlineStr">
        <is>
          <t>-</t>
        </is>
      </c>
      <c r="Z31" s="80" t="inlineStr">
        <is>
          <t>-</t>
        </is>
      </c>
    </row>
    <row r="32" hidden="1" ht="41.1" customHeight="1" s="106">
      <c r="A32" s="56" t="inlineStr">
        <is>
          <t>67-GTI</t>
        </is>
      </c>
      <c r="B32" s="4" t="inlineStr">
        <is>
          <t>Check Point</t>
        </is>
      </c>
      <c r="C32" s="4" t="inlineStr">
        <is>
          <t>Proteccion perimetral, Analiza todas las conexiones, eventos inusuales</t>
        </is>
      </c>
      <c r="D32" s="64" t="inlineStr">
        <is>
          <t>[HW] Equipamiento informático (hardware)</t>
        </is>
      </c>
      <c r="E32" s="34" t="inlineStr">
        <is>
          <t>[E.2] Errores del administrador</t>
        </is>
      </c>
      <c r="F32" s="34">
        <f>+VLOOKUP(E32,'CATALOGO AMENAZA'!$B$2:$D$46,3,FALSE)</f>
        <v/>
      </c>
      <c r="G32" s="34" t="inlineStr">
        <is>
          <t>X</t>
        </is>
      </c>
      <c r="H32" s="34" t="inlineStr">
        <is>
          <t>X</t>
        </is>
      </c>
      <c r="I32" s="34" t="inlineStr">
        <is>
          <t>X</t>
        </is>
      </c>
      <c r="J32" s="34" t="n">
        <v>2</v>
      </c>
      <c r="K32" s="34" t="n">
        <v>4</v>
      </c>
      <c r="L32" s="34">
        <f>+J32*K32</f>
        <v/>
      </c>
      <c r="M32" s="34">
        <f>+IF(L32&lt;5,"BAJO",IF(L32&lt;10,"MEDIO",IF(L32&lt;17,"ALTO","CRITICO")))</f>
        <v/>
      </c>
      <c r="N32" s="4" t="inlineStr">
        <is>
          <t>Control de cambios en los sistemas
Verificación posterior (informe)</t>
        </is>
      </c>
      <c r="O32" s="34" t="inlineStr">
        <is>
          <t>ADMINISTRACION</t>
        </is>
      </c>
      <c r="P32" s="34" t="inlineStr">
        <is>
          <t>Control Implementado sin evidencia de efectividad (Inefectivo prueba)</t>
        </is>
      </c>
      <c r="Q32" s="52" t="n">
        <v>0.3</v>
      </c>
      <c r="R32" s="4" t="inlineStr">
        <is>
          <t>No existe procedimiento formal de gestión de cambios</t>
        </is>
      </c>
      <c r="S32" s="53">
        <f>+IF(O32="PREVENTIVO",J32*(1-Q32),IF(O32="ADMINISTRACION",J32*(1-Q32),IF(O32="ELIMINACION",J32*(1-Q32),J32)))</f>
        <v/>
      </c>
      <c r="T32" s="53">
        <f>+IF(O32="DETECTIVO",K32*(1-Q32),IF(O32="RECUPERACION",K32*(1-Q32),K32))</f>
        <v/>
      </c>
      <c r="U32" s="54">
        <f>+S32*T32</f>
        <v/>
      </c>
      <c r="V32" s="65">
        <f>+IF(U32&lt;5,"BAJO",IF(U32&lt;10,"MEDIO",IF(U32&lt;17,"ALTO","CRITICO")))</f>
        <v/>
      </c>
      <c r="W32" s="87" t="inlineStr">
        <is>
          <t>MITIGAR</t>
        </is>
      </c>
      <c r="X32" s="80" t="inlineStr">
        <is>
          <t>-</t>
        </is>
      </c>
      <c r="Y32" s="80" t="inlineStr">
        <is>
          <t>-</t>
        </is>
      </c>
      <c r="Z32" s="80" t="inlineStr">
        <is>
          <t>-</t>
        </is>
      </c>
    </row>
    <row r="33" hidden="1" ht="41.1" customHeight="1" s="106">
      <c r="A33" s="56" t="inlineStr">
        <is>
          <t>67-GTI</t>
        </is>
      </c>
      <c r="B33" s="4" t="inlineStr">
        <is>
          <t>Check Point</t>
        </is>
      </c>
      <c r="C33" s="4" t="inlineStr">
        <is>
          <t>Proteccion perimetral, Analiza todas las conexiones, eventos inusuales</t>
        </is>
      </c>
      <c r="D33" s="64" t="inlineStr">
        <is>
          <t>[HW] Equipamiento informático (hardware)</t>
        </is>
      </c>
      <c r="E33" s="34" t="inlineStr">
        <is>
          <t>[A.6] Abuso de privilegios de acceso</t>
        </is>
      </c>
      <c r="F33" s="34">
        <f>+VLOOKUP(E33,'CATALOGO AMENAZA'!$B$2:$D$46,3,FALSE)</f>
        <v/>
      </c>
      <c r="G33" s="34" t="inlineStr">
        <is>
          <t>X</t>
        </is>
      </c>
      <c r="H33" s="34" t="inlineStr">
        <is>
          <t>X</t>
        </is>
      </c>
      <c r="I33" s="34" t="inlineStr">
        <is>
          <t>X</t>
        </is>
      </c>
      <c r="J33" s="34" t="n">
        <v>2</v>
      </c>
      <c r="K33" s="34" t="n">
        <v>3</v>
      </c>
      <c r="L33" s="34">
        <f>+J33*K33</f>
        <v/>
      </c>
      <c r="M33" s="34">
        <f>+IF(L33&lt;5,"BAJO",IF(L33&lt;10,"MEDIO",IF(L33&lt;17,"ALTO","CRITICO")))</f>
        <v/>
      </c>
      <c r="N33" s="4" t="inlineStr">
        <is>
          <t>Registro de logs (FortiAnalyzer)</t>
        </is>
      </c>
      <c r="O33" s="34" t="inlineStr">
        <is>
          <t>DETECTIVO</t>
        </is>
      </c>
      <c r="P33" s="34" t="inlineStr">
        <is>
          <t>Control Implementado sin evidencia de efectividad (Inefectivo prueba)</t>
        </is>
      </c>
      <c r="Q33" s="52" t="n">
        <v>0.3</v>
      </c>
      <c r="R33" s="4" t="inlineStr">
        <is>
          <t>Falta de revisión de perfiles de acceso</t>
        </is>
      </c>
      <c r="S33" s="53">
        <f>+IF(O33="PREVENTIVO",J33*(1-Q33),IF(O33="ADMINISTRACION",J33*(1-Q33),IF(O33="ELIMINACION",J33*(1-Q33),J33)))</f>
        <v/>
      </c>
      <c r="T33" s="53">
        <f>+IF(O33="DETECTIVO",K33*(1-Q33),IF(O33="RECUPERACION",K33*(1-Q33),K33))</f>
        <v/>
      </c>
      <c r="U33" s="54">
        <f>+S33*T33</f>
        <v/>
      </c>
      <c r="V33" s="65">
        <f>+IF(U33&lt;5,"BAJO",IF(U33&lt;10,"MEDIO",IF(U33&lt;17,"ALTO","CRITICO")))</f>
        <v/>
      </c>
      <c r="W33" s="65" t="inlineStr">
        <is>
          <t>ACEPTABLE</t>
        </is>
      </c>
      <c r="X33" s="80" t="inlineStr">
        <is>
          <t>-</t>
        </is>
      </c>
      <c r="Y33" s="80" t="inlineStr">
        <is>
          <t>-</t>
        </is>
      </c>
      <c r="Z33" s="80" t="inlineStr">
        <is>
          <t>-</t>
        </is>
      </c>
    </row>
    <row r="34" hidden="1" ht="22.5" customHeight="1" s="106">
      <c r="A34" s="56" t="inlineStr">
        <is>
          <t>68-GTI</t>
        </is>
      </c>
      <c r="B34" s="4" t="inlineStr">
        <is>
          <t>FortiAnalyzer</t>
        </is>
      </c>
      <c r="C34" s="4" t="inlineStr">
        <is>
          <t>Analizador de logs</t>
        </is>
      </c>
      <c r="D34" s="64" t="inlineStr">
        <is>
          <t>[SW] Software - Aplicaciones informáticas</t>
        </is>
      </c>
      <c r="E34" s="34" t="inlineStr">
        <is>
          <t>[A.11] Acceso no autorizado</t>
        </is>
      </c>
      <c r="F34" s="34">
        <f>+VLOOKUP(E34,'CATALOGO AMENAZA'!$B$2:$D$46,3,FALSE)</f>
        <v/>
      </c>
      <c r="G34" s="34" t="inlineStr">
        <is>
          <t>X</t>
        </is>
      </c>
      <c r="H34" s="34" t="inlineStr">
        <is>
          <t>X</t>
        </is>
      </c>
      <c r="I34" s="34" t="n"/>
      <c r="J34" s="34" t="n">
        <v>2</v>
      </c>
      <c r="K34" s="34" t="n">
        <v>2</v>
      </c>
      <c r="L34" s="34">
        <f>+J34*K34</f>
        <v/>
      </c>
      <c r="M34" s="34">
        <f>+IF(L34&lt;5,"BAJO",IF(L34&lt;10,"MEDIO",IF(L34&lt;17,"ALTO","CRITICO")))</f>
        <v/>
      </c>
      <c r="N34" s="4" t="inlineStr">
        <is>
          <t>Control de accesos</t>
        </is>
      </c>
      <c r="O34" s="34" t="inlineStr">
        <is>
          <t>PREVENTIVO</t>
        </is>
      </c>
      <c r="P34" s="34" t="inlineStr">
        <is>
          <t>Control Implementado sin evidencia de efectividad (Inefectivo prueba)</t>
        </is>
      </c>
      <c r="Q34" s="52" t="n">
        <v>0.3</v>
      </c>
      <c r="R34" s="4" t="inlineStr">
        <is>
          <t>Usuarios genéricos</t>
        </is>
      </c>
      <c r="S34" s="53">
        <f>+IF(O34="PREVENTIVO",J34*(1-Q34),IF(O34="ADMINISTRACION",J34*(1-Q34),IF(O34="ELIMINACION",J34*(1-Q34),J34)))</f>
        <v/>
      </c>
      <c r="T34" s="53">
        <f>+IF(O34="DETECTIVO",K34*(1-Q34),IF(O34="RECUPERACION",K34*(1-Q34),K34))</f>
        <v/>
      </c>
      <c r="U34" s="54">
        <f>+S34*T34</f>
        <v/>
      </c>
      <c r="V34" s="65">
        <f>+IF(U34&lt;5,"BAJO",IF(U34&lt;10,"MEDIO",IF(U34&lt;17,"ALTO","CRITICO")))</f>
        <v/>
      </c>
      <c r="W34" s="65" t="inlineStr">
        <is>
          <t>ACEPTABLE</t>
        </is>
      </c>
      <c r="X34" s="80" t="inlineStr">
        <is>
          <t>-</t>
        </is>
      </c>
      <c r="Y34" s="80" t="inlineStr">
        <is>
          <t>-</t>
        </is>
      </c>
      <c r="Z34" s="80" t="inlineStr">
        <is>
          <t>-</t>
        </is>
      </c>
    </row>
    <row r="35" hidden="1" ht="22.5" customHeight="1" s="106">
      <c r="A35" s="56" t="inlineStr">
        <is>
          <t>68-GTI</t>
        </is>
      </c>
      <c r="B35" s="4" t="inlineStr">
        <is>
          <t>FortiAnalyzer</t>
        </is>
      </c>
      <c r="C35" s="4" t="inlineStr">
        <is>
          <t>Analizador de logs</t>
        </is>
      </c>
      <c r="D35" s="64" t="inlineStr">
        <is>
          <t>[SW] Software - Aplicaciones informáticas</t>
        </is>
      </c>
      <c r="E35" s="34" t="inlineStr">
        <is>
          <t>[A.23] Manipulación de los equipos</t>
        </is>
      </c>
      <c r="F35" s="34">
        <f>+VLOOKUP(E35,'CATALOGO AMENAZA'!$B$2:$D$46,3,FALSE)</f>
        <v/>
      </c>
      <c r="G35" s="34" t="inlineStr">
        <is>
          <t>X</t>
        </is>
      </c>
      <c r="H35" s="34" t="n"/>
      <c r="I35" s="34" t="inlineStr">
        <is>
          <t>X</t>
        </is>
      </c>
      <c r="J35" s="34" t="n">
        <v>2</v>
      </c>
      <c r="K35" s="34" t="n">
        <v>2</v>
      </c>
      <c r="L35" s="34">
        <f>+J35*K35</f>
        <v/>
      </c>
      <c r="M35" s="34">
        <f>+IF(L35&lt;5,"BAJO",IF(L35&lt;10,"MEDIO",IF(L35&lt;17,"ALTO","CRITICO")))</f>
        <v/>
      </c>
      <c r="N35" s="4" t="inlineStr">
        <is>
          <t>Control de accesos</t>
        </is>
      </c>
      <c r="O35" s="34" t="inlineStr">
        <is>
          <t>PREVENTIVO</t>
        </is>
      </c>
      <c r="P35" s="34" t="inlineStr">
        <is>
          <t>Control Implementado sin evidencia de efectividad (Inefectivo prueba)</t>
        </is>
      </c>
      <c r="Q35" s="52" t="n">
        <v>0.3</v>
      </c>
      <c r="R35" s="4" t="inlineStr">
        <is>
          <t>Usuarios genéricos</t>
        </is>
      </c>
      <c r="S35" s="53">
        <f>+IF(O35="PREVENTIVO",J35*(1-Q35),IF(O35="ADMINISTRACION",J35*(1-Q35),IF(O35="ELIMINACION",J35*(1-Q35),J35)))</f>
        <v/>
      </c>
      <c r="T35" s="53">
        <f>+IF(O35="DETECTIVO",K35*(1-Q35),IF(O35="RECUPERACION",K35*(1-Q35),K35))</f>
        <v/>
      </c>
      <c r="U35" s="54">
        <f>+S35*T35</f>
        <v/>
      </c>
      <c r="V35" s="65">
        <f>+IF(U35&lt;5,"BAJO",IF(U35&lt;10,"MEDIO",IF(U35&lt;17,"ALTO","CRITICO")))</f>
        <v/>
      </c>
      <c r="W35" s="65" t="inlineStr">
        <is>
          <t>ACEPTABLE</t>
        </is>
      </c>
      <c r="X35" s="80" t="inlineStr">
        <is>
          <t>-</t>
        </is>
      </c>
      <c r="Y35" s="80" t="inlineStr">
        <is>
          <t>-</t>
        </is>
      </c>
      <c r="Z35" s="80" t="inlineStr">
        <is>
          <t>-</t>
        </is>
      </c>
    </row>
    <row r="36" hidden="1" ht="22.5" customHeight="1" s="106">
      <c r="A36" s="56" t="inlineStr">
        <is>
          <t>68-GTI</t>
        </is>
      </c>
      <c r="B36" s="4" t="inlineStr">
        <is>
          <t>FortiAnalyzer</t>
        </is>
      </c>
      <c r="C36" s="4" t="inlineStr">
        <is>
          <t>Analizador de logs</t>
        </is>
      </c>
      <c r="D36" s="64" t="inlineStr">
        <is>
          <t>[SW] Software - Aplicaciones informáticas</t>
        </is>
      </c>
      <c r="E36" s="34" t="inlineStr">
        <is>
          <t>[A.6] Abuso de privilegios de acceso</t>
        </is>
      </c>
      <c r="F36" s="34">
        <f>+VLOOKUP(E36,'CATALOGO AMENAZA'!$B$2:$D$46,3,FALSE)</f>
        <v/>
      </c>
      <c r="G36" s="34" t="inlineStr">
        <is>
          <t>X</t>
        </is>
      </c>
      <c r="H36" s="34" t="inlineStr">
        <is>
          <t>X</t>
        </is>
      </c>
      <c r="I36" s="34" t="inlineStr">
        <is>
          <t>X</t>
        </is>
      </c>
      <c r="J36" s="34" t="n">
        <v>2</v>
      </c>
      <c r="K36" s="34" t="n">
        <v>2</v>
      </c>
      <c r="L36" s="34">
        <f>+J36*K36</f>
        <v/>
      </c>
      <c r="M36" s="34">
        <f>+IF(L36&lt;5,"BAJO",IF(L36&lt;10,"MEDIO",IF(L36&lt;17,"ALTO","CRITICO")))</f>
        <v/>
      </c>
      <c r="N36" s="4" t="inlineStr">
        <is>
          <t>Registro de logs</t>
        </is>
      </c>
      <c r="O36" s="34" t="inlineStr">
        <is>
          <t>DETECTIVO</t>
        </is>
      </c>
      <c r="P36" s="34" t="inlineStr">
        <is>
          <t>Control Implementado sin evidencia de efectividad (Inefectivo prueba)</t>
        </is>
      </c>
      <c r="Q36" s="52" t="n">
        <v>0.3</v>
      </c>
      <c r="R36" s="4" t="inlineStr">
        <is>
          <t>Falta de revisión de perfiles de acceso</t>
        </is>
      </c>
      <c r="S36" s="53">
        <f>+IF(O36="PREVENTIVO",J36*(1-Q36),IF(O36="ADMINISTRACION",J36*(1-Q36),IF(O36="ELIMINACION",J36*(1-Q36),J36)))</f>
        <v/>
      </c>
      <c r="T36" s="53">
        <f>+IF(O36="DETECTIVO",K36*(1-Q36),IF(O36="RECUPERACION",K36*(1-Q36),K36))</f>
        <v/>
      </c>
      <c r="U36" s="54">
        <f>+S36*T36</f>
        <v/>
      </c>
      <c r="V36" s="65">
        <f>+IF(U36&lt;5,"BAJO",IF(U36&lt;10,"MEDIO",IF(U36&lt;17,"ALTO","CRITICO")))</f>
        <v/>
      </c>
      <c r="W36" s="65" t="inlineStr">
        <is>
          <t>ACEPTABLE</t>
        </is>
      </c>
      <c r="X36" s="80" t="inlineStr">
        <is>
          <t>-</t>
        </is>
      </c>
      <c r="Y36" s="80" t="inlineStr">
        <is>
          <t>-</t>
        </is>
      </c>
      <c r="Z36" s="80" t="inlineStr">
        <is>
          <t>-</t>
        </is>
      </c>
    </row>
    <row r="37" hidden="1" ht="30.6" customHeight="1" s="106">
      <c r="A37" s="56" t="inlineStr">
        <is>
          <t>68-GTI</t>
        </is>
      </c>
      <c r="B37" s="4" t="inlineStr">
        <is>
          <t>FortiAnalyzer</t>
        </is>
      </c>
      <c r="C37" s="4" t="inlineStr">
        <is>
          <t>Analizador de logs</t>
        </is>
      </c>
      <c r="D37" s="64" t="inlineStr">
        <is>
          <t>[SW] Software - Aplicaciones informáticas</t>
        </is>
      </c>
      <c r="E37" s="34" t="inlineStr">
        <is>
          <t>[A.24] Denegación de servicio</t>
        </is>
      </c>
      <c r="F37" s="34">
        <f>+VLOOKUP(E37,'CATALOGO AMENAZA'!$B$2:$D$46,3,FALSE)</f>
        <v/>
      </c>
      <c r="G37" s="34" t="n"/>
      <c r="H37" s="34" t="n"/>
      <c r="I37" s="34" t="inlineStr">
        <is>
          <t>X</t>
        </is>
      </c>
      <c r="J37" s="34" t="n">
        <v>2</v>
      </c>
      <c r="K37" s="34" t="n">
        <v>2</v>
      </c>
      <c r="L37" s="34">
        <f>+J37*K37</f>
        <v/>
      </c>
      <c r="M37" s="34">
        <f>+IF(L37&lt;5,"BAJO",IF(L37&lt;10,"MEDIO",IF(L37&lt;17,"ALTO","CRITICO")))</f>
        <v/>
      </c>
      <c r="N37" s="4" t="inlineStr">
        <is>
          <t>Configuración segura de firewall</t>
        </is>
      </c>
      <c r="O37" s="34" t="inlineStr">
        <is>
          <t>PREVENTIVO</t>
        </is>
      </c>
      <c r="P37" s="34" t="inlineStr">
        <is>
          <t>Control Implementado sin evidencia de efectividad (Inefectivo prueba)</t>
        </is>
      </c>
      <c r="Q37" s="52" t="n">
        <v>0.3</v>
      </c>
      <c r="R37" s="34" t="inlineStr">
        <is>
          <t>Evidencia de validación de las configuraciones</t>
        </is>
      </c>
      <c r="S37" s="53">
        <f>+IF(O37="PREVENTIVO",J37*(1-Q37),IF(O37="ADMINISTRACION",J37*(1-Q37),IF(O37="ELIMINACION",J37*(1-Q37),J37)))</f>
        <v/>
      </c>
      <c r="T37" s="53">
        <f>+IF(O37="DETECTIVO",K37*(1-Q37),IF(O37="RECUPERACION",K37*(1-Q37),K37))</f>
        <v/>
      </c>
      <c r="U37" s="54">
        <f>+S37*T37</f>
        <v/>
      </c>
      <c r="V37" s="65">
        <f>+IF(U37&lt;5,"BAJO",IF(U37&lt;10,"MEDIO",IF(U37&lt;17,"ALTO","CRITICO")))</f>
        <v/>
      </c>
      <c r="W37" s="65" t="inlineStr">
        <is>
          <t>ACEPTABLE</t>
        </is>
      </c>
      <c r="X37" s="80" t="inlineStr">
        <is>
          <t>-</t>
        </is>
      </c>
      <c r="Y37" s="80" t="inlineStr">
        <is>
          <t>-</t>
        </is>
      </c>
      <c r="Z37" s="80" t="inlineStr">
        <is>
          <t>-</t>
        </is>
      </c>
    </row>
    <row r="38" hidden="1" ht="22.5" customHeight="1" s="106">
      <c r="A38" s="56" t="inlineStr">
        <is>
          <t>68-GTI</t>
        </is>
      </c>
      <c r="B38" s="4" t="inlineStr">
        <is>
          <t>FortiAnalyzer</t>
        </is>
      </c>
      <c r="C38" s="4" t="inlineStr">
        <is>
          <t>Analizador de logs</t>
        </is>
      </c>
      <c r="D38" s="64" t="inlineStr">
        <is>
          <t>[SW] Software - Aplicaciones informáticas</t>
        </is>
      </c>
      <c r="E38" s="34" t="inlineStr">
        <is>
          <t>[E.24] Caída del sistema por agotamiento de recursos</t>
        </is>
      </c>
      <c r="F38" s="34">
        <f>+VLOOKUP(E38,'CATALOGO AMENAZA'!$B$2:$D$46,3,FALSE)</f>
        <v/>
      </c>
      <c r="G38" s="34" t="n"/>
      <c r="H38" s="34" t="n"/>
      <c r="I38" s="34" t="inlineStr">
        <is>
          <t>X</t>
        </is>
      </c>
      <c r="J38" s="34" t="n">
        <v>2</v>
      </c>
      <c r="K38" s="34" t="n">
        <v>2</v>
      </c>
      <c r="L38" s="34">
        <f>+J38*K38</f>
        <v/>
      </c>
      <c r="M38" s="34">
        <f>+IF(L38&lt;5,"BAJO",IF(L38&lt;10,"MEDIO",IF(L38&lt;17,"ALTO","CRITICO")))</f>
        <v/>
      </c>
      <c r="N38" s="4" t="inlineStr">
        <is>
          <t>Monitoreo de Servidores presenta en el procedimiento operativo  Administración de Servidores en el Manua de Gestión de las Operaciones de TI</t>
        </is>
      </c>
      <c r="O38" s="34" t="inlineStr">
        <is>
          <t>PREVENTIVO</t>
        </is>
      </c>
      <c r="P38" s="34" t="inlineStr">
        <is>
          <t>Control Implementado sin evidencia de efectividad (Inefectivo prueba)</t>
        </is>
      </c>
      <c r="Q38" s="52" t="n">
        <v>0.4</v>
      </c>
      <c r="R38" s="4" t="inlineStr">
        <is>
          <t>Falta de alertas automáticas</t>
        </is>
      </c>
      <c r="S38" s="53">
        <f>+IF(O38="PREVENTIVO",J38*(1-Q38),IF(O38="ADMINISTRACION",J38*(1-Q38),IF(O38="ELIMINACION",J38*(1-Q38),J38)))</f>
        <v/>
      </c>
      <c r="T38" s="53">
        <f>+IF(O38="DETECTIVO",K38*(1-Q38),IF(O38="RECUPERACION",K38*(1-Q38),K38))</f>
        <v/>
      </c>
      <c r="U38" s="54">
        <f>+S38*T38</f>
        <v/>
      </c>
      <c r="V38" s="65">
        <f>+IF(U38&lt;5,"BAJO",IF(U38&lt;10,"MEDIO",IF(U38&lt;17,"ALTO","CRITICO")))</f>
        <v/>
      </c>
      <c r="W38" s="65" t="inlineStr">
        <is>
          <t>ACEPTABLE</t>
        </is>
      </c>
      <c r="X38" s="80" t="inlineStr">
        <is>
          <t>-</t>
        </is>
      </c>
      <c r="Y38" s="80" t="inlineStr">
        <is>
          <t>-</t>
        </is>
      </c>
      <c r="Z38" s="80" t="inlineStr">
        <is>
          <t>-</t>
        </is>
      </c>
    </row>
    <row r="39" hidden="1" ht="41.1" customHeight="1" s="106">
      <c r="A39" s="56" t="inlineStr">
        <is>
          <t>68-GTI</t>
        </is>
      </c>
      <c r="B39" s="4" t="inlineStr">
        <is>
          <t>FortiAnalyzer</t>
        </is>
      </c>
      <c r="C39" s="4" t="inlineStr">
        <is>
          <t>Analizador de logs</t>
        </is>
      </c>
      <c r="D39" s="64" t="inlineStr">
        <is>
          <t>[SW] Software - Aplicaciones informáticas</t>
        </is>
      </c>
      <c r="E39" s="34" t="inlineStr">
        <is>
          <t>[E.2] Errores del administrador</t>
        </is>
      </c>
      <c r="F39" s="34">
        <f>+VLOOKUP(E39,'CATALOGO AMENAZA'!$B$2:$D$46,3,FALSE)</f>
        <v/>
      </c>
      <c r="G39" s="34" t="inlineStr">
        <is>
          <t>X</t>
        </is>
      </c>
      <c r="H39" s="34" t="inlineStr">
        <is>
          <t>X</t>
        </is>
      </c>
      <c r="I39" s="34" t="inlineStr">
        <is>
          <t>X</t>
        </is>
      </c>
      <c r="J39" s="34" t="n">
        <v>2</v>
      </c>
      <c r="K39" s="34" t="n">
        <v>2</v>
      </c>
      <c r="L39" s="34">
        <f>+J39*K39</f>
        <v/>
      </c>
      <c r="M39" s="34">
        <f>+IF(L39&lt;5,"BAJO",IF(L39&lt;10,"MEDIO",IF(L39&lt;17,"ALTO","CRITICO")))</f>
        <v/>
      </c>
      <c r="N39" s="4" t="inlineStr">
        <is>
          <t>Control de cambios en los sistemas
Verificación posterior (informe)</t>
        </is>
      </c>
      <c r="O39" s="34" t="inlineStr">
        <is>
          <t>ADMINISTRACION</t>
        </is>
      </c>
      <c r="P39" s="34" t="inlineStr">
        <is>
          <t>Control Implementado sin evidencia de efectividad (Inefectivo prueba)</t>
        </is>
      </c>
      <c r="Q39" s="52" t="n">
        <v>0.3</v>
      </c>
      <c r="R39" s="4" t="inlineStr">
        <is>
          <t>No existe procedimiento formal de gestión de cambios</t>
        </is>
      </c>
      <c r="S39" s="53">
        <f>+IF(O39="PREVENTIVO",J39*(1-Q39),IF(O39="ADMINISTRACION",J39*(1-Q39),IF(O39="ELIMINACION",J39*(1-Q39),J39)))</f>
        <v/>
      </c>
      <c r="T39" s="53">
        <f>+IF(O39="DETECTIVO",K39*(1-Q39),IF(O39="RECUPERACION",K39*(1-Q39),K39))</f>
        <v/>
      </c>
      <c r="U39" s="54">
        <f>+S39*T39</f>
        <v/>
      </c>
      <c r="V39" s="65">
        <f>+IF(U39&lt;5,"BAJO",IF(U39&lt;10,"MEDIO",IF(U39&lt;17,"ALTO","CRITICO")))</f>
        <v/>
      </c>
      <c r="W39" s="65" t="inlineStr">
        <is>
          <t>ACEPTABLE</t>
        </is>
      </c>
      <c r="X39" s="80" t="inlineStr">
        <is>
          <t>-</t>
        </is>
      </c>
      <c r="Y39" s="80" t="inlineStr">
        <is>
          <t>-</t>
        </is>
      </c>
      <c r="Z39" s="80" t="inlineStr">
        <is>
          <t>-</t>
        </is>
      </c>
    </row>
    <row r="40" hidden="1" ht="22.5" customHeight="1" s="106">
      <c r="A40" s="56" t="inlineStr">
        <is>
          <t>69-GTI</t>
        </is>
      </c>
      <c r="B40" s="4" t="inlineStr">
        <is>
          <t>UTM Fortinet</t>
        </is>
      </c>
      <c r="C40" s="4" t="inlineStr">
        <is>
          <t>Revision y categorizacion urls y sitios peligrosos</t>
        </is>
      </c>
      <c r="D40" s="64" t="inlineStr">
        <is>
          <t>[SW] Software - Aplicaciones informáticas</t>
        </is>
      </c>
      <c r="E40" s="34" t="inlineStr">
        <is>
          <t>[A.11] Acceso no autorizado</t>
        </is>
      </c>
      <c r="F40" s="34">
        <f>+VLOOKUP(E40,'CATALOGO AMENAZA'!$B$2:$D$46,3,FALSE)</f>
        <v/>
      </c>
      <c r="G40" s="34" t="inlineStr">
        <is>
          <t>X</t>
        </is>
      </c>
      <c r="H40" s="34" t="inlineStr">
        <is>
          <t>X</t>
        </is>
      </c>
      <c r="I40" s="34" t="n"/>
      <c r="J40" s="34" t="n">
        <v>2</v>
      </c>
      <c r="K40" s="34" t="n">
        <v>4</v>
      </c>
      <c r="L40" s="34">
        <f>+J40*K40</f>
        <v/>
      </c>
      <c r="M40" s="34">
        <f>+IF(L40&lt;5,"BAJO",IF(L40&lt;10,"MEDIO",IF(L40&lt;17,"ALTO","CRITICO")))</f>
        <v/>
      </c>
      <c r="N40" s="4" t="inlineStr">
        <is>
          <t>Control de accesos</t>
        </is>
      </c>
      <c r="O40" s="34" t="inlineStr">
        <is>
          <t>PREVENTIVO</t>
        </is>
      </c>
      <c r="P40" s="34" t="inlineStr">
        <is>
          <t>Control Implementado sin evidencia de efectividad (Inefectivo prueba)</t>
        </is>
      </c>
      <c r="Q40" s="52" t="n">
        <v>0.3</v>
      </c>
      <c r="R40" s="4" t="inlineStr">
        <is>
          <t>Usuarios genéricos</t>
        </is>
      </c>
      <c r="S40" s="53">
        <f>+IF(O40="PREVENTIVO",J40*(1-Q40),IF(O40="ADMINISTRACION",J40*(1-Q40),IF(O40="ELIMINACION",J40*(1-Q40),J40)))</f>
        <v/>
      </c>
      <c r="T40" s="53">
        <f>+IF(O40="DETECTIVO",K40*(1-Q40),IF(O40="RECUPERACION",K40*(1-Q40),K40))</f>
        <v/>
      </c>
      <c r="U40" s="54">
        <f>+S40*T40</f>
        <v/>
      </c>
      <c r="V40" s="65">
        <f>+IF(U40&lt;5,"BAJO",IF(U40&lt;10,"MEDIO",IF(U40&lt;17,"ALTO","CRITICO")))</f>
        <v/>
      </c>
      <c r="W40" s="87" t="inlineStr">
        <is>
          <t>MITIGAR</t>
        </is>
      </c>
      <c r="X40" s="80" t="inlineStr">
        <is>
          <t>-</t>
        </is>
      </c>
      <c r="Y40" s="80" t="inlineStr">
        <is>
          <t>-</t>
        </is>
      </c>
      <c r="Z40" s="80" t="inlineStr">
        <is>
          <t>-</t>
        </is>
      </c>
    </row>
    <row r="41" hidden="1" ht="33" customHeight="1" s="106">
      <c r="A41" s="56" t="inlineStr">
        <is>
          <t>69-GTI</t>
        </is>
      </c>
      <c r="B41" s="4" t="inlineStr">
        <is>
          <t>UTM Fortinet</t>
        </is>
      </c>
      <c r="C41" s="4" t="inlineStr">
        <is>
          <t>Revision y categorizacion urls y sitios peligrosos</t>
        </is>
      </c>
      <c r="D41" s="64" t="inlineStr">
        <is>
          <t>[SW] Software - Aplicaciones informáticas</t>
        </is>
      </c>
      <c r="E41" s="34" t="inlineStr">
        <is>
          <t>[A.23] Manipulación de los equipos</t>
        </is>
      </c>
      <c r="F41" s="34">
        <f>+VLOOKUP(E41,'CATALOGO AMENAZA'!$B$2:$D$46,3,FALSE)</f>
        <v/>
      </c>
      <c r="G41" s="34" t="inlineStr">
        <is>
          <t>X</t>
        </is>
      </c>
      <c r="H41" s="34" t="n"/>
      <c r="I41" s="34" t="inlineStr">
        <is>
          <t>X</t>
        </is>
      </c>
      <c r="J41" s="34" t="n">
        <v>2</v>
      </c>
      <c r="K41" s="34" t="n">
        <v>2</v>
      </c>
      <c r="L41" s="34">
        <f>+J41*K41</f>
        <v/>
      </c>
      <c r="M41" s="34">
        <f>+IF(L41&lt;5,"BAJO",IF(L41&lt;10,"MEDIO",IF(L41&lt;17,"ALTO","CRITICO")))</f>
        <v/>
      </c>
      <c r="N41" s="4" t="inlineStr">
        <is>
          <t>Control de accesos</t>
        </is>
      </c>
      <c r="O41" s="34" t="inlineStr">
        <is>
          <t>PREVENTIVO</t>
        </is>
      </c>
      <c r="P41" s="34" t="inlineStr">
        <is>
          <t>Control Implementado sin evidencia de efectividad (Inefectivo prueba)</t>
        </is>
      </c>
      <c r="Q41" s="52" t="n">
        <v>0.3</v>
      </c>
      <c r="R41" s="4" t="inlineStr">
        <is>
          <t>Usuarios genéricos</t>
        </is>
      </c>
      <c r="S41" s="53">
        <f>+IF(O41="PREVENTIVO",J41*(1-Q41),IF(O41="ADMINISTRACION",J41*(1-Q41),IF(O41="ELIMINACION",J41*(1-Q41),J41)))</f>
        <v/>
      </c>
      <c r="T41" s="53">
        <f>+IF(O41="DETECTIVO",K41*(1-Q41),IF(O41="RECUPERACION",K41*(1-Q41),K41))</f>
        <v/>
      </c>
      <c r="U41" s="54">
        <f>+S41*T41</f>
        <v/>
      </c>
      <c r="V41" s="65">
        <f>+IF(U41&lt;5,"BAJO",IF(U41&lt;10,"MEDIO",IF(U41&lt;17,"ALTO","CRITICO")))</f>
        <v/>
      </c>
      <c r="W41" s="65" t="inlineStr">
        <is>
          <t>ACEPTABLE</t>
        </is>
      </c>
      <c r="X41" s="80" t="inlineStr">
        <is>
          <t>-</t>
        </is>
      </c>
      <c r="Y41" s="80" t="inlineStr">
        <is>
          <t>-</t>
        </is>
      </c>
      <c r="Z41" s="80" t="inlineStr">
        <is>
          <t>-</t>
        </is>
      </c>
    </row>
    <row r="42" hidden="1" ht="33" customHeight="1" s="106">
      <c r="A42" s="56" t="inlineStr">
        <is>
          <t>69-GTI</t>
        </is>
      </c>
      <c r="B42" s="4" t="inlineStr">
        <is>
          <t>UTM Fortinet</t>
        </is>
      </c>
      <c r="C42" s="4" t="inlineStr">
        <is>
          <t>Revision y categorizacion urls y sitios peligrosos</t>
        </is>
      </c>
      <c r="D42" s="64" t="inlineStr">
        <is>
          <t>[SW] Software - Aplicaciones informáticas</t>
        </is>
      </c>
      <c r="E42" s="34" t="inlineStr">
        <is>
          <t>[A.6] Abuso de privilegios de acceso</t>
        </is>
      </c>
      <c r="F42" s="34">
        <f>+VLOOKUP(E42,'CATALOGO AMENAZA'!$B$2:$D$46,3,FALSE)</f>
        <v/>
      </c>
      <c r="G42" s="34" t="inlineStr">
        <is>
          <t>X</t>
        </is>
      </c>
      <c r="H42" s="34" t="inlineStr">
        <is>
          <t>X</t>
        </is>
      </c>
      <c r="I42" s="34" t="inlineStr">
        <is>
          <t>X</t>
        </is>
      </c>
      <c r="J42" s="34" t="n">
        <v>2</v>
      </c>
      <c r="K42" s="34" t="n">
        <v>2</v>
      </c>
      <c r="L42" s="34">
        <f>+J42*K42</f>
        <v/>
      </c>
      <c r="M42" s="34">
        <f>+IF(L42&lt;5,"BAJO",IF(L42&lt;10,"MEDIO",IF(L42&lt;17,"ALTO","CRITICO")))</f>
        <v/>
      </c>
      <c r="N42" s="4" t="inlineStr">
        <is>
          <t>Registro de logs (FortiAnalyzer)</t>
        </is>
      </c>
      <c r="O42" s="34" t="inlineStr">
        <is>
          <t>DETECTIVO</t>
        </is>
      </c>
      <c r="P42" s="34" t="inlineStr">
        <is>
          <t>Control Implementado sin evidencia de efectividad (Inefectivo prueba)</t>
        </is>
      </c>
      <c r="Q42" s="52" t="n">
        <v>0.3</v>
      </c>
      <c r="R42" s="4" t="inlineStr">
        <is>
          <t>Falta de revisión de perfiles de acceso</t>
        </is>
      </c>
      <c r="S42" s="53">
        <f>+IF(O42="PREVENTIVO",J42*(1-Q42),IF(O42="ADMINISTRACION",J42*(1-Q42),IF(O42="ELIMINACION",J42*(1-Q42),J42)))</f>
        <v/>
      </c>
      <c r="T42" s="53">
        <f>+IF(O42="DETECTIVO",K42*(1-Q42),IF(O42="RECUPERACION",K42*(1-Q42),K42))</f>
        <v/>
      </c>
      <c r="U42" s="54">
        <f>+S42*T42</f>
        <v/>
      </c>
      <c r="V42" s="65">
        <f>+IF(U42&lt;5,"BAJO",IF(U42&lt;10,"MEDIO",IF(U42&lt;17,"ALTO","CRITICO")))</f>
        <v/>
      </c>
      <c r="W42" s="65" t="inlineStr">
        <is>
          <t>ACEPTABLE</t>
        </is>
      </c>
      <c r="X42" s="80" t="inlineStr">
        <is>
          <t>-</t>
        </is>
      </c>
      <c r="Y42" s="80" t="inlineStr">
        <is>
          <t>-</t>
        </is>
      </c>
      <c r="Z42" s="80" t="inlineStr">
        <is>
          <t>-</t>
        </is>
      </c>
    </row>
    <row r="43" hidden="1" ht="33" customHeight="1" s="106">
      <c r="A43" s="56" t="inlineStr">
        <is>
          <t>69-GTI</t>
        </is>
      </c>
      <c r="B43" s="4" t="inlineStr">
        <is>
          <t>UTM Fortinet</t>
        </is>
      </c>
      <c r="C43" s="4" t="inlineStr">
        <is>
          <t>Revision y categorizacion urls y sitios peligrosos</t>
        </is>
      </c>
      <c r="D43" s="64" t="inlineStr">
        <is>
          <t>[SW] Software - Aplicaciones informáticas</t>
        </is>
      </c>
      <c r="E43" s="34" t="inlineStr">
        <is>
          <t>[A.24] Denegación de servicio</t>
        </is>
      </c>
      <c r="F43" s="34">
        <f>+VLOOKUP(E43,'CATALOGO AMENAZA'!$B$2:$D$46,3,FALSE)</f>
        <v/>
      </c>
      <c r="G43" s="34" t="n"/>
      <c r="H43" s="34" t="n"/>
      <c r="I43" s="34" t="inlineStr">
        <is>
          <t>X</t>
        </is>
      </c>
      <c r="J43" s="34" t="n">
        <v>3</v>
      </c>
      <c r="K43" s="34" t="n">
        <v>2</v>
      </c>
      <c r="L43" s="34">
        <f>+J43*K43</f>
        <v/>
      </c>
      <c r="M43" s="34">
        <f>+IF(L43&lt;5,"BAJO",IF(L43&lt;10,"MEDIO",IF(L43&lt;17,"ALTO","CRITICO")))</f>
        <v/>
      </c>
      <c r="N43" s="4" t="inlineStr">
        <is>
          <t>Configuración segura de firewall</t>
        </is>
      </c>
      <c r="O43" s="34" t="inlineStr">
        <is>
          <t>PREVENTIVO</t>
        </is>
      </c>
      <c r="P43" s="34" t="inlineStr">
        <is>
          <t>Control Implementado sin evidencia de efectividad (Inefectivo prueba)</t>
        </is>
      </c>
      <c r="Q43" s="52" t="n">
        <v>0.3</v>
      </c>
      <c r="R43" s="34" t="inlineStr">
        <is>
          <t>Evidencia de validación de las configuraciones</t>
        </is>
      </c>
      <c r="S43" s="53">
        <f>+IF(O43="PREVENTIVO",J43*(1-Q43),IF(O43="ADMINISTRACION",J43*(1-Q43),IF(O43="ELIMINACION",J43*(1-Q43),J43)))</f>
        <v/>
      </c>
      <c r="T43" s="53">
        <f>+IF(O43="DETECTIVO",K43*(1-Q43),IF(O43="RECUPERACION",K43*(1-Q43),K43))</f>
        <v/>
      </c>
      <c r="U43" s="54">
        <f>+S43*T43</f>
        <v/>
      </c>
      <c r="V43" s="65">
        <f>+IF(U43&lt;5,"BAJO",IF(U43&lt;10,"MEDIO",IF(U43&lt;17,"ALTO","CRITICO")))</f>
        <v/>
      </c>
      <c r="W43" s="65" t="inlineStr">
        <is>
          <t>ACEPTABLE</t>
        </is>
      </c>
      <c r="X43" s="80" t="inlineStr">
        <is>
          <t>-</t>
        </is>
      </c>
      <c r="Y43" s="80" t="inlineStr">
        <is>
          <t>-</t>
        </is>
      </c>
      <c r="Z43" s="80" t="inlineStr">
        <is>
          <t>-</t>
        </is>
      </c>
    </row>
    <row r="44" hidden="1" ht="41.1" customHeight="1" s="106">
      <c r="A44" s="56" t="inlineStr">
        <is>
          <t>69-GTI</t>
        </is>
      </c>
      <c r="B44" s="4" t="inlineStr">
        <is>
          <t>UTM Fortinet</t>
        </is>
      </c>
      <c r="C44" s="4" t="inlineStr">
        <is>
          <t>Revision y categorizacion urls y sitios peligrosos</t>
        </is>
      </c>
      <c r="D44" s="64" t="inlineStr">
        <is>
          <t>[SW] Software - Aplicaciones informáticas</t>
        </is>
      </c>
      <c r="E44" s="34" t="inlineStr">
        <is>
          <t>[E.2] Errores del administrador</t>
        </is>
      </c>
      <c r="F44" s="34">
        <f>+VLOOKUP(E44,'CATALOGO AMENAZA'!$B$2:$D$46,3,FALSE)</f>
        <v/>
      </c>
      <c r="G44" s="34" t="inlineStr">
        <is>
          <t>X</t>
        </is>
      </c>
      <c r="H44" s="34" t="inlineStr">
        <is>
          <t>X</t>
        </is>
      </c>
      <c r="I44" s="34" t="inlineStr">
        <is>
          <t>X</t>
        </is>
      </c>
      <c r="J44" s="34" t="n">
        <v>2</v>
      </c>
      <c r="K44" s="34" t="n">
        <v>3</v>
      </c>
      <c r="L44" s="34">
        <f>+J44*K44</f>
        <v/>
      </c>
      <c r="M44" s="34">
        <f>+IF(L44&lt;5,"BAJO",IF(L44&lt;10,"MEDIO",IF(L44&lt;17,"ALTO","CRITICO")))</f>
        <v/>
      </c>
      <c r="N44" s="4" t="inlineStr">
        <is>
          <t>Control de cambios en los sistemas
Verificación posterior (informe)</t>
        </is>
      </c>
      <c r="O44" s="34" t="inlineStr">
        <is>
          <t>ADMINISTRACION</t>
        </is>
      </c>
      <c r="P44" s="34" t="inlineStr">
        <is>
          <t>Control Implementado sin evidencia de efectividad (Inefectivo prueba)</t>
        </is>
      </c>
      <c r="Q44" s="52" t="n">
        <v>0.3</v>
      </c>
      <c r="R44" s="4" t="inlineStr">
        <is>
          <t>No existe procedimiento formal de gestión de cambios</t>
        </is>
      </c>
      <c r="S44" s="53">
        <f>+IF(O44="PREVENTIVO",J44*(1-Q44),IF(O44="ADMINISTRACION",J44*(1-Q44),IF(O44="ELIMINACION",J44*(1-Q44),J44)))</f>
        <v/>
      </c>
      <c r="T44" s="53">
        <f>+IF(O44="DETECTIVO",K44*(1-Q44),IF(O44="RECUPERACION",K44*(1-Q44),K44))</f>
        <v/>
      </c>
      <c r="U44" s="54">
        <f>+S44*T44</f>
        <v/>
      </c>
      <c r="V44" s="65">
        <f>+IF(U44&lt;5,"BAJO",IF(U44&lt;10,"MEDIO",IF(U44&lt;17,"ALTO","CRITICO")))</f>
        <v/>
      </c>
      <c r="W44" s="65" t="inlineStr">
        <is>
          <t>ACEPTABLE</t>
        </is>
      </c>
      <c r="X44" s="80" t="inlineStr">
        <is>
          <t>-</t>
        </is>
      </c>
      <c r="Y44" s="80" t="inlineStr">
        <is>
          <t>-</t>
        </is>
      </c>
      <c r="Z44" s="80" t="inlineStr">
        <is>
          <t>-</t>
        </is>
      </c>
    </row>
    <row r="45" hidden="1" ht="92.09999999999999" customHeight="1" s="106">
      <c r="A45" s="56" t="inlineStr">
        <is>
          <t>69-GTI</t>
        </is>
      </c>
      <c r="B45" s="4" t="inlineStr">
        <is>
          <t>UTM Fortinet</t>
        </is>
      </c>
      <c r="C45" s="4" t="inlineStr">
        <is>
          <t>Revision y categorizacion urls y sitios peligrosos</t>
        </is>
      </c>
      <c r="D45" s="64" t="inlineStr">
        <is>
          <t>[SW] Software - Aplicaciones informáticas</t>
        </is>
      </c>
      <c r="E45" s="34" t="inlineStr">
        <is>
          <t>[E.24] Caída del sistema por agotamiento de recursos</t>
        </is>
      </c>
      <c r="F45" s="34">
        <f>+VLOOKUP(E45,'CATALOGO AMENAZA'!$B$2:$D$46,3,FALSE)</f>
        <v/>
      </c>
      <c r="G45" s="34" t="n"/>
      <c r="H45" s="34" t="n"/>
      <c r="I45" s="34" t="inlineStr">
        <is>
          <t>X</t>
        </is>
      </c>
      <c r="J45" s="34" t="n">
        <v>3</v>
      </c>
      <c r="K45" s="34" t="n">
        <v>3</v>
      </c>
      <c r="L45" s="34">
        <f>+J45*K45</f>
        <v/>
      </c>
      <c r="M45" s="34">
        <f>+IF(L45&lt;5,"BAJO",IF(L45&lt;10,"MEDIO",IF(L45&lt;17,"ALTO","CRITICO")))</f>
        <v/>
      </c>
      <c r="N45" s="4" t="inlineStr">
        <is>
          <t>Monitoreo de Servidores presenta en el procedimiento operativo  Administración de Servidores en el Manua de Gestión de las Operaciones de TI</t>
        </is>
      </c>
      <c r="O45" s="34" t="inlineStr">
        <is>
          <t>PREVENTIVO</t>
        </is>
      </c>
      <c r="P45" s="34" t="inlineStr">
        <is>
          <t>Control Implementado sin evidencia de efectividad (Inefectivo prueba)</t>
        </is>
      </c>
      <c r="Q45" s="52" t="n">
        <v>0.4</v>
      </c>
      <c r="R45" s="4" t="inlineStr">
        <is>
          <t>Falta de alertas automáticas</t>
        </is>
      </c>
      <c r="S45" s="53">
        <f>+IF(O45="PREVENTIVO",J45*(1-Q45),IF(O45="ADMINISTRACION",J45*(1-Q45),IF(O45="ELIMINACION",J45*(1-Q45),J45)))</f>
        <v/>
      </c>
      <c r="T45" s="53">
        <f>+IF(O45="DETECTIVO",K45*(1-Q45),IF(O45="RECUPERACION",K45*(1-Q45),K45))</f>
        <v/>
      </c>
      <c r="U45" s="54">
        <f>+S45*T45</f>
        <v/>
      </c>
      <c r="V45" s="65">
        <f>+IF(U45&lt;5,"BAJO",IF(U45&lt;10,"MEDIO",IF(U45&lt;17,"ALTO","CRITICO")))</f>
        <v/>
      </c>
      <c r="W45" s="87" t="inlineStr">
        <is>
          <t>MITIGAR</t>
        </is>
      </c>
      <c r="X45" s="80" t="inlineStr">
        <is>
          <t>-</t>
        </is>
      </c>
      <c r="Y45" s="80" t="inlineStr">
        <is>
          <t>-</t>
        </is>
      </c>
      <c r="Z45" s="80" t="inlineStr">
        <is>
          <t>-</t>
        </is>
      </c>
    </row>
    <row r="46" hidden="1" ht="30.6" customHeight="1" s="106">
      <c r="A46" s="56" t="inlineStr">
        <is>
          <t>70-GTI</t>
        </is>
      </c>
      <c r="B46" s="4" t="inlineStr">
        <is>
          <t>Eset Endpoint Security</t>
        </is>
      </c>
      <c r="C46" s="4" t="inlineStr">
        <is>
          <t>Herramienta de control de software malicioso</t>
        </is>
      </c>
      <c r="D46" s="64" t="inlineStr">
        <is>
          <t>[SW] Software - Aplicaciones informáticas</t>
        </is>
      </c>
      <c r="E46" s="34" t="inlineStr">
        <is>
          <t>[A.11] Acceso no autorizado</t>
        </is>
      </c>
      <c r="F46" s="34">
        <f>+VLOOKUP(E46,'CATALOGO AMENAZA'!$B$2:$D$46,3,FALSE)</f>
        <v/>
      </c>
      <c r="G46" s="34" t="inlineStr">
        <is>
          <t>X</t>
        </is>
      </c>
      <c r="H46" s="34" t="inlineStr">
        <is>
          <t>X</t>
        </is>
      </c>
      <c r="I46" s="34" t="n"/>
      <c r="J46" s="34" t="n">
        <v>1</v>
      </c>
      <c r="K46" s="34" t="n">
        <v>4</v>
      </c>
      <c r="L46" s="34">
        <f>+J46*K46</f>
        <v/>
      </c>
      <c r="M46" s="34">
        <f>+IF(L46&lt;5,"BAJO",IF(L46&lt;10,"MEDIO",IF(L46&lt;17,"ALTO","CRITICO")))</f>
        <v/>
      </c>
      <c r="N46" s="4" t="inlineStr">
        <is>
          <t>Control de accesos</t>
        </is>
      </c>
      <c r="O46" s="34" t="inlineStr">
        <is>
          <t>PREVENTIVO</t>
        </is>
      </c>
      <c r="P46" s="34" t="inlineStr">
        <is>
          <t>Control Implementado sin evidencia de efectividad (Inefectivo prueba)</t>
        </is>
      </c>
      <c r="Q46" s="52" t="n">
        <v>0.3</v>
      </c>
      <c r="R46" s="4" t="inlineStr">
        <is>
          <t>Usuarios genéricos</t>
        </is>
      </c>
      <c r="S46" s="53">
        <f>+IF(O46="PREVENTIVO",J46*(1-Q46),IF(O46="ADMINISTRACION",J46*(1-Q46),IF(O46="ELIMINACION",J46*(1-Q46),J46)))</f>
        <v/>
      </c>
      <c r="T46" s="53">
        <f>+IF(O46="DETECTIVO",K46*(1-Q46),IF(O46="RECUPERACION",K46*(1-Q46),K46))</f>
        <v/>
      </c>
      <c r="U46" s="54">
        <f>+S46*T46</f>
        <v/>
      </c>
      <c r="V46" s="65">
        <f>+IF(U46&lt;5,"BAJO",IF(U46&lt;10,"MEDIO",IF(U46&lt;17,"ALTO","CRITICO")))</f>
        <v/>
      </c>
      <c r="W46" s="65" t="inlineStr">
        <is>
          <t>ACEPTABLE</t>
        </is>
      </c>
      <c r="X46" s="80" t="inlineStr">
        <is>
          <t>-</t>
        </is>
      </c>
      <c r="Y46" s="80" t="inlineStr">
        <is>
          <t>-</t>
        </is>
      </c>
      <c r="Z46" s="80" t="inlineStr">
        <is>
          <t>-</t>
        </is>
      </c>
    </row>
    <row r="47" hidden="1" ht="34.5" customHeight="1" s="106">
      <c r="A47" s="56" t="inlineStr">
        <is>
          <t>70-GTI</t>
        </is>
      </c>
      <c r="B47" s="4" t="inlineStr">
        <is>
          <t>Eset Endpoint Security</t>
        </is>
      </c>
      <c r="C47" s="4" t="inlineStr">
        <is>
          <t>Herramienta de control de software malicioso</t>
        </is>
      </c>
      <c r="D47" s="64" t="inlineStr">
        <is>
          <t>[SW] Software - Aplicaciones informáticas</t>
        </is>
      </c>
      <c r="E47" s="34" t="inlineStr">
        <is>
          <t>[A.23] Manipulación de los equipos</t>
        </is>
      </c>
      <c r="F47" s="34">
        <f>+VLOOKUP(E47,'CATALOGO AMENAZA'!$B$2:$D$46,3,FALSE)</f>
        <v/>
      </c>
      <c r="G47" s="34" t="inlineStr">
        <is>
          <t>X</t>
        </is>
      </c>
      <c r="H47" s="34" t="n"/>
      <c r="I47" s="34" t="inlineStr">
        <is>
          <t>X</t>
        </is>
      </c>
      <c r="J47" s="34" t="n">
        <v>3</v>
      </c>
      <c r="K47" s="34" t="n">
        <v>3</v>
      </c>
      <c r="L47" s="34">
        <f>+J47*K47</f>
        <v/>
      </c>
      <c r="M47" s="34">
        <f>+IF(L47&lt;5,"BAJO",IF(L47&lt;10,"MEDIO",IF(L47&lt;17,"ALTO","CRITICO")))</f>
        <v/>
      </c>
      <c r="N47" s="4" t="inlineStr">
        <is>
          <t>Control de accesos</t>
        </is>
      </c>
      <c r="O47" s="34" t="inlineStr">
        <is>
          <t>PREVENTIVO</t>
        </is>
      </c>
      <c r="P47" s="34" t="inlineStr">
        <is>
          <t>Control Implementado sin evidencia de efectividad (Inefectivo prueba)</t>
        </is>
      </c>
      <c r="Q47" s="52" t="n">
        <v>0.3</v>
      </c>
      <c r="R47" s="4" t="inlineStr">
        <is>
          <t>Usuarios genéricos</t>
        </is>
      </c>
      <c r="S47" s="53">
        <f>+IF(O47="PREVENTIVO",J47*(1-Q47),IF(O47="ADMINISTRACION",J47*(1-Q47),IF(O47="ELIMINACION",J47*(1-Q47),J47)))</f>
        <v/>
      </c>
      <c r="T47" s="53">
        <f>+IF(O47="DETECTIVO",K47*(1-Q47),IF(O47="RECUPERACION",K47*(1-Q47),K47))</f>
        <v/>
      </c>
      <c r="U47" s="54">
        <f>+S47*T47</f>
        <v/>
      </c>
      <c r="V47" s="65">
        <f>+IF(U47&lt;5,"BAJO",IF(U47&lt;10,"MEDIO",IF(U47&lt;17,"ALTO","CRITICO")))</f>
        <v/>
      </c>
      <c r="W47" s="87" t="inlineStr">
        <is>
          <t>MITIGAR</t>
        </is>
      </c>
      <c r="X47" s="80" t="inlineStr">
        <is>
          <t>-</t>
        </is>
      </c>
      <c r="Y47" s="80" t="inlineStr">
        <is>
          <t>-</t>
        </is>
      </c>
      <c r="Z47" s="80" t="inlineStr">
        <is>
          <t>-</t>
        </is>
      </c>
    </row>
    <row r="48" hidden="1" ht="34.5" customHeight="1" s="106">
      <c r="A48" s="56" t="inlineStr">
        <is>
          <t>70-GTI</t>
        </is>
      </c>
      <c r="B48" s="4" t="inlineStr">
        <is>
          <t>Eset Endpoint Security</t>
        </is>
      </c>
      <c r="C48" s="4" t="inlineStr">
        <is>
          <t>Herramienta de control de software malicioso</t>
        </is>
      </c>
      <c r="D48" s="64" t="inlineStr">
        <is>
          <t>[SW] Software - Aplicaciones informáticas</t>
        </is>
      </c>
      <c r="E48" s="34" t="inlineStr">
        <is>
          <t>[A.6] Abuso de privilegios de acceso</t>
        </is>
      </c>
      <c r="F48" s="34">
        <f>+VLOOKUP(E48,'CATALOGO AMENAZA'!$B$2:$D$46,3,FALSE)</f>
        <v/>
      </c>
      <c r="G48" s="34" t="inlineStr">
        <is>
          <t>X</t>
        </is>
      </c>
      <c r="H48" s="34" t="inlineStr">
        <is>
          <t>X</t>
        </is>
      </c>
      <c r="I48" s="34" t="inlineStr">
        <is>
          <t>X</t>
        </is>
      </c>
      <c r="J48" s="34" t="n">
        <v>2</v>
      </c>
      <c r="K48" s="34" t="n">
        <v>4</v>
      </c>
      <c r="L48" s="34">
        <f>+J48*K48</f>
        <v/>
      </c>
      <c r="M48" s="34">
        <f>+IF(L48&lt;5,"BAJO",IF(L48&lt;10,"MEDIO",IF(L48&lt;17,"ALTO","CRITICO")))</f>
        <v/>
      </c>
      <c r="N48" s="4" t="inlineStr">
        <is>
          <t>Registro de logs (FortiAnalyzer)</t>
        </is>
      </c>
      <c r="O48" s="34" t="inlineStr">
        <is>
          <t>DETECTIVO</t>
        </is>
      </c>
      <c r="P48" s="34" t="inlineStr">
        <is>
          <t>Control Implementado sin evidencia de efectividad (Inefectivo prueba)</t>
        </is>
      </c>
      <c r="Q48" s="52" t="n">
        <v>0.3</v>
      </c>
      <c r="R48" s="4" t="inlineStr">
        <is>
          <t>Falta de revisión de perfiles de acceso</t>
        </is>
      </c>
      <c r="S48" s="53">
        <f>+IF(O48="PREVENTIVO",J48*(1-Q48),IF(O48="ADMINISTRACION",J48*(1-Q48),IF(O48="ELIMINACION",J48*(1-Q48),J48)))</f>
        <v/>
      </c>
      <c r="T48" s="53">
        <f>+IF(O48="DETECTIVO",K48*(1-Q48),IF(O48="RECUPERACION",K48*(1-Q48),K48))</f>
        <v/>
      </c>
      <c r="U48" s="54">
        <f>+S48*T48</f>
        <v/>
      </c>
      <c r="V48" s="65">
        <f>+IF(U48&lt;5,"BAJO",IF(U48&lt;10,"MEDIO",IF(U48&lt;17,"ALTO","CRITICO")))</f>
        <v/>
      </c>
      <c r="W48" s="87" t="inlineStr">
        <is>
          <t>MITIGAR</t>
        </is>
      </c>
      <c r="X48" s="80" t="inlineStr">
        <is>
          <t>-</t>
        </is>
      </c>
      <c r="Y48" s="80" t="inlineStr">
        <is>
          <t>-</t>
        </is>
      </c>
      <c r="Z48" s="80" t="inlineStr">
        <is>
          <t>-</t>
        </is>
      </c>
    </row>
    <row r="49" hidden="1" ht="34.5" customHeight="1" s="106">
      <c r="A49" s="56" t="inlineStr">
        <is>
          <t>70-GTI</t>
        </is>
      </c>
      <c r="B49" s="4" t="inlineStr">
        <is>
          <t>Eset Endpoint Security</t>
        </is>
      </c>
      <c r="C49" s="4" t="inlineStr">
        <is>
          <t>Herramienta de control de software malicioso</t>
        </is>
      </c>
      <c r="D49" s="64" t="inlineStr">
        <is>
          <t>[SW] Software - Aplicaciones informáticas</t>
        </is>
      </c>
      <c r="E49" s="34" t="inlineStr">
        <is>
          <t>[A.24] Denegación de servicio</t>
        </is>
      </c>
      <c r="F49" s="34">
        <f>+VLOOKUP(E49,'CATALOGO AMENAZA'!$B$2:$D$46,3,FALSE)</f>
        <v/>
      </c>
      <c r="G49" s="34" t="n"/>
      <c r="H49" s="34" t="n"/>
      <c r="I49" s="34" t="inlineStr">
        <is>
          <t>X</t>
        </is>
      </c>
      <c r="J49" s="34" t="n">
        <v>3</v>
      </c>
      <c r="K49" s="34" t="n">
        <v>4</v>
      </c>
      <c r="L49" s="34">
        <f>+J49*K49</f>
        <v/>
      </c>
      <c r="M49" s="34">
        <f>+IF(L49&lt;5,"BAJO",IF(L49&lt;10,"MEDIO",IF(L49&lt;17,"ALTO","CRITICO")))</f>
        <v/>
      </c>
      <c r="N49" s="4" t="inlineStr">
        <is>
          <t>Configuración segura de firewall</t>
        </is>
      </c>
      <c r="O49" s="34" t="inlineStr">
        <is>
          <t>PREVENTIVO</t>
        </is>
      </c>
      <c r="P49" s="34" t="inlineStr">
        <is>
          <t>Control Implementado sin evidencia de efectividad (Inefectivo prueba)</t>
        </is>
      </c>
      <c r="Q49" s="52" t="n">
        <v>0.3</v>
      </c>
      <c r="R49" s="34" t="inlineStr">
        <is>
          <t>Evidencia de validación de las configuraciones</t>
        </is>
      </c>
      <c r="S49" s="53">
        <f>+IF(O49="PREVENTIVO",J49*(1-Q49),IF(O49="ADMINISTRACION",J49*(1-Q49),IF(O49="ELIMINACION",J49*(1-Q49),J49)))</f>
        <v/>
      </c>
      <c r="T49" s="53">
        <f>+IF(O49="DETECTIVO",K49*(1-Q49),IF(O49="RECUPERACION",K49*(1-Q49),K49))</f>
        <v/>
      </c>
      <c r="U49" s="54">
        <f>+S49*T49</f>
        <v/>
      </c>
      <c r="V49" s="65">
        <f>+IF(U49&lt;5,"BAJO",IF(U49&lt;10,"MEDIO",IF(U49&lt;17,"ALTO","CRITICO")))</f>
        <v/>
      </c>
      <c r="W49" s="87" t="inlineStr">
        <is>
          <t>MITIGAR</t>
        </is>
      </c>
      <c r="X49" s="80" t="inlineStr">
        <is>
          <t>-</t>
        </is>
      </c>
      <c r="Y49" s="80" t="inlineStr">
        <is>
          <t>-</t>
        </is>
      </c>
      <c r="Z49" s="80" t="inlineStr">
        <is>
          <t>-</t>
        </is>
      </c>
    </row>
    <row r="50" hidden="1" ht="22.5" customHeight="1" s="106">
      <c r="A50" s="56" t="inlineStr">
        <is>
          <t>70-GTI</t>
        </is>
      </c>
      <c r="B50" s="4" t="inlineStr">
        <is>
          <t>Eset Endpoint Security</t>
        </is>
      </c>
      <c r="C50" s="4" t="inlineStr">
        <is>
          <t>Herramienta de control de software malicioso</t>
        </is>
      </c>
      <c r="D50" s="64" t="inlineStr">
        <is>
          <t>[SW] Software - Aplicaciones informáticas</t>
        </is>
      </c>
      <c r="E50" s="34" t="inlineStr">
        <is>
          <t>[E.2] Errores del administrador</t>
        </is>
      </c>
      <c r="F50" s="34">
        <f>+VLOOKUP(E50,'CATALOGO AMENAZA'!$B$2:$D$46,3,FALSE)</f>
        <v/>
      </c>
      <c r="G50" s="34" t="inlineStr">
        <is>
          <t>X</t>
        </is>
      </c>
      <c r="H50" s="34" t="inlineStr">
        <is>
          <t>X</t>
        </is>
      </c>
      <c r="I50" s="34" t="inlineStr">
        <is>
          <t>X</t>
        </is>
      </c>
      <c r="J50" s="34" t="n">
        <v>2</v>
      </c>
      <c r="K50" s="34" t="n">
        <v>3</v>
      </c>
      <c r="L50" s="34">
        <f>+J50*K50</f>
        <v/>
      </c>
      <c r="M50" s="34">
        <f>+IF(L50&lt;5,"BAJO",IF(L50&lt;10,"MEDIO",IF(L50&lt;17,"ALTO","CRITICO")))</f>
        <v/>
      </c>
      <c r="N50" s="4" t="inlineStr">
        <is>
          <t>Control de cambios en los sistemas
Verificación posterior (informe)</t>
        </is>
      </c>
      <c r="O50" s="34" t="inlineStr">
        <is>
          <t>ADMINISTRACION</t>
        </is>
      </c>
      <c r="P50" s="34" t="inlineStr">
        <is>
          <t>Control Implementado sin evidencia de efectividad (Inefectivo prueba)</t>
        </is>
      </c>
      <c r="Q50" s="52" t="n">
        <v>0.3</v>
      </c>
      <c r="R50" s="4" t="inlineStr">
        <is>
          <t>No existe procedimiento formal de gestión de cambios</t>
        </is>
      </c>
      <c r="S50" s="53">
        <f>+IF(O50="PREVENTIVO",J50*(1-Q50),IF(O50="ADMINISTRACION",J50*(1-Q50),IF(O50="ELIMINACION",J50*(1-Q50),J50)))</f>
        <v/>
      </c>
      <c r="T50" s="53">
        <f>+IF(O50="DETECTIVO",K50*(1-Q50),IF(O50="RECUPERACION",K50*(1-Q50),K50))</f>
        <v/>
      </c>
      <c r="U50" s="54">
        <f>+S50*T50</f>
        <v/>
      </c>
      <c r="V50" s="65">
        <f>+IF(U50&lt;5,"BAJO",IF(U50&lt;10,"MEDIO",IF(U50&lt;17,"ALTO","CRITICO")))</f>
        <v/>
      </c>
      <c r="W50" s="65" t="inlineStr">
        <is>
          <t>ACEPTABLE</t>
        </is>
      </c>
      <c r="X50" s="80" t="inlineStr">
        <is>
          <t>-</t>
        </is>
      </c>
      <c r="Y50" s="80" t="inlineStr">
        <is>
          <t>-</t>
        </is>
      </c>
      <c r="Z50" s="80" t="inlineStr">
        <is>
          <t>-</t>
        </is>
      </c>
    </row>
    <row r="51" hidden="1" ht="92.09999999999999" customHeight="1" s="106">
      <c r="A51" s="56" t="inlineStr">
        <is>
          <t>70-GTI</t>
        </is>
      </c>
      <c r="B51" s="4" t="inlineStr">
        <is>
          <t>Eset Endpoint Security</t>
        </is>
      </c>
      <c r="C51" s="4" t="inlineStr">
        <is>
          <t>Herramienta de control de software malicioso</t>
        </is>
      </c>
      <c r="D51" s="64" t="inlineStr">
        <is>
          <t>[SW] Software - Aplicaciones informáticas</t>
        </is>
      </c>
      <c r="E51" s="34" t="inlineStr">
        <is>
          <t>[E.24] Caída del sistema por agotamiento de recursos</t>
        </is>
      </c>
      <c r="F51" s="34">
        <f>+VLOOKUP(E51,'CATALOGO AMENAZA'!$B$2:$D$46,3,FALSE)</f>
        <v/>
      </c>
      <c r="G51" s="34" t="n"/>
      <c r="H51" s="34" t="n"/>
      <c r="I51" s="34" t="inlineStr">
        <is>
          <t>X</t>
        </is>
      </c>
      <c r="J51" s="34" t="n">
        <v>3</v>
      </c>
      <c r="K51" s="34" t="n">
        <v>3</v>
      </c>
      <c r="L51" s="34">
        <f>+J51*K51</f>
        <v/>
      </c>
      <c r="M51" s="34">
        <f>+IF(L51&lt;5,"BAJO",IF(L51&lt;10,"MEDIO",IF(L51&lt;17,"ALTO","CRITICO")))</f>
        <v/>
      </c>
      <c r="N51" s="4" t="inlineStr">
        <is>
          <t>Monitoreo de Servidores presenta en el procedimiento operativo  Administración de Servidores en el Manua de Gestión de las Operaciones de TI</t>
        </is>
      </c>
      <c r="O51" s="34" t="inlineStr">
        <is>
          <t>PREVENTIVO</t>
        </is>
      </c>
      <c r="P51" s="34" t="inlineStr">
        <is>
          <t>Control Implementado sin evidencia de efectividad (Inefectivo prueba)</t>
        </is>
      </c>
      <c r="Q51" s="52" t="n">
        <v>0.4</v>
      </c>
      <c r="R51" s="4" t="inlineStr">
        <is>
          <t>Falta de alertas automáticas</t>
        </is>
      </c>
      <c r="S51" s="53">
        <f>+IF(O51="PREVENTIVO",J51*(1-Q51),IF(O51="ADMINISTRACION",J51*(1-Q51),IF(O51="ELIMINACION",J51*(1-Q51),J51)))</f>
        <v/>
      </c>
      <c r="T51" s="53">
        <f>+IF(O51="DETECTIVO",K51*(1-Q51),IF(O51="RECUPERACION",K51*(1-Q51),K51))</f>
        <v/>
      </c>
      <c r="U51" s="54">
        <f>+S51*T51</f>
        <v/>
      </c>
      <c r="V51" s="65">
        <f>+IF(U51&lt;5,"BAJO",IF(U51&lt;10,"MEDIO",IF(U51&lt;17,"ALTO","CRITICO")))</f>
        <v/>
      </c>
      <c r="W51" s="87" t="inlineStr">
        <is>
          <t>MITIGAR</t>
        </is>
      </c>
      <c r="X51" s="80" t="inlineStr">
        <is>
          <t>-</t>
        </is>
      </c>
      <c r="Y51" s="80" t="inlineStr">
        <is>
          <t>-</t>
        </is>
      </c>
      <c r="Z51" s="80" t="inlineStr">
        <is>
          <t>-</t>
        </is>
      </c>
    </row>
    <row r="52" hidden="1" ht="22.5" customHeight="1" s="106">
      <c r="A52" s="56" t="inlineStr">
        <is>
          <t>71-GTI</t>
        </is>
      </c>
      <c r="B52" s="4" t="inlineStr">
        <is>
          <t>FortiMail</t>
        </is>
      </c>
      <c r="C52" s="4" t="inlineStr">
        <is>
          <t>Control de correo no deseado Antispam</t>
        </is>
      </c>
      <c r="D52" s="64" t="inlineStr">
        <is>
          <t>[SW] Software - Aplicaciones informáticas</t>
        </is>
      </c>
      <c r="E52" s="34" t="inlineStr">
        <is>
          <t>[A.11] Acceso no autorizado</t>
        </is>
      </c>
      <c r="F52" s="34">
        <f>+VLOOKUP(E52,'CATALOGO AMENAZA'!$B$2:$D$46,3,FALSE)</f>
        <v/>
      </c>
      <c r="G52" s="34" t="inlineStr">
        <is>
          <t>X</t>
        </is>
      </c>
      <c r="H52" s="34" t="inlineStr">
        <is>
          <t>X</t>
        </is>
      </c>
      <c r="I52" s="34" t="n"/>
      <c r="J52" s="34" t="n">
        <v>3</v>
      </c>
      <c r="K52" s="34" t="n">
        <v>4</v>
      </c>
      <c r="L52" s="34">
        <f>+J52*K52</f>
        <v/>
      </c>
      <c r="M52" s="34">
        <f>+IF(L52&lt;5,"BAJO",IF(L52&lt;10,"MEDIO",IF(L52&lt;17,"ALTO","CRITICO")))</f>
        <v/>
      </c>
      <c r="N52" s="4" t="inlineStr">
        <is>
          <t>Control de accesos</t>
        </is>
      </c>
      <c r="O52" s="34" t="inlineStr">
        <is>
          <t>PREVENTIVO</t>
        </is>
      </c>
      <c r="P52" s="34" t="inlineStr">
        <is>
          <t>Control Implementado sin evidencia de efectividad (Inefectivo prueba)</t>
        </is>
      </c>
      <c r="Q52" s="52" t="n">
        <v>0.3</v>
      </c>
      <c r="R52" s="4" t="inlineStr">
        <is>
          <t>Usuarios genéricos</t>
        </is>
      </c>
      <c r="S52" s="53">
        <f>+IF(O52="PREVENTIVO",J52*(1-Q52),IF(O52="ADMINISTRACION",J52*(1-Q52),IF(O52="ELIMINACION",J52*(1-Q52),J52)))</f>
        <v/>
      </c>
      <c r="T52" s="53">
        <f>+IF(O52="DETECTIVO",K52*(1-Q52),IF(O52="RECUPERACION",K52*(1-Q52),K52))</f>
        <v/>
      </c>
      <c r="U52" s="54">
        <f>+S52*T52</f>
        <v/>
      </c>
      <c r="V52" s="65">
        <f>+IF(U52&lt;5,"BAJO",IF(U52&lt;10,"MEDIO",IF(U52&lt;17,"ALTO","CRITICO")))</f>
        <v/>
      </c>
      <c r="W52" s="87" t="inlineStr">
        <is>
          <t>MITIGAR</t>
        </is>
      </c>
      <c r="X52" s="80" t="inlineStr">
        <is>
          <t>-</t>
        </is>
      </c>
      <c r="Y52" s="80" t="inlineStr">
        <is>
          <t>-</t>
        </is>
      </c>
      <c r="Z52" s="80" t="inlineStr">
        <is>
          <t>-</t>
        </is>
      </c>
    </row>
    <row r="53" hidden="1" ht="22.5" customHeight="1" s="106">
      <c r="A53" s="56" t="inlineStr">
        <is>
          <t>71-GTI</t>
        </is>
      </c>
      <c r="B53" s="4" t="inlineStr">
        <is>
          <t>FortiMail</t>
        </is>
      </c>
      <c r="C53" s="4" t="inlineStr">
        <is>
          <t>Control de correo no deseado Antispam</t>
        </is>
      </c>
      <c r="D53" s="64" t="inlineStr">
        <is>
          <t>[SW] Software - Aplicaciones informáticas</t>
        </is>
      </c>
      <c r="E53" s="34" t="inlineStr">
        <is>
          <t>[A.23] Manipulación de los equipos</t>
        </is>
      </c>
      <c r="F53" s="34">
        <f>+VLOOKUP(E53,'CATALOGO AMENAZA'!$B$2:$D$46,3,FALSE)</f>
        <v/>
      </c>
      <c r="G53" s="34" t="inlineStr">
        <is>
          <t>X</t>
        </is>
      </c>
      <c r="H53" s="34" t="n"/>
      <c r="I53" s="34" t="inlineStr">
        <is>
          <t>X</t>
        </is>
      </c>
      <c r="J53" s="34" t="n">
        <v>1</v>
      </c>
      <c r="K53" s="34" t="n">
        <v>3</v>
      </c>
      <c r="L53" s="34">
        <f>+J53*K53</f>
        <v/>
      </c>
      <c r="M53" s="34">
        <f>+IF(L53&lt;5,"BAJO",IF(L53&lt;10,"MEDIO",IF(L53&lt;17,"ALTO","CRITICO")))</f>
        <v/>
      </c>
      <c r="N53" s="4" t="inlineStr">
        <is>
          <t>Control de accesos</t>
        </is>
      </c>
      <c r="O53" s="34" t="inlineStr">
        <is>
          <t>PREVENTIVO</t>
        </is>
      </c>
      <c r="P53" s="34" t="inlineStr">
        <is>
          <t>Control Implementado sin evidencia de efectividad (Inefectivo prueba)</t>
        </is>
      </c>
      <c r="Q53" s="52" t="n">
        <v>0.3</v>
      </c>
      <c r="R53" s="4" t="inlineStr">
        <is>
          <t>Usuarios genéricos</t>
        </is>
      </c>
      <c r="S53" s="53">
        <f>+IF(O53="PREVENTIVO",J53*(1-Q53),IF(O53="ADMINISTRACION",J53*(1-Q53),IF(O53="ELIMINACION",J53*(1-Q53),J53)))</f>
        <v/>
      </c>
      <c r="T53" s="53">
        <f>+IF(O53="DETECTIVO",K53*(1-Q53),IF(O53="RECUPERACION",K53*(1-Q53),K53))</f>
        <v/>
      </c>
      <c r="U53" s="54">
        <f>+S53*T53</f>
        <v/>
      </c>
      <c r="V53" s="65">
        <f>+IF(U53&lt;5,"BAJO",IF(U53&lt;10,"MEDIO",IF(U53&lt;17,"ALTO","CRITICO")))</f>
        <v/>
      </c>
      <c r="W53" s="65" t="inlineStr">
        <is>
          <t>ACEPTABLE</t>
        </is>
      </c>
      <c r="X53" s="80" t="inlineStr">
        <is>
          <t>-</t>
        </is>
      </c>
      <c r="Y53" s="80" t="inlineStr">
        <is>
          <t>-</t>
        </is>
      </c>
      <c r="Z53" s="80" t="inlineStr">
        <is>
          <t>-</t>
        </is>
      </c>
    </row>
    <row r="54" hidden="1" ht="22.5" customHeight="1" s="106">
      <c r="A54" s="56" t="inlineStr">
        <is>
          <t>71-GTI</t>
        </is>
      </c>
      <c r="B54" s="4" t="inlineStr">
        <is>
          <t>FortiMail</t>
        </is>
      </c>
      <c r="C54" s="4" t="inlineStr">
        <is>
          <t>Control de correo no deseado Antispam</t>
        </is>
      </c>
      <c r="D54" s="64" t="inlineStr">
        <is>
          <t>[SW] Software - Aplicaciones informáticas</t>
        </is>
      </c>
      <c r="E54" s="34" t="inlineStr">
        <is>
          <t>[A.6] Abuso de privilegios de acceso</t>
        </is>
      </c>
      <c r="F54" s="34">
        <f>+VLOOKUP(E54,'CATALOGO AMENAZA'!$B$2:$D$46,3,FALSE)</f>
        <v/>
      </c>
      <c r="G54" s="34" t="inlineStr">
        <is>
          <t>X</t>
        </is>
      </c>
      <c r="H54" s="34" t="inlineStr">
        <is>
          <t>X</t>
        </is>
      </c>
      <c r="I54" s="34" t="inlineStr">
        <is>
          <t>X</t>
        </is>
      </c>
      <c r="J54" s="34" t="n">
        <v>2</v>
      </c>
      <c r="K54" s="34" t="n">
        <v>3</v>
      </c>
      <c r="L54" s="34">
        <f>+J54*K54</f>
        <v/>
      </c>
      <c r="M54" s="34">
        <f>+IF(L54&lt;5,"BAJO",IF(L54&lt;10,"MEDIO",IF(L54&lt;17,"ALTO","CRITICO")))</f>
        <v/>
      </c>
      <c r="N54" s="4" t="inlineStr">
        <is>
          <t>Registro de logs (FortiAnalyzer)</t>
        </is>
      </c>
      <c r="O54" s="34" t="inlineStr">
        <is>
          <t>DETECTIVO</t>
        </is>
      </c>
      <c r="P54" s="34" t="inlineStr">
        <is>
          <t>Control Implementado sin evidencia de efectividad (Inefectivo prueba)</t>
        </is>
      </c>
      <c r="Q54" s="52" t="n">
        <v>0.3</v>
      </c>
      <c r="R54" s="4" t="inlineStr">
        <is>
          <t>Falta de revisión de perfiles de acceso</t>
        </is>
      </c>
      <c r="S54" s="53">
        <f>+IF(O54="PREVENTIVO",J54*(1-Q54),IF(O54="ADMINISTRACION",J54*(1-Q54),IF(O54="ELIMINACION",J54*(1-Q54),J54)))</f>
        <v/>
      </c>
      <c r="T54" s="53">
        <f>+IF(O54="DETECTIVO",K54*(1-Q54),IF(O54="RECUPERACION",K54*(1-Q54),K54))</f>
        <v/>
      </c>
      <c r="U54" s="54">
        <f>+S54*T54</f>
        <v/>
      </c>
      <c r="V54" s="65">
        <f>+IF(U54&lt;5,"BAJO",IF(U54&lt;10,"MEDIO",IF(U54&lt;17,"ALTO","CRITICO")))</f>
        <v/>
      </c>
      <c r="W54" s="65" t="inlineStr">
        <is>
          <t>ACEPTABLE</t>
        </is>
      </c>
      <c r="X54" s="80" t="inlineStr">
        <is>
          <t>-</t>
        </is>
      </c>
      <c r="Y54" s="80" t="inlineStr">
        <is>
          <t>-</t>
        </is>
      </c>
      <c r="Z54" s="80" t="inlineStr">
        <is>
          <t>-</t>
        </is>
      </c>
    </row>
    <row r="55" hidden="1" ht="22.5" customHeight="1" s="106">
      <c r="A55" s="56" t="inlineStr">
        <is>
          <t>71-GTI</t>
        </is>
      </c>
      <c r="B55" s="4" t="inlineStr">
        <is>
          <t>FortiMail</t>
        </is>
      </c>
      <c r="C55" s="4" t="inlineStr">
        <is>
          <t>Control de correo no deseado Antispam</t>
        </is>
      </c>
      <c r="D55" s="64" t="inlineStr">
        <is>
          <t>[SW] Software - Aplicaciones informáticas</t>
        </is>
      </c>
      <c r="E55" s="34" t="inlineStr">
        <is>
          <t>[A.24] Denegación de servicio</t>
        </is>
      </c>
      <c r="F55" s="34">
        <f>+VLOOKUP(E55,'CATALOGO AMENAZA'!$B$2:$D$46,3,FALSE)</f>
        <v/>
      </c>
      <c r="G55" s="34" t="n"/>
      <c r="H55" s="34" t="n"/>
      <c r="I55" s="34" t="inlineStr">
        <is>
          <t>X</t>
        </is>
      </c>
      <c r="J55" s="34" t="n">
        <v>3</v>
      </c>
      <c r="K55" s="34" t="n">
        <v>3</v>
      </c>
      <c r="L55" s="34">
        <f>+J55*K55</f>
        <v/>
      </c>
      <c r="M55" s="34">
        <f>+IF(L55&lt;5,"BAJO",IF(L55&lt;10,"MEDIO",IF(L55&lt;17,"ALTO","CRITICO")))</f>
        <v/>
      </c>
      <c r="N55" s="4" t="inlineStr">
        <is>
          <t>Configuración segura de firewall</t>
        </is>
      </c>
      <c r="O55" s="34" t="inlineStr">
        <is>
          <t>PREVENTIVO</t>
        </is>
      </c>
      <c r="P55" s="34" t="inlineStr">
        <is>
          <t>Control Implementado sin evidencia de efectividad (Inefectivo prueba)</t>
        </is>
      </c>
      <c r="Q55" s="52" t="n">
        <v>0.3</v>
      </c>
      <c r="R55" s="34" t="inlineStr">
        <is>
          <t>Evidencia de validación de las configuraciones</t>
        </is>
      </c>
      <c r="S55" s="53">
        <f>+IF(O55="PREVENTIVO",J55*(1-Q55),IF(O55="ADMINISTRACION",J55*(1-Q55),IF(O55="ELIMINACION",J55*(1-Q55),J55)))</f>
        <v/>
      </c>
      <c r="T55" s="53">
        <f>+IF(O55="DETECTIVO",K55*(1-Q55),IF(O55="RECUPERACION",K55*(1-Q55),K55))</f>
        <v/>
      </c>
      <c r="U55" s="54">
        <f>+S55*T55</f>
        <v/>
      </c>
      <c r="V55" s="65">
        <f>+IF(U55&lt;5,"BAJO",IF(U55&lt;10,"MEDIO",IF(U55&lt;17,"ALTO","CRITICO")))</f>
        <v/>
      </c>
      <c r="W55" s="87" t="inlineStr">
        <is>
          <t>MITIGAR</t>
        </is>
      </c>
      <c r="X55" s="80" t="inlineStr">
        <is>
          <t>-</t>
        </is>
      </c>
      <c r="Y55" s="80" t="inlineStr">
        <is>
          <t>-</t>
        </is>
      </c>
      <c r="Z55" s="80" t="inlineStr">
        <is>
          <t>-</t>
        </is>
      </c>
    </row>
    <row r="56" hidden="1" ht="22.5" customHeight="1" s="106">
      <c r="A56" s="56" t="inlineStr">
        <is>
          <t>71-GTI</t>
        </is>
      </c>
      <c r="B56" s="4" t="inlineStr">
        <is>
          <t>FortiMail</t>
        </is>
      </c>
      <c r="C56" s="4" t="inlineStr">
        <is>
          <t>Control de correo no deseado Antispam</t>
        </is>
      </c>
      <c r="D56" s="64" t="inlineStr">
        <is>
          <t>[SW] Software - Aplicaciones informáticas</t>
        </is>
      </c>
      <c r="E56" s="34" t="inlineStr">
        <is>
          <t>[E.2] Errores del administrador</t>
        </is>
      </c>
      <c r="F56" s="34">
        <f>+VLOOKUP(E56,'CATALOGO AMENAZA'!$B$2:$D$46,3,FALSE)</f>
        <v/>
      </c>
      <c r="G56" s="34" t="inlineStr">
        <is>
          <t>X</t>
        </is>
      </c>
      <c r="H56" s="34" t="inlineStr">
        <is>
          <t>X</t>
        </is>
      </c>
      <c r="I56" s="34" t="inlineStr">
        <is>
          <t>X</t>
        </is>
      </c>
      <c r="J56" s="34" t="n">
        <v>2</v>
      </c>
      <c r="K56" s="34" t="n">
        <v>3</v>
      </c>
      <c r="L56" s="34">
        <f>+J56*K56</f>
        <v/>
      </c>
      <c r="M56" s="34">
        <f>+IF(L56&lt;5,"BAJO",IF(L56&lt;10,"MEDIO",IF(L56&lt;17,"ALTO","CRITICO")))</f>
        <v/>
      </c>
      <c r="N56" s="4" t="inlineStr">
        <is>
          <t>Control de cambios en los sistemas
Verificación posterior (informe)</t>
        </is>
      </c>
      <c r="O56" s="34" t="inlineStr">
        <is>
          <t>ADMINISTRACION</t>
        </is>
      </c>
      <c r="P56" s="34" t="inlineStr">
        <is>
          <t>Control Implementado sin evidencia de efectividad (Inefectivo prueba)</t>
        </is>
      </c>
      <c r="Q56" s="52" t="n">
        <v>0.3</v>
      </c>
      <c r="R56" s="4" t="inlineStr">
        <is>
          <t>No existe procedimiento formal de gestión de cambios</t>
        </is>
      </c>
      <c r="S56" s="53">
        <f>+IF(O56="PREVENTIVO",J56*(1-Q56),IF(O56="ADMINISTRACION",J56*(1-Q56),IF(O56="ELIMINACION",J56*(1-Q56),J56)))</f>
        <v/>
      </c>
      <c r="T56" s="53">
        <f>+IF(O56="DETECTIVO",K56*(1-Q56),IF(O56="RECUPERACION",K56*(1-Q56),K56))</f>
        <v/>
      </c>
      <c r="U56" s="54">
        <f>+S56*T56</f>
        <v/>
      </c>
      <c r="V56" s="65">
        <f>+IF(U56&lt;5,"BAJO",IF(U56&lt;10,"MEDIO",IF(U56&lt;17,"ALTO","CRITICO")))</f>
        <v/>
      </c>
      <c r="W56" s="65" t="inlineStr">
        <is>
          <t>ACEPTABLE</t>
        </is>
      </c>
      <c r="X56" s="80" t="inlineStr">
        <is>
          <t>-</t>
        </is>
      </c>
      <c r="Y56" s="80" t="inlineStr">
        <is>
          <t>-</t>
        </is>
      </c>
      <c r="Z56" s="80" t="inlineStr">
        <is>
          <t>-</t>
        </is>
      </c>
    </row>
    <row r="57" hidden="1" ht="92.09999999999999" customHeight="1" s="106">
      <c r="A57" s="56" t="inlineStr">
        <is>
          <t>71-GTI</t>
        </is>
      </c>
      <c r="B57" s="4" t="inlineStr">
        <is>
          <t>FortiMail</t>
        </is>
      </c>
      <c r="C57" s="4" t="inlineStr">
        <is>
          <t>Control de correo no deseado Antispam</t>
        </is>
      </c>
      <c r="D57" s="64" t="inlineStr">
        <is>
          <t>[SW] Software - Aplicaciones informáticas</t>
        </is>
      </c>
      <c r="E57" s="34" t="inlineStr">
        <is>
          <t>[E.24] Caída del sistema por agotamiento de recursos</t>
        </is>
      </c>
      <c r="F57" s="34">
        <f>+VLOOKUP(E57,'CATALOGO AMENAZA'!$B$2:$D$46,3,FALSE)</f>
        <v/>
      </c>
      <c r="G57" s="34" t="n"/>
      <c r="H57" s="34" t="n"/>
      <c r="I57" s="34" t="inlineStr">
        <is>
          <t>X</t>
        </is>
      </c>
      <c r="J57" s="34" t="n">
        <v>2</v>
      </c>
      <c r="K57" s="34" t="n">
        <v>4</v>
      </c>
      <c r="L57" s="34">
        <f>+J57*K57</f>
        <v/>
      </c>
      <c r="M57" s="34">
        <f>+IF(L57&lt;5,"BAJO",IF(L57&lt;10,"MEDIO",IF(L57&lt;17,"ALTO","CRITICO")))</f>
        <v/>
      </c>
      <c r="N57" s="4" t="inlineStr">
        <is>
          <t>Monitoreo de Servidores presenta en el procedimiento operativo  Administración de Servidores en el Manua de Gestión de las Operaciones de TI</t>
        </is>
      </c>
      <c r="O57" s="34" t="inlineStr">
        <is>
          <t>PREVENTIVO</t>
        </is>
      </c>
      <c r="P57" s="34" t="inlineStr">
        <is>
          <t>Control Implementado sin evidencia de efectividad (Inefectivo prueba)</t>
        </is>
      </c>
      <c r="Q57" s="52" t="n">
        <v>0.4</v>
      </c>
      <c r="R57" s="4" t="inlineStr">
        <is>
          <t>Falta de alertas automáticas</t>
        </is>
      </c>
      <c r="S57" s="53">
        <f>+IF(O57="PREVENTIVO",J57*(1-Q57),IF(O57="ADMINISTRACION",J57*(1-Q57),IF(O57="ELIMINACION",J57*(1-Q57),J57)))</f>
        <v/>
      </c>
      <c r="T57" s="53">
        <f>+IF(O57="DETECTIVO",K57*(1-Q57),IF(O57="RECUPERACION",K57*(1-Q57),K57))</f>
        <v/>
      </c>
      <c r="U57" s="54">
        <f>+S57*T57</f>
        <v/>
      </c>
      <c r="V57" s="65">
        <f>+IF(U57&lt;5,"BAJO",IF(U57&lt;10,"MEDIO",IF(U57&lt;17,"ALTO","CRITICO")))</f>
        <v/>
      </c>
      <c r="W57" s="65" t="inlineStr">
        <is>
          <t>ACEPTABLE</t>
        </is>
      </c>
      <c r="X57" s="80" t="inlineStr">
        <is>
          <t>-</t>
        </is>
      </c>
      <c r="Y57" s="80" t="inlineStr">
        <is>
          <t>-</t>
        </is>
      </c>
      <c r="Z57" s="80" t="inlineStr">
        <is>
          <t>-</t>
        </is>
      </c>
    </row>
    <row r="58" hidden="1" ht="30.6" customHeight="1" s="106">
      <c r="A58" s="56" t="inlineStr">
        <is>
          <t>72-GTI</t>
        </is>
      </c>
      <c r="B58" s="4" t="inlineStr">
        <is>
          <t>Informe de gestión</t>
        </is>
      </c>
      <c r="C58" s="4" t="inlineStr">
        <is>
          <t>Informe eventos de seguridad</t>
        </is>
      </c>
      <c r="D58" s="64" t="inlineStr">
        <is>
          <t>[D] Datos / Información / datos de configuración</t>
        </is>
      </c>
      <c r="E58" s="34" t="inlineStr">
        <is>
          <t>[E.19] Fugas de información</t>
        </is>
      </c>
      <c r="F58" s="34">
        <f>+VLOOKUP(E58,'CATALOGO AMENAZA'!$B$2:$D$46,3,FALSE)</f>
        <v/>
      </c>
      <c r="G58" s="34" t="inlineStr">
        <is>
          <t>X</t>
        </is>
      </c>
      <c r="H58" s="34" t="n"/>
      <c r="I58" s="34" t="n"/>
      <c r="J58" s="34" t="n">
        <v>3</v>
      </c>
      <c r="K58" s="34" t="n">
        <v>4</v>
      </c>
      <c r="L58" s="34">
        <f>+J58*K58</f>
        <v/>
      </c>
      <c r="M58" s="34">
        <f>+IF(L58&lt;5,"BAJO",IF(L58&lt;10,"MEDIO",IF(L58&lt;17,"ALTO","CRITICO")))</f>
        <v/>
      </c>
      <c r="N58" s="54" t="inlineStr">
        <is>
          <t>Software DLP</t>
        </is>
      </c>
      <c r="O58" s="54" t="inlineStr">
        <is>
          <t>PREVENTIVO</t>
        </is>
      </c>
      <c r="P58" s="34" t="inlineStr">
        <is>
          <t>Control Implementado sin evidencia de efectividad (Inefectivo prueba)</t>
        </is>
      </c>
      <c r="Q58" s="52" t="n">
        <v>0.3</v>
      </c>
      <c r="R58" s="34" t="inlineStr">
        <is>
          <t>Politicas sin restricción para jefaturas</t>
        </is>
      </c>
      <c r="S58" s="53">
        <f>+IF(O58="PREVENTIVO",J58*(1-Q58),IF(O58="ADMINISTRACION",J58*(1-Q58),IF(O58="ELIMINACION",J58*(1-Q58),J58)))</f>
        <v/>
      </c>
      <c r="T58" s="53">
        <f>+IF(O58="DETECTIVO",K58*(1-Q58),IF(O58="RECUPERACION",K58*(1-Q58),K58))</f>
        <v/>
      </c>
      <c r="U58" s="54">
        <f>+S58*T58</f>
        <v/>
      </c>
      <c r="V58" s="65">
        <f>+IF(U58&lt;5,"BAJO",IF(U58&lt;10,"MEDIO",IF(U58&lt;17,"ALTO","CRITICO")))</f>
        <v/>
      </c>
      <c r="W58" s="87" t="inlineStr">
        <is>
          <t>MITIGAR</t>
        </is>
      </c>
      <c r="X58" s="80" t="inlineStr">
        <is>
          <t>-</t>
        </is>
      </c>
      <c r="Y58" s="80" t="inlineStr">
        <is>
          <t>-</t>
        </is>
      </c>
      <c r="Z58" s="80" t="inlineStr">
        <is>
          <t>-</t>
        </is>
      </c>
    </row>
    <row r="59" hidden="1" ht="41.1" customHeight="1" s="106">
      <c r="A59" s="56" t="inlineStr">
        <is>
          <t>72-GTI</t>
        </is>
      </c>
      <c r="B59" s="4" t="inlineStr">
        <is>
          <t>Informe de gestión</t>
        </is>
      </c>
      <c r="C59" s="4" t="inlineStr">
        <is>
          <t>Informe eventos de seguridad</t>
        </is>
      </c>
      <c r="D59" s="64" t="inlineStr">
        <is>
          <t>[D] Datos / Información / datos de configuración</t>
        </is>
      </c>
      <c r="E59" s="34" t="inlineStr">
        <is>
          <t>[E.18] Destrucción de información</t>
        </is>
      </c>
      <c r="F59" s="34">
        <f>+VLOOKUP(E59,'CATALOGO AMENAZA'!$B$2:$D$46,3,FALSE)</f>
        <v/>
      </c>
      <c r="G59" s="34" t="n"/>
      <c r="H59" s="34" t="n"/>
      <c r="I59" s="34" t="inlineStr">
        <is>
          <t>X</t>
        </is>
      </c>
      <c r="J59" s="34" t="n">
        <v>3</v>
      </c>
      <c r="K59" s="34" t="n">
        <v>3</v>
      </c>
      <c r="L59" s="34">
        <f>+J59*K59</f>
        <v/>
      </c>
      <c r="M59" s="34">
        <f>+IF(L59&lt;5,"BAJO",IF(L59&lt;10,"MEDIO",IF(L59&lt;17,"ALTO","CRITICO")))</f>
        <v/>
      </c>
      <c r="N59" s="54" t="inlineStr">
        <is>
          <t>Respaldo digital de información</t>
        </is>
      </c>
      <c r="O59" s="54" t="inlineStr">
        <is>
          <t>PREVENTIVO</t>
        </is>
      </c>
      <c r="P59" s="34" t="inlineStr">
        <is>
          <t>Control Implementado sin evidencia de efectividad (Inefectivo prueba)</t>
        </is>
      </c>
      <c r="Q59" s="52" t="n">
        <v>0.3</v>
      </c>
      <c r="R59" s="4" t="inlineStr">
        <is>
          <t>Almacenamiento manual en medio extraible</t>
        </is>
      </c>
      <c r="S59" s="53">
        <f>+IF(O59="PREVENTIVO",J59*(1-Q59),IF(O59="ADMINISTRACION",J59*(1-Q59),IF(O59="ELIMINACION",J59*(1-Q59),J59)))</f>
        <v/>
      </c>
      <c r="T59" s="53">
        <f>+IF(O59="DETECTIVO",K59*(1-Q59),IF(O59="RECUPERACION",K59*(1-Q59),K59))</f>
        <v/>
      </c>
      <c r="U59" s="54">
        <f>+S59*T59</f>
        <v/>
      </c>
      <c r="V59" s="65">
        <f>+IF(U59&lt;5,"BAJO",IF(U59&lt;10,"MEDIO",IF(U59&lt;17,"ALTO","CRITICO")))</f>
        <v/>
      </c>
      <c r="W59" s="87" t="inlineStr">
        <is>
          <t>MITIGAR</t>
        </is>
      </c>
      <c r="X59" s="80" t="inlineStr">
        <is>
          <t>-</t>
        </is>
      </c>
      <c r="Y59" s="80" t="inlineStr">
        <is>
          <t>-</t>
        </is>
      </c>
      <c r="Z59" s="80" t="inlineStr">
        <is>
          <t>-</t>
        </is>
      </c>
    </row>
    <row r="60" hidden="1" ht="30.6" customHeight="1" s="106">
      <c r="A60" s="56" t="inlineStr">
        <is>
          <t>73-GTI</t>
        </is>
      </c>
      <c r="B60" s="4" t="inlineStr">
        <is>
          <t>Consola ESET</t>
        </is>
      </c>
      <c r="C60" s="4" t="inlineStr">
        <is>
          <t>Servidor control software malicioso 
192.168.100.235</t>
        </is>
      </c>
      <c r="D60" s="64" t="inlineStr">
        <is>
          <t>[HW] Equipamiento informático (hardware)</t>
        </is>
      </c>
      <c r="E60" s="34" t="inlineStr">
        <is>
          <t>[A.11] Acceso no autorizado</t>
        </is>
      </c>
      <c r="F60" s="34">
        <f>+VLOOKUP(E60,'CATALOGO AMENAZA'!$B$2:$D$46,3,FALSE)</f>
        <v/>
      </c>
      <c r="G60" s="34" t="inlineStr">
        <is>
          <t>X</t>
        </is>
      </c>
      <c r="H60" s="34" t="inlineStr">
        <is>
          <t>X</t>
        </is>
      </c>
      <c r="I60" s="34" t="n"/>
      <c r="J60" s="34" t="n">
        <v>2</v>
      </c>
      <c r="K60" s="34" t="n">
        <v>3</v>
      </c>
      <c r="L60" s="34">
        <f>+J60*K60</f>
        <v/>
      </c>
      <c r="M60" s="34">
        <f>+IF(L60&lt;5,"BAJO",IF(L60&lt;10,"MEDIO",IF(L60&lt;17,"ALTO","CRITICO")))</f>
        <v/>
      </c>
      <c r="N60" s="4" t="inlineStr">
        <is>
          <t>Control de accesos / VPN</t>
        </is>
      </c>
      <c r="O60" s="34" t="inlineStr">
        <is>
          <t>PREVENTIVO</t>
        </is>
      </c>
      <c r="P60" s="34" t="inlineStr">
        <is>
          <t>Control Implementado sin evidencia de efectividad (Inefectivo prueba)</t>
        </is>
      </c>
      <c r="Q60" s="52" t="n">
        <v>0.3</v>
      </c>
      <c r="R60" s="4" t="inlineStr">
        <is>
          <t>Contreaseñas de VPN no expiran</t>
        </is>
      </c>
      <c r="S60" s="53">
        <f>+IF(O60="PREVENTIVO",J60*(1-Q60),IF(O60="ADMINISTRACION",J60*(1-Q60),IF(O60="ELIMINACION",J60*(1-Q60),J60)))</f>
        <v/>
      </c>
      <c r="T60" s="53">
        <f>+IF(O60="DETECTIVO",K60*(1-Q60),IF(O60="RECUPERACION",K60*(1-Q60),K60))</f>
        <v/>
      </c>
      <c r="U60" s="54">
        <f>+S60*T60</f>
        <v/>
      </c>
      <c r="V60" s="65">
        <f>+IF(U60&lt;5,"BAJO",IF(U60&lt;10,"MEDIO",IF(U60&lt;17,"ALTO","CRITICO")))</f>
        <v/>
      </c>
      <c r="W60" s="65" t="inlineStr">
        <is>
          <t>ACEPTABLE</t>
        </is>
      </c>
      <c r="X60" s="80" t="inlineStr">
        <is>
          <t>-</t>
        </is>
      </c>
      <c r="Y60" s="80" t="inlineStr">
        <is>
          <t>-</t>
        </is>
      </c>
      <c r="Z60" s="80" t="inlineStr">
        <is>
          <t>-</t>
        </is>
      </c>
    </row>
    <row r="61" hidden="1" ht="30.6" customHeight="1" s="106">
      <c r="A61" s="56" t="inlineStr">
        <is>
          <t>73-GTI</t>
        </is>
      </c>
      <c r="B61" s="4" t="inlineStr">
        <is>
          <t>Consola ESET</t>
        </is>
      </c>
      <c r="C61" s="4" t="inlineStr">
        <is>
          <t>Servidor control software malicioso 
192.168.100.235</t>
        </is>
      </c>
      <c r="D61" s="64" t="inlineStr">
        <is>
          <t>[HW] Equipamiento informático (hardware)</t>
        </is>
      </c>
      <c r="E61" s="34" t="inlineStr">
        <is>
          <t>[A.23] Manipulación de los equipos</t>
        </is>
      </c>
      <c r="F61" s="34">
        <f>+VLOOKUP(E61,'CATALOGO AMENAZA'!$B$2:$D$46,3,FALSE)</f>
        <v/>
      </c>
      <c r="G61" s="34" t="inlineStr">
        <is>
          <t>X</t>
        </is>
      </c>
      <c r="H61" s="34" t="n"/>
      <c r="I61" s="34" t="inlineStr">
        <is>
          <t>X</t>
        </is>
      </c>
      <c r="J61" s="34" t="n">
        <v>2</v>
      </c>
      <c r="K61" s="34" t="n">
        <v>3</v>
      </c>
      <c r="L61" s="34">
        <f>+J61*K61</f>
        <v/>
      </c>
      <c r="M61" s="34">
        <f>+IF(L61&lt;5,"BAJO",IF(L61&lt;10,"MEDIO",IF(L61&lt;17,"ALTO","CRITICO")))</f>
        <v/>
      </c>
      <c r="N61" s="4" t="inlineStr">
        <is>
          <t>Control de accesos</t>
        </is>
      </c>
      <c r="O61" s="34" t="inlineStr">
        <is>
          <t>PREVENTIVO</t>
        </is>
      </c>
      <c r="P61" s="34" t="inlineStr">
        <is>
          <t>Control Implementado sin evidencia de efectividad (Inefectivo prueba)</t>
        </is>
      </c>
      <c r="Q61" s="52" t="n">
        <v>0.3</v>
      </c>
      <c r="R61" s="4" t="inlineStr">
        <is>
          <t>Usuarios genéricos</t>
        </is>
      </c>
      <c r="S61" s="53">
        <f>+IF(O61="PREVENTIVO",J61*(1-Q61),IF(O61="ADMINISTRACION",J61*(1-Q61),IF(O61="ELIMINACION",J61*(1-Q61),J61)))</f>
        <v/>
      </c>
      <c r="T61" s="53">
        <f>+IF(O61="DETECTIVO",K61*(1-Q61),IF(O61="RECUPERACION",K61*(1-Q61),K61))</f>
        <v/>
      </c>
      <c r="U61" s="54">
        <f>+S61*T61</f>
        <v/>
      </c>
      <c r="V61" s="65">
        <f>+IF(U61&lt;5,"BAJO",IF(U61&lt;10,"MEDIO",IF(U61&lt;17,"ALTO","CRITICO")))</f>
        <v/>
      </c>
      <c r="W61" s="65" t="inlineStr">
        <is>
          <t>ACEPTABLE</t>
        </is>
      </c>
      <c r="X61" s="80" t="inlineStr">
        <is>
          <t>-</t>
        </is>
      </c>
      <c r="Y61" s="80" t="inlineStr">
        <is>
          <t>-</t>
        </is>
      </c>
      <c r="Z61" s="80" t="inlineStr">
        <is>
          <t>-</t>
        </is>
      </c>
    </row>
    <row r="62" hidden="1" ht="30.6" customHeight="1" s="106">
      <c r="A62" s="56" t="inlineStr">
        <is>
          <t>73-GTI</t>
        </is>
      </c>
      <c r="B62" s="4" t="inlineStr">
        <is>
          <t>Consola ESET</t>
        </is>
      </c>
      <c r="C62" s="4" t="inlineStr">
        <is>
          <t>Servidor control software malicioso 
192.168.100.235</t>
        </is>
      </c>
      <c r="D62" s="64" t="inlineStr">
        <is>
          <t>[HW] Equipamiento informático (hardware)</t>
        </is>
      </c>
      <c r="E62" s="34" t="inlineStr">
        <is>
          <t>[A.6] Abuso de privilegios de acceso</t>
        </is>
      </c>
      <c r="F62" s="34">
        <f>+VLOOKUP(E62,'CATALOGO AMENAZA'!$B$2:$D$46,3,FALSE)</f>
        <v/>
      </c>
      <c r="G62" s="34" t="inlineStr">
        <is>
          <t>X</t>
        </is>
      </c>
      <c r="H62" s="34" t="inlineStr">
        <is>
          <t>X</t>
        </is>
      </c>
      <c r="I62" s="34" t="inlineStr">
        <is>
          <t>X</t>
        </is>
      </c>
      <c r="J62" s="34" t="n">
        <v>2</v>
      </c>
      <c r="K62" s="34" t="n">
        <v>3</v>
      </c>
      <c r="L62" s="34">
        <f>+J62*K62</f>
        <v/>
      </c>
      <c r="M62" s="34">
        <f>+IF(L62&lt;5,"BAJO",IF(L62&lt;10,"MEDIO",IF(L62&lt;17,"ALTO","CRITICO")))</f>
        <v/>
      </c>
      <c r="N62" s="4" t="inlineStr">
        <is>
          <t>Registro de logs (FortiAnalyzer)</t>
        </is>
      </c>
      <c r="O62" s="34" t="inlineStr">
        <is>
          <t>DETECTIVO</t>
        </is>
      </c>
      <c r="P62" s="34" t="inlineStr">
        <is>
          <t>Control Implementado sin evidencia de efectividad (Inefectivo prueba)</t>
        </is>
      </c>
      <c r="Q62" s="52" t="n">
        <v>0.3</v>
      </c>
      <c r="R62" s="4" t="inlineStr">
        <is>
          <t>Falta de revisión de perfiles de acceso</t>
        </is>
      </c>
      <c r="S62" s="53">
        <f>+IF(O62="PREVENTIVO",J62*(1-Q62),IF(O62="ADMINISTRACION",J62*(1-Q62),IF(O62="ELIMINACION",J62*(1-Q62),J62)))</f>
        <v/>
      </c>
      <c r="T62" s="53">
        <f>+IF(O62="DETECTIVO",K62*(1-Q62),IF(O62="RECUPERACION",K62*(1-Q62),K62))</f>
        <v/>
      </c>
      <c r="U62" s="54">
        <f>+S62*T62</f>
        <v/>
      </c>
      <c r="V62" s="65">
        <f>+IF(U62&lt;5,"BAJO",IF(U62&lt;10,"MEDIO",IF(U62&lt;17,"ALTO","CRITICO")))</f>
        <v/>
      </c>
      <c r="W62" s="65" t="inlineStr">
        <is>
          <t>ACEPTABLE</t>
        </is>
      </c>
      <c r="X62" s="80" t="inlineStr">
        <is>
          <t>-</t>
        </is>
      </c>
      <c r="Y62" s="80" t="inlineStr">
        <is>
          <t>-</t>
        </is>
      </c>
      <c r="Z62" s="80" t="inlineStr">
        <is>
          <t>-</t>
        </is>
      </c>
    </row>
    <row r="63" hidden="1" ht="30.6" customHeight="1" s="106">
      <c r="A63" s="56" t="inlineStr">
        <is>
          <t>73-GTI</t>
        </is>
      </c>
      <c r="B63" s="4" t="inlineStr">
        <is>
          <t>Consola ESET</t>
        </is>
      </c>
      <c r="C63" s="4" t="inlineStr">
        <is>
          <t>Servidor control software malicioso 
192.168.100.235</t>
        </is>
      </c>
      <c r="D63" s="64" t="inlineStr">
        <is>
          <t>[HW] Equipamiento informático (hardware)</t>
        </is>
      </c>
      <c r="E63" s="34" t="inlineStr">
        <is>
          <t>[A.24] Denegación de servicio</t>
        </is>
      </c>
      <c r="F63" s="34">
        <f>+VLOOKUP(E63,'CATALOGO AMENAZA'!$B$2:$D$46,3,FALSE)</f>
        <v/>
      </c>
      <c r="G63" s="34" t="n"/>
      <c r="H63" s="34" t="n"/>
      <c r="I63" s="34" t="inlineStr">
        <is>
          <t>X</t>
        </is>
      </c>
      <c r="J63" s="34" t="n">
        <v>3</v>
      </c>
      <c r="K63" s="34" t="n">
        <v>4</v>
      </c>
      <c r="L63" s="34">
        <f>+J63*K63</f>
        <v/>
      </c>
      <c r="M63" s="34">
        <f>+IF(L63&lt;5,"BAJO",IF(L63&lt;10,"MEDIO",IF(L63&lt;17,"ALTO","CRITICO")))</f>
        <v/>
      </c>
      <c r="N63" s="4" t="inlineStr">
        <is>
          <t>Configuración segura de firewall</t>
        </is>
      </c>
      <c r="O63" s="34" t="inlineStr">
        <is>
          <t>PREVENTIVO</t>
        </is>
      </c>
      <c r="P63" s="34" t="inlineStr">
        <is>
          <t>Control Implementado sin evidencia de efectividad (Inefectivo prueba)</t>
        </is>
      </c>
      <c r="Q63" s="52" t="n">
        <v>0.3</v>
      </c>
      <c r="R63" s="34" t="inlineStr">
        <is>
          <t>Evidencia de validación de las configuraciones</t>
        </is>
      </c>
      <c r="S63" s="53">
        <f>+IF(O63="PREVENTIVO",J63*(1-Q63),IF(O63="ADMINISTRACION",J63*(1-Q63),IF(O63="ELIMINACION",J63*(1-Q63),J63)))</f>
        <v/>
      </c>
      <c r="T63" s="53">
        <f>+IF(O63="DETECTIVO",K63*(1-Q63),IF(O63="RECUPERACION",K63*(1-Q63),K63))</f>
        <v/>
      </c>
      <c r="U63" s="54">
        <f>+S63*T63</f>
        <v/>
      </c>
      <c r="V63" s="65">
        <f>+IF(U63&lt;5,"BAJO",IF(U63&lt;10,"MEDIO",IF(U63&lt;17,"ALTO","CRITICO")))</f>
        <v/>
      </c>
      <c r="W63" s="87" t="inlineStr">
        <is>
          <t>MITIGAR</t>
        </is>
      </c>
      <c r="X63" s="80" t="inlineStr">
        <is>
          <t>-</t>
        </is>
      </c>
      <c r="Y63" s="80" t="inlineStr">
        <is>
          <t>-</t>
        </is>
      </c>
      <c r="Z63" s="80" t="inlineStr">
        <is>
          <t>-</t>
        </is>
      </c>
    </row>
    <row r="64" hidden="1" ht="41.1" customHeight="1" s="106">
      <c r="A64" s="56" t="inlineStr">
        <is>
          <t>73-GTI</t>
        </is>
      </c>
      <c r="B64" s="4" t="inlineStr">
        <is>
          <t>Consola ESET</t>
        </is>
      </c>
      <c r="C64" s="4" t="inlineStr">
        <is>
          <t>Servidor control software malicioso 
192.168.100.235</t>
        </is>
      </c>
      <c r="D64" s="64" t="inlineStr">
        <is>
          <t>[HW] Equipamiento informático (hardware)</t>
        </is>
      </c>
      <c r="E64" s="34" t="inlineStr">
        <is>
          <t>[E.2] Errores del administrador</t>
        </is>
      </c>
      <c r="F64" s="34">
        <f>+VLOOKUP(E64,'CATALOGO AMENAZA'!$B$2:$D$46,3,FALSE)</f>
        <v/>
      </c>
      <c r="G64" s="34" t="inlineStr">
        <is>
          <t>X</t>
        </is>
      </c>
      <c r="H64" s="34" t="inlineStr">
        <is>
          <t>X</t>
        </is>
      </c>
      <c r="I64" s="34" t="inlineStr">
        <is>
          <t>X</t>
        </is>
      </c>
      <c r="J64" s="34" t="n">
        <v>2</v>
      </c>
      <c r="K64" s="34" t="n">
        <v>3</v>
      </c>
      <c r="L64" s="34">
        <f>+J64*K64</f>
        <v/>
      </c>
      <c r="M64" s="34">
        <f>+IF(L64&lt;5,"BAJO",IF(L64&lt;10,"MEDIO",IF(L64&lt;17,"ALTO","CRITICO")))</f>
        <v/>
      </c>
      <c r="N64" s="4" t="inlineStr">
        <is>
          <t>Control de cambios en los sistemas
Verificación posterior (informe)</t>
        </is>
      </c>
      <c r="O64" s="34" t="inlineStr">
        <is>
          <t>ADMINISTRACION</t>
        </is>
      </c>
      <c r="P64" s="34" t="inlineStr">
        <is>
          <t>Control Implementado sin evidencia de efectividad (Inefectivo prueba)</t>
        </is>
      </c>
      <c r="Q64" s="52" t="n">
        <v>0.3</v>
      </c>
      <c r="R64" s="4" t="inlineStr">
        <is>
          <t>No existe procedimiento formal de gestión de cambios</t>
        </is>
      </c>
      <c r="S64" s="53">
        <f>+IF(O64="PREVENTIVO",J64*(1-Q64),IF(O64="ADMINISTRACION",J64*(1-Q64),IF(O64="ELIMINACION",J64*(1-Q64),J64)))</f>
        <v/>
      </c>
      <c r="T64" s="53">
        <f>+IF(O64="DETECTIVO",K64*(1-Q64),IF(O64="RECUPERACION",K64*(1-Q64),K64))</f>
        <v/>
      </c>
      <c r="U64" s="54">
        <f>+S64*T64</f>
        <v/>
      </c>
      <c r="V64" s="65">
        <f>+IF(U64&lt;5,"BAJO",IF(U64&lt;10,"MEDIO",IF(U64&lt;17,"ALTO","CRITICO")))</f>
        <v/>
      </c>
      <c r="W64" s="65" t="inlineStr">
        <is>
          <t>ACEPTABLE</t>
        </is>
      </c>
      <c r="X64" s="80" t="inlineStr">
        <is>
          <t>-</t>
        </is>
      </c>
      <c r="Y64" s="80" t="inlineStr">
        <is>
          <t>-</t>
        </is>
      </c>
      <c r="Z64" s="80" t="inlineStr">
        <is>
          <t>-</t>
        </is>
      </c>
    </row>
    <row r="65" hidden="1" ht="41.1" customHeight="1" s="106">
      <c r="A65" s="56" t="inlineStr">
        <is>
          <t>73-GTI</t>
        </is>
      </c>
      <c r="B65" s="4" t="inlineStr">
        <is>
          <t>Consola ESET</t>
        </is>
      </c>
      <c r="C65" s="4" t="inlineStr">
        <is>
          <t>Servidor control software malicioso 
192.168.100.235</t>
        </is>
      </c>
      <c r="D65" s="64" t="inlineStr">
        <is>
          <t>[HW] Equipamiento informático (hardware)</t>
        </is>
      </c>
      <c r="E65" s="34" t="inlineStr">
        <is>
          <t>[E.24] Caída del sistema por agotamiento de recursos</t>
        </is>
      </c>
      <c r="F65" s="34">
        <f>+VLOOKUP(E65,'CATALOGO AMENAZA'!$B$2:$D$46,3,FALSE)</f>
        <v/>
      </c>
      <c r="G65" s="34" t="n"/>
      <c r="H65" s="34" t="n"/>
      <c r="I65" s="34" t="inlineStr">
        <is>
          <t>X</t>
        </is>
      </c>
      <c r="J65" s="34" t="n">
        <v>2</v>
      </c>
      <c r="K65" s="34" t="n">
        <v>3</v>
      </c>
      <c r="L65" s="34">
        <f>+J65*K65</f>
        <v/>
      </c>
      <c r="M65" s="34">
        <f>+IF(L65&lt;5,"BAJO",IF(L65&lt;10,"MEDIO",IF(L65&lt;17,"ALTO","CRITICO")))</f>
        <v/>
      </c>
      <c r="N65" s="34" t="inlineStr">
        <is>
          <t>Procedimiento de Gestión de la capacidad y desempeño de la Infraestructura</t>
        </is>
      </c>
      <c r="O65" s="54" t="inlineStr">
        <is>
          <t>PREVENTIVO</t>
        </is>
      </c>
      <c r="P65" s="34" t="inlineStr">
        <is>
          <t>Control Implementado sin evidencia de efectividad (Inefectivo prueba)</t>
        </is>
      </c>
      <c r="Q65" s="52" t="n">
        <v>0.3</v>
      </c>
      <c r="R65" s="34" t="inlineStr">
        <is>
          <t>Notificación automática de alertas</t>
        </is>
      </c>
      <c r="S65" s="53">
        <f>+IF(O65="PREVENTIVO",J65*(1-Q65),IF(O65="ADMINISTRACION",J65*(1-Q65),IF(O65="ELIMINACION",J65*(1-Q65),J65)))</f>
        <v/>
      </c>
      <c r="T65" s="53">
        <f>+IF(O65="DETECTIVO",K65*(1-Q65),IF(O65="RECUPERACION",K65*(1-Q65),K65))</f>
        <v/>
      </c>
      <c r="U65" s="54">
        <f>+S65*T65</f>
        <v/>
      </c>
      <c r="V65" s="65">
        <f>+IF(U65&lt;5,"BAJO",IF(U65&lt;10,"MEDIO",IF(U65&lt;17,"ALTO","CRITICO")))</f>
        <v/>
      </c>
      <c r="W65" s="65" t="inlineStr">
        <is>
          <t>ACEPTABLE</t>
        </is>
      </c>
      <c r="X65" s="80" t="inlineStr">
        <is>
          <t>-</t>
        </is>
      </c>
      <c r="Y65" s="80" t="inlineStr">
        <is>
          <t>-</t>
        </is>
      </c>
      <c r="Z65" s="80" t="inlineStr">
        <is>
          <t>-</t>
        </is>
      </c>
    </row>
    <row r="66" hidden="1" ht="22.5" customHeight="1" s="106">
      <c r="A66" s="56" t="inlineStr">
        <is>
          <t>74-GTI</t>
        </is>
      </c>
      <c r="B66" s="4" t="inlineStr">
        <is>
          <t>Consola AntiSpam</t>
        </is>
      </c>
      <c r="C66" s="4" t="inlineStr">
        <is>
          <t>Servidor prevencion correo no deseado  
192.168.23.6</t>
        </is>
      </c>
      <c r="D66" s="64" t="inlineStr">
        <is>
          <t>[HW] Equipamiento informático (hardware)</t>
        </is>
      </c>
      <c r="E66" s="34" t="inlineStr">
        <is>
          <t>[A.11] Acceso no autorizado</t>
        </is>
      </c>
      <c r="F66" s="34">
        <f>+VLOOKUP(E66,'CATALOGO AMENAZA'!$B$2:$D$46,3,FALSE)</f>
        <v/>
      </c>
      <c r="G66" s="34" t="inlineStr">
        <is>
          <t>X</t>
        </is>
      </c>
      <c r="H66" s="34" t="inlineStr">
        <is>
          <t>X</t>
        </is>
      </c>
      <c r="I66" s="34" t="n"/>
      <c r="J66" s="34" t="n">
        <v>3</v>
      </c>
      <c r="K66" s="34" t="n">
        <v>4</v>
      </c>
      <c r="L66" s="34">
        <f>+J66*K66</f>
        <v/>
      </c>
      <c r="M66" s="34">
        <f>+IF(L66&lt;5,"BAJO",IF(L66&lt;10,"MEDIO",IF(L66&lt;17,"ALTO","CRITICO")))</f>
        <v/>
      </c>
      <c r="N66" s="4" t="inlineStr">
        <is>
          <t>Control de accesos / VPN</t>
        </is>
      </c>
      <c r="O66" s="34" t="inlineStr">
        <is>
          <t>PREVENTIVO</t>
        </is>
      </c>
      <c r="P66" s="34" t="inlineStr">
        <is>
          <t>Control Implementado sin evidencia de efectividad (Inefectivo prueba)</t>
        </is>
      </c>
      <c r="Q66" s="52" t="n">
        <v>0.3</v>
      </c>
      <c r="R66" s="4" t="inlineStr">
        <is>
          <t>Contreaseñas de VPN no expiran</t>
        </is>
      </c>
      <c r="S66" s="53">
        <f>+IF(O66="PREVENTIVO",J66*(1-Q66),IF(O66="ADMINISTRACION",J66*(1-Q66),IF(O66="ELIMINACION",J66*(1-Q66),J66)))</f>
        <v/>
      </c>
      <c r="T66" s="53">
        <f>+IF(O66="DETECTIVO",K66*(1-Q66),IF(O66="RECUPERACION",K66*(1-Q66),K66))</f>
        <v/>
      </c>
      <c r="U66" s="54">
        <f>+S66*T66</f>
        <v/>
      </c>
      <c r="V66" s="65">
        <f>+IF(U66&lt;5,"BAJO",IF(U66&lt;10,"MEDIO",IF(U66&lt;17,"ALTO","CRITICO")))</f>
        <v/>
      </c>
      <c r="W66" s="87" t="inlineStr">
        <is>
          <t>MITIGAR</t>
        </is>
      </c>
      <c r="X66" s="80" t="inlineStr">
        <is>
          <t>-</t>
        </is>
      </c>
      <c r="Y66" s="80" t="inlineStr">
        <is>
          <t>-</t>
        </is>
      </c>
      <c r="Z66" s="80" t="inlineStr">
        <is>
          <t>-</t>
        </is>
      </c>
    </row>
    <row r="67" hidden="1" ht="30.6" customHeight="1" s="106">
      <c r="A67" s="56" t="inlineStr">
        <is>
          <t>74-GTI</t>
        </is>
      </c>
      <c r="B67" s="4" t="inlineStr">
        <is>
          <t>Consola AntiSpam</t>
        </is>
      </c>
      <c r="C67" s="4" t="inlineStr">
        <is>
          <t>Servidor prevencion correo no deseado  
192.168.23.6</t>
        </is>
      </c>
      <c r="D67" s="64" t="inlineStr">
        <is>
          <t>[HW] Equipamiento informático (hardware)</t>
        </is>
      </c>
      <c r="E67" s="34" t="inlineStr">
        <is>
          <t>[A.23] Manipulación de los equipos</t>
        </is>
      </c>
      <c r="F67" s="34">
        <f>+VLOOKUP(E67,'CATALOGO AMENAZA'!$B$2:$D$46,3,FALSE)</f>
        <v/>
      </c>
      <c r="G67" s="34" t="inlineStr">
        <is>
          <t>X</t>
        </is>
      </c>
      <c r="H67" s="34" t="n"/>
      <c r="I67" s="34" t="inlineStr">
        <is>
          <t>X</t>
        </is>
      </c>
      <c r="J67" s="34" t="n">
        <v>3</v>
      </c>
      <c r="K67" s="34" t="n">
        <v>3</v>
      </c>
      <c r="L67" s="34">
        <f>+J67*K67</f>
        <v/>
      </c>
      <c r="M67" s="34">
        <f>+IF(L67&lt;5,"BAJO",IF(L67&lt;10,"MEDIO",IF(L67&lt;17,"ALTO","CRITICO")))</f>
        <v/>
      </c>
      <c r="N67" s="4" t="inlineStr">
        <is>
          <t>Control de accesos</t>
        </is>
      </c>
      <c r="O67" s="34" t="inlineStr">
        <is>
          <t>PREVENTIVO</t>
        </is>
      </c>
      <c r="P67" s="34" t="inlineStr">
        <is>
          <t>Control Implementado sin evidencia de efectividad (Inefectivo prueba)</t>
        </is>
      </c>
      <c r="Q67" s="52" t="n">
        <v>0.3</v>
      </c>
      <c r="R67" s="4" t="inlineStr">
        <is>
          <t>Usuarios genéricos</t>
        </is>
      </c>
      <c r="S67" s="53">
        <f>+IF(O67="PREVENTIVO",J67*(1-Q67),IF(O67="ADMINISTRACION",J67*(1-Q67),IF(O67="ELIMINACION",J67*(1-Q67),J67)))</f>
        <v/>
      </c>
      <c r="T67" s="53">
        <f>+IF(O67="DETECTIVO",K67*(1-Q67),IF(O67="RECUPERACION",K67*(1-Q67),K67))</f>
        <v/>
      </c>
      <c r="U67" s="54">
        <f>+S67*T67</f>
        <v/>
      </c>
      <c r="V67" s="65">
        <f>+IF(U67&lt;5,"BAJO",IF(U67&lt;10,"MEDIO",IF(U67&lt;17,"ALTO","CRITICO")))</f>
        <v/>
      </c>
      <c r="W67" s="87" t="inlineStr">
        <is>
          <t>MITIGAR</t>
        </is>
      </c>
      <c r="X67" s="80" t="inlineStr">
        <is>
          <t>-</t>
        </is>
      </c>
      <c r="Y67" s="80" t="inlineStr">
        <is>
          <t>-</t>
        </is>
      </c>
      <c r="Z67" s="80" t="inlineStr">
        <is>
          <t>-</t>
        </is>
      </c>
    </row>
    <row r="68" hidden="1" ht="30.6" customHeight="1" s="106">
      <c r="A68" s="56" t="inlineStr">
        <is>
          <t>74-GTI</t>
        </is>
      </c>
      <c r="B68" s="4" t="inlineStr">
        <is>
          <t>Consola AntiSpam</t>
        </is>
      </c>
      <c r="C68" s="4" t="inlineStr">
        <is>
          <t>Servidor prevencion correo no deseado  
192.168.23.6</t>
        </is>
      </c>
      <c r="D68" s="64" t="inlineStr">
        <is>
          <t>[HW] Equipamiento informático (hardware)</t>
        </is>
      </c>
      <c r="E68" s="34" t="inlineStr">
        <is>
          <t>[A.6] Abuso de privilegios de acceso</t>
        </is>
      </c>
      <c r="F68" s="34">
        <f>+VLOOKUP(E68,'CATALOGO AMENAZA'!$B$2:$D$46,3,FALSE)</f>
        <v/>
      </c>
      <c r="G68" s="34" t="inlineStr">
        <is>
          <t>X</t>
        </is>
      </c>
      <c r="H68" s="34" t="inlineStr">
        <is>
          <t>X</t>
        </is>
      </c>
      <c r="I68" s="34" t="inlineStr">
        <is>
          <t>X</t>
        </is>
      </c>
      <c r="J68" s="34" t="n">
        <v>2</v>
      </c>
      <c r="K68" s="34" t="n">
        <v>3</v>
      </c>
      <c r="L68" s="34">
        <f>+J68*K68</f>
        <v/>
      </c>
      <c r="M68" s="34">
        <f>+IF(L68&lt;5,"BAJO",IF(L68&lt;10,"MEDIO",IF(L68&lt;17,"ALTO","CRITICO")))</f>
        <v/>
      </c>
      <c r="N68" s="4" t="inlineStr">
        <is>
          <t>Registro de logs (FortiAnalyzer)</t>
        </is>
      </c>
      <c r="O68" s="34" t="inlineStr">
        <is>
          <t>DETECTIVO</t>
        </is>
      </c>
      <c r="P68" s="34" t="inlineStr">
        <is>
          <t>Control Implementado sin evidencia de efectividad (Inefectivo prueba)</t>
        </is>
      </c>
      <c r="Q68" s="52" t="n">
        <v>0.3</v>
      </c>
      <c r="R68" s="4" t="inlineStr">
        <is>
          <t>Falta de revisión de perfiles de acceso</t>
        </is>
      </c>
      <c r="S68" s="53">
        <f>+IF(O68="PREVENTIVO",J68*(1-Q68),IF(O68="ADMINISTRACION",J68*(1-Q68),IF(O68="ELIMINACION",J68*(1-Q68),J68)))</f>
        <v/>
      </c>
      <c r="T68" s="53">
        <f>+IF(O68="DETECTIVO",K68*(1-Q68),IF(O68="RECUPERACION",K68*(1-Q68),K68))</f>
        <v/>
      </c>
      <c r="U68" s="54">
        <f>+S68*T68</f>
        <v/>
      </c>
      <c r="V68" s="65">
        <f>+IF(U68&lt;5,"BAJO",IF(U68&lt;10,"MEDIO",IF(U68&lt;17,"ALTO","CRITICO")))</f>
        <v/>
      </c>
      <c r="W68" s="65" t="inlineStr">
        <is>
          <t>ACEPTABLE</t>
        </is>
      </c>
      <c r="X68" s="80" t="inlineStr">
        <is>
          <t>-</t>
        </is>
      </c>
      <c r="Y68" s="80" t="inlineStr">
        <is>
          <t>-</t>
        </is>
      </c>
      <c r="Z68" s="80" t="inlineStr">
        <is>
          <t>-</t>
        </is>
      </c>
    </row>
    <row r="69" hidden="1" ht="30.6" customHeight="1" s="106">
      <c r="A69" s="56" t="inlineStr">
        <is>
          <t>74-GTI</t>
        </is>
      </c>
      <c r="B69" s="4" t="inlineStr">
        <is>
          <t>Consola AntiSpam</t>
        </is>
      </c>
      <c r="C69" s="4" t="inlineStr">
        <is>
          <t>Servidor prevencion correo no deseado  
192.168.23.6</t>
        </is>
      </c>
      <c r="D69" s="64" t="inlineStr">
        <is>
          <t>[HW] Equipamiento informático (hardware)</t>
        </is>
      </c>
      <c r="E69" s="34" t="inlineStr">
        <is>
          <t>[A.24] Denegación de servicio</t>
        </is>
      </c>
      <c r="F69" s="34">
        <f>+VLOOKUP(E69,'CATALOGO AMENAZA'!$B$2:$D$46,3,FALSE)</f>
        <v/>
      </c>
      <c r="G69" s="34" t="n"/>
      <c r="H69" s="34" t="n"/>
      <c r="I69" s="34" t="inlineStr">
        <is>
          <t>X</t>
        </is>
      </c>
      <c r="J69" s="34" t="n">
        <v>3</v>
      </c>
      <c r="K69" s="34" t="n">
        <v>4</v>
      </c>
      <c r="L69" s="34">
        <f>+J69*K69</f>
        <v/>
      </c>
      <c r="M69" s="34">
        <f>+IF(L69&lt;5,"BAJO",IF(L69&lt;10,"MEDIO",IF(L69&lt;17,"ALTO","CRITICO")))</f>
        <v/>
      </c>
      <c r="N69" s="4" t="inlineStr">
        <is>
          <t>Configuración segura de firewall</t>
        </is>
      </c>
      <c r="O69" s="34" t="inlineStr">
        <is>
          <t>PREVENTIVO</t>
        </is>
      </c>
      <c r="P69" s="34" t="inlineStr">
        <is>
          <t>Control Implementado sin evidencia de efectividad (Inefectivo prueba)</t>
        </is>
      </c>
      <c r="Q69" s="52" t="n">
        <v>0.3</v>
      </c>
      <c r="R69" s="34" t="inlineStr">
        <is>
          <t>Evidencia de validación de las configuraciones</t>
        </is>
      </c>
      <c r="S69" s="53">
        <f>+IF(O69="PREVENTIVO",J69*(1-Q69),IF(O69="ADMINISTRACION",J69*(1-Q69),IF(O69="ELIMINACION",J69*(1-Q69),J69)))</f>
        <v/>
      </c>
      <c r="T69" s="53">
        <f>+IF(O69="DETECTIVO",K69*(1-Q69),IF(O69="RECUPERACION",K69*(1-Q69),K69))</f>
        <v/>
      </c>
      <c r="U69" s="54">
        <f>+S69*T69</f>
        <v/>
      </c>
      <c r="V69" s="65">
        <f>+IF(U69&lt;5,"BAJO",IF(U69&lt;10,"MEDIO",IF(U69&lt;17,"ALTO","CRITICO")))</f>
        <v/>
      </c>
      <c r="W69" s="87" t="inlineStr">
        <is>
          <t>MITIGAR</t>
        </is>
      </c>
      <c r="X69" s="80" t="inlineStr">
        <is>
          <t>-</t>
        </is>
      </c>
      <c r="Y69" s="80" t="inlineStr">
        <is>
          <t>-</t>
        </is>
      </c>
      <c r="Z69" s="80" t="inlineStr">
        <is>
          <t>-</t>
        </is>
      </c>
    </row>
    <row r="70" hidden="1" ht="41.1" customHeight="1" s="106">
      <c r="A70" s="56" t="inlineStr">
        <is>
          <t>74-GTI</t>
        </is>
      </c>
      <c r="B70" s="4" t="inlineStr">
        <is>
          <t>Consola AntiSpam</t>
        </is>
      </c>
      <c r="C70" s="4" t="inlineStr">
        <is>
          <t>Servidor prevencion correo no deseado  
192.168.23.6</t>
        </is>
      </c>
      <c r="D70" s="64" t="inlineStr">
        <is>
          <t>[HW] Equipamiento informático (hardware)</t>
        </is>
      </c>
      <c r="E70" s="34" t="inlineStr">
        <is>
          <t>[E.2] Errores del administrador</t>
        </is>
      </c>
      <c r="F70" s="34">
        <f>+VLOOKUP(E70,'CATALOGO AMENAZA'!$B$2:$D$46,3,FALSE)</f>
        <v/>
      </c>
      <c r="G70" s="34" t="inlineStr">
        <is>
          <t>X</t>
        </is>
      </c>
      <c r="H70" s="34" t="inlineStr">
        <is>
          <t>X</t>
        </is>
      </c>
      <c r="I70" s="34" t="inlineStr">
        <is>
          <t>X</t>
        </is>
      </c>
      <c r="J70" s="34" t="n">
        <v>2</v>
      </c>
      <c r="K70" s="34" t="n">
        <v>4</v>
      </c>
      <c r="L70" s="34">
        <f>+J70*K70</f>
        <v/>
      </c>
      <c r="M70" s="34">
        <f>+IF(L70&lt;5,"BAJO",IF(L70&lt;10,"MEDIO",IF(L70&lt;17,"ALTO","CRITICO")))</f>
        <v/>
      </c>
      <c r="N70" s="4" t="inlineStr">
        <is>
          <t>Control de cambios en los sistemas
Verificación posterior (informe)</t>
        </is>
      </c>
      <c r="O70" s="34" t="inlineStr">
        <is>
          <t>ADMINISTRACION</t>
        </is>
      </c>
      <c r="P70" s="34" t="inlineStr">
        <is>
          <t>Control Implementado sin evidencia de efectividad (Inefectivo prueba)</t>
        </is>
      </c>
      <c r="Q70" s="52" t="n">
        <v>0.3</v>
      </c>
      <c r="R70" s="4" t="inlineStr">
        <is>
          <t>No existe procedimiento formal de gestión de cambios</t>
        </is>
      </c>
      <c r="S70" s="53">
        <f>+IF(O70="PREVENTIVO",J70*(1-Q70),IF(O70="ADMINISTRACION",J70*(1-Q70),IF(O70="ELIMINACION",J70*(1-Q70),J70)))</f>
        <v/>
      </c>
      <c r="T70" s="53">
        <f>+IF(O70="DETECTIVO",K70*(1-Q70),IF(O70="RECUPERACION",K70*(1-Q70),K70))</f>
        <v/>
      </c>
      <c r="U70" s="54">
        <f>+S70*T70</f>
        <v/>
      </c>
      <c r="V70" s="65">
        <f>+IF(U70&lt;5,"BAJO",IF(U70&lt;10,"MEDIO",IF(U70&lt;17,"ALTO","CRITICO")))</f>
        <v/>
      </c>
      <c r="W70" s="87" t="inlineStr">
        <is>
          <t>MITIGAR</t>
        </is>
      </c>
      <c r="X70" s="80" t="inlineStr">
        <is>
          <t>-</t>
        </is>
      </c>
      <c r="Y70" s="80" t="inlineStr">
        <is>
          <t>-</t>
        </is>
      </c>
      <c r="Z70" s="80" t="inlineStr">
        <is>
          <t>-</t>
        </is>
      </c>
    </row>
    <row r="71" hidden="1" ht="51" customHeight="1" s="106">
      <c r="A71" s="56" t="inlineStr">
        <is>
          <t>74-GTI</t>
        </is>
      </c>
      <c r="B71" s="4" t="inlineStr">
        <is>
          <t>Consola AntiSpam</t>
        </is>
      </c>
      <c r="C71" s="4" t="inlineStr">
        <is>
          <t>Servidor prevencion correo no deseado  
192.168.23.6</t>
        </is>
      </c>
      <c r="D71" s="64" t="inlineStr">
        <is>
          <t>[HW] Equipamiento informático (hardware)</t>
        </is>
      </c>
      <c r="E71" s="34" t="inlineStr">
        <is>
          <t>[E.24] Caída del sistema por agotamiento de recursos</t>
        </is>
      </c>
      <c r="F71" s="34">
        <f>+VLOOKUP(E71,'CATALOGO AMENAZA'!$B$2:$D$46,3,FALSE)</f>
        <v/>
      </c>
      <c r="G71" s="34" t="n"/>
      <c r="H71" s="34" t="n"/>
      <c r="I71" s="34" t="inlineStr">
        <is>
          <t>X</t>
        </is>
      </c>
      <c r="J71" s="34" t="n">
        <v>2</v>
      </c>
      <c r="K71" s="34" t="n">
        <v>3</v>
      </c>
      <c r="L71" s="34">
        <f>+J71*K71</f>
        <v/>
      </c>
      <c r="M71" s="34">
        <f>+IF(L71&lt;5,"BAJO",IF(L71&lt;10,"MEDIO",IF(L71&lt;17,"ALTO","CRITICO")))</f>
        <v/>
      </c>
      <c r="N71" s="34" t="inlineStr">
        <is>
          <t>Procedimiento de Gestión de la capacidad y desempeño de la Infraestructura</t>
        </is>
      </c>
      <c r="O71" s="54" t="inlineStr">
        <is>
          <t>PREVENTIVO</t>
        </is>
      </c>
      <c r="P71" s="34" t="inlineStr">
        <is>
          <t>Control Implementado sin evidencia de efectividad (Inefectivo prueba)</t>
        </is>
      </c>
      <c r="Q71" s="52" t="n">
        <v>0.3</v>
      </c>
      <c r="R71" s="34" t="inlineStr">
        <is>
          <t>Notificación automática de alertas</t>
        </is>
      </c>
      <c r="S71" s="53">
        <f>+IF(O71="PREVENTIVO",J71*(1-Q71),IF(O71="ADMINISTRACION",J71*(1-Q71),IF(O71="ELIMINACION",J71*(1-Q71),J71)))</f>
        <v/>
      </c>
      <c r="T71" s="53">
        <f>+IF(O71="DETECTIVO",K71*(1-Q71),IF(O71="RECUPERACION",K71*(1-Q71),K71))</f>
        <v/>
      </c>
      <c r="U71" s="54">
        <f>+S71*T71</f>
        <v/>
      </c>
      <c r="V71" s="65">
        <f>+IF(U71&lt;5,"BAJO",IF(U71&lt;10,"MEDIO",IF(U71&lt;17,"ALTO","CRITICO")))</f>
        <v/>
      </c>
      <c r="W71" s="65" t="inlineStr">
        <is>
          <t>ACEPTABLE</t>
        </is>
      </c>
      <c r="X71" s="80" t="inlineStr">
        <is>
          <t>-</t>
        </is>
      </c>
      <c r="Y71" s="80" t="inlineStr">
        <is>
          <t>-</t>
        </is>
      </c>
      <c r="Z71" s="80" t="inlineStr">
        <is>
          <t>-</t>
        </is>
      </c>
    </row>
    <row r="72" hidden="1" ht="22.5" customHeight="1" s="106">
      <c r="A72" s="56" t="inlineStr">
        <is>
          <t>75-GTI</t>
        </is>
      </c>
      <c r="B72" s="4" t="inlineStr">
        <is>
          <t>Consola Firewall</t>
        </is>
      </c>
      <c r="C72" s="4" t="inlineStr">
        <is>
          <t>Consola de administracion firewall
192.168.21.2</t>
        </is>
      </c>
      <c r="D72" s="64" t="inlineStr">
        <is>
          <t>[HW] Equipamiento informático (hardware)</t>
        </is>
      </c>
      <c r="E72" s="34" t="inlineStr">
        <is>
          <t>[A.11] Acceso no autorizado</t>
        </is>
      </c>
      <c r="F72" s="34">
        <f>+VLOOKUP(E72,'CATALOGO AMENAZA'!$B$2:$D$46,3,FALSE)</f>
        <v/>
      </c>
      <c r="G72" s="34" t="inlineStr">
        <is>
          <t>X</t>
        </is>
      </c>
      <c r="H72" s="34" t="inlineStr">
        <is>
          <t>X</t>
        </is>
      </c>
      <c r="I72" s="34" t="n"/>
      <c r="J72" s="34" t="n">
        <v>3</v>
      </c>
      <c r="K72" s="34" t="n">
        <v>4</v>
      </c>
      <c r="L72" s="34">
        <f>+J72*K72</f>
        <v/>
      </c>
      <c r="M72" s="34">
        <f>+IF(L72&lt;5,"BAJO",IF(L72&lt;10,"MEDIO",IF(L72&lt;17,"ALTO","CRITICO")))</f>
        <v/>
      </c>
      <c r="N72" s="4" t="inlineStr">
        <is>
          <t>Control de accesos / VPN</t>
        </is>
      </c>
      <c r="O72" s="34" t="inlineStr">
        <is>
          <t>PREVENTIVO</t>
        </is>
      </c>
      <c r="P72" s="34" t="inlineStr">
        <is>
          <t>Control Implementado sin evidencia de efectividad (Inefectivo prueba)</t>
        </is>
      </c>
      <c r="Q72" s="52" t="n">
        <v>0.3</v>
      </c>
      <c r="R72" s="4" t="inlineStr">
        <is>
          <t>Contreaseñas de VPN no expiran</t>
        </is>
      </c>
      <c r="S72" s="53">
        <f>+IF(O72="PREVENTIVO",J72*(1-Q72),IF(O72="ADMINISTRACION",J72*(1-Q72),IF(O72="ELIMINACION",J72*(1-Q72),J72)))</f>
        <v/>
      </c>
      <c r="T72" s="53">
        <f>+IF(O72="DETECTIVO",K72*(1-Q72),IF(O72="RECUPERACION",K72*(1-Q72),K72))</f>
        <v/>
      </c>
      <c r="U72" s="54">
        <f>+S72*T72</f>
        <v/>
      </c>
      <c r="V72" s="65">
        <f>+IF(U72&lt;5,"BAJO",IF(U72&lt;10,"MEDIO",IF(U72&lt;17,"ALTO","CRITICO")))</f>
        <v/>
      </c>
      <c r="W72" s="87" t="inlineStr">
        <is>
          <t>MITIGAR</t>
        </is>
      </c>
      <c r="X72" s="80" t="inlineStr">
        <is>
          <t>-</t>
        </is>
      </c>
      <c r="Y72" s="80" t="inlineStr">
        <is>
          <t>-</t>
        </is>
      </c>
      <c r="Z72" s="80" t="inlineStr">
        <is>
          <t>-</t>
        </is>
      </c>
    </row>
    <row r="73" hidden="1" ht="22.5" customHeight="1" s="106">
      <c r="A73" s="56" t="inlineStr">
        <is>
          <t>75-GTI</t>
        </is>
      </c>
      <c r="B73" s="4" t="inlineStr">
        <is>
          <t>Consola Firewall</t>
        </is>
      </c>
      <c r="C73" s="4" t="inlineStr">
        <is>
          <t>Consola de administracion firewall
192.168.21.2</t>
        </is>
      </c>
      <c r="D73" s="64" t="inlineStr">
        <is>
          <t>[HW] Equipamiento informático (hardware)</t>
        </is>
      </c>
      <c r="E73" s="34" t="inlineStr">
        <is>
          <t>[A.23] Manipulación de los equipos</t>
        </is>
      </c>
      <c r="F73" s="34">
        <f>+VLOOKUP(E73,'CATALOGO AMENAZA'!$B$2:$D$46,3,FALSE)</f>
        <v/>
      </c>
      <c r="G73" s="34" t="inlineStr">
        <is>
          <t>X</t>
        </is>
      </c>
      <c r="H73" s="34" t="n"/>
      <c r="I73" s="34" t="inlineStr">
        <is>
          <t>X</t>
        </is>
      </c>
      <c r="J73" s="34" t="n">
        <v>2</v>
      </c>
      <c r="K73" s="34" t="n">
        <v>4</v>
      </c>
      <c r="L73" s="34">
        <f>+J73*K73</f>
        <v/>
      </c>
      <c r="M73" s="34">
        <f>+IF(L73&lt;5,"BAJO",IF(L73&lt;10,"MEDIO",IF(L73&lt;17,"ALTO","CRITICO")))</f>
        <v/>
      </c>
      <c r="N73" s="4" t="inlineStr">
        <is>
          <t>Control de accesos</t>
        </is>
      </c>
      <c r="O73" s="34" t="inlineStr">
        <is>
          <t>PREVENTIVO</t>
        </is>
      </c>
      <c r="P73" s="34" t="inlineStr">
        <is>
          <t>Control Implementado sin evidencia de efectividad (Inefectivo prueba)</t>
        </is>
      </c>
      <c r="Q73" s="52" t="n">
        <v>0.3</v>
      </c>
      <c r="R73" s="4" t="inlineStr">
        <is>
          <t>Usuarios genéricos</t>
        </is>
      </c>
      <c r="S73" s="53">
        <f>+IF(O73="PREVENTIVO",J73*(1-Q73),IF(O73="ADMINISTRACION",J73*(1-Q73),IF(O73="ELIMINACION",J73*(1-Q73),J73)))</f>
        <v/>
      </c>
      <c r="T73" s="53">
        <f>+IF(O73="DETECTIVO",K73*(1-Q73),IF(O73="RECUPERACION",K73*(1-Q73),K73))</f>
        <v/>
      </c>
      <c r="U73" s="54">
        <f>+S73*T73</f>
        <v/>
      </c>
      <c r="V73" s="65">
        <f>+IF(U73&lt;5,"BAJO",IF(U73&lt;10,"MEDIO",IF(U73&lt;17,"ALTO","CRITICO")))</f>
        <v/>
      </c>
      <c r="W73" s="87" t="inlineStr">
        <is>
          <t>MITIGAR</t>
        </is>
      </c>
      <c r="X73" s="80" t="inlineStr">
        <is>
          <t>-</t>
        </is>
      </c>
      <c r="Y73" s="80" t="inlineStr">
        <is>
          <t>-</t>
        </is>
      </c>
      <c r="Z73" s="80" t="inlineStr">
        <is>
          <t>-</t>
        </is>
      </c>
    </row>
    <row r="74" hidden="1" ht="22.5" customHeight="1" s="106">
      <c r="A74" s="56" t="inlineStr">
        <is>
          <t>75-GTI</t>
        </is>
      </c>
      <c r="B74" s="4" t="inlineStr">
        <is>
          <t>Consola Firewall</t>
        </is>
      </c>
      <c r="C74" s="4" t="inlineStr">
        <is>
          <t>Consola de administracion firewall
192.168.21.2</t>
        </is>
      </c>
      <c r="D74" s="64" t="inlineStr">
        <is>
          <t>[HW] Equipamiento informático (hardware)</t>
        </is>
      </c>
      <c r="E74" s="34" t="inlineStr">
        <is>
          <t>[A.6] Abuso de privilegios de acceso</t>
        </is>
      </c>
      <c r="F74" s="34">
        <f>+VLOOKUP(E74,'CATALOGO AMENAZA'!$B$2:$D$46,3,FALSE)</f>
        <v/>
      </c>
      <c r="G74" s="34" t="inlineStr">
        <is>
          <t>X</t>
        </is>
      </c>
      <c r="H74" s="34" t="inlineStr">
        <is>
          <t>X</t>
        </is>
      </c>
      <c r="I74" s="34" t="inlineStr">
        <is>
          <t>X</t>
        </is>
      </c>
      <c r="J74" s="34" t="n">
        <v>2</v>
      </c>
      <c r="K74" s="34" t="n">
        <v>4</v>
      </c>
      <c r="L74" s="34">
        <f>+J74*K74</f>
        <v/>
      </c>
      <c r="M74" s="34">
        <f>+IF(L74&lt;5,"BAJO",IF(L74&lt;10,"MEDIO",IF(L74&lt;17,"ALTO","CRITICO")))</f>
        <v/>
      </c>
      <c r="N74" s="4" t="inlineStr">
        <is>
          <t>Registro de logs (FortiAnalyzer)</t>
        </is>
      </c>
      <c r="O74" s="34" t="inlineStr">
        <is>
          <t>DETECTIVO</t>
        </is>
      </c>
      <c r="P74" s="34" t="inlineStr">
        <is>
          <t>Control Implementado sin evidencia de efectividad (Inefectivo prueba)</t>
        </is>
      </c>
      <c r="Q74" s="52" t="n">
        <v>0.3</v>
      </c>
      <c r="R74" s="4" t="inlineStr">
        <is>
          <t>Falta de revisión de perfiles de acceso</t>
        </is>
      </c>
      <c r="S74" s="53">
        <f>+IF(O74="PREVENTIVO",J74*(1-Q74),IF(O74="ADMINISTRACION",J74*(1-Q74),IF(O74="ELIMINACION",J74*(1-Q74),J74)))</f>
        <v/>
      </c>
      <c r="T74" s="53">
        <f>+IF(O74="DETECTIVO",K74*(1-Q74),IF(O74="RECUPERACION",K74*(1-Q74),K74))</f>
        <v/>
      </c>
      <c r="U74" s="54">
        <f>+S74*T74</f>
        <v/>
      </c>
      <c r="V74" s="65">
        <f>+IF(U74&lt;5,"BAJO",IF(U74&lt;10,"MEDIO",IF(U74&lt;17,"ALTO","CRITICO")))</f>
        <v/>
      </c>
      <c r="W74" s="87" t="inlineStr">
        <is>
          <t>MITIGAR</t>
        </is>
      </c>
      <c r="X74" s="80" t="inlineStr">
        <is>
          <t>-</t>
        </is>
      </c>
      <c r="Y74" s="80" t="inlineStr">
        <is>
          <t>-</t>
        </is>
      </c>
      <c r="Z74" s="80" t="inlineStr">
        <is>
          <t>-</t>
        </is>
      </c>
    </row>
    <row r="75" ht="29.1" customHeight="1" s="106">
      <c r="A75" s="56" t="inlineStr">
        <is>
          <t>75-GTI</t>
        </is>
      </c>
      <c r="B75" s="4" t="inlineStr">
        <is>
          <t>Consola Firewall</t>
        </is>
      </c>
      <c r="C75" s="4" t="inlineStr">
        <is>
          <t>Consola de administracion firewall
192.168.21.2</t>
        </is>
      </c>
      <c r="D75" s="64" t="inlineStr">
        <is>
          <t>[HW] Equipamiento informático (hardware)</t>
        </is>
      </c>
      <c r="E75" s="34" t="inlineStr">
        <is>
          <t>[A.24] Denegación de servicio</t>
        </is>
      </c>
      <c r="F75" s="34">
        <f>+VLOOKUP(E75,'CATALOGO AMENAZA'!$B$2:$D$46,3,FALSE)</f>
        <v/>
      </c>
      <c r="G75" s="34" t="n"/>
      <c r="H75" s="34" t="n"/>
      <c r="I75" s="34" t="inlineStr">
        <is>
          <t>X</t>
        </is>
      </c>
      <c r="J75" s="34" t="n">
        <v>3</v>
      </c>
      <c r="K75" s="34" t="n">
        <v>5</v>
      </c>
      <c r="L75" s="34">
        <f>+J75*K75</f>
        <v/>
      </c>
      <c r="M75" s="34">
        <f>+IF(L75&lt;5,"BAJO",IF(L75&lt;10,"MEDIO",IF(L75&lt;17,"ALTO","CRITICO")))</f>
        <v/>
      </c>
      <c r="N75" s="4" t="inlineStr">
        <is>
          <t>Configuración segura de firewall</t>
        </is>
      </c>
      <c r="O75" s="34" t="inlineStr">
        <is>
          <t>PREVENTIVO</t>
        </is>
      </c>
      <c r="P75" s="34" t="inlineStr">
        <is>
          <t>Control Implementado sin evidencia de efectividad (Inefectivo prueba)</t>
        </is>
      </c>
      <c r="Q75" s="52" t="n">
        <v>0.3</v>
      </c>
      <c r="R75" s="34" t="inlineStr">
        <is>
          <t>Evidencia de validación de las configuraciones</t>
        </is>
      </c>
      <c r="S75" s="53">
        <f>+IF(O75="PREVENTIVO",J75*(1-Q75),IF(O75="ADMINISTRACION",J75*(1-Q75),IF(O75="ELIMINACION",J75*(1-Q75),J75)))</f>
        <v/>
      </c>
      <c r="T75" s="53">
        <f>+IF(O75="DETECTIVO",K75*(1-Q75),IF(O75="RECUPERACION",K75*(1-Q75),K75))</f>
        <v/>
      </c>
      <c r="U75" s="54">
        <f>+S75*T75</f>
        <v/>
      </c>
      <c r="V75" s="65">
        <f>+IF(U75&lt;5,"BAJO",IF(U75&lt;10,"MEDIO",IF(U75&lt;17,"ALTO","CRITICO")))</f>
        <v/>
      </c>
      <c r="W75" s="65" t="inlineStr">
        <is>
          <t>MITIGAR</t>
        </is>
      </c>
      <c r="X75" s="34" t="inlineStr">
        <is>
          <t>REQUIERE TRATAMIENTO</t>
        </is>
      </c>
      <c r="Y75" s="34" t="inlineStr">
        <is>
          <t>PA-SI-003</t>
        </is>
      </c>
      <c r="Z75" s="34" t="inlineStr">
        <is>
          <t>Determinar accesos restringidos para la consola administrativa</t>
        </is>
      </c>
    </row>
    <row r="76" hidden="1" ht="41.1" customHeight="1" s="106">
      <c r="A76" s="56" t="inlineStr">
        <is>
          <t>75-GTI</t>
        </is>
      </c>
      <c r="B76" s="4" t="inlineStr">
        <is>
          <t>Consola Firewall</t>
        </is>
      </c>
      <c r="C76" s="4" t="inlineStr">
        <is>
          <t>Consola de administracion firewall
192.168.21.2</t>
        </is>
      </c>
      <c r="D76" s="64" t="inlineStr">
        <is>
          <t>[HW] Equipamiento informático (hardware)</t>
        </is>
      </c>
      <c r="E76" s="34" t="inlineStr">
        <is>
          <t>[E.2] Errores del administrador</t>
        </is>
      </c>
      <c r="F76" s="34">
        <f>+VLOOKUP(E76,'CATALOGO AMENAZA'!$B$2:$D$46,3,FALSE)</f>
        <v/>
      </c>
      <c r="G76" s="34" t="inlineStr">
        <is>
          <t>X</t>
        </is>
      </c>
      <c r="H76" s="34" t="inlineStr">
        <is>
          <t>X</t>
        </is>
      </c>
      <c r="I76" s="34" t="inlineStr">
        <is>
          <t>X</t>
        </is>
      </c>
      <c r="J76" s="34" t="n">
        <v>2</v>
      </c>
      <c r="K76" s="34" t="n">
        <v>4</v>
      </c>
      <c r="L76" s="34">
        <f>+J76*K76</f>
        <v/>
      </c>
      <c r="M76" s="34">
        <f>+IF(L76&lt;5,"BAJO",IF(L76&lt;10,"MEDIO",IF(L76&lt;17,"ALTO","CRITICO")))</f>
        <v/>
      </c>
      <c r="N76" s="4" t="inlineStr">
        <is>
          <t>Control de cambios en los sistemas
Verificación posterior (informe)</t>
        </is>
      </c>
      <c r="O76" s="34" t="inlineStr">
        <is>
          <t>ADMINISTRACION</t>
        </is>
      </c>
      <c r="P76" s="34" t="inlineStr">
        <is>
          <t>Control Implementado sin evidencia de efectividad (Inefectivo prueba)</t>
        </is>
      </c>
      <c r="Q76" s="52" t="n">
        <v>0.3</v>
      </c>
      <c r="R76" s="4" t="inlineStr">
        <is>
          <t>No existe procedimiento formal de gestión de cambios</t>
        </is>
      </c>
      <c r="S76" s="53">
        <f>+IF(O76="PREVENTIVO",J76*(1-Q76),IF(O76="ADMINISTRACION",J76*(1-Q76),IF(O76="ELIMINACION",J76*(1-Q76),J76)))</f>
        <v/>
      </c>
      <c r="T76" s="53">
        <f>+IF(O76="DETECTIVO",K76*(1-Q76),IF(O76="RECUPERACION",K76*(1-Q76),K76))</f>
        <v/>
      </c>
      <c r="U76" s="54">
        <f>+S76*T76</f>
        <v/>
      </c>
      <c r="V76" s="65">
        <f>+IF(U76&lt;5,"BAJO",IF(U76&lt;10,"MEDIO",IF(U76&lt;17,"ALTO","CRITICO")))</f>
        <v/>
      </c>
      <c r="W76" s="87" t="inlineStr">
        <is>
          <t>MITIGAR</t>
        </is>
      </c>
      <c r="X76" s="80" t="inlineStr">
        <is>
          <t>-</t>
        </is>
      </c>
      <c r="Y76" s="80" t="inlineStr">
        <is>
          <t>-</t>
        </is>
      </c>
      <c r="Z76" s="80" t="inlineStr">
        <is>
          <t>-</t>
        </is>
      </c>
    </row>
    <row r="77" hidden="1" ht="51" customHeight="1" s="106">
      <c r="A77" s="56" t="inlineStr">
        <is>
          <t>75-GTI</t>
        </is>
      </c>
      <c r="B77" s="4" t="inlineStr">
        <is>
          <t>Consola Firewall</t>
        </is>
      </c>
      <c r="C77" s="4" t="inlineStr">
        <is>
          <t>Consola de administracion firewall
192.168.21.2</t>
        </is>
      </c>
      <c r="D77" s="64" t="inlineStr">
        <is>
          <t>[HW] Equipamiento informático (hardware)</t>
        </is>
      </c>
      <c r="E77" s="34" t="inlineStr">
        <is>
          <t>[E.24] Caída del sistema por agotamiento de recursos</t>
        </is>
      </c>
      <c r="F77" s="34">
        <f>+VLOOKUP(E77,'CATALOGO AMENAZA'!$B$2:$D$46,3,FALSE)</f>
        <v/>
      </c>
      <c r="G77" s="34" t="n"/>
      <c r="H77" s="34" t="n"/>
      <c r="I77" s="34" t="inlineStr">
        <is>
          <t>X</t>
        </is>
      </c>
      <c r="J77" s="34" t="n">
        <v>2</v>
      </c>
      <c r="K77" s="34" t="n">
        <v>3</v>
      </c>
      <c r="L77" s="34">
        <f>+J77*K77</f>
        <v/>
      </c>
      <c r="M77" s="34">
        <f>+IF(L77&lt;5,"BAJO",IF(L77&lt;10,"MEDIO",IF(L77&lt;17,"ALTO","CRITICO")))</f>
        <v/>
      </c>
      <c r="N77" s="34" t="inlineStr">
        <is>
          <t>Procedimiento de Gestión de la capacidad y desempeño de la Infraestructura</t>
        </is>
      </c>
      <c r="O77" s="54" t="inlineStr">
        <is>
          <t>PREVENTIVO</t>
        </is>
      </c>
      <c r="P77" s="34" t="inlineStr">
        <is>
          <t>Control Implementado sin evidencia de efectividad (Inefectivo prueba)</t>
        </is>
      </c>
      <c r="Q77" s="52" t="n">
        <v>0.3</v>
      </c>
      <c r="R77" s="34" t="inlineStr">
        <is>
          <t>Notificación automática de alertas</t>
        </is>
      </c>
      <c r="S77" s="53">
        <f>+IF(O77="PREVENTIVO",J77*(1-Q77),IF(O77="ADMINISTRACION",J77*(1-Q77),IF(O77="ELIMINACION",J77*(1-Q77),J77)))</f>
        <v/>
      </c>
      <c r="T77" s="53">
        <f>+IF(O77="DETECTIVO",K77*(1-Q77),IF(O77="RECUPERACION",K77*(1-Q77),K77))</f>
        <v/>
      </c>
      <c r="U77" s="54">
        <f>+S77*T77</f>
        <v/>
      </c>
      <c r="V77" s="65">
        <f>+IF(U77&lt;5,"BAJO",IF(U77&lt;10,"MEDIO",IF(U77&lt;17,"ALTO","CRITICO")))</f>
        <v/>
      </c>
      <c r="W77" s="65" t="inlineStr">
        <is>
          <t>ACEPTABLE</t>
        </is>
      </c>
      <c r="X77" s="80" t="inlineStr">
        <is>
          <t>-</t>
        </is>
      </c>
      <c r="Y77" s="80" t="inlineStr">
        <is>
          <t>-</t>
        </is>
      </c>
      <c r="Z77" s="80" t="inlineStr">
        <is>
          <t>-</t>
        </is>
      </c>
    </row>
    <row r="78" hidden="1" ht="22.5" customHeight="1" s="106">
      <c r="A78" s="56" t="inlineStr">
        <is>
          <t>77-GTI</t>
        </is>
      </c>
      <c r="B78" s="4" t="inlineStr">
        <is>
          <t>Consola FortiAnalizer</t>
        </is>
      </c>
      <c r="C78" s="4" t="inlineStr">
        <is>
          <t>Analizador de logs
192.168.100.232</t>
        </is>
      </c>
      <c r="D78" s="64" t="inlineStr">
        <is>
          <t>[HW] Equipamiento informático (hardware)</t>
        </is>
      </c>
      <c r="E78" s="34" t="inlineStr">
        <is>
          <t>[A.11] Acceso no autorizado</t>
        </is>
      </c>
      <c r="F78" s="34">
        <f>+VLOOKUP(E78,'CATALOGO AMENAZA'!$B$2:$D$46,3,FALSE)</f>
        <v/>
      </c>
      <c r="G78" s="34" t="inlineStr">
        <is>
          <t>X</t>
        </is>
      </c>
      <c r="H78" s="34" t="inlineStr">
        <is>
          <t>X</t>
        </is>
      </c>
      <c r="I78" s="34" t="n"/>
      <c r="J78" s="34" t="n">
        <v>2</v>
      </c>
      <c r="K78" s="34" t="n">
        <v>3</v>
      </c>
      <c r="L78" s="34">
        <f>+J78*K78</f>
        <v/>
      </c>
      <c r="M78" s="34">
        <f>+IF(L78&lt;5,"BAJO",IF(L78&lt;10,"MEDIO",IF(L78&lt;17,"ALTO","CRITICO")))</f>
        <v/>
      </c>
      <c r="N78" s="4" t="inlineStr">
        <is>
          <t>Control de accesos / VPN</t>
        </is>
      </c>
      <c r="O78" s="34" t="inlineStr">
        <is>
          <t>PREVENTIVO</t>
        </is>
      </c>
      <c r="P78" s="34" t="inlineStr">
        <is>
          <t>Control Implementado sin evidencia de efectividad (Inefectivo prueba)</t>
        </is>
      </c>
      <c r="Q78" s="52" t="n">
        <v>0.3</v>
      </c>
      <c r="R78" s="4" t="inlineStr">
        <is>
          <t>Contreaseñas de VPN no expiran</t>
        </is>
      </c>
      <c r="S78" s="53">
        <f>+IF(O78="PREVENTIVO",J78*(1-Q78),IF(O78="ADMINISTRACION",J78*(1-Q78),IF(O78="ELIMINACION",J78*(1-Q78),J78)))</f>
        <v/>
      </c>
      <c r="T78" s="53">
        <f>+IF(O78="DETECTIVO",K78*(1-Q78),IF(O78="RECUPERACION",K78*(1-Q78),K78))</f>
        <v/>
      </c>
      <c r="U78" s="54">
        <f>+S78*T78</f>
        <v/>
      </c>
      <c r="V78" s="65">
        <f>+IF(U78&lt;5,"BAJO",IF(U78&lt;10,"MEDIO",IF(U78&lt;17,"ALTO","CRITICO")))</f>
        <v/>
      </c>
      <c r="W78" s="65" t="inlineStr">
        <is>
          <t>ACEPTABLE</t>
        </is>
      </c>
      <c r="X78" s="80" t="inlineStr">
        <is>
          <t>-</t>
        </is>
      </c>
      <c r="Y78" s="80" t="inlineStr">
        <is>
          <t>-</t>
        </is>
      </c>
      <c r="Z78" s="80" t="inlineStr">
        <is>
          <t>-</t>
        </is>
      </c>
    </row>
    <row r="79" hidden="1" ht="22.5" customHeight="1" s="106">
      <c r="A79" s="56" t="inlineStr">
        <is>
          <t>77-GTI</t>
        </is>
      </c>
      <c r="B79" s="4" t="inlineStr">
        <is>
          <t>Consola FortiAnalizer</t>
        </is>
      </c>
      <c r="C79" s="4" t="inlineStr">
        <is>
          <t>Analizador de logs
192.168.100.232</t>
        </is>
      </c>
      <c r="D79" s="64" t="inlineStr">
        <is>
          <t>[HW] Equipamiento informático (hardware)</t>
        </is>
      </c>
      <c r="E79" s="34" t="inlineStr">
        <is>
          <t>[A.23] Manipulación de los equipos</t>
        </is>
      </c>
      <c r="F79" s="34">
        <f>+VLOOKUP(E79,'CATALOGO AMENAZA'!$B$2:$D$46,3,FALSE)</f>
        <v/>
      </c>
      <c r="G79" s="34" t="inlineStr">
        <is>
          <t>X</t>
        </is>
      </c>
      <c r="H79" s="34" t="n"/>
      <c r="I79" s="34" t="inlineStr">
        <is>
          <t>X</t>
        </is>
      </c>
      <c r="J79" s="34" t="n">
        <v>2</v>
      </c>
      <c r="K79" s="34" t="n">
        <v>3</v>
      </c>
      <c r="L79" s="34">
        <f>+J79*K79</f>
        <v/>
      </c>
      <c r="M79" s="34">
        <f>+IF(L79&lt;5,"BAJO",IF(L79&lt;10,"MEDIO",IF(L79&lt;17,"ALTO","CRITICO")))</f>
        <v/>
      </c>
      <c r="N79" s="4" t="inlineStr">
        <is>
          <t>Control de accesos</t>
        </is>
      </c>
      <c r="O79" s="34" t="inlineStr">
        <is>
          <t>PREVENTIVO</t>
        </is>
      </c>
      <c r="P79" s="34" t="inlineStr">
        <is>
          <t>Control Implementado sin evidencia de efectividad (Inefectivo prueba)</t>
        </is>
      </c>
      <c r="Q79" s="52" t="n">
        <v>0.3</v>
      </c>
      <c r="R79" s="4" t="inlineStr">
        <is>
          <t>Usuarios genéricos</t>
        </is>
      </c>
      <c r="S79" s="53">
        <f>+IF(O79="PREVENTIVO",J79*(1-Q79),IF(O79="ADMINISTRACION",J79*(1-Q79),IF(O79="ELIMINACION",J79*(1-Q79),J79)))</f>
        <v/>
      </c>
      <c r="T79" s="53">
        <f>+IF(O79="DETECTIVO",K79*(1-Q79),IF(O79="RECUPERACION",K79*(1-Q79),K79))</f>
        <v/>
      </c>
      <c r="U79" s="54">
        <f>+S79*T79</f>
        <v/>
      </c>
      <c r="V79" s="65">
        <f>+IF(U79&lt;5,"BAJO",IF(U79&lt;10,"MEDIO",IF(U79&lt;17,"ALTO","CRITICO")))</f>
        <v/>
      </c>
      <c r="W79" s="65" t="inlineStr">
        <is>
          <t>ACEPTABLE</t>
        </is>
      </c>
      <c r="X79" s="80" t="inlineStr">
        <is>
          <t>-</t>
        </is>
      </c>
      <c r="Y79" s="80" t="inlineStr">
        <is>
          <t>-</t>
        </is>
      </c>
      <c r="Z79" s="80" t="inlineStr">
        <is>
          <t>-</t>
        </is>
      </c>
    </row>
    <row r="80" hidden="1" ht="22.5" customHeight="1" s="106">
      <c r="A80" s="56" t="inlineStr">
        <is>
          <t>77-GTI</t>
        </is>
      </c>
      <c r="B80" s="4" t="inlineStr">
        <is>
          <t>Consola FortiAnalizer</t>
        </is>
      </c>
      <c r="C80" s="4" t="inlineStr">
        <is>
          <t>Analizador de logs
192.168.100.232</t>
        </is>
      </c>
      <c r="D80" s="64" t="inlineStr">
        <is>
          <t>[HW] Equipamiento informático (hardware)</t>
        </is>
      </c>
      <c r="E80" s="34" t="inlineStr">
        <is>
          <t>[A.6] Abuso de privilegios de acceso</t>
        </is>
      </c>
      <c r="F80" s="34">
        <f>+VLOOKUP(E80,'CATALOGO AMENAZA'!$B$2:$D$46,3,FALSE)</f>
        <v/>
      </c>
      <c r="G80" s="34" t="inlineStr">
        <is>
          <t>X</t>
        </is>
      </c>
      <c r="H80" s="34" t="inlineStr">
        <is>
          <t>X</t>
        </is>
      </c>
      <c r="I80" s="34" t="inlineStr">
        <is>
          <t>X</t>
        </is>
      </c>
      <c r="J80" s="34" t="n">
        <v>2</v>
      </c>
      <c r="K80" s="34" t="n">
        <v>3</v>
      </c>
      <c r="L80" s="34">
        <f>+J80*K80</f>
        <v/>
      </c>
      <c r="M80" s="34">
        <f>+IF(L80&lt;5,"BAJO",IF(L80&lt;10,"MEDIO",IF(L80&lt;17,"ALTO","CRITICO")))</f>
        <v/>
      </c>
      <c r="N80" s="4" t="inlineStr">
        <is>
          <t>Registro de logs (FortiAnalyzer)</t>
        </is>
      </c>
      <c r="O80" s="34" t="inlineStr">
        <is>
          <t>DETECTIVO</t>
        </is>
      </c>
      <c r="P80" s="34" t="inlineStr">
        <is>
          <t>Control Implementado sin evidencia de efectividad (Inefectivo prueba)</t>
        </is>
      </c>
      <c r="Q80" s="52" t="n">
        <v>0.3</v>
      </c>
      <c r="R80" s="4" t="inlineStr">
        <is>
          <t>Falta de revisión de perfiles de acceso</t>
        </is>
      </c>
      <c r="S80" s="53">
        <f>+IF(O80="PREVENTIVO",J80*(1-Q80),IF(O80="ADMINISTRACION",J80*(1-Q80),IF(O80="ELIMINACION",J80*(1-Q80),J80)))</f>
        <v/>
      </c>
      <c r="T80" s="53">
        <f>+IF(O80="DETECTIVO",K80*(1-Q80),IF(O80="RECUPERACION",K80*(1-Q80),K80))</f>
        <v/>
      </c>
      <c r="U80" s="54">
        <f>+S80*T80</f>
        <v/>
      </c>
      <c r="V80" s="65">
        <f>+IF(U80&lt;5,"BAJO",IF(U80&lt;10,"MEDIO",IF(U80&lt;17,"ALTO","CRITICO")))</f>
        <v/>
      </c>
      <c r="W80" s="65" t="inlineStr">
        <is>
          <t>ACEPTABLE</t>
        </is>
      </c>
      <c r="X80" s="80" t="inlineStr">
        <is>
          <t>-</t>
        </is>
      </c>
      <c r="Y80" s="80" t="inlineStr">
        <is>
          <t>-</t>
        </is>
      </c>
      <c r="Z80" s="80" t="inlineStr">
        <is>
          <t>-</t>
        </is>
      </c>
    </row>
    <row r="81" hidden="1" ht="22.5" customHeight="1" s="106">
      <c r="A81" s="56" t="inlineStr">
        <is>
          <t>77-GTI</t>
        </is>
      </c>
      <c r="B81" s="4" t="inlineStr">
        <is>
          <t>Consola FortiAnalizer</t>
        </is>
      </c>
      <c r="C81" s="4" t="inlineStr">
        <is>
          <t>Analizador de logs
192.168.100.232</t>
        </is>
      </c>
      <c r="D81" s="64" t="inlineStr">
        <is>
          <t>[HW] Equipamiento informático (hardware)</t>
        </is>
      </c>
      <c r="E81" s="34" t="inlineStr">
        <is>
          <t>[A.24] Denegación de servicio</t>
        </is>
      </c>
      <c r="F81" s="34">
        <f>+VLOOKUP(E81,'CATALOGO AMENAZA'!$B$2:$D$46,3,FALSE)</f>
        <v/>
      </c>
      <c r="G81" s="34" t="n"/>
      <c r="H81" s="34" t="n"/>
      <c r="I81" s="34" t="inlineStr">
        <is>
          <t>X</t>
        </is>
      </c>
      <c r="J81" s="34" t="n">
        <v>3</v>
      </c>
      <c r="K81" s="34" t="n">
        <v>3</v>
      </c>
      <c r="L81" s="34">
        <f>+J81*K81</f>
        <v/>
      </c>
      <c r="M81" s="34">
        <f>+IF(L81&lt;5,"BAJO",IF(L81&lt;10,"MEDIO",IF(L81&lt;17,"ALTO","CRITICO")))</f>
        <v/>
      </c>
      <c r="N81" s="4" t="inlineStr">
        <is>
          <t>Configuración segura de firewall</t>
        </is>
      </c>
      <c r="O81" s="34" t="inlineStr">
        <is>
          <t>PREVENTIVO</t>
        </is>
      </c>
      <c r="P81" s="34" t="inlineStr">
        <is>
          <t>Control Implementado sin evidencia de efectividad (Inefectivo prueba)</t>
        </is>
      </c>
      <c r="Q81" s="52" t="n">
        <v>0.3</v>
      </c>
      <c r="R81" s="34" t="inlineStr">
        <is>
          <t>Evidencia de validación de las configuraciones</t>
        </is>
      </c>
      <c r="S81" s="53">
        <f>+IF(O81="PREVENTIVO",J81*(1-Q81),IF(O81="ADMINISTRACION",J81*(1-Q81),IF(O81="ELIMINACION",J81*(1-Q81),J81)))</f>
        <v/>
      </c>
      <c r="T81" s="53">
        <f>+IF(O81="DETECTIVO",K81*(1-Q81),IF(O81="RECUPERACION",K81*(1-Q81),K81))</f>
        <v/>
      </c>
      <c r="U81" s="54">
        <f>+S81*T81</f>
        <v/>
      </c>
      <c r="V81" s="65">
        <f>+IF(U81&lt;5,"BAJO",IF(U81&lt;10,"MEDIO",IF(U81&lt;17,"ALTO","CRITICO")))</f>
        <v/>
      </c>
      <c r="W81" s="87" t="inlineStr">
        <is>
          <t>MITIGAR</t>
        </is>
      </c>
      <c r="X81" s="80" t="inlineStr">
        <is>
          <t>-</t>
        </is>
      </c>
      <c r="Y81" s="80" t="inlineStr">
        <is>
          <t>-</t>
        </is>
      </c>
      <c r="Z81" s="80" t="inlineStr">
        <is>
          <t>-</t>
        </is>
      </c>
    </row>
    <row r="82" hidden="1" ht="41.1" customHeight="1" s="106">
      <c r="A82" s="56" t="inlineStr">
        <is>
          <t>77-GTI</t>
        </is>
      </c>
      <c r="B82" s="4" t="inlineStr">
        <is>
          <t>Consola FortiAnalizer</t>
        </is>
      </c>
      <c r="C82" s="4" t="inlineStr">
        <is>
          <t>Analizador de logs
192.168.100.232</t>
        </is>
      </c>
      <c r="D82" s="64" t="inlineStr">
        <is>
          <t>[HW] Equipamiento informático (hardware)</t>
        </is>
      </c>
      <c r="E82" s="34" t="inlineStr">
        <is>
          <t>[E.2] Errores del administrador</t>
        </is>
      </c>
      <c r="F82" s="34">
        <f>+VLOOKUP(E82,'CATALOGO AMENAZA'!$B$2:$D$46,3,FALSE)</f>
        <v/>
      </c>
      <c r="G82" s="34" t="inlineStr">
        <is>
          <t>X</t>
        </is>
      </c>
      <c r="H82" s="34" t="inlineStr">
        <is>
          <t>X</t>
        </is>
      </c>
      <c r="I82" s="34" t="inlineStr">
        <is>
          <t>X</t>
        </is>
      </c>
      <c r="J82" s="34" t="n">
        <v>2</v>
      </c>
      <c r="K82" s="34" t="n">
        <v>3</v>
      </c>
      <c r="L82" s="34">
        <f>+J82*K82</f>
        <v/>
      </c>
      <c r="M82" s="34">
        <f>+IF(L82&lt;5,"BAJO",IF(L82&lt;10,"MEDIO",IF(L82&lt;17,"ALTO","CRITICO")))</f>
        <v/>
      </c>
      <c r="N82" s="4" t="inlineStr">
        <is>
          <t>Control de cambios en los sistemas
Verificación posterior (informe)</t>
        </is>
      </c>
      <c r="O82" s="34" t="inlineStr">
        <is>
          <t>ADMINISTRACION</t>
        </is>
      </c>
      <c r="P82" s="34" t="inlineStr">
        <is>
          <t>Control Implementado sin evidencia de efectividad (Inefectivo prueba)</t>
        </is>
      </c>
      <c r="Q82" s="52" t="n">
        <v>0.3</v>
      </c>
      <c r="R82" s="4" t="inlineStr">
        <is>
          <t>No existe procedimiento formal de gestión de cambios</t>
        </is>
      </c>
      <c r="S82" s="53">
        <f>+IF(O82="PREVENTIVO",J82*(1-Q82),IF(O82="ADMINISTRACION",J82*(1-Q82),IF(O82="ELIMINACION",J82*(1-Q82),J82)))</f>
        <v/>
      </c>
      <c r="T82" s="53">
        <f>+IF(O82="DETECTIVO",K82*(1-Q82),IF(O82="RECUPERACION",K82*(1-Q82),K82))</f>
        <v/>
      </c>
      <c r="U82" s="54">
        <f>+S82*T82</f>
        <v/>
      </c>
      <c r="V82" s="65">
        <f>+IF(U82&lt;5,"BAJO",IF(U82&lt;10,"MEDIO",IF(U82&lt;17,"ALTO","CRITICO")))</f>
        <v/>
      </c>
      <c r="W82" s="65" t="inlineStr">
        <is>
          <t>ACEPTABLE</t>
        </is>
      </c>
      <c r="X82" s="80" t="inlineStr">
        <is>
          <t>-</t>
        </is>
      </c>
      <c r="Y82" s="80" t="inlineStr">
        <is>
          <t>-</t>
        </is>
      </c>
      <c r="Z82" s="80" t="inlineStr">
        <is>
          <t>-</t>
        </is>
      </c>
    </row>
    <row r="83" hidden="1" ht="39.6" customHeight="1" s="106">
      <c r="A83" s="56" t="inlineStr">
        <is>
          <t>77-GTI</t>
        </is>
      </c>
      <c r="B83" s="4" t="inlineStr">
        <is>
          <t>Consola FortiAnalizer</t>
        </is>
      </c>
      <c r="C83" s="4" t="inlineStr">
        <is>
          <t>Analizador de logs
192.168.100.232</t>
        </is>
      </c>
      <c r="D83" s="64" t="inlineStr">
        <is>
          <t>[HW] Equipamiento informático (hardware)</t>
        </is>
      </c>
      <c r="E83" s="34" t="inlineStr">
        <is>
          <t>[E.24] Caída del sistema por agotamiento de recursos</t>
        </is>
      </c>
      <c r="F83" s="34">
        <f>+VLOOKUP(E83,'CATALOGO AMENAZA'!$B$2:$D$46,3,FALSE)</f>
        <v/>
      </c>
      <c r="G83" s="34" t="n"/>
      <c r="H83" s="34" t="n"/>
      <c r="I83" s="34" t="inlineStr">
        <is>
          <t>X</t>
        </is>
      </c>
      <c r="J83" s="34" t="n">
        <v>3</v>
      </c>
      <c r="K83" s="34" t="n">
        <v>3</v>
      </c>
      <c r="L83" s="34">
        <f>+J83*K83</f>
        <v/>
      </c>
      <c r="M83" s="34">
        <f>+IF(L83&lt;5,"BAJO",IF(L83&lt;10,"MEDIO",IF(L83&lt;17,"ALTO","CRITICO")))</f>
        <v/>
      </c>
      <c r="N83" s="34" t="inlineStr">
        <is>
          <t>Procedimiento de Gestión de la capacidad y desempeño de la Infraestructura</t>
        </is>
      </c>
      <c r="O83" s="54" t="inlineStr">
        <is>
          <t>PREVENTIVO</t>
        </is>
      </c>
      <c r="P83" s="34" t="inlineStr">
        <is>
          <t>Control Implementado sin evidencia de efectividad (Inefectivo prueba)</t>
        </is>
      </c>
      <c r="Q83" s="52" t="n">
        <v>0.3</v>
      </c>
      <c r="R83" s="34" t="inlineStr">
        <is>
          <t>Notificación automática de alertas</t>
        </is>
      </c>
      <c r="S83" s="53">
        <f>+IF(O83="PREVENTIVO",J83*(1-Q83),IF(O83="ADMINISTRACION",J83*(1-Q83),IF(O83="ELIMINACION",J83*(1-Q83),J83)))</f>
        <v/>
      </c>
      <c r="T83" s="53">
        <f>+IF(O83="DETECTIVO",K83*(1-Q83),IF(O83="RECUPERACION",K83*(1-Q83),K83))</f>
        <v/>
      </c>
      <c r="U83" s="54">
        <f>+S83*T83</f>
        <v/>
      </c>
      <c r="V83" s="65">
        <f>+IF(U83&lt;5,"BAJO",IF(U83&lt;10,"MEDIO",IF(U83&lt;17,"ALTO","CRITICO")))</f>
        <v/>
      </c>
      <c r="W83" s="87" t="inlineStr">
        <is>
          <t>MITIGAR</t>
        </is>
      </c>
      <c r="X83" s="80" t="inlineStr">
        <is>
          <t>-</t>
        </is>
      </c>
      <c r="Y83" s="80" t="inlineStr">
        <is>
          <t>-</t>
        </is>
      </c>
      <c r="Z83" s="80" t="inlineStr">
        <is>
          <t>-</t>
        </is>
      </c>
    </row>
    <row r="84" hidden="1" ht="39.6" customHeight="1" s="106">
      <c r="A84" s="57" t="inlineStr">
        <is>
          <t>78-GTI</t>
        </is>
      </c>
      <c r="B84" s="17" t="inlineStr">
        <is>
          <t>FortiGate</t>
        </is>
      </c>
      <c r="C84" s="17" t="inlineStr">
        <is>
          <t>Consola de administracion  
192.168.100.238</t>
        </is>
      </c>
      <c r="D84" s="64" t="inlineStr">
        <is>
          <t>[HW] Equipamiento informático (hardware)</t>
        </is>
      </c>
      <c r="E84" s="34" t="inlineStr">
        <is>
          <t>[A.11] Acceso no autorizado</t>
        </is>
      </c>
      <c r="F84" s="34">
        <f>+VLOOKUP(E84,'CATALOGO AMENAZA'!$B$2:$D$46,3,FALSE)</f>
        <v/>
      </c>
      <c r="G84" s="34" t="inlineStr">
        <is>
          <t>X</t>
        </is>
      </c>
      <c r="H84" s="34" t="inlineStr">
        <is>
          <t>X</t>
        </is>
      </c>
      <c r="I84" s="34" t="n"/>
      <c r="J84" s="34" t="n">
        <v>3</v>
      </c>
      <c r="K84" s="34" t="n">
        <v>4</v>
      </c>
      <c r="L84" s="34">
        <f>+J84*K84</f>
        <v/>
      </c>
      <c r="M84" s="34">
        <f>+IF(L84&lt;5,"BAJO",IF(L84&lt;10,"MEDIO",IF(L84&lt;17,"ALTO","CRITICO")))</f>
        <v/>
      </c>
      <c r="N84" s="4" t="inlineStr">
        <is>
          <t>Control de accesos / VPN</t>
        </is>
      </c>
      <c r="O84" s="34" t="inlineStr">
        <is>
          <t>PREVENTIVO</t>
        </is>
      </c>
      <c r="P84" s="34" t="inlineStr">
        <is>
          <t>Control Implementado sin evidencia de efectividad (Inefectivo prueba)</t>
        </is>
      </c>
      <c r="Q84" s="52" t="n">
        <v>0.3</v>
      </c>
      <c r="R84" s="4" t="inlineStr">
        <is>
          <t>Contreaseñas de VPN no expiran</t>
        </is>
      </c>
      <c r="S84" s="53">
        <f>+IF(O84="PREVENTIVO",J84*(1-Q84),IF(O84="ADMINISTRACION",J84*(1-Q84),IF(O84="ELIMINACION",J84*(1-Q84),J84)))</f>
        <v/>
      </c>
      <c r="T84" s="53">
        <f>+IF(O84="DETECTIVO",K84*(1-Q84),IF(O84="RECUPERACION",K84*(1-Q84),K84))</f>
        <v/>
      </c>
      <c r="U84" s="54">
        <f>+S84*T84</f>
        <v/>
      </c>
      <c r="V84" s="65">
        <f>+IF(U84&lt;5,"BAJO",IF(U84&lt;10,"MEDIO",IF(U84&lt;17,"ALTO","CRITICO")))</f>
        <v/>
      </c>
      <c r="W84" s="87" t="inlineStr">
        <is>
          <t>MITIGAR</t>
        </is>
      </c>
      <c r="X84" s="80" t="inlineStr">
        <is>
          <t>-</t>
        </is>
      </c>
      <c r="Y84" s="80" t="inlineStr">
        <is>
          <t>-</t>
        </is>
      </c>
      <c r="Z84" s="80" t="inlineStr">
        <is>
          <t>-</t>
        </is>
      </c>
    </row>
    <row r="85" hidden="1" ht="39.6" customHeight="1" s="106">
      <c r="A85" s="57" t="inlineStr">
        <is>
          <t>78-GTI</t>
        </is>
      </c>
      <c r="B85" s="17" t="inlineStr">
        <is>
          <t>FortiGate</t>
        </is>
      </c>
      <c r="C85" s="17" t="inlineStr">
        <is>
          <t>Consola de administracion  
192.168.100.238</t>
        </is>
      </c>
      <c r="D85" s="64" t="inlineStr">
        <is>
          <t>[HW] Equipamiento informático (hardware)</t>
        </is>
      </c>
      <c r="E85" s="34" t="inlineStr">
        <is>
          <t>[A.23] Manipulación de los equipos</t>
        </is>
      </c>
      <c r="F85" s="34">
        <f>+VLOOKUP(E85,'CATALOGO AMENAZA'!$B$2:$D$46,3,FALSE)</f>
        <v/>
      </c>
      <c r="G85" s="34" t="inlineStr">
        <is>
          <t>X</t>
        </is>
      </c>
      <c r="H85" s="34" t="n"/>
      <c r="I85" s="34" t="inlineStr">
        <is>
          <t>X</t>
        </is>
      </c>
      <c r="J85" s="34" t="n">
        <v>2</v>
      </c>
      <c r="K85" s="34" t="n">
        <v>3</v>
      </c>
      <c r="L85" s="34">
        <f>+J85*K85</f>
        <v/>
      </c>
      <c r="M85" s="34">
        <f>+IF(L85&lt;5,"BAJO",IF(L85&lt;10,"MEDIO",IF(L85&lt;17,"ALTO","CRITICO")))</f>
        <v/>
      </c>
      <c r="N85" s="4" t="inlineStr">
        <is>
          <t>Control de accesos</t>
        </is>
      </c>
      <c r="O85" s="34" t="inlineStr">
        <is>
          <t>PREVENTIVO</t>
        </is>
      </c>
      <c r="P85" s="34" t="inlineStr">
        <is>
          <t>Control Implementado sin evidencia de efectividad (Inefectivo prueba)</t>
        </is>
      </c>
      <c r="Q85" s="52" t="n">
        <v>0.3</v>
      </c>
      <c r="R85" s="4" t="inlineStr">
        <is>
          <t>Usuarios genéricos</t>
        </is>
      </c>
      <c r="S85" s="53">
        <f>+IF(O85="PREVENTIVO",J85*(1-Q85),IF(O85="ADMINISTRACION",J85*(1-Q85),IF(O85="ELIMINACION",J85*(1-Q85),J85)))</f>
        <v/>
      </c>
      <c r="T85" s="53">
        <f>+IF(O85="DETECTIVO",K85*(1-Q85),IF(O85="RECUPERACION",K85*(1-Q85),K85))</f>
        <v/>
      </c>
      <c r="U85" s="54">
        <f>+S85*T85</f>
        <v/>
      </c>
      <c r="V85" s="65">
        <f>+IF(U85&lt;5,"BAJO",IF(U85&lt;10,"MEDIO",IF(U85&lt;17,"ALTO","CRITICO")))</f>
        <v/>
      </c>
      <c r="W85" s="65" t="inlineStr">
        <is>
          <t>ACEPTABLE</t>
        </is>
      </c>
      <c r="X85" s="80" t="inlineStr">
        <is>
          <t>-</t>
        </is>
      </c>
      <c r="Y85" s="80" t="inlineStr">
        <is>
          <t>-</t>
        </is>
      </c>
      <c r="Z85" s="80" t="inlineStr">
        <is>
          <t>-</t>
        </is>
      </c>
    </row>
    <row r="86" hidden="1" ht="39.6" customHeight="1" s="106">
      <c r="A86" s="57" t="inlineStr">
        <is>
          <t>78-GTI</t>
        </is>
      </c>
      <c r="B86" s="17" t="inlineStr">
        <is>
          <t>FortiGate</t>
        </is>
      </c>
      <c r="C86" s="17" t="inlineStr">
        <is>
          <t>Consola de administracion  
192.168.100.238</t>
        </is>
      </c>
      <c r="D86" s="64" t="inlineStr">
        <is>
          <t>[HW] Equipamiento informático (hardware)</t>
        </is>
      </c>
      <c r="E86" s="34" t="inlineStr">
        <is>
          <t>[A.6] Abuso de privilegios de acceso</t>
        </is>
      </c>
      <c r="F86" s="34">
        <f>+VLOOKUP(E86,'CATALOGO AMENAZA'!$B$2:$D$46,3,FALSE)</f>
        <v/>
      </c>
      <c r="G86" s="34" t="inlineStr">
        <is>
          <t>X</t>
        </is>
      </c>
      <c r="H86" s="34" t="inlineStr">
        <is>
          <t>X</t>
        </is>
      </c>
      <c r="I86" s="34" t="inlineStr">
        <is>
          <t>X</t>
        </is>
      </c>
      <c r="J86" s="34" t="n">
        <v>2</v>
      </c>
      <c r="K86" s="34" t="n">
        <v>4</v>
      </c>
      <c r="L86" s="34">
        <f>+J86*K86</f>
        <v/>
      </c>
      <c r="M86" s="34">
        <f>+IF(L86&lt;5,"BAJO",IF(L86&lt;10,"MEDIO",IF(L86&lt;17,"ALTO","CRITICO")))</f>
        <v/>
      </c>
      <c r="N86" s="4" t="inlineStr">
        <is>
          <t>Registro de logs (FortiAnalyzer)</t>
        </is>
      </c>
      <c r="O86" s="34" t="inlineStr">
        <is>
          <t>DETECTIVO</t>
        </is>
      </c>
      <c r="P86" s="34" t="inlineStr">
        <is>
          <t>Control Implementado sin evidencia de efectividad (Inefectivo prueba)</t>
        </is>
      </c>
      <c r="Q86" s="52" t="n">
        <v>0.3</v>
      </c>
      <c r="R86" s="4" t="inlineStr">
        <is>
          <t>Falta de revisión de perfiles de acceso</t>
        </is>
      </c>
      <c r="S86" s="53">
        <f>+IF(O86="PREVENTIVO",J86*(1-Q86),IF(O86="ADMINISTRACION",J86*(1-Q86),IF(O86="ELIMINACION",J86*(1-Q86),J86)))</f>
        <v/>
      </c>
      <c r="T86" s="53">
        <f>+IF(O86="DETECTIVO",K86*(1-Q86),IF(O86="RECUPERACION",K86*(1-Q86),K86))</f>
        <v/>
      </c>
      <c r="U86" s="54">
        <f>+S86*T86</f>
        <v/>
      </c>
      <c r="V86" s="65">
        <f>+IF(U86&lt;5,"BAJO",IF(U86&lt;10,"MEDIO",IF(U86&lt;17,"ALTO","CRITICO")))</f>
        <v/>
      </c>
      <c r="W86" s="87" t="inlineStr">
        <is>
          <t>MITIGAR</t>
        </is>
      </c>
      <c r="X86" s="80" t="inlineStr">
        <is>
          <t>-</t>
        </is>
      </c>
      <c r="Y86" s="80" t="inlineStr">
        <is>
          <t>-</t>
        </is>
      </c>
      <c r="Z86" s="80" t="inlineStr">
        <is>
          <t>-</t>
        </is>
      </c>
    </row>
    <row r="87" hidden="1" ht="39.6" customHeight="1" s="106">
      <c r="A87" s="57" t="inlineStr">
        <is>
          <t>78-GTI</t>
        </is>
      </c>
      <c r="B87" s="17" t="inlineStr">
        <is>
          <t>FortiGate</t>
        </is>
      </c>
      <c r="C87" s="17" t="inlineStr">
        <is>
          <t>Consola de administracion  
192.168.100.238</t>
        </is>
      </c>
      <c r="D87" s="64" t="inlineStr">
        <is>
          <t>[HW] Equipamiento informático (hardware)</t>
        </is>
      </c>
      <c r="E87" s="34" t="inlineStr">
        <is>
          <t>[A.24] Denegación de servicio</t>
        </is>
      </c>
      <c r="F87" s="34">
        <f>+VLOOKUP(E87,'CATALOGO AMENAZA'!$B$2:$D$46,3,FALSE)</f>
        <v/>
      </c>
      <c r="G87" s="34" t="n"/>
      <c r="H87" s="34" t="n"/>
      <c r="I87" s="34" t="inlineStr">
        <is>
          <t>X</t>
        </is>
      </c>
      <c r="J87" s="34" t="n">
        <v>3</v>
      </c>
      <c r="K87" s="34" t="n">
        <v>4</v>
      </c>
      <c r="L87" s="34">
        <f>+J87*K87</f>
        <v/>
      </c>
      <c r="M87" s="34">
        <f>+IF(L87&lt;5,"BAJO",IF(L87&lt;10,"MEDIO",IF(L87&lt;17,"ALTO","CRITICO")))</f>
        <v/>
      </c>
      <c r="N87" s="4" t="inlineStr">
        <is>
          <t>Configuración segura de firewall</t>
        </is>
      </c>
      <c r="O87" s="34" t="inlineStr">
        <is>
          <t>PREVENTIVO</t>
        </is>
      </c>
      <c r="P87" s="34" t="inlineStr">
        <is>
          <t>Control Implementado sin evidencia de efectividad (Inefectivo prueba)</t>
        </is>
      </c>
      <c r="Q87" s="52" t="n">
        <v>0.3</v>
      </c>
      <c r="R87" s="34" t="inlineStr">
        <is>
          <t>Evidencia de validación de las configuraciones</t>
        </is>
      </c>
      <c r="S87" s="53">
        <f>+IF(O87="PREVENTIVO",J87*(1-Q87),IF(O87="ADMINISTRACION",J87*(1-Q87),IF(O87="ELIMINACION",J87*(1-Q87),J87)))</f>
        <v/>
      </c>
      <c r="T87" s="53">
        <f>+IF(O87="DETECTIVO",K87*(1-Q87),IF(O87="RECUPERACION",K87*(1-Q87),K87))</f>
        <v/>
      </c>
      <c r="U87" s="54">
        <f>+S87*T87</f>
        <v/>
      </c>
      <c r="V87" s="65">
        <f>+IF(U87&lt;5,"BAJO",IF(U87&lt;10,"MEDIO",IF(U87&lt;17,"ALTO","CRITICO")))</f>
        <v/>
      </c>
      <c r="W87" s="87" t="inlineStr">
        <is>
          <t>MITIGAR</t>
        </is>
      </c>
      <c r="X87" s="80" t="inlineStr">
        <is>
          <t>-</t>
        </is>
      </c>
      <c r="Y87" s="80" t="inlineStr">
        <is>
          <t>-</t>
        </is>
      </c>
      <c r="Z87" s="80" t="inlineStr">
        <is>
          <t>-</t>
        </is>
      </c>
    </row>
    <row r="88" hidden="1" ht="39.6" customHeight="1" s="106">
      <c r="A88" s="57" t="inlineStr">
        <is>
          <t>78-GTI</t>
        </is>
      </c>
      <c r="B88" s="17" t="inlineStr">
        <is>
          <t>FortiGate</t>
        </is>
      </c>
      <c r="C88" s="17" t="inlineStr">
        <is>
          <t>Consola de administracion  
192.168.100.238</t>
        </is>
      </c>
      <c r="D88" s="64" t="inlineStr">
        <is>
          <t>[HW] Equipamiento informático (hardware)</t>
        </is>
      </c>
      <c r="E88" s="34" t="inlineStr">
        <is>
          <t>[E.2] Errores del administrador</t>
        </is>
      </c>
      <c r="F88" s="34">
        <f>+VLOOKUP(E88,'CATALOGO AMENAZA'!$B$2:$D$46,3,FALSE)</f>
        <v/>
      </c>
      <c r="G88" s="34" t="inlineStr">
        <is>
          <t>X</t>
        </is>
      </c>
      <c r="H88" s="34" t="inlineStr">
        <is>
          <t>X</t>
        </is>
      </c>
      <c r="I88" s="34" t="inlineStr">
        <is>
          <t>X</t>
        </is>
      </c>
      <c r="J88" s="34" t="n">
        <v>2</v>
      </c>
      <c r="K88" s="34" t="n">
        <v>3</v>
      </c>
      <c r="L88" s="34">
        <f>+J88*K88</f>
        <v/>
      </c>
      <c r="M88" s="34">
        <f>+IF(L88&lt;5,"BAJO",IF(L88&lt;10,"MEDIO",IF(L88&lt;17,"ALTO","CRITICO")))</f>
        <v/>
      </c>
      <c r="N88" s="4" t="inlineStr">
        <is>
          <t>Control de cambios en los sistemas
Verificación posterior (informe)</t>
        </is>
      </c>
      <c r="O88" s="34" t="inlineStr">
        <is>
          <t>ADMINISTRACION</t>
        </is>
      </c>
      <c r="P88" s="34" t="inlineStr">
        <is>
          <t>Control Implementado sin evidencia de efectividad (Inefectivo prueba)</t>
        </is>
      </c>
      <c r="Q88" s="52" t="n">
        <v>0.3</v>
      </c>
      <c r="R88" s="4" t="inlineStr">
        <is>
          <t>No existe procedimiento formal de gestión de cambios</t>
        </is>
      </c>
      <c r="S88" s="53">
        <f>+IF(O88="PREVENTIVO",J88*(1-Q88),IF(O88="ADMINISTRACION",J88*(1-Q88),IF(O88="ELIMINACION",J88*(1-Q88),J88)))</f>
        <v/>
      </c>
      <c r="T88" s="53">
        <f>+IF(O88="DETECTIVO",K88*(1-Q88),IF(O88="RECUPERACION",K88*(1-Q88),K88))</f>
        <v/>
      </c>
      <c r="U88" s="54">
        <f>+S88*T88</f>
        <v/>
      </c>
      <c r="V88" s="65">
        <f>+IF(U88&lt;5,"BAJO",IF(U88&lt;10,"MEDIO",IF(U88&lt;17,"ALTO","CRITICO")))</f>
        <v/>
      </c>
      <c r="W88" s="65" t="inlineStr">
        <is>
          <t>ACEPTABLE</t>
        </is>
      </c>
      <c r="X88" s="80" t="inlineStr">
        <is>
          <t>-</t>
        </is>
      </c>
      <c r="Y88" s="80" t="inlineStr">
        <is>
          <t>-</t>
        </is>
      </c>
      <c r="Z88" s="80" t="inlineStr">
        <is>
          <t>-</t>
        </is>
      </c>
    </row>
    <row r="89" hidden="1" ht="51" customHeight="1" s="106">
      <c r="A89" s="57" t="inlineStr">
        <is>
          <t>78-GTI</t>
        </is>
      </c>
      <c r="B89" s="17" t="inlineStr">
        <is>
          <t>FortiGate</t>
        </is>
      </c>
      <c r="C89" s="17" t="inlineStr">
        <is>
          <t>Consola de administracion  
192.168.100.238</t>
        </is>
      </c>
      <c r="D89" s="64" t="inlineStr">
        <is>
          <t>[HW] Equipamiento informático (hardware)</t>
        </is>
      </c>
      <c r="E89" s="34" t="inlineStr">
        <is>
          <t>[E.24] Caída del sistema por agotamiento de recursos</t>
        </is>
      </c>
      <c r="F89" s="34">
        <f>+VLOOKUP(E89,'CATALOGO AMENAZA'!$B$2:$D$46,3,FALSE)</f>
        <v/>
      </c>
      <c r="G89" s="34" t="n"/>
      <c r="H89" s="34" t="n"/>
      <c r="I89" s="34" t="inlineStr">
        <is>
          <t>X</t>
        </is>
      </c>
      <c r="J89" s="34" t="n">
        <v>2</v>
      </c>
      <c r="K89" s="34" t="n">
        <v>4</v>
      </c>
      <c r="L89" s="34">
        <f>+J89*K89</f>
        <v/>
      </c>
      <c r="M89" s="34">
        <f>+IF(L89&lt;5,"BAJO",IF(L89&lt;10,"MEDIO",IF(L89&lt;17,"ALTO","CRITICO")))</f>
        <v/>
      </c>
      <c r="N89" s="34" t="inlineStr">
        <is>
          <t>Procedimiento de Gestión de la capacidad y desempeño de la Infraestructura</t>
        </is>
      </c>
      <c r="O89" s="54" t="inlineStr">
        <is>
          <t>PREVENTIVO</t>
        </is>
      </c>
      <c r="P89" s="34" t="inlineStr">
        <is>
          <t>Control Implementado sin evidencia de efectividad (Inefectivo prueba)</t>
        </is>
      </c>
      <c r="Q89" s="52" t="n">
        <v>0.3</v>
      </c>
      <c r="R89" s="34" t="inlineStr">
        <is>
          <t>Notificación automática de alertas</t>
        </is>
      </c>
      <c r="S89" s="53">
        <f>+IF(O89="PREVENTIVO",J89*(1-Q89),IF(O89="ADMINISTRACION",J89*(1-Q89),IF(O89="ELIMINACION",J89*(1-Q89),J89)))</f>
        <v/>
      </c>
      <c r="T89" s="53">
        <f>+IF(O89="DETECTIVO",K89*(1-Q89),IF(O89="RECUPERACION",K89*(1-Q89),K89))</f>
        <v/>
      </c>
      <c r="U89" s="54">
        <f>+S89*T89</f>
        <v/>
      </c>
      <c r="V89" s="65">
        <f>+IF(U89&lt;5,"BAJO",IF(U89&lt;10,"MEDIO",IF(U89&lt;17,"ALTO","CRITICO")))</f>
        <v/>
      </c>
      <c r="W89" s="87" t="inlineStr">
        <is>
          <t>MITIGAR</t>
        </is>
      </c>
      <c r="X89" s="80" t="inlineStr">
        <is>
          <t>-</t>
        </is>
      </c>
      <c r="Y89" s="80" t="inlineStr">
        <is>
          <t>-</t>
        </is>
      </c>
      <c r="Z89" s="80" t="inlineStr">
        <is>
          <t>-</t>
        </is>
      </c>
    </row>
    <row r="90" hidden="1" ht="41.1" customHeight="1" s="106">
      <c r="A90" s="57" t="inlineStr">
        <is>
          <t>80-GTI</t>
        </is>
      </c>
      <c r="B90" s="17" t="inlineStr">
        <is>
          <t>Administrador de Seguridad Informática</t>
        </is>
      </c>
      <c r="C90" s="17" t="inlineStr">
        <is>
          <t>Funcionarios con el cargo de Administrador de Seguridad Informática</t>
        </is>
      </c>
      <c r="D90" s="55" t="inlineStr">
        <is>
          <t>[P] Personal</t>
        </is>
      </c>
      <c r="E90" s="34" t="inlineStr">
        <is>
          <t>[E.28] Indisponibilidad del personal</t>
        </is>
      </c>
      <c r="F90" s="34">
        <f>+VLOOKUP(E90,'CATALOGO AMENAZA'!$B$2:$D$46,3,FALSE)</f>
        <v/>
      </c>
      <c r="G90" s="34" t="n"/>
      <c r="H90" s="34" t="n"/>
      <c r="I90" s="34" t="inlineStr">
        <is>
          <t>X</t>
        </is>
      </c>
      <c r="J90" s="34" t="n">
        <v>2</v>
      </c>
      <c r="K90" s="34" t="n">
        <v>3</v>
      </c>
      <c r="L90" s="34">
        <f>+J90*K90</f>
        <v/>
      </c>
      <c r="M90" s="34">
        <f>+IF(L90&lt;5,"BAJO",IF(L90&lt;10,"MEDIO",IF(L90&lt;17,"ALTO","CRITICO")))</f>
        <v/>
      </c>
      <c r="N90" s="54" t="inlineStr">
        <is>
          <t>Plan de continuidad documentado</t>
        </is>
      </c>
      <c r="O90" s="54" t="inlineStr">
        <is>
          <t>RECUPERACION</t>
        </is>
      </c>
      <c r="P90" s="34" t="inlineStr">
        <is>
          <t>Control Implementado sin evidencia de efectividad (Inefectivo prueba)</t>
        </is>
      </c>
      <c r="Q90" s="52" t="n">
        <v>0.3</v>
      </c>
      <c r="R90" s="34" t="inlineStr">
        <is>
          <t>Dependencia de personal clave</t>
        </is>
      </c>
      <c r="S90" s="53">
        <f>+IF(O90="PREVENTIVO",J90*(1-Q90),IF(O90="ADMINISTRACION",J90*(1-Q90),IF(O90="ELIMINACION",J90*(1-Q90),J90)))</f>
        <v/>
      </c>
      <c r="T90" s="53">
        <f>+IF(O90="DETECTIVO",K90*(1-Q90),IF(O90="RECUPERACION",K90*(1-Q90),K90))</f>
        <v/>
      </c>
      <c r="U90" s="54">
        <f>+S90*T90</f>
        <v/>
      </c>
      <c r="V90" s="65">
        <f>+IF(U90&lt;5,"BAJO",IF(U90&lt;10,"MEDIO",IF(U90&lt;17,"ALTO","CRITICO")))</f>
        <v/>
      </c>
      <c r="W90" s="65" t="inlineStr">
        <is>
          <t>ACEPTABLE</t>
        </is>
      </c>
      <c r="X90" s="80" t="inlineStr">
        <is>
          <t>-</t>
        </is>
      </c>
      <c r="Y90" s="80" t="inlineStr">
        <is>
          <t>-</t>
        </is>
      </c>
      <c r="Z90" s="80" t="inlineStr">
        <is>
          <t>-</t>
        </is>
      </c>
    </row>
    <row r="91" hidden="1" ht="41.1" customHeight="1" s="106">
      <c r="A91" s="57" t="inlineStr">
        <is>
          <t>81-GTI</t>
        </is>
      </c>
      <c r="B91" s="17" t="inlineStr">
        <is>
          <t>Administrador de Base de Datos</t>
        </is>
      </c>
      <c r="C91" s="17" t="inlineStr">
        <is>
          <t>Funcionarios con el cargo de Administrador de Base de Datos</t>
        </is>
      </c>
      <c r="D91" s="55" t="inlineStr">
        <is>
          <t>[P] Personal</t>
        </is>
      </c>
      <c r="E91" s="34" t="inlineStr">
        <is>
          <t>[E.28] Indisponibilidad del personal</t>
        </is>
      </c>
      <c r="F91" s="34">
        <f>+VLOOKUP(E91,'CATALOGO AMENAZA'!$B$2:$D$46,3,FALSE)</f>
        <v/>
      </c>
      <c r="G91" s="34" t="n"/>
      <c r="H91" s="34" t="n"/>
      <c r="I91" s="34" t="inlineStr">
        <is>
          <t>X</t>
        </is>
      </c>
      <c r="J91" s="34" t="n">
        <v>2</v>
      </c>
      <c r="K91" s="34" t="n">
        <v>3</v>
      </c>
      <c r="L91" s="34">
        <f>+J91*K91</f>
        <v/>
      </c>
      <c r="M91" s="34">
        <f>+IF(L91&lt;5,"BAJO",IF(L91&lt;10,"MEDIO",IF(L91&lt;17,"ALTO","CRITICO")))</f>
        <v/>
      </c>
      <c r="N91" s="54" t="inlineStr">
        <is>
          <t>Plan de continuidad documentado</t>
        </is>
      </c>
      <c r="O91" s="54" t="inlineStr">
        <is>
          <t>RECUPERACION</t>
        </is>
      </c>
      <c r="P91" s="34" t="inlineStr">
        <is>
          <t>Control Implementado sin evidencia de efectividad (Inefectivo prueba)</t>
        </is>
      </c>
      <c r="Q91" s="52" t="n">
        <v>0.3</v>
      </c>
      <c r="R91" s="34" t="inlineStr">
        <is>
          <t>Dependencia de personal clave</t>
        </is>
      </c>
      <c r="S91" s="53">
        <f>+IF(O91="PREVENTIVO",J91*(1-Q91),IF(O91="ADMINISTRACION",J91*(1-Q91),IF(O91="ELIMINACION",J91*(1-Q91),J91)))</f>
        <v/>
      </c>
      <c r="T91" s="53">
        <f>+IF(O91="DETECTIVO",K91*(1-Q91),IF(O91="RECUPERACION",K91*(1-Q91),K91))</f>
        <v/>
      </c>
      <c r="U91" s="54">
        <f>+S91*T91</f>
        <v/>
      </c>
      <c r="V91" s="65">
        <f>+IF(U91&lt;5,"BAJO",IF(U91&lt;10,"MEDIO",IF(U91&lt;17,"ALTO","CRITICO")))</f>
        <v/>
      </c>
      <c r="W91" s="65" t="inlineStr">
        <is>
          <t>ACEPTABLE</t>
        </is>
      </c>
      <c r="X91" s="80" t="inlineStr">
        <is>
          <t>-</t>
        </is>
      </c>
      <c r="Y91" s="80" t="inlineStr">
        <is>
          <t>-</t>
        </is>
      </c>
      <c r="Z91" s="80" t="inlineStr">
        <is>
          <t>-</t>
        </is>
      </c>
    </row>
    <row r="92" hidden="1" ht="41.1" customHeight="1" s="106">
      <c r="A92" s="57" t="inlineStr">
        <is>
          <t>85-GTI</t>
        </is>
      </c>
      <c r="B92" s="17" t="inlineStr">
        <is>
          <t>Ruteador CISCO 1900 Series (02)</t>
        </is>
      </c>
      <c r="C92" s="17" t="inlineStr">
        <is>
          <t>Ruteador para enlaces de comunicación / 192.168.100.253</t>
        </is>
      </c>
      <c r="D92" s="64" t="inlineStr">
        <is>
          <t>[HW] Equipamiento informático (hardware)</t>
        </is>
      </c>
      <c r="E92" s="34" t="inlineStr">
        <is>
          <t>[E.2] Errores del administrador</t>
        </is>
      </c>
      <c r="F92" s="34">
        <f>+VLOOKUP(E92,'CATALOGO AMENAZA'!$B$2:$D$46,3,FALSE)</f>
        <v/>
      </c>
      <c r="G92" s="34" t="inlineStr">
        <is>
          <t>X</t>
        </is>
      </c>
      <c r="H92" s="34" t="inlineStr">
        <is>
          <t>X</t>
        </is>
      </c>
      <c r="I92" s="34" t="inlineStr">
        <is>
          <t>X</t>
        </is>
      </c>
      <c r="J92" s="34" t="n">
        <v>2</v>
      </c>
      <c r="K92" s="34" t="n">
        <v>3</v>
      </c>
      <c r="L92" s="34">
        <f>+J92*K92</f>
        <v/>
      </c>
      <c r="M92" s="34">
        <f>+IF(L92&lt;5,"BAJO",IF(L92&lt;10,"MEDIO",IF(L92&lt;17,"ALTO","CRITICO")))</f>
        <v/>
      </c>
      <c r="N92" s="4" t="inlineStr">
        <is>
          <t>Control de cambios en los sistemas
Verificación posterior (informe)</t>
        </is>
      </c>
      <c r="O92" s="34" t="inlineStr">
        <is>
          <t>ADMINISTRACION</t>
        </is>
      </c>
      <c r="P92" s="34" t="inlineStr">
        <is>
          <t>Control Implementado sin evidencia de efectividad (Inefectivo prueba)</t>
        </is>
      </c>
      <c r="Q92" s="52" t="n">
        <v>0.3</v>
      </c>
      <c r="R92" s="4" t="inlineStr">
        <is>
          <t>No existe procedimiento formal de gestión de cambios</t>
        </is>
      </c>
      <c r="S92" s="53">
        <f>+IF(O92="PREVENTIVO",J92*(1-Q92),IF(O92="ADMINISTRACION",J92*(1-Q92),IF(O92="ELIMINACION",J92*(1-Q92),J92)))</f>
        <v/>
      </c>
      <c r="T92" s="53">
        <f>+IF(O92="DETECTIVO",K92*(1-Q92),IF(O92="RECUPERACION",K92*(1-Q92),K92))</f>
        <v/>
      </c>
      <c r="U92" s="54">
        <f>+S92*T92</f>
        <v/>
      </c>
      <c r="V92" s="65">
        <f>+IF(U92&lt;5,"BAJO",IF(U92&lt;10,"MEDIO",IF(U92&lt;17,"ALTO","CRITICO")))</f>
        <v/>
      </c>
      <c r="W92" s="65" t="inlineStr">
        <is>
          <t>ACEPTABLE</t>
        </is>
      </c>
      <c r="X92" s="80" t="inlineStr">
        <is>
          <t>-</t>
        </is>
      </c>
      <c r="Y92" s="80" t="inlineStr">
        <is>
          <t>-</t>
        </is>
      </c>
      <c r="Z92" s="80" t="inlineStr">
        <is>
          <t>-</t>
        </is>
      </c>
    </row>
    <row r="93" hidden="1" ht="30.6" customHeight="1" s="106">
      <c r="A93" s="57" t="inlineStr">
        <is>
          <t>85-GTI</t>
        </is>
      </c>
      <c r="B93" s="17" t="inlineStr">
        <is>
          <t>Ruteador CISCO 1900 Series (02)</t>
        </is>
      </c>
      <c r="C93" s="17" t="inlineStr">
        <is>
          <t>Ruteador para enlaces de comunicación / 192.168.100.253</t>
        </is>
      </c>
      <c r="D93" s="64" t="inlineStr">
        <is>
          <t>[HW] Equipamiento informático (hardware)</t>
        </is>
      </c>
      <c r="E93" s="34" t="inlineStr">
        <is>
          <t>[A.11] Acceso no autorizado</t>
        </is>
      </c>
      <c r="F93" s="34">
        <f>+VLOOKUP(E93,'CATALOGO AMENAZA'!$B$2:$D$46,3,FALSE)</f>
        <v/>
      </c>
      <c r="G93" s="34" t="inlineStr">
        <is>
          <t>X</t>
        </is>
      </c>
      <c r="H93" s="34" t="inlineStr">
        <is>
          <t>X</t>
        </is>
      </c>
      <c r="I93" s="34" t="n"/>
      <c r="J93" s="34" t="n">
        <v>3</v>
      </c>
      <c r="K93" s="34" t="n">
        <v>4</v>
      </c>
      <c r="L93" s="34">
        <f>+J93*K93</f>
        <v/>
      </c>
      <c r="M93" s="34">
        <f>+IF(L93&lt;5,"BAJO",IF(L93&lt;10,"MEDIO",IF(L93&lt;17,"ALTO","CRITICO")))</f>
        <v/>
      </c>
      <c r="N93" s="4" t="inlineStr">
        <is>
          <t>Control de accesos / VPN</t>
        </is>
      </c>
      <c r="O93" s="34" t="inlineStr">
        <is>
          <t>PREVENTIVO</t>
        </is>
      </c>
      <c r="P93" s="34" t="inlineStr">
        <is>
          <t>Control Implementado sin evidencia de efectividad (Inefectivo prueba)</t>
        </is>
      </c>
      <c r="Q93" s="52" t="n">
        <v>0.3</v>
      </c>
      <c r="R93" s="4" t="inlineStr">
        <is>
          <t>Contreaseñas de VPN no expiran</t>
        </is>
      </c>
      <c r="S93" s="53">
        <f>+IF(O93="PREVENTIVO",J93*(1-Q93),IF(O93="ADMINISTRACION",J93*(1-Q93),IF(O93="ELIMINACION",J93*(1-Q93),J93)))</f>
        <v/>
      </c>
      <c r="T93" s="53">
        <f>+IF(O93="DETECTIVO",K93*(1-Q93),IF(O93="RECUPERACION",K93*(1-Q93),K93))</f>
        <v/>
      </c>
      <c r="U93" s="54">
        <f>+S93*T93</f>
        <v/>
      </c>
      <c r="V93" s="65">
        <f>+IF(U93&lt;5,"BAJO",IF(U93&lt;10,"MEDIO",IF(U93&lt;17,"ALTO","CRITICO")))</f>
        <v/>
      </c>
      <c r="W93" s="87" t="inlineStr">
        <is>
          <t>MITIGAR</t>
        </is>
      </c>
      <c r="X93" s="80" t="inlineStr">
        <is>
          <t>-</t>
        </is>
      </c>
      <c r="Y93" s="80" t="inlineStr">
        <is>
          <t>-</t>
        </is>
      </c>
      <c r="Z93" s="80" t="inlineStr">
        <is>
          <t>-</t>
        </is>
      </c>
    </row>
    <row r="94" hidden="1" ht="30.6" customHeight="1" s="106">
      <c r="A94" s="57" t="inlineStr">
        <is>
          <t>85-GTI</t>
        </is>
      </c>
      <c r="B94" s="17" t="inlineStr">
        <is>
          <t>Ruteador CISCO 1900 Series (02)</t>
        </is>
      </c>
      <c r="C94" s="17" t="inlineStr">
        <is>
          <t>Ruteador para enlaces de comunicación / 192.168.100.253</t>
        </is>
      </c>
      <c r="D94" s="64" t="inlineStr">
        <is>
          <t>[HW] Equipamiento informático (hardware)</t>
        </is>
      </c>
      <c r="E94" s="34" t="inlineStr">
        <is>
          <t>[A.6] Abuso de privilegios de acceso</t>
        </is>
      </c>
      <c r="F94" s="34">
        <f>+VLOOKUP(E94,'CATALOGO AMENAZA'!$B$2:$D$46,3,FALSE)</f>
        <v/>
      </c>
      <c r="G94" s="34" t="inlineStr">
        <is>
          <t>X</t>
        </is>
      </c>
      <c r="H94" s="34" t="inlineStr">
        <is>
          <t>X</t>
        </is>
      </c>
      <c r="I94" s="34" t="inlineStr">
        <is>
          <t>X</t>
        </is>
      </c>
      <c r="J94" s="34" t="n">
        <v>2</v>
      </c>
      <c r="K94" s="34" t="n">
        <v>4</v>
      </c>
      <c r="L94" s="34">
        <f>+J94*K94</f>
        <v/>
      </c>
      <c r="M94" s="34">
        <f>+IF(L94&lt;5,"BAJO",IF(L94&lt;10,"MEDIO",IF(L94&lt;17,"ALTO","CRITICO")))</f>
        <v/>
      </c>
      <c r="N94" s="54" t="inlineStr">
        <is>
          <t>Registro de logs</t>
        </is>
      </c>
      <c r="O94" s="34" t="inlineStr">
        <is>
          <t>DETECTIVO</t>
        </is>
      </c>
      <c r="P94" s="34" t="inlineStr">
        <is>
          <t>Control Implementado sin evidencia de efectividad (Inefectivo prueba)</t>
        </is>
      </c>
      <c r="Q94" s="52" t="n">
        <v>0.3</v>
      </c>
      <c r="R94" s="4" t="inlineStr">
        <is>
          <t>Falta de revisión de perfiles de acceso</t>
        </is>
      </c>
      <c r="S94" s="53">
        <f>+IF(O94="PREVENTIVO",J94*(1-Q94),IF(O94="ADMINISTRACION",J94*(1-Q94),IF(O94="ELIMINACION",J94*(1-Q94),J94)))</f>
        <v/>
      </c>
      <c r="T94" s="53">
        <f>+IF(O94="DETECTIVO",K94*(1-Q94),IF(O94="RECUPERACION",K94*(1-Q94),K94))</f>
        <v/>
      </c>
      <c r="U94" s="54">
        <f>+S94*T94</f>
        <v/>
      </c>
      <c r="V94" s="65">
        <f>+IF(U94&lt;5,"BAJO",IF(U94&lt;10,"MEDIO",IF(U94&lt;17,"ALTO","CRITICO")))</f>
        <v/>
      </c>
      <c r="W94" s="87" t="inlineStr">
        <is>
          <t>MITIGAR</t>
        </is>
      </c>
      <c r="X94" s="80" t="inlineStr">
        <is>
          <t>-</t>
        </is>
      </c>
      <c r="Y94" s="80" t="inlineStr">
        <is>
          <t>-</t>
        </is>
      </c>
      <c r="Z94" s="80" t="inlineStr">
        <is>
          <t>-</t>
        </is>
      </c>
    </row>
    <row r="95" hidden="1" ht="41.1" customHeight="1" s="106">
      <c r="A95" s="57" t="inlineStr">
        <is>
          <t>85-GTI</t>
        </is>
      </c>
      <c r="B95" s="17" t="inlineStr">
        <is>
          <t>Ruteador CISCO 1900 Series (02)</t>
        </is>
      </c>
      <c r="C95" s="17" t="inlineStr">
        <is>
          <t>Ruteador para enlaces de comunicación / 192.168.100.253</t>
        </is>
      </c>
      <c r="D95" s="64" t="inlineStr">
        <is>
          <t>[HW] Equipamiento informático (hardware)</t>
        </is>
      </c>
      <c r="E95" s="34" t="inlineStr">
        <is>
          <t>[E.23] Errores de mantenimiento / actualización de equipos (hardware)</t>
        </is>
      </c>
      <c r="F95" s="34">
        <f>+VLOOKUP(E95,'CATALOGO AMENAZA'!$B$2:$D$46,3,FALSE)</f>
        <v/>
      </c>
      <c r="G95" s="34" t="n"/>
      <c r="H95" s="34" t="n"/>
      <c r="I95" s="34" t="inlineStr">
        <is>
          <t>X</t>
        </is>
      </c>
      <c r="J95" s="34" t="n">
        <v>3</v>
      </c>
      <c r="K95" s="34" t="n">
        <v>4</v>
      </c>
      <c r="L95" s="34">
        <f>+J95*K95</f>
        <v/>
      </c>
      <c r="M95" s="34">
        <f>+IF(L95&lt;5,"BAJO",IF(L95&lt;10,"MEDIO",IF(L95&lt;17,"ALTO","CRITICO")))</f>
        <v/>
      </c>
      <c r="N95" s="4" t="inlineStr">
        <is>
          <t>Gestión de vulnerabilidades</t>
        </is>
      </c>
      <c r="O95" s="34" t="inlineStr">
        <is>
          <t>PREVENTIVO</t>
        </is>
      </c>
      <c r="P95" s="34" t="inlineStr">
        <is>
          <t>Control Implementado sin evidencia de efectividad (Inefectivo prueba)</t>
        </is>
      </c>
      <c r="Q95" s="52" t="n">
        <v>0.4</v>
      </c>
      <c r="R95" s="4" t="inlineStr">
        <is>
          <t>Recursos tecnológicos insuficientes para remediación</t>
        </is>
      </c>
      <c r="S95" s="53">
        <f>+IF(O95="PREVENTIVO",J95*(1-Q95),IF(O95="ADMINISTRACION",J95*(1-Q95),IF(O95="ELIMINACION",J95*(1-Q95),J95)))</f>
        <v/>
      </c>
      <c r="T95" s="53">
        <f>+IF(O95="DETECTIVO",K95*(1-Q95),IF(O95="RECUPERACION",K95*(1-Q95),K95))</f>
        <v/>
      </c>
      <c r="U95" s="54">
        <f>+S95*T95</f>
        <v/>
      </c>
      <c r="V95" s="65">
        <f>+IF(U95&lt;5,"BAJO",IF(U95&lt;10,"MEDIO",IF(U95&lt;17,"ALTO","CRITICO")))</f>
        <v/>
      </c>
      <c r="W95" s="87" t="inlineStr">
        <is>
          <t>MITIGAR</t>
        </is>
      </c>
      <c r="X95" s="80" t="inlineStr">
        <is>
          <t>-</t>
        </is>
      </c>
      <c r="Y95" s="80" t="inlineStr">
        <is>
          <t>-</t>
        </is>
      </c>
      <c r="Z95" s="80" t="inlineStr">
        <is>
          <t>-</t>
        </is>
      </c>
    </row>
    <row r="96" hidden="1" ht="41.1" customHeight="1" s="106">
      <c r="A96" s="57" t="inlineStr">
        <is>
          <t>86-GTI</t>
        </is>
      </c>
      <c r="B96" s="17" t="inlineStr">
        <is>
          <t>Ruteador CISCO 1900 Series (03)</t>
        </is>
      </c>
      <c r="C96" s="17" t="inlineStr">
        <is>
          <t>Ruteador para enlaces de comunicación / 192.168.40.253</t>
        </is>
      </c>
      <c r="D96" s="64" t="inlineStr">
        <is>
          <t>[HW] Equipamiento informático (hardware)</t>
        </is>
      </c>
      <c r="E96" s="34" t="inlineStr">
        <is>
          <t>[E.2] Errores del administrador</t>
        </is>
      </c>
      <c r="F96" s="34">
        <f>+VLOOKUP(E96,'CATALOGO AMENAZA'!$B$2:$D$46,3,FALSE)</f>
        <v/>
      </c>
      <c r="G96" s="34" t="inlineStr">
        <is>
          <t>X</t>
        </is>
      </c>
      <c r="H96" s="34" t="inlineStr">
        <is>
          <t>X</t>
        </is>
      </c>
      <c r="I96" s="34" t="inlineStr">
        <is>
          <t>X</t>
        </is>
      </c>
      <c r="J96" s="34" t="n">
        <v>2</v>
      </c>
      <c r="K96" s="34" t="n">
        <v>3</v>
      </c>
      <c r="L96" s="34">
        <f>+J96*K96</f>
        <v/>
      </c>
      <c r="M96" s="34">
        <f>+IF(L96&lt;5,"BAJO",IF(L96&lt;10,"MEDIO",IF(L96&lt;17,"ALTO","CRITICO")))</f>
        <v/>
      </c>
      <c r="N96" s="4" t="inlineStr">
        <is>
          <t>Control de cambios en los sistemas
Verificación posterior (informe)</t>
        </is>
      </c>
      <c r="O96" s="34" t="inlineStr">
        <is>
          <t>ADMINISTRACION</t>
        </is>
      </c>
      <c r="P96" s="34" t="inlineStr">
        <is>
          <t>Control Implementado sin evidencia de efectividad (Inefectivo prueba)</t>
        </is>
      </c>
      <c r="Q96" s="52" t="n">
        <v>0.3</v>
      </c>
      <c r="R96" s="4" t="inlineStr">
        <is>
          <t>No existe procedimiento formal de gestión de cambios</t>
        </is>
      </c>
      <c r="S96" s="53">
        <f>+IF(O96="PREVENTIVO",J96*(1-Q96),IF(O96="ADMINISTRACION",J96*(1-Q96),IF(O96="ELIMINACION",J96*(1-Q96),J96)))</f>
        <v/>
      </c>
      <c r="T96" s="53">
        <f>+IF(O96="DETECTIVO",K96*(1-Q96),IF(O96="RECUPERACION",K96*(1-Q96),K96))</f>
        <v/>
      </c>
      <c r="U96" s="54">
        <f>+S96*T96</f>
        <v/>
      </c>
      <c r="V96" s="65">
        <f>+IF(U96&lt;5,"BAJO",IF(U96&lt;10,"MEDIO",IF(U96&lt;17,"ALTO","CRITICO")))</f>
        <v/>
      </c>
      <c r="W96" s="65" t="inlineStr">
        <is>
          <t>ACEPTABLE</t>
        </is>
      </c>
      <c r="X96" s="80" t="inlineStr">
        <is>
          <t>-</t>
        </is>
      </c>
      <c r="Y96" s="80" t="inlineStr">
        <is>
          <t>-</t>
        </is>
      </c>
      <c r="Z96" s="80" t="inlineStr">
        <is>
          <t>-</t>
        </is>
      </c>
    </row>
    <row r="97" hidden="1" ht="30.6" customHeight="1" s="106">
      <c r="A97" s="57" t="inlineStr">
        <is>
          <t>86-GTI</t>
        </is>
      </c>
      <c r="B97" s="17" t="inlineStr">
        <is>
          <t>Ruteador CISCO 1900 Series (03)</t>
        </is>
      </c>
      <c r="C97" s="17" t="inlineStr">
        <is>
          <t>Ruteador para enlaces de comunicación / 192.168.40.253</t>
        </is>
      </c>
      <c r="D97" s="64" t="inlineStr">
        <is>
          <t>[HW] Equipamiento informático (hardware)</t>
        </is>
      </c>
      <c r="E97" s="34" t="inlineStr">
        <is>
          <t>[A.11] Acceso no autorizado</t>
        </is>
      </c>
      <c r="F97" s="34">
        <f>+VLOOKUP(E97,'CATALOGO AMENAZA'!$B$2:$D$46,3,FALSE)</f>
        <v/>
      </c>
      <c r="G97" s="34" t="inlineStr">
        <is>
          <t>X</t>
        </is>
      </c>
      <c r="H97" s="34" t="inlineStr">
        <is>
          <t>X</t>
        </is>
      </c>
      <c r="I97" s="34" t="n"/>
      <c r="J97" s="34" t="n">
        <v>2</v>
      </c>
      <c r="K97" s="34" t="n">
        <v>4</v>
      </c>
      <c r="L97" s="34">
        <f>+J97*K97</f>
        <v/>
      </c>
      <c r="M97" s="34">
        <f>+IF(L97&lt;5,"BAJO",IF(L97&lt;10,"MEDIO",IF(L97&lt;17,"ALTO","CRITICO")))</f>
        <v/>
      </c>
      <c r="N97" s="4" t="inlineStr">
        <is>
          <t>Control de accesos / VPN</t>
        </is>
      </c>
      <c r="O97" s="34" t="inlineStr">
        <is>
          <t>PREVENTIVO</t>
        </is>
      </c>
      <c r="P97" s="34" t="inlineStr">
        <is>
          <t>Control Implementado sin evidencia de efectividad (Inefectivo prueba)</t>
        </is>
      </c>
      <c r="Q97" s="52" t="n">
        <v>0.3</v>
      </c>
      <c r="R97" s="4" t="inlineStr">
        <is>
          <t>Contreaseñas de VPN no expiran</t>
        </is>
      </c>
      <c r="S97" s="53">
        <f>+IF(O97="PREVENTIVO",J97*(1-Q97),IF(O97="ADMINISTRACION",J97*(1-Q97),IF(O97="ELIMINACION",J97*(1-Q97),J97)))</f>
        <v/>
      </c>
      <c r="T97" s="53">
        <f>+IF(O97="DETECTIVO",K97*(1-Q97),IF(O97="RECUPERACION",K97*(1-Q97),K97))</f>
        <v/>
      </c>
      <c r="U97" s="54">
        <f>+S97*T97</f>
        <v/>
      </c>
      <c r="V97" s="65">
        <f>+IF(U97&lt;5,"BAJO",IF(U97&lt;10,"MEDIO",IF(U97&lt;17,"ALTO","CRITICO")))</f>
        <v/>
      </c>
      <c r="W97" s="87" t="inlineStr">
        <is>
          <t>MITIGAR</t>
        </is>
      </c>
      <c r="X97" s="80" t="inlineStr">
        <is>
          <t>-</t>
        </is>
      </c>
      <c r="Y97" s="80" t="inlineStr">
        <is>
          <t>-</t>
        </is>
      </c>
      <c r="Z97" s="80" t="inlineStr">
        <is>
          <t>-</t>
        </is>
      </c>
    </row>
    <row r="98" hidden="1" ht="22.5" customHeight="1" s="106">
      <c r="A98" s="57" t="inlineStr">
        <is>
          <t>86-GTI</t>
        </is>
      </c>
      <c r="B98" s="17" t="inlineStr">
        <is>
          <t>Ruteador CISCO 1900 Series (03)</t>
        </is>
      </c>
      <c r="C98" s="17" t="inlineStr">
        <is>
          <t>Ruteador para enlaces de comunicación / 192.168.40.253</t>
        </is>
      </c>
      <c r="D98" s="64" t="inlineStr">
        <is>
          <t>[HW] Equipamiento informático (hardware)</t>
        </is>
      </c>
      <c r="E98" s="34" t="inlineStr">
        <is>
          <t>[A.6] Abuso de privilegios de acceso</t>
        </is>
      </c>
      <c r="F98" s="34">
        <f>+VLOOKUP(E98,'CATALOGO AMENAZA'!$B$2:$D$46,3,FALSE)</f>
        <v/>
      </c>
      <c r="G98" s="34" t="inlineStr">
        <is>
          <t>X</t>
        </is>
      </c>
      <c r="H98" s="34" t="inlineStr">
        <is>
          <t>X</t>
        </is>
      </c>
      <c r="I98" s="34" t="inlineStr">
        <is>
          <t>X</t>
        </is>
      </c>
      <c r="J98" s="34" t="n">
        <v>2</v>
      </c>
      <c r="K98" s="34" t="n">
        <v>4</v>
      </c>
      <c r="L98" s="34">
        <f>+J98*K98</f>
        <v/>
      </c>
      <c r="M98" s="34">
        <f>+IF(L98&lt;5,"BAJO",IF(L98&lt;10,"MEDIO",IF(L98&lt;17,"ALTO","CRITICO")))</f>
        <v/>
      </c>
      <c r="N98" s="54" t="inlineStr">
        <is>
          <t>Registro de logs</t>
        </is>
      </c>
      <c r="O98" s="34" t="inlineStr">
        <is>
          <t>DETECTIVO</t>
        </is>
      </c>
      <c r="P98" s="34" t="inlineStr">
        <is>
          <t>Control Implementado sin evidencia de efectividad (Inefectivo prueba)</t>
        </is>
      </c>
      <c r="Q98" s="52" t="n">
        <v>0.3</v>
      </c>
      <c r="R98" s="4" t="inlineStr">
        <is>
          <t>Falta de revisión de perfiles de acceso</t>
        </is>
      </c>
      <c r="S98" s="53">
        <f>+IF(O98="PREVENTIVO",J98*(1-Q98),IF(O98="ADMINISTRACION",J98*(1-Q98),IF(O98="ELIMINACION",J98*(1-Q98),J98)))</f>
        <v/>
      </c>
      <c r="T98" s="53">
        <f>+IF(O98="DETECTIVO",K98*(1-Q98),IF(O98="RECUPERACION",K98*(1-Q98),K98))</f>
        <v/>
      </c>
      <c r="U98" s="54">
        <f>+S98*T98</f>
        <v/>
      </c>
      <c r="V98" s="65">
        <f>+IF(U98&lt;5,"BAJO",IF(U98&lt;10,"MEDIO",IF(U98&lt;17,"ALTO","CRITICO")))</f>
        <v/>
      </c>
      <c r="W98" s="87" t="inlineStr">
        <is>
          <t>MITIGAR</t>
        </is>
      </c>
      <c r="X98" s="80" t="inlineStr">
        <is>
          <t>-</t>
        </is>
      </c>
      <c r="Y98" s="80" t="inlineStr">
        <is>
          <t>-</t>
        </is>
      </c>
      <c r="Z98" s="80" t="inlineStr">
        <is>
          <t>-</t>
        </is>
      </c>
    </row>
    <row r="99" hidden="1" ht="22.5" customHeight="1" s="106">
      <c r="A99" s="57" t="inlineStr">
        <is>
          <t>86-GTI</t>
        </is>
      </c>
      <c r="B99" s="17" t="inlineStr">
        <is>
          <t>Ruteador CISCO 1900 Series (03)</t>
        </is>
      </c>
      <c r="C99" s="17" t="inlineStr">
        <is>
          <t>Ruteador para enlaces de comunicación / 192.168.40.253</t>
        </is>
      </c>
      <c r="D99" s="64" t="inlineStr">
        <is>
          <t>[HW] Equipamiento informático (hardware)</t>
        </is>
      </c>
      <c r="E99" s="34" t="inlineStr">
        <is>
          <t>[E.23] Errores de mantenimiento / actualización de equipos (hardware)</t>
        </is>
      </c>
      <c r="F99" s="34">
        <f>+VLOOKUP(E99,'CATALOGO AMENAZA'!$B$2:$D$46,3,FALSE)</f>
        <v/>
      </c>
      <c r="G99" s="34" t="n"/>
      <c r="H99" s="34" t="n"/>
      <c r="I99" s="34" t="inlineStr">
        <is>
          <t>X</t>
        </is>
      </c>
      <c r="J99" s="34" t="n">
        <v>3</v>
      </c>
      <c r="K99" s="34" t="n">
        <v>3</v>
      </c>
      <c r="L99" s="34">
        <f>+J99*K99</f>
        <v/>
      </c>
      <c r="M99" s="34">
        <f>+IF(L99&lt;5,"BAJO",IF(L99&lt;10,"MEDIO",IF(L99&lt;17,"ALTO","CRITICO")))</f>
        <v/>
      </c>
      <c r="N99" s="4" t="inlineStr">
        <is>
          <t>Gestión de vulnerabilidades</t>
        </is>
      </c>
      <c r="O99" s="34" t="inlineStr">
        <is>
          <t>PREVENTIVO</t>
        </is>
      </c>
      <c r="P99" s="34" t="inlineStr">
        <is>
          <t>Control Implementado sin evidencia de efectividad (Inefectivo prueba)</t>
        </is>
      </c>
      <c r="Q99" s="52" t="n">
        <v>0.4</v>
      </c>
      <c r="R99" s="4" t="inlineStr">
        <is>
          <t>Recursos tecnológicos insuficientes para remediación</t>
        </is>
      </c>
      <c r="S99" s="53">
        <f>+IF(O99="PREVENTIVO",J99*(1-Q99),IF(O99="ADMINISTRACION",J99*(1-Q99),IF(O99="ELIMINACION",J99*(1-Q99),J99)))</f>
        <v/>
      </c>
      <c r="T99" s="53">
        <f>+IF(O99="DETECTIVO",K99*(1-Q99),IF(O99="RECUPERACION",K99*(1-Q99),K99))</f>
        <v/>
      </c>
      <c r="U99" s="54">
        <f>+S99*T99</f>
        <v/>
      </c>
      <c r="V99" s="65">
        <f>+IF(U99&lt;5,"BAJO",IF(U99&lt;10,"MEDIO",IF(U99&lt;17,"ALTO","CRITICO")))</f>
        <v/>
      </c>
      <c r="W99" s="87" t="inlineStr">
        <is>
          <t>MITIGAR</t>
        </is>
      </c>
      <c r="X99" s="80" t="inlineStr">
        <is>
          <t>-</t>
        </is>
      </c>
      <c r="Y99" s="80" t="inlineStr">
        <is>
          <t>-</t>
        </is>
      </c>
      <c r="Z99" s="80" t="inlineStr">
        <is>
          <t>-</t>
        </is>
      </c>
    </row>
    <row r="100" hidden="1" ht="22.5" customHeight="1" s="106">
      <c r="A100" s="57" t="inlineStr">
        <is>
          <t>87-GTI</t>
        </is>
      </c>
      <c r="B100" s="17" t="inlineStr">
        <is>
          <t>Ruteador CISCO 1900 Series (04)</t>
        </is>
      </c>
      <c r="C100" s="17" t="inlineStr">
        <is>
          <t>Ruteador para enlaces de comunicación / 192.168.50.253</t>
        </is>
      </c>
      <c r="D100" s="64" t="inlineStr">
        <is>
          <t>[HW] Equipamiento informático (hardware)</t>
        </is>
      </c>
      <c r="E100" s="34" t="inlineStr">
        <is>
          <t>[E.2] Errores del administrador</t>
        </is>
      </c>
      <c r="F100" s="34">
        <f>+VLOOKUP(E100,'CATALOGO AMENAZA'!$B$2:$D$46,3,FALSE)</f>
        <v/>
      </c>
      <c r="G100" s="34" t="inlineStr">
        <is>
          <t>X</t>
        </is>
      </c>
      <c r="H100" s="34" t="inlineStr">
        <is>
          <t>X</t>
        </is>
      </c>
      <c r="I100" s="34" t="inlineStr">
        <is>
          <t>X</t>
        </is>
      </c>
      <c r="J100" s="34" t="n">
        <v>2</v>
      </c>
      <c r="K100" s="34" t="n">
        <v>3</v>
      </c>
      <c r="L100" s="34">
        <f>+J100*K100</f>
        <v/>
      </c>
      <c r="M100" s="34">
        <f>+IF(L100&lt;5,"BAJO",IF(L100&lt;10,"MEDIO",IF(L100&lt;17,"ALTO","CRITICO")))</f>
        <v/>
      </c>
      <c r="N100" s="4" t="inlineStr">
        <is>
          <t>Control de cambios en los sistemas
Verificación posterior (informe)</t>
        </is>
      </c>
      <c r="O100" s="34" t="inlineStr">
        <is>
          <t>ADMINISTRACION</t>
        </is>
      </c>
      <c r="P100" s="34" t="inlineStr">
        <is>
          <t>Control Implementado sin evidencia de efectividad (Inefectivo prueba)</t>
        </is>
      </c>
      <c r="Q100" s="52" t="n">
        <v>0.3</v>
      </c>
      <c r="R100" s="4" t="inlineStr">
        <is>
          <t>No existe procedimiento formal de gestión de cambios</t>
        </is>
      </c>
      <c r="S100" s="53">
        <f>+IF(O100="PREVENTIVO",J100*(1-Q100),IF(O100="ADMINISTRACION",J100*(1-Q100),IF(O100="ELIMINACION",J100*(1-Q100),J100)))</f>
        <v/>
      </c>
      <c r="T100" s="53">
        <f>+IF(O100="DETECTIVO",K100*(1-Q100),IF(O100="RECUPERACION",K100*(1-Q100),K100))</f>
        <v/>
      </c>
      <c r="U100" s="54">
        <f>+S100*T100</f>
        <v/>
      </c>
      <c r="V100" s="65">
        <f>+IF(U100&lt;5,"BAJO",IF(U100&lt;10,"MEDIO",IF(U100&lt;17,"ALTO","CRITICO")))</f>
        <v/>
      </c>
      <c r="W100" s="65" t="inlineStr">
        <is>
          <t>ACEPTABLE</t>
        </is>
      </c>
      <c r="X100" s="80" t="inlineStr">
        <is>
          <t>-</t>
        </is>
      </c>
      <c r="Y100" s="80" t="inlineStr">
        <is>
          <t>-</t>
        </is>
      </c>
      <c r="Z100" s="80" t="inlineStr">
        <is>
          <t>-</t>
        </is>
      </c>
    </row>
    <row r="101" hidden="1" ht="22.5" customHeight="1" s="106">
      <c r="A101" s="57" t="inlineStr">
        <is>
          <t>87-GTI</t>
        </is>
      </c>
      <c r="B101" s="17" t="inlineStr">
        <is>
          <t>Ruteador CISCO 1900 Series (04)</t>
        </is>
      </c>
      <c r="C101" s="17" t="inlineStr">
        <is>
          <t>Ruteador para enlaces de comunicación / 192.168.50.253</t>
        </is>
      </c>
      <c r="D101" s="64" t="inlineStr">
        <is>
          <t>[HW] Equipamiento informático (hardware)</t>
        </is>
      </c>
      <c r="E101" s="34" t="inlineStr">
        <is>
          <t>[A.11] Acceso no autorizado</t>
        </is>
      </c>
      <c r="F101" s="34">
        <f>+VLOOKUP(E101,'CATALOGO AMENAZA'!$B$2:$D$46,3,FALSE)</f>
        <v/>
      </c>
      <c r="G101" s="34" t="inlineStr">
        <is>
          <t>X</t>
        </is>
      </c>
      <c r="H101" s="34" t="inlineStr">
        <is>
          <t>X</t>
        </is>
      </c>
      <c r="I101" s="34" t="n"/>
      <c r="J101" s="34" t="n">
        <v>2</v>
      </c>
      <c r="K101" s="34" t="n">
        <v>4</v>
      </c>
      <c r="L101" s="34">
        <f>+J101*K101</f>
        <v/>
      </c>
      <c r="M101" s="34">
        <f>+IF(L101&lt;5,"BAJO",IF(L101&lt;10,"MEDIO",IF(L101&lt;17,"ALTO","CRITICO")))</f>
        <v/>
      </c>
      <c r="N101" s="4" t="inlineStr">
        <is>
          <t>Control de accesos / VPN</t>
        </is>
      </c>
      <c r="O101" s="34" t="inlineStr">
        <is>
          <t>PREVENTIVO</t>
        </is>
      </c>
      <c r="P101" s="34" t="inlineStr">
        <is>
          <t>Control Implementado sin evidencia de efectividad (Inefectivo prueba)</t>
        </is>
      </c>
      <c r="Q101" s="52" t="n">
        <v>0.3</v>
      </c>
      <c r="R101" s="4" t="inlineStr">
        <is>
          <t>Contreaseñas de VPN no expiran</t>
        </is>
      </c>
      <c r="S101" s="53">
        <f>+IF(O101="PREVENTIVO",J101*(1-Q101),IF(O101="ADMINISTRACION",J101*(1-Q101),IF(O101="ELIMINACION",J101*(1-Q101),J101)))</f>
        <v/>
      </c>
      <c r="T101" s="53">
        <f>+IF(O101="DETECTIVO",K101*(1-Q101),IF(O101="RECUPERACION",K101*(1-Q101),K101))</f>
        <v/>
      </c>
      <c r="U101" s="54">
        <f>+S101*T101</f>
        <v/>
      </c>
      <c r="V101" s="65">
        <f>+IF(U101&lt;5,"BAJO",IF(U101&lt;10,"MEDIO",IF(U101&lt;17,"ALTO","CRITICO")))</f>
        <v/>
      </c>
      <c r="W101" s="87" t="inlineStr">
        <is>
          <t>MITIGAR</t>
        </is>
      </c>
      <c r="X101" s="80" t="inlineStr">
        <is>
          <t>-</t>
        </is>
      </c>
      <c r="Y101" s="80" t="inlineStr">
        <is>
          <t>-</t>
        </is>
      </c>
      <c r="Z101" s="80" t="inlineStr">
        <is>
          <t>-</t>
        </is>
      </c>
    </row>
    <row r="102" hidden="1" ht="22.5" customHeight="1" s="106">
      <c r="A102" s="57" t="inlineStr">
        <is>
          <t>87-GTI</t>
        </is>
      </c>
      <c r="B102" s="17" t="inlineStr">
        <is>
          <t>Ruteador CISCO 1900 Series (04)</t>
        </is>
      </c>
      <c r="C102" s="17" t="inlineStr">
        <is>
          <t>Ruteador para enlaces de comunicación / 192.168.50.253</t>
        </is>
      </c>
      <c r="D102" s="64" t="inlineStr">
        <is>
          <t>[HW] Equipamiento informático (hardware)</t>
        </is>
      </c>
      <c r="E102" s="34" t="inlineStr">
        <is>
          <t>[A.6] Abuso de privilegios de acceso</t>
        </is>
      </c>
      <c r="F102" s="34">
        <f>+VLOOKUP(E102,'CATALOGO AMENAZA'!$B$2:$D$46,3,FALSE)</f>
        <v/>
      </c>
      <c r="G102" s="34" t="inlineStr">
        <is>
          <t>X</t>
        </is>
      </c>
      <c r="H102" s="34" t="inlineStr">
        <is>
          <t>X</t>
        </is>
      </c>
      <c r="I102" s="34" t="inlineStr">
        <is>
          <t>X</t>
        </is>
      </c>
      <c r="J102" s="34" t="n">
        <v>2</v>
      </c>
      <c r="K102" s="34" t="n">
        <v>4</v>
      </c>
      <c r="L102" s="34">
        <f>+J102*K102</f>
        <v/>
      </c>
      <c r="M102" s="34">
        <f>+IF(L102&lt;5,"BAJO",IF(L102&lt;10,"MEDIO",IF(L102&lt;17,"ALTO","CRITICO")))</f>
        <v/>
      </c>
      <c r="N102" s="54" t="inlineStr">
        <is>
          <t>Registro de logs</t>
        </is>
      </c>
      <c r="O102" s="34" t="inlineStr">
        <is>
          <t>DETECTIVO</t>
        </is>
      </c>
      <c r="P102" s="34" t="inlineStr">
        <is>
          <t>Control Implementado sin evidencia de efectividad (Inefectivo prueba)</t>
        </is>
      </c>
      <c r="Q102" s="52" t="n">
        <v>0.3</v>
      </c>
      <c r="R102" s="4" t="inlineStr">
        <is>
          <t>Falta de revisión de perfiles de acceso</t>
        </is>
      </c>
      <c r="S102" s="53">
        <f>+IF(O102="PREVENTIVO",J102*(1-Q102),IF(O102="ADMINISTRACION",J102*(1-Q102),IF(O102="ELIMINACION",J102*(1-Q102),J102)))</f>
        <v/>
      </c>
      <c r="T102" s="53">
        <f>+IF(O102="DETECTIVO",K102*(1-Q102),IF(O102="RECUPERACION",K102*(1-Q102),K102))</f>
        <v/>
      </c>
      <c r="U102" s="54">
        <f>+S102*T102</f>
        <v/>
      </c>
      <c r="V102" s="65">
        <f>+IF(U102&lt;5,"BAJO",IF(U102&lt;10,"MEDIO",IF(U102&lt;17,"ALTO","CRITICO")))</f>
        <v/>
      </c>
      <c r="W102" s="87" t="inlineStr">
        <is>
          <t>MITIGAR</t>
        </is>
      </c>
      <c r="X102" s="80" t="inlineStr">
        <is>
          <t>-</t>
        </is>
      </c>
      <c r="Y102" s="80" t="inlineStr">
        <is>
          <t>-</t>
        </is>
      </c>
      <c r="Z102" s="80" t="inlineStr">
        <is>
          <t>-</t>
        </is>
      </c>
    </row>
    <row r="103" hidden="1" ht="22.35" customHeight="1" s="106">
      <c r="A103" s="57" t="inlineStr">
        <is>
          <t>87-GTI</t>
        </is>
      </c>
      <c r="B103" s="17" t="inlineStr">
        <is>
          <t>Ruteador CISCO 1900 Series (04)</t>
        </is>
      </c>
      <c r="C103" s="17" t="inlineStr">
        <is>
          <t>Ruteador para enlaces de comunicación / 192.168.50.253</t>
        </is>
      </c>
      <c r="D103" s="64" t="inlineStr">
        <is>
          <t>[HW] Equipamiento informático (hardware)</t>
        </is>
      </c>
      <c r="E103" s="34" t="inlineStr">
        <is>
          <t>[E.23] Errores de mantenimiento / actualización de equipos (hardware)</t>
        </is>
      </c>
      <c r="F103" s="34">
        <f>+VLOOKUP(E103,'CATALOGO AMENAZA'!$B$2:$D$46,3,FALSE)</f>
        <v/>
      </c>
      <c r="G103" s="34" t="n"/>
      <c r="H103" s="34" t="n"/>
      <c r="I103" s="34" t="inlineStr">
        <is>
          <t>X</t>
        </is>
      </c>
      <c r="J103" s="34" t="n">
        <v>3</v>
      </c>
      <c r="K103" s="34" t="n">
        <v>3</v>
      </c>
      <c r="L103" s="34">
        <f>+J103*K103</f>
        <v/>
      </c>
      <c r="M103" s="34">
        <f>+IF(L103&lt;5,"BAJO",IF(L103&lt;10,"MEDIO",IF(L103&lt;17,"ALTO","CRITICO")))</f>
        <v/>
      </c>
      <c r="N103" s="4" t="inlineStr">
        <is>
          <t>Gestión de vulnerabilidades</t>
        </is>
      </c>
      <c r="O103" s="34" t="inlineStr">
        <is>
          <t>PREVENTIVO</t>
        </is>
      </c>
      <c r="P103" s="34" t="inlineStr">
        <is>
          <t>Control Implementado sin evidencia de efectividad (Inefectivo prueba)</t>
        </is>
      </c>
      <c r="Q103" s="52" t="n">
        <v>0.4</v>
      </c>
      <c r="R103" s="4" t="inlineStr">
        <is>
          <t>Recursos tecnológicos insuficientes para remediación</t>
        </is>
      </c>
      <c r="S103" s="53">
        <f>+IF(O103="PREVENTIVO",J103*(1-Q103),IF(O103="ADMINISTRACION",J103*(1-Q103),IF(O103="ELIMINACION",J103*(1-Q103),J103)))</f>
        <v/>
      </c>
      <c r="T103" s="53">
        <f>+IF(O103="DETECTIVO",K103*(1-Q103),IF(O103="RECUPERACION",K103*(1-Q103),K103))</f>
        <v/>
      </c>
      <c r="U103" s="54">
        <f>+S103*T103</f>
        <v/>
      </c>
      <c r="V103" s="65">
        <f>+IF(U103&lt;5,"BAJO",IF(U103&lt;10,"MEDIO",IF(U103&lt;17,"ALTO","CRITICO")))</f>
        <v/>
      </c>
      <c r="W103" s="87" t="inlineStr">
        <is>
          <t>MITIGAR</t>
        </is>
      </c>
      <c r="X103" s="80" t="inlineStr">
        <is>
          <t>-</t>
        </is>
      </c>
      <c r="Y103" s="80" t="inlineStr">
        <is>
          <t>-</t>
        </is>
      </c>
      <c r="Z103" s="80" t="inlineStr">
        <is>
          <t>-</t>
        </is>
      </c>
    </row>
    <row r="104" hidden="1" ht="22.35" customHeight="1" s="106">
      <c r="A104" s="57" t="inlineStr">
        <is>
          <t>88-GTI</t>
        </is>
      </c>
      <c r="B104" s="17" t="inlineStr">
        <is>
          <t>ATUNPRODU</t>
        </is>
      </c>
      <c r="C104" s="17" t="inlineStr">
        <is>
          <t>Servidor que contiene el servidor BDD Oracle / SERVIDOR APARK 192.168.10.72</t>
        </is>
      </c>
      <c r="D104" s="64" t="inlineStr">
        <is>
          <t>[HW] Equipamiento informático (hardware)</t>
        </is>
      </c>
      <c r="E104" s="34" t="inlineStr">
        <is>
          <t>[E.2] Errores del administrador</t>
        </is>
      </c>
      <c r="F104" s="34">
        <f>+VLOOKUP(E104,'CATALOGO AMENAZA'!$B$2:$D$46,3,FALSE)</f>
        <v/>
      </c>
      <c r="G104" s="34" t="inlineStr">
        <is>
          <t>X</t>
        </is>
      </c>
      <c r="H104" s="34" t="inlineStr">
        <is>
          <t>X</t>
        </is>
      </c>
      <c r="I104" s="34" t="inlineStr">
        <is>
          <t>X</t>
        </is>
      </c>
      <c r="J104" s="34" t="n">
        <v>2</v>
      </c>
      <c r="K104" s="34" t="n">
        <v>4</v>
      </c>
      <c r="L104" s="34">
        <f>+J104*K104</f>
        <v/>
      </c>
      <c r="M104" s="34">
        <f>+IF(L104&lt;5,"BAJO",IF(L104&lt;10,"MEDIO",IF(L104&lt;17,"ALTO","CRITICO")))</f>
        <v/>
      </c>
      <c r="N104" s="4" t="inlineStr">
        <is>
          <t>Control de cambios en los sistemas
Verificación posterior (informe)</t>
        </is>
      </c>
      <c r="O104" s="34" t="inlineStr">
        <is>
          <t>ADMINISTRACION</t>
        </is>
      </c>
      <c r="P104" s="34" t="inlineStr">
        <is>
          <t>Control Implementado sin evidencia de efectividad (Inefectivo prueba)</t>
        </is>
      </c>
      <c r="Q104" s="52" t="n">
        <v>0.3</v>
      </c>
      <c r="R104" s="4" t="inlineStr">
        <is>
          <t>No existe procedimiento formal de gestión de cambios</t>
        </is>
      </c>
      <c r="S104" s="53">
        <f>+IF(O104="PREVENTIVO",J104*(1-Q104),IF(O104="ADMINISTRACION",J104*(1-Q104),IF(O104="ELIMINACION",J104*(1-Q104),J104)))</f>
        <v/>
      </c>
      <c r="T104" s="53">
        <f>+IF(O104="DETECTIVO",K104*(1-Q104),IF(O104="RECUPERACION",K104*(1-Q104),K104))</f>
        <v/>
      </c>
      <c r="U104" s="54">
        <f>+S104*T104</f>
        <v/>
      </c>
      <c r="V104" s="65">
        <f>+IF(U104&lt;5,"BAJO",IF(U104&lt;10,"MEDIO",IF(U104&lt;17,"ALTO","CRITICO")))</f>
        <v/>
      </c>
      <c r="W104" s="87" t="inlineStr">
        <is>
          <t>MITIGAR</t>
        </is>
      </c>
      <c r="X104" s="80" t="inlineStr">
        <is>
          <t>-</t>
        </is>
      </c>
      <c r="Y104" s="80" t="inlineStr">
        <is>
          <t>-</t>
        </is>
      </c>
      <c r="Z104" s="80" t="inlineStr">
        <is>
          <t>-</t>
        </is>
      </c>
    </row>
    <row r="105" ht="22.35" customHeight="1" s="106">
      <c r="A105" s="57" t="inlineStr">
        <is>
          <t>88-GTI</t>
        </is>
      </c>
      <c r="B105" s="17" t="inlineStr">
        <is>
          <t>ATUNPRODU</t>
        </is>
      </c>
      <c r="C105" s="17" t="inlineStr">
        <is>
          <t>Servidor que contiene el servidor BDD Oracle / SERVIDOR APARK 192.168.10.72</t>
        </is>
      </c>
      <c r="D105" s="64" t="inlineStr">
        <is>
          <t>[HW] Equipamiento informático (hardware)</t>
        </is>
      </c>
      <c r="E105" s="34" t="inlineStr">
        <is>
          <t>[A.11] Acceso no autorizado</t>
        </is>
      </c>
      <c r="F105" s="34">
        <f>+VLOOKUP(E105,'CATALOGO AMENAZA'!$B$2:$D$46,3,FALSE)</f>
        <v/>
      </c>
      <c r="G105" s="34" t="inlineStr">
        <is>
          <t>X</t>
        </is>
      </c>
      <c r="H105" s="34" t="inlineStr">
        <is>
          <t>X</t>
        </is>
      </c>
      <c r="I105" s="34" t="n"/>
      <c r="J105" s="34" t="n">
        <v>3</v>
      </c>
      <c r="K105" s="34" t="n">
        <v>5</v>
      </c>
      <c r="L105" s="34">
        <f>+J105*K105</f>
        <v/>
      </c>
      <c r="M105" s="34">
        <f>+IF(L105&lt;5,"BAJO",IF(L105&lt;10,"MEDIO",IF(L105&lt;17,"ALTO","CRITICO")))</f>
        <v/>
      </c>
      <c r="N105" s="4" t="inlineStr">
        <is>
          <t>Control de accesos / VPN</t>
        </is>
      </c>
      <c r="O105" s="34" t="inlineStr">
        <is>
          <t>PREVENTIVO</t>
        </is>
      </c>
      <c r="P105" s="34" t="inlineStr">
        <is>
          <t>Control Implementado sin evidencia de efectividad (Inefectivo prueba)</t>
        </is>
      </c>
      <c r="Q105" s="52" t="n">
        <v>0.3</v>
      </c>
      <c r="R105" s="4" t="inlineStr">
        <is>
          <t>Contreaseñas de VPN no expiran</t>
        </is>
      </c>
      <c r="S105" s="53">
        <f>+IF(O105="PREVENTIVO",J105*(1-Q105),IF(O105="ADMINISTRACION",J105*(1-Q105),IF(O105="ELIMINACION",J105*(1-Q105),J105)))</f>
        <v/>
      </c>
      <c r="T105" s="53">
        <f>+IF(O105="DETECTIVO",K105*(1-Q105),IF(O105="RECUPERACION",K105*(1-Q105),K105))</f>
        <v/>
      </c>
      <c r="U105" s="54">
        <f>+S105*T105</f>
        <v/>
      </c>
      <c r="V105" s="65">
        <f>+IF(U105&lt;5,"BAJO",IF(U105&lt;10,"MEDIO",IF(U105&lt;17,"ALTO","CRITICO")))</f>
        <v/>
      </c>
      <c r="W105" s="65" t="inlineStr">
        <is>
          <t>MITIGAR</t>
        </is>
      </c>
      <c r="X105" s="34" t="inlineStr">
        <is>
          <t>REQUIERE TRATAMIENTO</t>
        </is>
      </c>
      <c r="Y105" s="34" t="inlineStr">
        <is>
          <t>PA-SI-004</t>
        </is>
      </c>
      <c r="Z105" s="34" t="inlineStr">
        <is>
          <t>Aplicar política de expiración de contraseñas VPN.</t>
        </is>
      </c>
    </row>
    <row r="106" hidden="1" ht="22.35" customHeight="1" s="106">
      <c r="A106" s="57" t="inlineStr">
        <is>
          <t>88-GTI</t>
        </is>
      </c>
      <c r="B106" s="17" t="inlineStr">
        <is>
          <t>ATUNPRODU</t>
        </is>
      </c>
      <c r="C106" s="17" t="inlineStr">
        <is>
          <t>Servidor que contiene el servidor BDD Oracle / SERVIDOR APARK 192.168.10.72</t>
        </is>
      </c>
      <c r="D106" s="64" t="inlineStr">
        <is>
          <t>[HW] Equipamiento informático (hardware)</t>
        </is>
      </c>
      <c r="E106" s="34" t="inlineStr">
        <is>
          <t>[A.6] Abuso de privilegios de acceso</t>
        </is>
      </c>
      <c r="F106" s="34">
        <f>+VLOOKUP(E106,'CATALOGO AMENAZA'!$B$2:$D$46,3,FALSE)</f>
        <v/>
      </c>
      <c r="G106" s="34" t="inlineStr">
        <is>
          <t>X</t>
        </is>
      </c>
      <c r="H106" s="34" t="inlineStr">
        <is>
          <t>X</t>
        </is>
      </c>
      <c r="I106" s="34" t="inlineStr">
        <is>
          <t>X</t>
        </is>
      </c>
      <c r="J106" s="34" t="n">
        <v>3</v>
      </c>
      <c r="K106" s="34" t="n">
        <v>4</v>
      </c>
      <c r="L106" s="34">
        <f>+J106*K106</f>
        <v/>
      </c>
      <c r="M106" s="34">
        <f>+IF(L106&lt;5,"BAJO",IF(L106&lt;10,"MEDIO",IF(L106&lt;17,"ALTO","CRITICO")))</f>
        <v/>
      </c>
      <c r="N106" s="4" t="inlineStr">
        <is>
          <t>Registro de logs (FortiAnalyzer)</t>
        </is>
      </c>
      <c r="O106" s="34" t="inlineStr">
        <is>
          <t>DETECTIVO</t>
        </is>
      </c>
      <c r="P106" s="34" t="inlineStr">
        <is>
          <t>Control Implementado sin evidencia de efectividad (Inefectivo prueba)</t>
        </is>
      </c>
      <c r="Q106" s="52" t="n">
        <v>0.3</v>
      </c>
      <c r="R106" s="4" t="inlineStr">
        <is>
          <t>Falta de revisión de perfiles de acceso</t>
        </is>
      </c>
      <c r="S106" s="53">
        <f>+IF(O106="PREVENTIVO",J106*(1-Q106),IF(O106="ADMINISTRACION",J106*(1-Q106),IF(O106="ELIMINACION",J106*(1-Q106),J106)))</f>
        <v/>
      </c>
      <c r="T106" s="53">
        <f>+IF(O106="DETECTIVO",K106*(1-Q106),IF(O106="RECUPERACION",K106*(1-Q106),K106))</f>
        <v/>
      </c>
      <c r="U106" s="54">
        <f>+S106*T106</f>
        <v/>
      </c>
      <c r="V106" s="65">
        <f>+IF(U106&lt;5,"BAJO",IF(U106&lt;10,"MEDIO",IF(U106&lt;17,"ALTO","CRITICO")))</f>
        <v/>
      </c>
      <c r="W106" s="87" t="inlineStr">
        <is>
          <t>MITIGAR</t>
        </is>
      </c>
      <c r="X106" s="80" t="inlineStr">
        <is>
          <t>-</t>
        </is>
      </c>
      <c r="Y106" s="80" t="inlineStr">
        <is>
          <t>-</t>
        </is>
      </c>
      <c r="Z106" s="80" t="inlineStr">
        <is>
          <t>-</t>
        </is>
      </c>
    </row>
    <row r="107" hidden="1" ht="22.5" customHeight="1" s="106">
      <c r="A107" s="57" t="inlineStr">
        <is>
          <t>88-GTI</t>
        </is>
      </c>
      <c r="B107" s="17" t="inlineStr">
        <is>
          <t>ATUNPRODU</t>
        </is>
      </c>
      <c r="C107" s="17" t="inlineStr">
        <is>
          <t>Servidor que contiene el servidor BDD Oracle / SERVIDOR APARK 192.168.10.72</t>
        </is>
      </c>
      <c r="D107" s="64" t="inlineStr">
        <is>
          <t>[HW] Equipamiento informático (hardware)</t>
        </is>
      </c>
      <c r="E107" s="34" t="inlineStr">
        <is>
          <t>[E.23] Errores de mantenimiento / actualización de equipos (hardware)</t>
        </is>
      </c>
      <c r="F107" s="34">
        <f>+VLOOKUP(E107,'CATALOGO AMENAZA'!$B$2:$D$46,3,FALSE)</f>
        <v/>
      </c>
      <c r="G107" s="34" t="n"/>
      <c r="H107" s="34" t="n"/>
      <c r="I107" s="34" t="inlineStr">
        <is>
          <t>X</t>
        </is>
      </c>
      <c r="J107" s="34" t="n">
        <v>3</v>
      </c>
      <c r="K107" s="34" t="n">
        <v>4</v>
      </c>
      <c r="L107" s="34">
        <f>+J107*K107</f>
        <v/>
      </c>
      <c r="M107" s="34">
        <f>+IF(L107&lt;5,"BAJO",IF(L107&lt;10,"MEDIO",IF(L107&lt;17,"ALTO","CRITICO")))</f>
        <v/>
      </c>
      <c r="N107" s="4" t="inlineStr">
        <is>
          <t>Gestión de vulnerabilidades</t>
        </is>
      </c>
      <c r="O107" s="34" t="inlineStr">
        <is>
          <t>PREVENTIVO</t>
        </is>
      </c>
      <c r="P107" s="34" t="inlineStr">
        <is>
          <t>Control Implementado sin evidencia de efectividad (Inefectivo prueba)</t>
        </is>
      </c>
      <c r="Q107" s="52" t="n">
        <v>0.4</v>
      </c>
      <c r="R107" s="4" t="inlineStr">
        <is>
          <t>Recursos tecnológicos insuficientes para remediación</t>
        </is>
      </c>
      <c r="S107" s="53">
        <f>+IF(O107="PREVENTIVO",J107*(1-Q107),IF(O107="ADMINISTRACION",J107*(1-Q107),IF(O107="ELIMINACION",J107*(1-Q107),J107)))</f>
        <v/>
      </c>
      <c r="T107" s="53">
        <f>+IF(O107="DETECTIVO",K107*(1-Q107),IF(O107="RECUPERACION",K107*(1-Q107),K107))</f>
        <v/>
      </c>
      <c r="U107" s="54">
        <f>+S107*T107</f>
        <v/>
      </c>
      <c r="V107" s="65">
        <f>+IF(U107&lt;5,"BAJO",IF(U107&lt;10,"MEDIO",IF(U107&lt;17,"ALTO","CRITICO")))</f>
        <v/>
      </c>
      <c r="W107" s="87" t="inlineStr">
        <is>
          <t>MITIGAR</t>
        </is>
      </c>
      <c r="X107" s="80" t="inlineStr">
        <is>
          <t>-</t>
        </is>
      </c>
      <c r="Y107" s="80" t="inlineStr">
        <is>
          <t>-</t>
        </is>
      </c>
      <c r="Z107" s="80" t="inlineStr">
        <is>
          <t>-</t>
        </is>
      </c>
    </row>
    <row r="108" hidden="1" ht="22.5" customHeight="1" s="106">
      <c r="A108" s="57" t="inlineStr">
        <is>
          <t>89-GTI</t>
        </is>
      </c>
      <c r="B108" s="17" t="inlineStr">
        <is>
          <t>Ruteador CISCO 880 Series (05)</t>
        </is>
      </c>
      <c r="C108" s="17" t="inlineStr">
        <is>
          <t>Ruteador para enlaces de comunicación / 192.168.60.253</t>
        </is>
      </c>
      <c r="D108" s="64" t="inlineStr">
        <is>
          <t>[HW] Equipamiento informático (hardware)</t>
        </is>
      </c>
      <c r="E108" s="34" t="inlineStr">
        <is>
          <t>[E.2] Errores del administrador</t>
        </is>
      </c>
      <c r="F108" s="34">
        <f>+VLOOKUP(E108,'CATALOGO AMENAZA'!$B$2:$D$46,3,FALSE)</f>
        <v/>
      </c>
      <c r="G108" s="34" t="inlineStr">
        <is>
          <t>X</t>
        </is>
      </c>
      <c r="H108" s="34" t="inlineStr">
        <is>
          <t>X</t>
        </is>
      </c>
      <c r="I108" s="34" t="inlineStr">
        <is>
          <t>X</t>
        </is>
      </c>
      <c r="J108" s="34" t="n">
        <v>2</v>
      </c>
      <c r="K108" s="34" t="n">
        <v>3</v>
      </c>
      <c r="L108" s="34">
        <f>+J108*K108</f>
        <v/>
      </c>
      <c r="M108" s="34">
        <f>+IF(L108&lt;5,"BAJO",IF(L108&lt;10,"MEDIO",IF(L108&lt;17,"ALTO","CRITICO")))</f>
        <v/>
      </c>
      <c r="N108" s="4" t="inlineStr">
        <is>
          <t>Control de cambios en los sistemas
Verificación posterior (informe)</t>
        </is>
      </c>
      <c r="O108" s="34" t="inlineStr">
        <is>
          <t>ADMINISTRACION</t>
        </is>
      </c>
      <c r="P108" s="34" t="inlineStr">
        <is>
          <t>Control Implementado sin evidencia de efectividad (Inefectivo prueba)</t>
        </is>
      </c>
      <c r="Q108" s="52" t="n">
        <v>0.3</v>
      </c>
      <c r="R108" s="4" t="inlineStr">
        <is>
          <t>No existe procedimiento formal de gestión de cambios</t>
        </is>
      </c>
      <c r="S108" s="53">
        <f>+IF(O108="PREVENTIVO",J108*(1-Q108),IF(O108="ADMINISTRACION",J108*(1-Q108),IF(O108="ELIMINACION",J108*(1-Q108),J108)))</f>
        <v/>
      </c>
      <c r="T108" s="53">
        <f>+IF(O108="DETECTIVO",K108*(1-Q108),IF(O108="RECUPERACION",K108*(1-Q108),K108))</f>
        <v/>
      </c>
      <c r="U108" s="54">
        <f>+S108*T108</f>
        <v/>
      </c>
      <c r="V108" s="65">
        <f>+IF(U108&lt;5,"BAJO",IF(U108&lt;10,"MEDIO",IF(U108&lt;17,"ALTO","CRITICO")))</f>
        <v/>
      </c>
      <c r="W108" s="65" t="inlineStr">
        <is>
          <t>ACEPTABLE</t>
        </is>
      </c>
      <c r="X108" s="80" t="inlineStr">
        <is>
          <t>-</t>
        </is>
      </c>
      <c r="Y108" s="80" t="inlineStr">
        <is>
          <t>-</t>
        </is>
      </c>
      <c r="Z108" s="80" t="inlineStr">
        <is>
          <t>-</t>
        </is>
      </c>
    </row>
    <row r="109" hidden="1" ht="22.5" customHeight="1" s="106">
      <c r="A109" s="57" t="inlineStr">
        <is>
          <t>89-GTI</t>
        </is>
      </c>
      <c r="B109" s="17" t="inlineStr">
        <is>
          <t>Ruteador CISCO 880 Series (05)</t>
        </is>
      </c>
      <c r="C109" s="17" t="inlineStr">
        <is>
          <t>Ruteador para enlaces de comunicación / 192.168.60.253</t>
        </is>
      </c>
      <c r="D109" s="64" t="inlineStr">
        <is>
          <t>[HW] Equipamiento informático (hardware)</t>
        </is>
      </c>
      <c r="E109" s="34" t="inlineStr">
        <is>
          <t>[A.11] Acceso no autorizado</t>
        </is>
      </c>
      <c r="F109" s="34">
        <f>+VLOOKUP(E109,'CATALOGO AMENAZA'!$B$2:$D$46,3,FALSE)</f>
        <v/>
      </c>
      <c r="G109" s="34" t="inlineStr">
        <is>
          <t>X</t>
        </is>
      </c>
      <c r="H109" s="34" t="inlineStr">
        <is>
          <t>X</t>
        </is>
      </c>
      <c r="I109" s="34" t="n"/>
      <c r="J109" s="34" t="n">
        <v>2</v>
      </c>
      <c r="K109" s="34" t="n">
        <v>4</v>
      </c>
      <c r="L109" s="34">
        <f>+J109*K109</f>
        <v/>
      </c>
      <c r="M109" s="34">
        <f>+IF(L109&lt;5,"BAJO",IF(L109&lt;10,"MEDIO",IF(L109&lt;17,"ALTO","CRITICO")))</f>
        <v/>
      </c>
      <c r="N109" s="4" t="inlineStr">
        <is>
          <t>Control de accesos / VPN</t>
        </is>
      </c>
      <c r="O109" s="34" t="inlineStr">
        <is>
          <t>PREVENTIVO</t>
        </is>
      </c>
      <c r="P109" s="34" t="inlineStr">
        <is>
          <t>Control Implementado sin evidencia de efectividad (Inefectivo prueba)</t>
        </is>
      </c>
      <c r="Q109" s="52" t="n">
        <v>0.3</v>
      </c>
      <c r="R109" s="4" t="inlineStr">
        <is>
          <t>Contreaseñas de VPN no expiran</t>
        </is>
      </c>
      <c r="S109" s="53">
        <f>+IF(O109="PREVENTIVO",J109*(1-Q109),IF(O109="ADMINISTRACION",J109*(1-Q109),IF(O109="ELIMINACION",J109*(1-Q109),J109)))</f>
        <v/>
      </c>
      <c r="T109" s="53">
        <f>+IF(O109="DETECTIVO",K109*(1-Q109),IF(O109="RECUPERACION",K109*(1-Q109),K109))</f>
        <v/>
      </c>
      <c r="U109" s="54">
        <f>+S109*T109</f>
        <v/>
      </c>
      <c r="V109" s="65">
        <f>+IF(U109&lt;5,"BAJO",IF(U109&lt;10,"MEDIO",IF(U109&lt;17,"ALTO","CRITICO")))</f>
        <v/>
      </c>
      <c r="W109" s="87" t="inlineStr">
        <is>
          <t>MITIGAR</t>
        </is>
      </c>
      <c r="X109" s="80" t="inlineStr">
        <is>
          <t>-</t>
        </is>
      </c>
      <c r="Y109" s="80" t="inlineStr">
        <is>
          <t>-</t>
        </is>
      </c>
      <c r="Z109" s="80" t="inlineStr">
        <is>
          <t>-</t>
        </is>
      </c>
    </row>
    <row r="110" hidden="1" ht="22.5" customHeight="1" s="106">
      <c r="A110" s="57" t="inlineStr">
        <is>
          <t>89-GTI</t>
        </is>
      </c>
      <c r="B110" s="17" t="inlineStr">
        <is>
          <t>Ruteador CISCO 880 Series (05)</t>
        </is>
      </c>
      <c r="C110" s="17" t="inlineStr">
        <is>
          <t>Ruteador para enlaces de comunicación / 192.168.60.253</t>
        </is>
      </c>
      <c r="D110" s="64" t="inlineStr">
        <is>
          <t>[HW] Equipamiento informático (hardware)</t>
        </is>
      </c>
      <c r="E110" s="34" t="inlineStr">
        <is>
          <t>[A.6] Abuso de privilegios de acceso</t>
        </is>
      </c>
      <c r="F110" s="34">
        <f>+VLOOKUP(E110,'CATALOGO AMENAZA'!$B$2:$D$46,3,FALSE)</f>
        <v/>
      </c>
      <c r="G110" s="34" t="inlineStr">
        <is>
          <t>X</t>
        </is>
      </c>
      <c r="H110" s="34" t="inlineStr">
        <is>
          <t>X</t>
        </is>
      </c>
      <c r="I110" s="34" t="inlineStr">
        <is>
          <t>X</t>
        </is>
      </c>
      <c r="J110" s="34" t="n">
        <v>2</v>
      </c>
      <c r="K110" s="34" t="n">
        <v>4</v>
      </c>
      <c r="L110" s="34">
        <f>+J110*K110</f>
        <v/>
      </c>
      <c r="M110" s="34">
        <f>+IF(L110&lt;5,"BAJO",IF(L110&lt;10,"MEDIO",IF(L110&lt;17,"ALTO","CRITICO")))</f>
        <v/>
      </c>
      <c r="N110" s="54" t="inlineStr">
        <is>
          <t>Registro de logs</t>
        </is>
      </c>
      <c r="O110" s="34" t="inlineStr">
        <is>
          <t>DETECTIVO</t>
        </is>
      </c>
      <c r="P110" s="34" t="inlineStr">
        <is>
          <t>Control Implementado sin evidencia de efectividad (Inefectivo prueba)</t>
        </is>
      </c>
      <c r="Q110" s="52" t="n">
        <v>0.3</v>
      </c>
      <c r="R110" s="4" t="inlineStr">
        <is>
          <t>Falta de revisión de perfiles de acceso</t>
        </is>
      </c>
      <c r="S110" s="53">
        <f>+IF(O110="PREVENTIVO",J110*(1-Q110),IF(O110="ADMINISTRACION",J110*(1-Q110),IF(O110="ELIMINACION",J110*(1-Q110),J110)))</f>
        <v/>
      </c>
      <c r="T110" s="53">
        <f>+IF(O110="DETECTIVO",K110*(1-Q110),IF(O110="RECUPERACION",K110*(1-Q110),K110))</f>
        <v/>
      </c>
      <c r="U110" s="54">
        <f>+S110*T110</f>
        <v/>
      </c>
      <c r="V110" s="65">
        <f>+IF(U110&lt;5,"BAJO",IF(U110&lt;10,"MEDIO",IF(U110&lt;17,"ALTO","CRITICO")))</f>
        <v/>
      </c>
      <c r="W110" s="87" t="inlineStr">
        <is>
          <t>MITIGAR</t>
        </is>
      </c>
      <c r="X110" s="80" t="inlineStr">
        <is>
          <t>-</t>
        </is>
      </c>
      <c r="Y110" s="80" t="inlineStr">
        <is>
          <t>-</t>
        </is>
      </c>
      <c r="Z110" s="80" t="inlineStr">
        <is>
          <t>-</t>
        </is>
      </c>
    </row>
    <row r="111" hidden="1" ht="22.5" customHeight="1" s="106">
      <c r="A111" s="57" t="inlineStr">
        <is>
          <t>89-GTI</t>
        </is>
      </c>
      <c r="B111" s="17" t="inlineStr">
        <is>
          <t>Ruteador CISCO 880 Series (05)</t>
        </is>
      </c>
      <c r="C111" s="17" t="inlineStr">
        <is>
          <t>Ruteador para enlaces de comunicación / 192.168.60.253</t>
        </is>
      </c>
      <c r="D111" s="64" t="inlineStr">
        <is>
          <t>[HW] Equipamiento informático (hardware)</t>
        </is>
      </c>
      <c r="E111" s="34" t="inlineStr">
        <is>
          <t>[E.23] Errores de mantenimiento / actualización de equipos (hardware)</t>
        </is>
      </c>
      <c r="F111" s="34">
        <f>+VLOOKUP(E111,'CATALOGO AMENAZA'!$B$2:$D$46,3,FALSE)</f>
        <v/>
      </c>
      <c r="G111" s="34" t="n"/>
      <c r="H111" s="34" t="n"/>
      <c r="I111" s="34" t="inlineStr">
        <is>
          <t>X</t>
        </is>
      </c>
      <c r="J111" s="34" t="n">
        <v>3</v>
      </c>
      <c r="K111" s="34" t="n">
        <v>3</v>
      </c>
      <c r="L111" s="34">
        <f>+J111*K111</f>
        <v/>
      </c>
      <c r="M111" s="34">
        <f>+IF(L111&lt;5,"BAJO",IF(L111&lt;10,"MEDIO",IF(L111&lt;17,"ALTO","CRITICO")))</f>
        <v/>
      </c>
      <c r="N111" s="4" t="inlineStr">
        <is>
          <t>Gestión de vulnerabilidades</t>
        </is>
      </c>
      <c r="O111" s="34" t="inlineStr">
        <is>
          <t>PREVENTIVO</t>
        </is>
      </c>
      <c r="P111" s="34" t="inlineStr">
        <is>
          <t>Control Implementado sin evidencia de efectividad (Inefectivo prueba)</t>
        </is>
      </c>
      <c r="Q111" s="52" t="n">
        <v>0.4</v>
      </c>
      <c r="R111" s="4" t="inlineStr">
        <is>
          <t>Recursos tecnológicos insuficientes para remediación</t>
        </is>
      </c>
      <c r="S111" s="53">
        <f>+IF(O111="PREVENTIVO",J111*(1-Q111),IF(O111="ADMINISTRACION",J111*(1-Q111),IF(O111="ELIMINACION",J111*(1-Q111),J111)))</f>
        <v/>
      </c>
      <c r="T111" s="53">
        <f>+IF(O111="DETECTIVO",K111*(1-Q111),IF(O111="RECUPERACION",K111*(1-Q111),K111))</f>
        <v/>
      </c>
      <c r="U111" s="54">
        <f>+S111*T111</f>
        <v/>
      </c>
      <c r="V111" s="65">
        <f>+IF(U111&lt;5,"BAJO",IF(U111&lt;10,"MEDIO",IF(U111&lt;17,"ALTO","CRITICO")))</f>
        <v/>
      </c>
      <c r="W111" s="87" t="inlineStr">
        <is>
          <t>MITIGAR</t>
        </is>
      </c>
      <c r="X111" s="80" t="inlineStr">
        <is>
          <t>-</t>
        </is>
      </c>
      <c r="Y111" s="80" t="inlineStr">
        <is>
          <t>-</t>
        </is>
      </c>
      <c r="Z111" s="80" t="inlineStr">
        <is>
          <t>-</t>
        </is>
      </c>
    </row>
    <row r="112" hidden="1" ht="22.5" customHeight="1" s="106">
      <c r="A112" s="57" t="inlineStr">
        <is>
          <t>90-GTI</t>
        </is>
      </c>
      <c r="B112" s="17" t="inlineStr">
        <is>
          <t>Ruteador CISCO 1800 Series (06)</t>
        </is>
      </c>
      <c r="C112" s="17" t="inlineStr">
        <is>
          <t>Ruteador para enlaces de comunicación / 192.168.31.253</t>
        </is>
      </c>
      <c r="D112" s="64" t="inlineStr">
        <is>
          <t>[HW] Equipamiento informático (hardware)</t>
        </is>
      </c>
      <c r="E112" s="34" t="inlineStr">
        <is>
          <t>[E.2] Errores del administrador</t>
        </is>
      </c>
      <c r="F112" s="34">
        <f>+VLOOKUP(E112,'CATALOGO AMENAZA'!$B$2:$D$46,3,FALSE)</f>
        <v/>
      </c>
      <c r="G112" s="34" t="inlineStr">
        <is>
          <t>X</t>
        </is>
      </c>
      <c r="H112" s="34" t="inlineStr">
        <is>
          <t>X</t>
        </is>
      </c>
      <c r="I112" s="34" t="inlineStr">
        <is>
          <t>X</t>
        </is>
      </c>
      <c r="J112" s="34" t="n">
        <v>2</v>
      </c>
      <c r="K112" s="34" t="n">
        <v>3</v>
      </c>
      <c r="L112" s="34">
        <f>+J112*K112</f>
        <v/>
      </c>
      <c r="M112" s="34">
        <f>+IF(L112&lt;5,"BAJO",IF(L112&lt;10,"MEDIO",IF(L112&lt;17,"ALTO","CRITICO")))</f>
        <v/>
      </c>
      <c r="N112" s="4" t="inlineStr">
        <is>
          <t>Control de cambios en los sistemas
Verificación posterior (informe)</t>
        </is>
      </c>
      <c r="O112" s="34" t="inlineStr">
        <is>
          <t>ADMINISTRACION</t>
        </is>
      </c>
      <c r="P112" s="34" t="inlineStr">
        <is>
          <t>Control Implementado sin evidencia de efectividad (Inefectivo prueba)</t>
        </is>
      </c>
      <c r="Q112" s="52" t="n">
        <v>0.3</v>
      </c>
      <c r="R112" s="4" t="inlineStr">
        <is>
          <t>No existe procedimiento formal de gestión de cambios</t>
        </is>
      </c>
      <c r="S112" s="53">
        <f>+IF(O112="PREVENTIVO",J112*(1-Q112),IF(O112="ADMINISTRACION",J112*(1-Q112),IF(O112="ELIMINACION",J112*(1-Q112),J112)))</f>
        <v/>
      </c>
      <c r="T112" s="53">
        <f>+IF(O112="DETECTIVO",K112*(1-Q112),IF(O112="RECUPERACION",K112*(1-Q112),K112))</f>
        <v/>
      </c>
      <c r="U112" s="54">
        <f>+S112*T112</f>
        <v/>
      </c>
      <c r="V112" s="65">
        <f>+IF(U112&lt;5,"BAJO",IF(U112&lt;10,"MEDIO",IF(U112&lt;17,"ALTO","CRITICO")))</f>
        <v/>
      </c>
      <c r="W112" s="65" t="inlineStr">
        <is>
          <t>ACEPTABLE</t>
        </is>
      </c>
      <c r="X112" s="80" t="inlineStr">
        <is>
          <t>-</t>
        </is>
      </c>
      <c r="Y112" s="80" t="inlineStr">
        <is>
          <t>-</t>
        </is>
      </c>
      <c r="Z112" s="80" t="inlineStr">
        <is>
          <t>-</t>
        </is>
      </c>
    </row>
    <row r="113" hidden="1" ht="22.5" customHeight="1" s="106">
      <c r="A113" s="57" t="inlineStr">
        <is>
          <t>90-GTI</t>
        </is>
      </c>
      <c r="B113" s="17" t="inlineStr">
        <is>
          <t>Ruteador CISCO 1800 Series (06)</t>
        </is>
      </c>
      <c r="C113" s="17" t="inlineStr">
        <is>
          <t>Ruteador para enlaces de comunicación / 192.168.31.253</t>
        </is>
      </c>
      <c r="D113" s="64" t="inlineStr">
        <is>
          <t>[HW] Equipamiento informático (hardware)</t>
        </is>
      </c>
      <c r="E113" s="34" t="inlineStr">
        <is>
          <t>[A.11] Acceso no autorizado</t>
        </is>
      </c>
      <c r="F113" s="34">
        <f>+VLOOKUP(E113,'CATALOGO AMENAZA'!$B$2:$D$46,3,FALSE)</f>
        <v/>
      </c>
      <c r="G113" s="34" t="inlineStr">
        <is>
          <t>X</t>
        </is>
      </c>
      <c r="H113" s="34" t="inlineStr">
        <is>
          <t>X</t>
        </is>
      </c>
      <c r="I113" s="34" t="n"/>
      <c r="J113" s="34" t="n">
        <v>2</v>
      </c>
      <c r="K113" s="34" t="n">
        <v>4</v>
      </c>
      <c r="L113" s="34">
        <f>+J113*K113</f>
        <v/>
      </c>
      <c r="M113" s="34">
        <f>+IF(L113&lt;5,"BAJO",IF(L113&lt;10,"MEDIO",IF(L113&lt;17,"ALTO","CRITICO")))</f>
        <v/>
      </c>
      <c r="N113" s="4" t="inlineStr">
        <is>
          <t>Control de accesos / VPN</t>
        </is>
      </c>
      <c r="O113" s="34" t="inlineStr">
        <is>
          <t>PREVENTIVO</t>
        </is>
      </c>
      <c r="P113" s="34" t="inlineStr">
        <is>
          <t>Control Implementado sin evidencia de efectividad (Inefectivo prueba)</t>
        </is>
      </c>
      <c r="Q113" s="52" t="n">
        <v>0.3</v>
      </c>
      <c r="R113" s="4" t="inlineStr">
        <is>
          <t>Contreaseñas de VPN no expiran</t>
        </is>
      </c>
      <c r="S113" s="53">
        <f>+IF(O113="PREVENTIVO",J113*(1-Q113),IF(O113="ADMINISTRACION",J113*(1-Q113),IF(O113="ELIMINACION",J113*(1-Q113),J113)))</f>
        <v/>
      </c>
      <c r="T113" s="53">
        <f>+IF(O113="DETECTIVO",K113*(1-Q113),IF(O113="RECUPERACION",K113*(1-Q113),K113))</f>
        <v/>
      </c>
      <c r="U113" s="54">
        <f>+S113*T113</f>
        <v/>
      </c>
      <c r="V113" s="65">
        <f>+IF(U113&lt;5,"BAJO",IF(U113&lt;10,"MEDIO",IF(U113&lt;17,"ALTO","CRITICO")))</f>
        <v/>
      </c>
      <c r="W113" s="87" t="inlineStr">
        <is>
          <t>MITIGAR</t>
        </is>
      </c>
      <c r="X113" s="80" t="inlineStr">
        <is>
          <t>-</t>
        </is>
      </c>
      <c r="Y113" s="80" t="inlineStr">
        <is>
          <t>-</t>
        </is>
      </c>
      <c r="Z113" s="80" t="inlineStr">
        <is>
          <t>-</t>
        </is>
      </c>
    </row>
    <row r="114" hidden="1" ht="22.5" customHeight="1" s="106">
      <c r="A114" s="57" t="inlineStr">
        <is>
          <t>90-GTI</t>
        </is>
      </c>
      <c r="B114" s="17" t="inlineStr">
        <is>
          <t>Ruteador CISCO 1800 Series (06)</t>
        </is>
      </c>
      <c r="C114" s="17" t="inlineStr">
        <is>
          <t>Ruteador para enlaces de comunicación / 192.168.31.253</t>
        </is>
      </c>
      <c r="D114" s="64" t="inlineStr">
        <is>
          <t>[HW] Equipamiento informático (hardware)</t>
        </is>
      </c>
      <c r="E114" s="34" t="inlineStr">
        <is>
          <t>[A.6] Abuso de privilegios de acceso</t>
        </is>
      </c>
      <c r="F114" s="34">
        <f>+VLOOKUP(E114,'CATALOGO AMENAZA'!$B$2:$D$46,3,FALSE)</f>
        <v/>
      </c>
      <c r="G114" s="34" t="inlineStr">
        <is>
          <t>X</t>
        </is>
      </c>
      <c r="H114" s="34" t="inlineStr">
        <is>
          <t>X</t>
        </is>
      </c>
      <c r="I114" s="34" t="inlineStr">
        <is>
          <t>X</t>
        </is>
      </c>
      <c r="J114" s="34" t="n">
        <v>2</v>
      </c>
      <c r="K114" s="34" t="n">
        <v>4</v>
      </c>
      <c r="L114" s="34">
        <f>+J114*K114</f>
        <v/>
      </c>
      <c r="M114" s="34">
        <f>+IF(L114&lt;5,"BAJO",IF(L114&lt;10,"MEDIO",IF(L114&lt;17,"ALTO","CRITICO")))</f>
        <v/>
      </c>
      <c r="N114" s="54" t="inlineStr">
        <is>
          <t>Registro de logs</t>
        </is>
      </c>
      <c r="O114" s="34" t="inlineStr">
        <is>
          <t>DETECTIVO</t>
        </is>
      </c>
      <c r="P114" s="34" t="inlineStr">
        <is>
          <t>Control Implementado sin evidencia de efectividad (Inefectivo prueba)</t>
        </is>
      </c>
      <c r="Q114" s="52" t="n">
        <v>0.3</v>
      </c>
      <c r="R114" s="4" t="inlineStr">
        <is>
          <t>Falta de revisión de perfiles de acceso</t>
        </is>
      </c>
      <c r="S114" s="53">
        <f>+IF(O114="PREVENTIVO",J114*(1-Q114),IF(O114="ADMINISTRACION",J114*(1-Q114),IF(O114="ELIMINACION",J114*(1-Q114),J114)))</f>
        <v/>
      </c>
      <c r="T114" s="53">
        <f>+IF(O114="DETECTIVO",K114*(1-Q114),IF(O114="RECUPERACION",K114*(1-Q114),K114))</f>
        <v/>
      </c>
      <c r="U114" s="54">
        <f>+S114*T114</f>
        <v/>
      </c>
      <c r="V114" s="65">
        <f>+IF(U114&lt;5,"BAJO",IF(U114&lt;10,"MEDIO",IF(U114&lt;17,"ALTO","CRITICO")))</f>
        <v/>
      </c>
      <c r="W114" s="87" t="inlineStr">
        <is>
          <t>MITIGAR</t>
        </is>
      </c>
      <c r="X114" s="80" t="inlineStr">
        <is>
          <t>-</t>
        </is>
      </c>
      <c r="Y114" s="80" t="inlineStr">
        <is>
          <t>-</t>
        </is>
      </c>
      <c r="Z114" s="80" t="inlineStr">
        <is>
          <t>-</t>
        </is>
      </c>
    </row>
    <row r="115" hidden="1" ht="22.5" customHeight="1" s="106">
      <c r="A115" s="57" t="inlineStr">
        <is>
          <t>90-GTI</t>
        </is>
      </c>
      <c r="B115" s="17" t="inlineStr">
        <is>
          <t>Ruteador CISCO 1800 Series (06)</t>
        </is>
      </c>
      <c r="C115" s="17" t="inlineStr">
        <is>
          <t>Ruteador para enlaces de comunicación / 192.168.31.253</t>
        </is>
      </c>
      <c r="D115" s="64" t="inlineStr">
        <is>
          <t>[HW] Equipamiento informático (hardware)</t>
        </is>
      </c>
      <c r="E115" s="34" t="inlineStr">
        <is>
          <t>[E.23] Errores de mantenimiento / actualización de equipos (hardware)</t>
        </is>
      </c>
      <c r="F115" s="34">
        <f>+VLOOKUP(E115,'CATALOGO AMENAZA'!$B$2:$D$46,3,FALSE)</f>
        <v/>
      </c>
      <c r="G115" s="34" t="n"/>
      <c r="H115" s="34" t="n"/>
      <c r="I115" s="34" t="inlineStr">
        <is>
          <t>X</t>
        </is>
      </c>
      <c r="J115" s="34" t="n">
        <v>3</v>
      </c>
      <c r="K115" s="34" t="n">
        <v>3</v>
      </c>
      <c r="L115" s="34">
        <f>+J115*K115</f>
        <v/>
      </c>
      <c r="M115" s="34">
        <f>+IF(L115&lt;5,"BAJO",IF(L115&lt;10,"MEDIO",IF(L115&lt;17,"ALTO","CRITICO")))</f>
        <v/>
      </c>
      <c r="N115" s="4" t="inlineStr">
        <is>
          <t>Gestión de vulnerabilidades</t>
        </is>
      </c>
      <c r="O115" s="34" t="inlineStr">
        <is>
          <t>PREVENTIVO</t>
        </is>
      </c>
      <c r="P115" s="34" t="inlineStr">
        <is>
          <t>Control Implementado sin evidencia de efectividad (Inefectivo prueba)</t>
        </is>
      </c>
      <c r="Q115" s="52" t="n">
        <v>0.4</v>
      </c>
      <c r="R115" s="4" t="inlineStr">
        <is>
          <t>Recursos tecnológicos insuficientes para remediación</t>
        </is>
      </c>
      <c r="S115" s="53">
        <f>+IF(O115="PREVENTIVO",J115*(1-Q115),IF(O115="ADMINISTRACION",J115*(1-Q115),IF(O115="ELIMINACION",J115*(1-Q115),J115)))</f>
        <v/>
      </c>
      <c r="T115" s="53">
        <f>+IF(O115="DETECTIVO",K115*(1-Q115),IF(O115="RECUPERACION",K115*(1-Q115),K115))</f>
        <v/>
      </c>
      <c r="U115" s="54">
        <f>+S115*T115</f>
        <v/>
      </c>
      <c r="V115" s="65">
        <f>+IF(U115&lt;5,"BAJO",IF(U115&lt;10,"MEDIO",IF(U115&lt;17,"ALTO","CRITICO")))</f>
        <v/>
      </c>
      <c r="W115" s="87" t="inlineStr">
        <is>
          <t>MITIGAR</t>
        </is>
      </c>
      <c r="X115" s="80" t="inlineStr">
        <is>
          <t>-</t>
        </is>
      </c>
      <c r="Y115" s="80" t="inlineStr">
        <is>
          <t>-</t>
        </is>
      </c>
      <c r="Z115" s="80" t="inlineStr">
        <is>
          <t>-</t>
        </is>
      </c>
    </row>
    <row r="116" hidden="1" ht="22.5" customHeight="1" s="106">
      <c r="A116" s="57" t="inlineStr">
        <is>
          <t>91-GTI</t>
        </is>
      </c>
      <c r="B116" s="17" t="inlineStr">
        <is>
          <t>Ruteador CISCO 1800 Series (07)</t>
        </is>
      </c>
      <c r="C116" s="17" t="inlineStr">
        <is>
          <t>Ruteador para enlaces de comunicación / 192.168.80.253</t>
        </is>
      </c>
      <c r="D116" s="64" t="inlineStr">
        <is>
          <t>[HW] Equipamiento informático (hardware)</t>
        </is>
      </c>
      <c r="E116" s="34" t="inlineStr">
        <is>
          <t>[E.2] Errores del administrador</t>
        </is>
      </c>
      <c r="F116" s="34">
        <f>+VLOOKUP(E116,'CATALOGO AMENAZA'!$B$2:$D$46,3,FALSE)</f>
        <v/>
      </c>
      <c r="G116" s="34" t="inlineStr">
        <is>
          <t>X</t>
        </is>
      </c>
      <c r="H116" s="34" t="inlineStr">
        <is>
          <t>X</t>
        </is>
      </c>
      <c r="I116" s="34" t="inlineStr">
        <is>
          <t>X</t>
        </is>
      </c>
      <c r="J116" s="34" t="n">
        <v>2</v>
      </c>
      <c r="K116" s="34" t="n">
        <v>3</v>
      </c>
      <c r="L116" s="34">
        <f>+J116*K116</f>
        <v/>
      </c>
      <c r="M116" s="34">
        <f>+IF(L116&lt;5,"BAJO",IF(L116&lt;10,"MEDIO",IF(L116&lt;17,"ALTO","CRITICO")))</f>
        <v/>
      </c>
      <c r="N116" s="4" t="inlineStr">
        <is>
          <t>Control de cambios en los sistemas
Verificación posterior (informe)</t>
        </is>
      </c>
      <c r="O116" s="34" t="inlineStr">
        <is>
          <t>ADMINISTRACION</t>
        </is>
      </c>
      <c r="P116" s="34" t="inlineStr">
        <is>
          <t>Control Implementado sin evidencia de efectividad (Inefectivo prueba)</t>
        </is>
      </c>
      <c r="Q116" s="52" t="n">
        <v>0.3</v>
      </c>
      <c r="R116" s="4" t="inlineStr">
        <is>
          <t>No existe procedimiento formal de gestión de cambios</t>
        </is>
      </c>
      <c r="S116" s="53">
        <f>+IF(O116="PREVENTIVO",J116*(1-Q116),IF(O116="ADMINISTRACION",J116*(1-Q116),IF(O116="ELIMINACION",J116*(1-Q116),J116)))</f>
        <v/>
      </c>
      <c r="T116" s="53">
        <f>+IF(O116="DETECTIVO",K116*(1-Q116),IF(O116="RECUPERACION",K116*(1-Q116),K116))</f>
        <v/>
      </c>
      <c r="U116" s="54">
        <f>+S116*T116</f>
        <v/>
      </c>
      <c r="V116" s="65">
        <f>+IF(U116&lt;5,"BAJO",IF(U116&lt;10,"MEDIO",IF(U116&lt;17,"ALTO","CRITICO")))</f>
        <v/>
      </c>
      <c r="W116" s="65" t="inlineStr">
        <is>
          <t>ACEPTABLE</t>
        </is>
      </c>
      <c r="X116" s="80" t="inlineStr">
        <is>
          <t>-</t>
        </is>
      </c>
      <c r="Y116" s="80" t="inlineStr">
        <is>
          <t>-</t>
        </is>
      </c>
      <c r="Z116" s="80" t="inlineStr">
        <is>
          <t>-</t>
        </is>
      </c>
    </row>
    <row r="117" hidden="1" ht="22.5" customHeight="1" s="106">
      <c r="A117" s="57" t="inlineStr">
        <is>
          <t>91-GTI</t>
        </is>
      </c>
      <c r="B117" s="17" t="inlineStr">
        <is>
          <t>Ruteador CISCO 1800 Series (07)</t>
        </is>
      </c>
      <c r="C117" s="17" t="inlineStr">
        <is>
          <t>Ruteador para enlaces de comunicación / 192.168.80.253</t>
        </is>
      </c>
      <c r="D117" s="64" t="inlineStr">
        <is>
          <t>[HW] Equipamiento informático (hardware)</t>
        </is>
      </c>
      <c r="E117" s="34" t="inlineStr">
        <is>
          <t>[A.11] Acceso no autorizado</t>
        </is>
      </c>
      <c r="F117" s="34">
        <f>+VLOOKUP(E117,'CATALOGO AMENAZA'!$B$2:$D$46,3,FALSE)</f>
        <v/>
      </c>
      <c r="G117" s="34" t="inlineStr">
        <is>
          <t>X</t>
        </is>
      </c>
      <c r="H117" s="34" t="inlineStr">
        <is>
          <t>X</t>
        </is>
      </c>
      <c r="I117" s="34" t="n"/>
      <c r="J117" s="34" t="n">
        <v>2</v>
      </c>
      <c r="K117" s="34" t="n">
        <v>4</v>
      </c>
      <c r="L117" s="34">
        <f>+J117*K117</f>
        <v/>
      </c>
      <c r="M117" s="34">
        <f>+IF(L117&lt;5,"BAJO",IF(L117&lt;10,"MEDIO",IF(L117&lt;17,"ALTO","CRITICO")))</f>
        <v/>
      </c>
      <c r="N117" s="4" t="inlineStr">
        <is>
          <t>Control de accesos / VPN</t>
        </is>
      </c>
      <c r="O117" s="34" t="inlineStr">
        <is>
          <t>PREVENTIVO</t>
        </is>
      </c>
      <c r="P117" s="34" t="inlineStr">
        <is>
          <t>Control Implementado sin evidencia de efectividad (Inefectivo prueba)</t>
        </is>
      </c>
      <c r="Q117" s="52" t="n">
        <v>0.3</v>
      </c>
      <c r="R117" s="4" t="inlineStr">
        <is>
          <t>Contreaseñas de VPN no expiran</t>
        </is>
      </c>
      <c r="S117" s="53">
        <f>+IF(O117="PREVENTIVO",J117*(1-Q117),IF(O117="ADMINISTRACION",J117*(1-Q117),IF(O117="ELIMINACION",J117*(1-Q117),J117)))</f>
        <v/>
      </c>
      <c r="T117" s="53">
        <f>+IF(O117="DETECTIVO",K117*(1-Q117),IF(O117="RECUPERACION",K117*(1-Q117),K117))</f>
        <v/>
      </c>
      <c r="U117" s="54">
        <f>+S117*T117</f>
        <v/>
      </c>
      <c r="V117" s="65">
        <f>+IF(U117&lt;5,"BAJO",IF(U117&lt;10,"MEDIO",IF(U117&lt;17,"ALTO","CRITICO")))</f>
        <v/>
      </c>
      <c r="W117" s="87" t="inlineStr">
        <is>
          <t>MITIGAR</t>
        </is>
      </c>
      <c r="X117" s="80" t="inlineStr">
        <is>
          <t>-</t>
        </is>
      </c>
      <c r="Y117" s="80" t="inlineStr">
        <is>
          <t>-</t>
        </is>
      </c>
      <c r="Z117" s="80" t="inlineStr">
        <is>
          <t>-</t>
        </is>
      </c>
    </row>
    <row r="118" hidden="1" ht="22.5" customHeight="1" s="106">
      <c r="A118" s="57" t="inlineStr">
        <is>
          <t>91-GTI</t>
        </is>
      </c>
      <c r="B118" s="17" t="inlineStr">
        <is>
          <t>Ruteador CISCO 1800 Series (07)</t>
        </is>
      </c>
      <c r="C118" s="17" t="inlineStr">
        <is>
          <t>Ruteador para enlaces de comunicación / 192.168.80.253</t>
        </is>
      </c>
      <c r="D118" s="64" t="inlineStr">
        <is>
          <t>[HW] Equipamiento informático (hardware)</t>
        </is>
      </c>
      <c r="E118" s="34" t="inlineStr">
        <is>
          <t>[A.6] Abuso de privilegios de acceso</t>
        </is>
      </c>
      <c r="F118" s="34">
        <f>+VLOOKUP(E118,'CATALOGO AMENAZA'!$B$2:$D$46,3,FALSE)</f>
        <v/>
      </c>
      <c r="G118" s="34" t="inlineStr">
        <is>
          <t>X</t>
        </is>
      </c>
      <c r="H118" s="34" t="inlineStr">
        <is>
          <t>X</t>
        </is>
      </c>
      <c r="I118" s="34" t="inlineStr">
        <is>
          <t>X</t>
        </is>
      </c>
      <c r="J118" s="34" t="n">
        <v>2</v>
      </c>
      <c r="K118" s="34" t="n">
        <v>4</v>
      </c>
      <c r="L118" s="34">
        <f>+J118*K118</f>
        <v/>
      </c>
      <c r="M118" s="34">
        <f>+IF(L118&lt;5,"BAJO",IF(L118&lt;10,"MEDIO",IF(L118&lt;17,"ALTO","CRITICO")))</f>
        <v/>
      </c>
      <c r="N118" s="54" t="inlineStr">
        <is>
          <t>Registro de logs</t>
        </is>
      </c>
      <c r="O118" s="34" t="inlineStr">
        <is>
          <t>DETECTIVO</t>
        </is>
      </c>
      <c r="P118" s="34" t="inlineStr">
        <is>
          <t>Control Implementado sin evidencia de efectividad (Inefectivo prueba)</t>
        </is>
      </c>
      <c r="Q118" s="52" t="n">
        <v>0.3</v>
      </c>
      <c r="R118" s="4" t="inlineStr">
        <is>
          <t>Falta de revisión de perfiles de acceso</t>
        </is>
      </c>
      <c r="S118" s="53">
        <f>+IF(O118="PREVENTIVO",J118*(1-Q118),IF(O118="ADMINISTRACION",J118*(1-Q118),IF(O118="ELIMINACION",J118*(1-Q118),J118)))</f>
        <v/>
      </c>
      <c r="T118" s="53">
        <f>+IF(O118="DETECTIVO",K118*(1-Q118),IF(O118="RECUPERACION",K118*(1-Q118),K118))</f>
        <v/>
      </c>
      <c r="U118" s="54">
        <f>+S118*T118</f>
        <v/>
      </c>
      <c r="V118" s="65">
        <f>+IF(U118&lt;5,"BAJO",IF(U118&lt;10,"MEDIO",IF(U118&lt;17,"ALTO","CRITICO")))</f>
        <v/>
      </c>
      <c r="W118" s="87" t="inlineStr">
        <is>
          <t>MITIGAR</t>
        </is>
      </c>
      <c r="X118" s="80" t="inlineStr">
        <is>
          <t>-</t>
        </is>
      </c>
      <c r="Y118" s="80" t="inlineStr">
        <is>
          <t>-</t>
        </is>
      </c>
      <c r="Z118" s="80" t="inlineStr">
        <is>
          <t>-</t>
        </is>
      </c>
    </row>
    <row r="119" hidden="1" ht="22.5" customHeight="1" s="106">
      <c r="A119" s="57" t="inlineStr">
        <is>
          <t>91-GTI</t>
        </is>
      </c>
      <c r="B119" s="17" t="inlineStr">
        <is>
          <t>Ruteador CISCO 1800 Series (07)</t>
        </is>
      </c>
      <c r="C119" s="17" t="inlineStr">
        <is>
          <t>Ruteador para enlaces de comunicación / 192.168.80.253</t>
        </is>
      </c>
      <c r="D119" s="64" t="inlineStr">
        <is>
          <t>[HW] Equipamiento informático (hardware)</t>
        </is>
      </c>
      <c r="E119" s="34" t="inlineStr">
        <is>
          <t>[E.23] Errores de mantenimiento / actualización de equipos (hardware)</t>
        </is>
      </c>
      <c r="F119" s="34">
        <f>+VLOOKUP(E119,'CATALOGO AMENAZA'!$B$2:$D$46,3,FALSE)</f>
        <v/>
      </c>
      <c r="G119" s="34" t="n"/>
      <c r="H119" s="34" t="n"/>
      <c r="I119" s="34" t="inlineStr">
        <is>
          <t>X</t>
        </is>
      </c>
      <c r="J119" s="34" t="n">
        <v>3</v>
      </c>
      <c r="K119" s="34" t="n">
        <v>3</v>
      </c>
      <c r="L119" s="34">
        <f>+J119*K119</f>
        <v/>
      </c>
      <c r="M119" s="34">
        <f>+IF(L119&lt;5,"BAJO",IF(L119&lt;10,"MEDIO",IF(L119&lt;17,"ALTO","CRITICO")))</f>
        <v/>
      </c>
      <c r="N119" s="4" t="inlineStr">
        <is>
          <t>Gestión de vulnerabilidades</t>
        </is>
      </c>
      <c r="O119" s="34" t="inlineStr">
        <is>
          <t>PREVENTIVO</t>
        </is>
      </c>
      <c r="P119" s="34" t="inlineStr">
        <is>
          <t>Control Implementado sin evidencia de efectividad (Inefectivo prueba)</t>
        </is>
      </c>
      <c r="Q119" s="52" t="n">
        <v>0.4</v>
      </c>
      <c r="R119" s="4" t="inlineStr">
        <is>
          <t>Recursos tecnológicos insuficientes para remediación</t>
        </is>
      </c>
      <c r="S119" s="53">
        <f>+IF(O119="PREVENTIVO",J119*(1-Q119),IF(O119="ADMINISTRACION",J119*(1-Q119),IF(O119="ELIMINACION",J119*(1-Q119),J119)))</f>
        <v/>
      </c>
      <c r="T119" s="53">
        <f>+IF(O119="DETECTIVO",K119*(1-Q119),IF(O119="RECUPERACION",K119*(1-Q119),K119))</f>
        <v/>
      </c>
      <c r="U119" s="54">
        <f>+S119*T119</f>
        <v/>
      </c>
      <c r="V119" s="65">
        <f>+IF(U119&lt;5,"BAJO",IF(U119&lt;10,"MEDIO",IF(U119&lt;17,"ALTO","CRITICO")))</f>
        <v/>
      </c>
      <c r="W119" s="87" t="inlineStr">
        <is>
          <t>MITIGAR</t>
        </is>
      </c>
      <c r="X119" s="80" t="inlineStr">
        <is>
          <t>-</t>
        </is>
      </c>
      <c r="Y119" s="80" t="inlineStr">
        <is>
          <t>-</t>
        </is>
      </c>
      <c r="Z119" s="80" t="inlineStr">
        <is>
          <t>-</t>
        </is>
      </c>
    </row>
    <row r="120" hidden="1" ht="22.5" customHeight="1" s="106">
      <c r="A120" s="57" t="inlineStr">
        <is>
          <t>92-GTI</t>
        </is>
      </c>
      <c r="B120" s="17" t="inlineStr">
        <is>
          <t>Ruteador CISCO 1800 Series (09)</t>
        </is>
      </c>
      <c r="C120" s="17" t="inlineStr">
        <is>
          <t>Ruteador para enlaces de comunicación / 192.168.82.253</t>
        </is>
      </c>
      <c r="D120" s="64" t="inlineStr">
        <is>
          <t>[HW] Equipamiento informático (hardware)</t>
        </is>
      </c>
      <c r="E120" s="34" t="inlineStr">
        <is>
          <t>[E.2] Errores del administrador</t>
        </is>
      </c>
      <c r="F120" s="34">
        <f>+VLOOKUP(E120,'CATALOGO AMENAZA'!$B$2:$D$46,3,FALSE)</f>
        <v/>
      </c>
      <c r="G120" s="34" t="inlineStr">
        <is>
          <t>X</t>
        </is>
      </c>
      <c r="H120" s="34" t="inlineStr">
        <is>
          <t>X</t>
        </is>
      </c>
      <c r="I120" s="34" t="inlineStr">
        <is>
          <t>X</t>
        </is>
      </c>
      <c r="J120" s="34" t="n">
        <v>2</v>
      </c>
      <c r="K120" s="34" t="n">
        <v>3</v>
      </c>
      <c r="L120" s="34">
        <f>+J120*K120</f>
        <v/>
      </c>
      <c r="M120" s="34">
        <f>+IF(L120&lt;5,"BAJO",IF(L120&lt;10,"MEDIO",IF(L120&lt;17,"ALTO","CRITICO")))</f>
        <v/>
      </c>
      <c r="N120" s="4" t="inlineStr">
        <is>
          <t>Control de cambios en los sistemas
Verificación posterior (informe)</t>
        </is>
      </c>
      <c r="O120" s="34" t="inlineStr">
        <is>
          <t>ADMINISTRACION</t>
        </is>
      </c>
      <c r="P120" s="34" t="inlineStr">
        <is>
          <t>Control Implementado sin evidencia de efectividad (Inefectivo prueba)</t>
        </is>
      </c>
      <c r="Q120" s="52" t="n">
        <v>0.3</v>
      </c>
      <c r="R120" s="4" t="inlineStr">
        <is>
          <t>No existe procedimiento formal de gestión de cambios</t>
        </is>
      </c>
      <c r="S120" s="53">
        <f>+IF(O120="PREVENTIVO",J120*(1-Q120),IF(O120="ADMINISTRACION",J120*(1-Q120),IF(O120="ELIMINACION",J120*(1-Q120),J120)))</f>
        <v/>
      </c>
      <c r="T120" s="53">
        <f>+IF(O120="DETECTIVO",K120*(1-Q120),IF(O120="RECUPERACION",K120*(1-Q120),K120))</f>
        <v/>
      </c>
      <c r="U120" s="54">
        <f>+S120*T120</f>
        <v/>
      </c>
      <c r="V120" s="65">
        <f>+IF(U120&lt;5,"BAJO",IF(U120&lt;10,"MEDIO",IF(U120&lt;17,"ALTO","CRITICO")))</f>
        <v/>
      </c>
      <c r="W120" s="65" t="inlineStr">
        <is>
          <t>ACEPTABLE</t>
        </is>
      </c>
      <c r="X120" s="80" t="inlineStr">
        <is>
          <t>-</t>
        </is>
      </c>
      <c r="Y120" s="80" t="inlineStr">
        <is>
          <t>-</t>
        </is>
      </c>
      <c r="Z120" s="80" t="inlineStr">
        <is>
          <t>-</t>
        </is>
      </c>
    </row>
    <row r="121" hidden="1" ht="22.5" customHeight="1" s="106">
      <c r="A121" s="57" t="inlineStr">
        <is>
          <t>92-GTI</t>
        </is>
      </c>
      <c r="B121" s="17" t="inlineStr">
        <is>
          <t>Ruteador CISCO 1800 Series (09)</t>
        </is>
      </c>
      <c r="C121" s="17" t="inlineStr">
        <is>
          <t>Ruteador para enlaces de comunicación / 192.168.82.253</t>
        </is>
      </c>
      <c r="D121" s="64" t="inlineStr">
        <is>
          <t>[HW] Equipamiento informático (hardware)</t>
        </is>
      </c>
      <c r="E121" s="34" t="inlineStr">
        <is>
          <t>[A.11] Acceso no autorizado</t>
        </is>
      </c>
      <c r="F121" s="34">
        <f>+VLOOKUP(E121,'CATALOGO AMENAZA'!$B$2:$D$46,3,FALSE)</f>
        <v/>
      </c>
      <c r="G121" s="34" t="inlineStr">
        <is>
          <t>X</t>
        </is>
      </c>
      <c r="H121" s="34" t="inlineStr">
        <is>
          <t>X</t>
        </is>
      </c>
      <c r="I121" s="34" t="n"/>
      <c r="J121" s="34" t="n">
        <v>2</v>
      </c>
      <c r="K121" s="34" t="n">
        <v>4</v>
      </c>
      <c r="L121" s="34">
        <f>+J121*K121</f>
        <v/>
      </c>
      <c r="M121" s="34">
        <f>+IF(L121&lt;5,"BAJO",IF(L121&lt;10,"MEDIO",IF(L121&lt;17,"ALTO","CRITICO")))</f>
        <v/>
      </c>
      <c r="N121" s="4" t="inlineStr">
        <is>
          <t>Control de accesos / VPN</t>
        </is>
      </c>
      <c r="O121" s="34" t="inlineStr">
        <is>
          <t>PREVENTIVO</t>
        </is>
      </c>
      <c r="P121" s="34" t="inlineStr">
        <is>
          <t>Control Implementado sin evidencia de efectividad (Inefectivo prueba)</t>
        </is>
      </c>
      <c r="Q121" s="52" t="n">
        <v>0.3</v>
      </c>
      <c r="R121" s="4" t="inlineStr">
        <is>
          <t>Contreaseñas de VPN no expiran</t>
        </is>
      </c>
      <c r="S121" s="53">
        <f>+IF(O121="PREVENTIVO",J121*(1-Q121),IF(O121="ADMINISTRACION",J121*(1-Q121),IF(O121="ELIMINACION",J121*(1-Q121),J121)))</f>
        <v/>
      </c>
      <c r="T121" s="53">
        <f>+IF(O121="DETECTIVO",K121*(1-Q121),IF(O121="RECUPERACION",K121*(1-Q121),K121))</f>
        <v/>
      </c>
      <c r="U121" s="54">
        <f>+S121*T121</f>
        <v/>
      </c>
      <c r="V121" s="65">
        <f>+IF(U121&lt;5,"BAJO",IF(U121&lt;10,"MEDIO",IF(U121&lt;17,"ALTO","CRITICO")))</f>
        <v/>
      </c>
      <c r="W121" s="87" t="inlineStr">
        <is>
          <t>MITIGAR</t>
        </is>
      </c>
      <c r="X121" s="80" t="inlineStr">
        <is>
          <t>-</t>
        </is>
      </c>
      <c r="Y121" s="80" t="inlineStr">
        <is>
          <t>-</t>
        </is>
      </c>
      <c r="Z121" s="80" t="inlineStr">
        <is>
          <t>-</t>
        </is>
      </c>
    </row>
    <row r="122" hidden="1" ht="22.5" customHeight="1" s="106">
      <c r="A122" s="57" t="inlineStr">
        <is>
          <t>92-GTI</t>
        </is>
      </c>
      <c r="B122" s="17" t="inlineStr">
        <is>
          <t>Ruteador CISCO 1800 Series (09)</t>
        </is>
      </c>
      <c r="C122" s="17" t="inlineStr">
        <is>
          <t>Ruteador para enlaces de comunicación / 192.168.82.253</t>
        </is>
      </c>
      <c r="D122" s="64" t="inlineStr">
        <is>
          <t>[HW] Equipamiento informático (hardware)</t>
        </is>
      </c>
      <c r="E122" s="34" t="inlineStr">
        <is>
          <t>[A.6] Abuso de privilegios de acceso</t>
        </is>
      </c>
      <c r="F122" s="34">
        <f>+VLOOKUP(E122,'CATALOGO AMENAZA'!$B$2:$D$46,3,FALSE)</f>
        <v/>
      </c>
      <c r="G122" s="34" t="inlineStr">
        <is>
          <t>X</t>
        </is>
      </c>
      <c r="H122" s="34" t="inlineStr">
        <is>
          <t>X</t>
        </is>
      </c>
      <c r="I122" s="34" t="inlineStr">
        <is>
          <t>X</t>
        </is>
      </c>
      <c r="J122" s="34" t="n">
        <v>2</v>
      </c>
      <c r="K122" s="34" t="n">
        <v>4</v>
      </c>
      <c r="L122" s="34">
        <f>+J122*K122</f>
        <v/>
      </c>
      <c r="M122" s="34">
        <f>+IF(L122&lt;5,"BAJO",IF(L122&lt;10,"MEDIO",IF(L122&lt;17,"ALTO","CRITICO")))</f>
        <v/>
      </c>
      <c r="N122" s="54" t="inlineStr">
        <is>
          <t>Registro de logs</t>
        </is>
      </c>
      <c r="O122" s="34" t="inlineStr">
        <is>
          <t>DETECTIVO</t>
        </is>
      </c>
      <c r="P122" s="34" t="inlineStr">
        <is>
          <t>Control Implementado sin evidencia de efectividad (Inefectivo prueba)</t>
        </is>
      </c>
      <c r="Q122" s="52" t="n">
        <v>0.3</v>
      </c>
      <c r="R122" s="4" t="inlineStr">
        <is>
          <t>Falta de revisión de perfiles de acceso</t>
        </is>
      </c>
      <c r="S122" s="53">
        <f>+IF(O122="PREVENTIVO",J122*(1-Q122),IF(O122="ADMINISTRACION",J122*(1-Q122),IF(O122="ELIMINACION",J122*(1-Q122),J122)))</f>
        <v/>
      </c>
      <c r="T122" s="53">
        <f>+IF(O122="DETECTIVO",K122*(1-Q122),IF(O122="RECUPERACION",K122*(1-Q122),K122))</f>
        <v/>
      </c>
      <c r="U122" s="54">
        <f>+S122*T122</f>
        <v/>
      </c>
      <c r="V122" s="65">
        <f>+IF(U122&lt;5,"BAJO",IF(U122&lt;10,"MEDIO",IF(U122&lt;17,"ALTO","CRITICO")))</f>
        <v/>
      </c>
      <c r="W122" s="87" t="inlineStr">
        <is>
          <t>MITIGAR</t>
        </is>
      </c>
      <c r="X122" s="80" t="inlineStr">
        <is>
          <t>-</t>
        </is>
      </c>
      <c r="Y122" s="80" t="inlineStr">
        <is>
          <t>-</t>
        </is>
      </c>
      <c r="Z122" s="80" t="inlineStr">
        <is>
          <t>-</t>
        </is>
      </c>
    </row>
    <row r="123" hidden="1" ht="22.5" customHeight="1" s="106">
      <c r="A123" s="57" t="inlineStr">
        <is>
          <t>92-GTI</t>
        </is>
      </c>
      <c r="B123" s="17" t="inlineStr">
        <is>
          <t>Ruteador CISCO 1800 Series (09)</t>
        </is>
      </c>
      <c r="C123" s="17" t="inlineStr">
        <is>
          <t>Ruteador para enlaces de comunicación / 192.168.82.253</t>
        </is>
      </c>
      <c r="D123" s="64" t="inlineStr">
        <is>
          <t>[HW] Equipamiento informático (hardware)</t>
        </is>
      </c>
      <c r="E123" s="34" t="inlineStr">
        <is>
          <t>[E.23] Errores de mantenimiento / actualización de equipos (hardware)</t>
        </is>
      </c>
      <c r="F123" s="34">
        <f>+VLOOKUP(E123,'CATALOGO AMENAZA'!$B$2:$D$46,3,FALSE)</f>
        <v/>
      </c>
      <c r="G123" s="34" t="n"/>
      <c r="H123" s="34" t="n"/>
      <c r="I123" s="34" t="inlineStr">
        <is>
          <t>X</t>
        </is>
      </c>
      <c r="J123" s="34" t="n">
        <v>3</v>
      </c>
      <c r="K123" s="34" t="n">
        <v>3</v>
      </c>
      <c r="L123" s="34">
        <f>+J123*K123</f>
        <v/>
      </c>
      <c r="M123" s="34">
        <f>+IF(L123&lt;5,"BAJO",IF(L123&lt;10,"MEDIO",IF(L123&lt;17,"ALTO","CRITICO")))</f>
        <v/>
      </c>
      <c r="N123" s="4" t="inlineStr">
        <is>
          <t>Gestión de vulnerabilidades</t>
        </is>
      </c>
      <c r="O123" s="34" t="inlineStr">
        <is>
          <t>PREVENTIVO</t>
        </is>
      </c>
      <c r="P123" s="34" t="inlineStr">
        <is>
          <t>Control Implementado sin evidencia de efectividad (Inefectivo prueba)</t>
        </is>
      </c>
      <c r="Q123" s="52" t="n">
        <v>0.4</v>
      </c>
      <c r="R123" s="4" t="inlineStr">
        <is>
          <t>Recursos tecnológicos insuficientes para remediación</t>
        </is>
      </c>
      <c r="S123" s="53">
        <f>+IF(O123="PREVENTIVO",J123*(1-Q123),IF(O123="ADMINISTRACION",J123*(1-Q123),IF(O123="ELIMINACION",J123*(1-Q123),J123)))</f>
        <v/>
      </c>
      <c r="T123" s="53">
        <f>+IF(O123="DETECTIVO",K123*(1-Q123),IF(O123="RECUPERACION",K123*(1-Q123),K123))</f>
        <v/>
      </c>
      <c r="U123" s="54">
        <f>+S123*T123</f>
        <v/>
      </c>
      <c r="V123" s="65">
        <f>+IF(U123&lt;5,"BAJO",IF(U123&lt;10,"MEDIO",IF(U123&lt;17,"ALTO","CRITICO")))</f>
        <v/>
      </c>
      <c r="W123" s="87" t="inlineStr">
        <is>
          <t>MITIGAR</t>
        </is>
      </c>
      <c r="X123" s="80" t="inlineStr">
        <is>
          <t>-</t>
        </is>
      </c>
      <c r="Y123" s="80" t="inlineStr">
        <is>
          <t>-</t>
        </is>
      </c>
      <c r="Z123" s="80" t="inlineStr">
        <is>
          <t>-</t>
        </is>
      </c>
    </row>
    <row r="124" hidden="1" ht="22.5" customHeight="1" s="106">
      <c r="A124" s="57" t="inlineStr">
        <is>
          <t>93-GTI</t>
        </is>
      </c>
      <c r="B124" s="17" t="inlineStr">
        <is>
          <t>Ruteador CISCO 1800 Series (08)</t>
        </is>
      </c>
      <c r="C124" s="17" t="inlineStr">
        <is>
          <t>Ruteador para enlaces de comunicación / 192.168.81.253</t>
        </is>
      </c>
      <c r="D124" s="64" t="inlineStr">
        <is>
          <t>[HW] Equipamiento informático (hardware)</t>
        </is>
      </c>
      <c r="E124" s="34" t="inlineStr">
        <is>
          <t>[E.2] Errores del administrador</t>
        </is>
      </c>
      <c r="F124" s="34">
        <f>+VLOOKUP(E124,'CATALOGO AMENAZA'!$B$2:$D$46,3,FALSE)</f>
        <v/>
      </c>
      <c r="G124" s="34" t="inlineStr">
        <is>
          <t>X</t>
        </is>
      </c>
      <c r="H124" s="34" t="inlineStr">
        <is>
          <t>X</t>
        </is>
      </c>
      <c r="I124" s="34" t="inlineStr">
        <is>
          <t>X</t>
        </is>
      </c>
      <c r="J124" s="34" t="n">
        <v>2</v>
      </c>
      <c r="K124" s="34" t="n">
        <v>3</v>
      </c>
      <c r="L124" s="34">
        <f>+J124*K124</f>
        <v/>
      </c>
      <c r="M124" s="34">
        <f>+IF(L124&lt;5,"BAJO",IF(L124&lt;10,"MEDIO",IF(L124&lt;17,"ALTO","CRITICO")))</f>
        <v/>
      </c>
      <c r="N124" s="4" t="inlineStr">
        <is>
          <t>Control de cambios en los sistemas
Verificación posterior (informe)</t>
        </is>
      </c>
      <c r="O124" s="34" t="inlineStr">
        <is>
          <t>ADMINISTRACION</t>
        </is>
      </c>
      <c r="P124" s="34" t="inlineStr">
        <is>
          <t>Control Implementado sin evidencia de efectividad (Inefectivo prueba)</t>
        </is>
      </c>
      <c r="Q124" s="52" t="n">
        <v>0.3</v>
      </c>
      <c r="R124" s="4" t="inlineStr">
        <is>
          <t>No existe procedimiento formal de gestión de cambios</t>
        </is>
      </c>
      <c r="S124" s="53">
        <f>+IF(O124="PREVENTIVO",J124*(1-Q124),IF(O124="ADMINISTRACION",J124*(1-Q124),IF(O124="ELIMINACION",J124*(1-Q124),J124)))</f>
        <v/>
      </c>
      <c r="T124" s="53">
        <f>+IF(O124="DETECTIVO",K124*(1-Q124),IF(O124="RECUPERACION",K124*(1-Q124),K124))</f>
        <v/>
      </c>
      <c r="U124" s="54">
        <f>+S124*T124</f>
        <v/>
      </c>
      <c r="V124" s="65">
        <f>+IF(U124&lt;5,"BAJO",IF(U124&lt;10,"MEDIO",IF(U124&lt;17,"ALTO","CRITICO")))</f>
        <v/>
      </c>
      <c r="W124" s="65" t="inlineStr">
        <is>
          <t>ACEPTABLE</t>
        </is>
      </c>
      <c r="X124" s="80" t="inlineStr">
        <is>
          <t>-</t>
        </is>
      </c>
      <c r="Y124" s="80" t="inlineStr">
        <is>
          <t>-</t>
        </is>
      </c>
      <c r="Z124" s="80" t="inlineStr">
        <is>
          <t>-</t>
        </is>
      </c>
    </row>
    <row r="125" hidden="1" ht="22.5" customHeight="1" s="106">
      <c r="A125" s="57" t="inlineStr">
        <is>
          <t>93-GTI</t>
        </is>
      </c>
      <c r="B125" s="17" t="inlineStr">
        <is>
          <t>Ruteador CISCO 1800 Series (08)</t>
        </is>
      </c>
      <c r="C125" s="17" t="inlineStr">
        <is>
          <t>Ruteador para enlaces de comunicación / 192.168.81.253</t>
        </is>
      </c>
      <c r="D125" s="64" t="inlineStr">
        <is>
          <t>[HW] Equipamiento informático (hardware)</t>
        </is>
      </c>
      <c r="E125" s="34" t="inlineStr">
        <is>
          <t>[A.11] Acceso no autorizado</t>
        </is>
      </c>
      <c r="F125" s="34">
        <f>+VLOOKUP(E125,'CATALOGO AMENAZA'!$B$2:$D$46,3,FALSE)</f>
        <v/>
      </c>
      <c r="G125" s="34" t="inlineStr">
        <is>
          <t>X</t>
        </is>
      </c>
      <c r="H125" s="34" t="inlineStr">
        <is>
          <t>X</t>
        </is>
      </c>
      <c r="I125" s="34" t="n"/>
      <c r="J125" s="34" t="n">
        <v>2</v>
      </c>
      <c r="K125" s="34" t="n">
        <v>4</v>
      </c>
      <c r="L125" s="34">
        <f>+J125*K125</f>
        <v/>
      </c>
      <c r="M125" s="34">
        <f>+IF(L125&lt;5,"BAJO",IF(L125&lt;10,"MEDIO",IF(L125&lt;17,"ALTO","CRITICO")))</f>
        <v/>
      </c>
      <c r="N125" s="4" t="inlineStr">
        <is>
          <t>Control de accesos / VPN</t>
        </is>
      </c>
      <c r="O125" s="34" t="inlineStr">
        <is>
          <t>PREVENTIVO</t>
        </is>
      </c>
      <c r="P125" s="34" t="inlineStr">
        <is>
          <t>Control Implementado sin evidencia de efectividad (Inefectivo prueba)</t>
        </is>
      </c>
      <c r="Q125" s="52" t="n">
        <v>0.3</v>
      </c>
      <c r="R125" s="4" t="inlineStr">
        <is>
          <t>Contreaseñas de VPN no expiran</t>
        </is>
      </c>
      <c r="S125" s="53">
        <f>+IF(O125="PREVENTIVO",J125*(1-Q125),IF(O125="ADMINISTRACION",J125*(1-Q125),IF(O125="ELIMINACION",J125*(1-Q125),J125)))</f>
        <v/>
      </c>
      <c r="T125" s="53">
        <f>+IF(O125="DETECTIVO",K125*(1-Q125),IF(O125="RECUPERACION",K125*(1-Q125),K125))</f>
        <v/>
      </c>
      <c r="U125" s="54">
        <f>+S125*T125</f>
        <v/>
      </c>
      <c r="V125" s="65">
        <f>+IF(U125&lt;5,"BAJO",IF(U125&lt;10,"MEDIO",IF(U125&lt;17,"ALTO","CRITICO")))</f>
        <v/>
      </c>
      <c r="W125" s="87" t="inlineStr">
        <is>
          <t>MITIGAR</t>
        </is>
      </c>
      <c r="X125" s="80" t="inlineStr">
        <is>
          <t>-</t>
        </is>
      </c>
      <c r="Y125" s="80" t="inlineStr">
        <is>
          <t>-</t>
        </is>
      </c>
      <c r="Z125" s="80" t="inlineStr">
        <is>
          <t>-</t>
        </is>
      </c>
    </row>
    <row r="126" hidden="1" ht="22.5" customHeight="1" s="106">
      <c r="A126" s="57" t="inlineStr">
        <is>
          <t>93-GTI</t>
        </is>
      </c>
      <c r="B126" s="17" t="inlineStr">
        <is>
          <t>Ruteador CISCO 1800 Series (08)</t>
        </is>
      </c>
      <c r="C126" s="17" t="inlineStr">
        <is>
          <t>Ruteador para enlaces de comunicación / 192.168.81.253</t>
        </is>
      </c>
      <c r="D126" s="64" t="inlineStr">
        <is>
          <t>[HW] Equipamiento informático (hardware)</t>
        </is>
      </c>
      <c r="E126" s="34" t="inlineStr">
        <is>
          <t>[A.6] Abuso de privilegios de acceso</t>
        </is>
      </c>
      <c r="F126" s="34">
        <f>+VLOOKUP(E126,'CATALOGO AMENAZA'!$B$2:$D$46,3,FALSE)</f>
        <v/>
      </c>
      <c r="G126" s="34" t="inlineStr">
        <is>
          <t>X</t>
        </is>
      </c>
      <c r="H126" s="34" t="inlineStr">
        <is>
          <t>X</t>
        </is>
      </c>
      <c r="I126" s="34" t="inlineStr">
        <is>
          <t>X</t>
        </is>
      </c>
      <c r="J126" s="34" t="n">
        <v>2</v>
      </c>
      <c r="K126" s="34" t="n">
        <v>4</v>
      </c>
      <c r="L126" s="34">
        <f>+J126*K126</f>
        <v/>
      </c>
      <c r="M126" s="34">
        <f>+IF(L126&lt;5,"BAJO",IF(L126&lt;10,"MEDIO",IF(L126&lt;17,"ALTO","CRITICO")))</f>
        <v/>
      </c>
      <c r="N126" s="54" t="inlineStr">
        <is>
          <t>Registro de logs</t>
        </is>
      </c>
      <c r="O126" s="34" t="inlineStr">
        <is>
          <t>DETECTIVO</t>
        </is>
      </c>
      <c r="P126" s="34" t="inlineStr">
        <is>
          <t>Control Implementado sin evidencia de efectividad (Inefectivo prueba)</t>
        </is>
      </c>
      <c r="Q126" s="52" t="n">
        <v>0.3</v>
      </c>
      <c r="R126" s="4" t="inlineStr">
        <is>
          <t>Falta de revisión de perfiles de acceso</t>
        </is>
      </c>
      <c r="S126" s="53">
        <f>+IF(O126="PREVENTIVO",J126*(1-Q126),IF(O126="ADMINISTRACION",J126*(1-Q126),IF(O126="ELIMINACION",J126*(1-Q126),J126)))</f>
        <v/>
      </c>
      <c r="T126" s="53">
        <f>+IF(O126="DETECTIVO",K126*(1-Q126),IF(O126="RECUPERACION",K126*(1-Q126),K126))</f>
        <v/>
      </c>
      <c r="U126" s="54">
        <f>+S126*T126</f>
        <v/>
      </c>
      <c r="V126" s="65">
        <f>+IF(U126&lt;5,"BAJO",IF(U126&lt;10,"MEDIO",IF(U126&lt;17,"ALTO","CRITICO")))</f>
        <v/>
      </c>
      <c r="W126" s="87" t="inlineStr">
        <is>
          <t>MITIGAR</t>
        </is>
      </c>
      <c r="X126" s="80" t="inlineStr">
        <is>
          <t>-</t>
        </is>
      </c>
      <c r="Y126" s="80" t="inlineStr">
        <is>
          <t>-</t>
        </is>
      </c>
      <c r="Z126" s="80" t="inlineStr">
        <is>
          <t>-</t>
        </is>
      </c>
    </row>
    <row r="127" hidden="1" ht="22.5" customHeight="1" s="106">
      <c r="A127" s="57" t="inlineStr">
        <is>
          <t>93-GTI</t>
        </is>
      </c>
      <c r="B127" s="17" t="inlineStr">
        <is>
          <t>Ruteador CISCO 1800 Series (08)</t>
        </is>
      </c>
      <c r="C127" s="17" t="inlineStr">
        <is>
          <t>Ruteador para enlaces de comunicación / 192.168.81.253</t>
        </is>
      </c>
      <c r="D127" s="64" t="inlineStr">
        <is>
          <t>[HW] Equipamiento informático (hardware)</t>
        </is>
      </c>
      <c r="E127" s="34" t="inlineStr">
        <is>
          <t>[E.23] Errores de mantenimiento / actualización de equipos (hardware)</t>
        </is>
      </c>
      <c r="F127" s="34">
        <f>+VLOOKUP(E127,'CATALOGO AMENAZA'!$B$2:$D$46,3,FALSE)</f>
        <v/>
      </c>
      <c r="G127" s="34" t="n"/>
      <c r="H127" s="34" t="n"/>
      <c r="I127" s="34" t="inlineStr">
        <is>
          <t>X</t>
        </is>
      </c>
      <c r="J127" s="34" t="n">
        <v>3</v>
      </c>
      <c r="K127" s="34" t="n">
        <v>3</v>
      </c>
      <c r="L127" s="34">
        <f>+J127*K127</f>
        <v/>
      </c>
      <c r="M127" s="34">
        <f>+IF(L127&lt;5,"BAJO",IF(L127&lt;10,"MEDIO",IF(L127&lt;17,"ALTO","CRITICO")))</f>
        <v/>
      </c>
      <c r="N127" s="4" t="inlineStr">
        <is>
          <t>Gestión de vulnerabilidades</t>
        </is>
      </c>
      <c r="O127" s="34" t="inlineStr">
        <is>
          <t>PREVENTIVO</t>
        </is>
      </c>
      <c r="P127" s="34" t="inlineStr">
        <is>
          <t>Control Implementado sin evidencia de efectividad (Inefectivo prueba)</t>
        </is>
      </c>
      <c r="Q127" s="52" t="n">
        <v>0.4</v>
      </c>
      <c r="R127" s="4" t="inlineStr">
        <is>
          <t>Recursos tecnológicos insuficientes para remediación</t>
        </is>
      </c>
      <c r="S127" s="53">
        <f>+IF(O127="PREVENTIVO",J127*(1-Q127),IF(O127="ADMINISTRACION",J127*(1-Q127),IF(O127="ELIMINACION",J127*(1-Q127),J127)))</f>
        <v/>
      </c>
      <c r="T127" s="53">
        <f>+IF(O127="DETECTIVO",K127*(1-Q127),IF(O127="RECUPERACION",K127*(1-Q127),K127))</f>
        <v/>
      </c>
      <c r="U127" s="54">
        <f>+S127*T127</f>
        <v/>
      </c>
      <c r="V127" s="65">
        <f>+IF(U127&lt;5,"BAJO",IF(U127&lt;10,"MEDIO",IF(U127&lt;17,"ALTO","CRITICO")))</f>
        <v/>
      </c>
      <c r="W127" s="87" t="inlineStr">
        <is>
          <t>MITIGAR</t>
        </is>
      </c>
      <c r="X127" s="80" t="inlineStr">
        <is>
          <t>-</t>
        </is>
      </c>
      <c r="Y127" s="80" t="inlineStr">
        <is>
          <t>-</t>
        </is>
      </c>
      <c r="Z127" s="80" t="inlineStr">
        <is>
          <t>-</t>
        </is>
      </c>
    </row>
    <row r="128" hidden="1" ht="22.5" customHeight="1" s="106">
      <c r="A128" s="57" t="inlineStr">
        <is>
          <t>94-GTI</t>
        </is>
      </c>
      <c r="B128" s="17" t="inlineStr">
        <is>
          <t>Ruteador CISCO 1800 Series (SERVIPAGOS)</t>
        </is>
      </c>
      <c r="C128" s="17" t="inlineStr">
        <is>
          <t>Ruteador para enlaces de comunicación</t>
        </is>
      </c>
      <c r="D128" s="64" t="inlineStr">
        <is>
          <t>[HW] Equipamiento informático (hardware)</t>
        </is>
      </c>
      <c r="E128" s="34" t="inlineStr">
        <is>
          <t>[E.2] Errores del administrador</t>
        </is>
      </c>
      <c r="F128" s="34">
        <f>+VLOOKUP(E128,'CATALOGO AMENAZA'!$B$2:$D$46,3,FALSE)</f>
        <v/>
      </c>
      <c r="G128" s="34" t="inlineStr">
        <is>
          <t>X</t>
        </is>
      </c>
      <c r="H128" s="34" t="inlineStr">
        <is>
          <t>X</t>
        </is>
      </c>
      <c r="I128" s="34" t="inlineStr">
        <is>
          <t>X</t>
        </is>
      </c>
      <c r="J128" s="34" t="n">
        <v>2</v>
      </c>
      <c r="K128" s="34" t="n">
        <v>3</v>
      </c>
      <c r="L128" s="34">
        <f>+J128*K128</f>
        <v/>
      </c>
      <c r="M128" s="34">
        <f>+IF(L128&lt;5,"BAJO",IF(L128&lt;10,"MEDIO",IF(L128&lt;17,"ALTO","CRITICO")))</f>
        <v/>
      </c>
      <c r="N128" s="4" t="inlineStr">
        <is>
          <t>Control de cambios en los sistemas
Verificación posterior (informe)</t>
        </is>
      </c>
      <c r="O128" s="34" t="inlineStr">
        <is>
          <t>ADMINISTRACION</t>
        </is>
      </c>
      <c r="P128" s="34" t="inlineStr">
        <is>
          <t>Control Implementado sin evidencia de efectividad (Inefectivo prueba)</t>
        </is>
      </c>
      <c r="Q128" s="52" t="n">
        <v>0.3</v>
      </c>
      <c r="R128" s="4" t="inlineStr">
        <is>
          <t>No existe procedimiento formal de gestión de cambios</t>
        </is>
      </c>
      <c r="S128" s="53">
        <f>+IF(O128="PREVENTIVO",J128*(1-Q128),IF(O128="ADMINISTRACION",J128*(1-Q128),IF(O128="ELIMINACION",J128*(1-Q128),J128)))</f>
        <v/>
      </c>
      <c r="T128" s="53">
        <f>+IF(O128="DETECTIVO",K128*(1-Q128),IF(O128="RECUPERACION",K128*(1-Q128),K128))</f>
        <v/>
      </c>
      <c r="U128" s="54">
        <f>+S128*T128</f>
        <v/>
      </c>
      <c r="V128" s="65">
        <f>+IF(U128&lt;5,"BAJO",IF(U128&lt;10,"MEDIO",IF(U128&lt;17,"ALTO","CRITICO")))</f>
        <v/>
      </c>
      <c r="W128" s="65" t="inlineStr">
        <is>
          <t>ACEPTABLE</t>
        </is>
      </c>
      <c r="X128" s="80" t="inlineStr">
        <is>
          <t>-</t>
        </is>
      </c>
      <c r="Y128" s="80" t="inlineStr">
        <is>
          <t>-</t>
        </is>
      </c>
      <c r="Z128" s="80" t="inlineStr">
        <is>
          <t>-</t>
        </is>
      </c>
    </row>
    <row r="129" hidden="1" ht="22.5" customHeight="1" s="106">
      <c r="A129" s="57" t="inlineStr">
        <is>
          <t>94-GTI</t>
        </is>
      </c>
      <c r="B129" s="17" t="inlineStr">
        <is>
          <t>Ruteador CISCO 1800 Series (SERVIPAGOS)</t>
        </is>
      </c>
      <c r="C129" s="17" t="inlineStr">
        <is>
          <t>Ruteador para enlaces de comunicación</t>
        </is>
      </c>
      <c r="D129" s="64" t="inlineStr">
        <is>
          <t>[HW] Equipamiento informático (hardware)</t>
        </is>
      </c>
      <c r="E129" s="34" t="inlineStr">
        <is>
          <t>[A.11] Acceso no autorizado</t>
        </is>
      </c>
      <c r="F129" s="34">
        <f>+VLOOKUP(E129,'CATALOGO AMENAZA'!$B$2:$D$46,3,FALSE)</f>
        <v/>
      </c>
      <c r="G129" s="34" t="inlineStr">
        <is>
          <t>X</t>
        </is>
      </c>
      <c r="H129" s="34" t="inlineStr">
        <is>
          <t>X</t>
        </is>
      </c>
      <c r="I129" s="34" t="n"/>
      <c r="J129" s="34" t="n">
        <v>2</v>
      </c>
      <c r="K129" s="34" t="n">
        <v>4</v>
      </c>
      <c r="L129" s="34">
        <f>+J129*K129</f>
        <v/>
      </c>
      <c r="M129" s="34">
        <f>+IF(L129&lt;5,"BAJO",IF(L129&lt;10,"MEDIO",IF(L129&lt;17,"ALTO","CRITICO")))</f>
        <v/>
      </c>
      <c r="N129" s="4" t="inlineStr">
        <is>
          <t>Control de accesos / VPN</t>
        </is>
      </c>
      <c r="O129" s="34" t="inlineStr">
        <is>
          <t>PREVENTIVO</t>
        </is>
      </c>
      <c r="P129" s="34" t="inlineStr">
        <is>
          <t>Control Implementado sin evidencia de efectividad (Inefectivo prueba)</t>
        </is>
      </c>
      <c r="Q129" s="52" t="n">
        <v>0.3</v>
      </c>
      <c r="R129" s="4" t="inlineStr">
        <is>
          <t>Contreaseñas de VPN no expiran</t>
        </is>
      </c>
      <c r="S129" s="53">
        <f>+IF(O129="PREVENTIVO",J129*(1-Q129),IF(O129="ADMINISTRACION",J129*(1-Q129),IF(O129="ELIMINACION",J129*(1-Q129),J129)))</f>
        <v/>
      </c>
      <c r="T129" s="53">
        <f>+IF(O129="DETECTIVO",K129*(1-Q129),IF(O129="RECUPERACION",K129*(1-Q129),K129))</f>
        <v/>
      </c>
      <c r="U129" s="54">
        <f>+S129*T129</f>
        <v/>
      </c>
      <c r="V129" s="65">
        <f>+IF(U129&lt;5,"BAJO",IF(U129&lt;10,"MEDIO",IF(U129&lt;17,"ALTO","CRITICO")))</f>
        <v/>
      </c>
      <c r="W129" s="87" t="inlineStr">
        <is>
          <t>MITIGAR</t>
        </is>
      </c>
      <c r="X129" s="80" t="inlineStr">
        <is>
          <t>-</t>
        </is>
      </c>
      <c r="Y129" s="80" t="inlineStr">
        <is>
          <t>-</t>
        </is>
      </c>
      <c r="Z129" s="80" t="inlineStr">
        <is>
          <t>-</t>
        </is>
      </c>
    </row>
    <row r="130" hidden="1" ht="22.5" customHeight="1" s="106">
      <c r="A130" s="57" t="inlineStr">
        <is>
          <t>94-GTI</t>
        </is>
      </c>
      <c r="B130" s="17" t="inlineStr">
        <is>
          <t>Ruteador CISCO 1800 Series (SERVIPAGOS)</t>
        </is>
      </c>
      <c r="C130" s="17" t="inlineStr">
        <is>
          <t>Ruteador para enlaces de comunicación</t>
        </is>
      </c>
      <c r="D130" s="64" t="inlineStr">
        <is>
          <t>[HW] Equipamiento informático (hardware)</t>
        </is>
      </c>
      <c r="E130" s="34" t="inlineStr">
        <is>
          <t>[A.6] Abuso de privilegios de acceso</t>
        </is>
      </c>
      <c r="F130" s="34">
        <f>+VLOOKUP(E130,'CATALOGO AMENAZA'!$B$2:$D$46,3,FALSE)</f>
        <v/>
      </c>
      <c r="G130" s="34" t="inlineStr">
        <is>
          <t>X</t>
        </is>
      </c>
      <c r="H130" s="34" t="inlineStr">
        <is>
          <t>X</t>
        </is>
      </c>
      <c r="I130" s="34" t="inlineStr">
        <is>
          <t>X</t>
        </is>
      </c>
      <c r="J130" s="34" t="n">
        <v>2</v>
      </c>
      <c r="K130" s="34" t="n">
        <v>4</v>
      </c>
      <c r="L130" s="34">
        <f>+J130*K130</f>
        <v/>
      </c>
      <c r="M130" s="34">
        <f>+IF(L130&lt;5,"BAJO",IF(L130&lt;10,"MEDIO",IF(L130&lt;17,"ALTO","CRITICO")))</f>
        <v/>
      </c>
      <c r="N130" s="54" t="inlineStr">
        <is>
          <t>Registro de logs</t>
        </is>
      </c>
      <c r="O130" s="34" t="inlineStr">
        <is>
          <t>DETECTIVO</t>
        </is>
      </c>
      <c r="P130" s="34" t="inlineStr">
        <is>
          <t>Control Implementado sin evidencia de efectividad (Inefectivo prueba)</t>
        </is>
      </c>
      <c r="Q130" s="52" t="n">
        <v>0.3</v>
      </c>
      <c r="R130" s="4" t="inlineStr">
        <is>
          <t>Falta de revisión de perfiles de acceso</t>
        </is>
      </c>
      <c r="S130" s="53">
        <f>+IF(O130="PREVENTIVO",J130*(1-Q130),IF(O130="ADMINISTRACION",J130*(1-Q130),IF(O130="ELIMINACION",J130*(1-Q130),J130)))</f>
        <v/>
      </c>
      <c r="T130" s="53">
        <f>+IF(O130="DETECTIVO",K130*(1-Q130),IF(O130="RECUPERACION",K130*(1-Q130),K130))</f>
        <v/>
      </c>
      <c r="U130" s="54">
        <f>+S130*T130</f>
        <v/>
      </c>
      <c r="V130" s="65">
        <f>+IF(U130&lt;5,"BAJO",IF(U130&lt;10,"MEDIO",IF(U130&lt;17,"ALTO","CRITICO")))</f>
        <v/>
      </c>
      <c r="W130" s="87" t="inlineStr">
        <is>
          <t>MITIGAR</t>
        </is>
      </c>
      <c r="X130" s="80" t="inlineStr">
        <is>
          <t>-</t>
        </is>
      </c>
      <c r="Y130" s="80" t="inlineStr">
        <is>
          <t>-</t>
        </is>
      </c>
      <c r="Z130" s="80" t="inlineStr">
        <is>
          <t>-</t>
        </is>
      </c>
    </row>
    <row r="131" hidden="1" ht="33.75" customHeight="1" s="106">
      <c r="A131" s="57" t="inlineStr">
        <is>
          <t>94-GTI</t>
        </is>
      </c>
      <c r="B131" s="17" t="inlineStr">
        <is>
          <t>Ruteador CISCO 1800 Series (SERVIPAGOS)</t>
        </is>
      </c>
      <c r="C131" s="17" t="inlineStr">
        <is>
          <t>Ruteador para enlaces de comunicación</t>
        </is>
      </c>
      <c r="D131" s="64" t="inlineStr">
        <is>
          <t>[HW] Equipamiento informático (hardware)</t>
        </is>
      </c>
      <c r="E131" s="34" t="inlineStr">
        <is>
          <t>[E.23] Errores de mantenimiento / actualización de equipos (hardware)</t>
        </is>
      </c>
      <c r="F131" s="34">
        <f>+VLOOKUP(E131,'CATALOGO AMENAZA'!$B$2:$D$46,3,FALSE)</f>
        <v/>
      </c>
      <c r="G131" s="34" t="n"/>
      <c r="H131" s="34" t="n"/>
      <c r="I131" s="34" t="inlineStr">
        <is>
          <t>X</t>
        </is>
      </c>
      <c r="J131" s="34" t="n">
        <v>3</v>
      </c>
      <c r="K131" s="34" t="n">
        <v>3</v>
      </c>
      <c r="L131" s="34">
        <f>+J131*K131</f>
        <v/>
      </c>
      <c r="M131" s="34">
        <f>+IF(L131&lt;5,"BAJO",IF(L131&lt;10,"MEDIO",IF(L131&lt;17,"ALTO","CRITICO")))</f>
        <v/>
      </c>
      <c r="N131" s="4" t="inlineStr">
        <is>
          <t>Gestión de vulnerabilidades</t>
        </is>
      </c>
      <c r="O131" s="34" t="inlineStr">
        <is>
          <t>PREVENTIVO</t>
        </is>
      </c>
      <c r="P131" s="34" t="inlineStr">
        <is>
          <t>Control Implementado sin evidencia de efectividad (Inefectivo prueba)</t>
        </is>
      </c>
      <c r="Q131" s="52" t="n">
        <v>0.4</v>
      </c>
      <c r="R131" s="4" t="inlineStr">
        <is>
          <t>Recursos tecnológicos insuficientes para remediación</t>
        </is>
      </c>
      <c r="S131" s="53">
        <f>+IF(O131="PREVENTIVO",J131*(1-Q131),IF(O131="ADMINISTRACION",J131*(1-Q131),IF(O131="ELIMINACION",J131*(1-Q131),J131)))</f>
        <v/>
      </c>
      <c r="T131" s="53">
        <f>+IF(O131="DETECTIVO",K131*(1-Q131),IF(O131="RECUPERACION",K131*(1-Q131),K131))</f>
        <v/>
      </c>
      <c r="U131" s="54">
        <f>+S131*T131</f>
        <v/>
      </c>
      <c r="V131" s="65">
        <f>+IF(U131&lt;5,"BAJO",IF(U131&lt;10,"MEDIO",IF(U131&lt;17,"ALTO","CRITICO")))</f>
        <v/>
      </c>
      <c r="W131" s="87" t="inlineStr">
        <is>
          <t>MITIGAR</t>
        </is>
      </c>
      <c r="X131" s="80" t="inlineStr">
        <is>
          <t>-</t>
        </is>
      </c>
      <c r="Y131" s="80" t="inlineStr">
        <is>
          <t>-</t>
        </is>
      </c>
      <c r="Z131" s="80" t="inlineStr">
        <is>
          <t>-</t>
        </is>
      </c>
    </row>
    <row r="132" hidden="1" ht="71.45" customHeight="1" s="106">
      <c r="A132" s="57" t="inlineStr">
        <is>
          <t>115-GTI</t>
        </is>
      </c>
      <c r="B132" s="17" t="inlineStr">
        <is>
          <t>SERVIDOR VM ESXI (Sistemas Externos, WS/APP Públicos)</t>
        </is>
      </c>
      <c r="C132" s="17" t="inlineStr">
        <is>
          <t>SVR 192.168.100.145 que contiene Virtualizados: Servidor de Riesgos-Servidor PANDORA FMS Enterprise 7.0NG 760-Sistemas, WS Acceso Público</t>
        </is>
      </c>
      <c r="D132" s="64" t="inlineStr">
        <is>
          <t>[HW] Equipamiento informático (hardware)</t>
        </is>
      </c>
      <c r="E132" s="34" t="inlineStr">
        <is>
          <t>[E.2] Errores del administrador</t>
        </is>
      </c>
      <c r="F132" s="34">
        <f>+VLOOKUP(E132,'CATALOGO AMENAZA'!$B$2:$D$46,3,FALSE)</f>
        <v/>
      </c>
      <c r="G132" s="34" t="inlineStr">
        <is>
          <t>X</t>
        </is>
      </c>
      <c r="H132" s="34" t="inlineStr">
        <is>
          <t>X</t>
        </is>
      </c>
      <c r="I132" s="34" t="inlineStr">
        <is>
          <t>X</t>
        </is>
      </c>
      <c r="J132" s="34" t="n">
        <v>2</v>
      </c>
      <c r="K132" s="34" t="n">
        <v>4</v>
      </c>
      <c r="L132" s="34">
        <f>+J132*K132</f>
        <v/>
      </c>
      <c r="M132" s="34">
        <f>+IF(L132&lt;5,"BAJO",IF(L132&lt;10,"MEDIO",IF(L132&lt;17,"ALTO","CRITICO")))</f>
        <v/>
      </c>
      <c r="N132" s="4" t="inlineStr">
        <is>
          <t>Control de cambios en los sistemas
Verificación posterior (informe)</t>
        </is>
      </c>
      <c r="O132" s="34" t="inlineStr">
        <is>
          <t>ADMINISTRACION</t>
        </is>
      </c>
      <c r="P132" s="34" t="inlineStr">
        <is>
          <t>Control Implementado sin evidencia de efectividad (Inefectivo prueba)</t>
        </is>
      </c>
      <c r="Q132" s="52" t="n">
        <v>0.3</v>
      </c>
      <c r="R132" s="4" t="inlineStr">
        <is>
          <t>No existe procedimiento formal de gestión de cambios</t>
        </is>
      </c>
      <c r="S132" s="53">
        <f>+IF(O132="PREVENTIVO",J132*(1-Q132),IF(O132="ADMINISTRACION",J132*(1-Q132),IF(O132="ELIMINACION",J132*(1-Q132),J132)))</f>
        <v/>
      </c>
      <c r="T132" s="53">
        <f>+IF(O132="DETECTIVO",K132*(1-Q132),IF(O132="RECUPERACION",K132*(1-Q132),K132))</f>
        <v/>
      </c>
      <c r="U132" s="54">
        <f>+S132*T132</f>
        <v/>
      </c>
      <c r="V132" s="65">
        <f>+IF(U132&lt;5,"BAJO",IF(U132&lt;10,"MEDIO",IF(U132&lt;17,"ALTO","CRITICO")))</f>
        <v/>
      </c>
      <c r="W132" s="87" t="inlineStr">
        <is>
          <t>MITIGAR</t>
        </is>
      </c>
      <c r="X132" s="80" t="inlineStr">
        <is>
          <t>-</t>
        </is>
      </c>
      <c r="Y132" s="80" t="inlineStr">
        <is>
          <t>-</t>
        </is>
      </c>
      <c r="Z132" s="80" t="inlineStr">
        <is>
          <t>-</t>
        </is>
      </c>
    </row>
    <row r="133" ht="33.75" customHeight="1" s="106">
      <c r="A133" s="57" t="inlineStr">
        <is>
          <t>115-GTI</t>
        </is>
      </c>
      <c r="B133" s="17" t="inlineStr">
        <is>
          <t>SERVIDOR VM ESXI (Sistemas Externos, WS/APP Públicos)</t>
        </is>
      </c>
      <c r="C133" s="17" t="inlineStr">
        <is>
          <t>SVR 192.168.100.145 que contiene Virtualizados: Servidor de Riesgos-Servidor PANDORA FMS Enterprise 7.0NG 760-Sistemas, WS Acceso Público</t>
        </is>
      </c>
      <c r="D133" s="64" t="inlineStr">
        <is>
          <t>[HW] Equipamiento informático (hardware)</t>
        </is>
      </c>
      <c r="E133" s="34" t="inlineStr">
        <is>
          <t>[E.24] Caída del sistema por agotamiento de recursos</t>
        </is>
      </c>
      <c r="F133" s="34">
        <f>+VLOOKUP(E133,'CATALOGO AMENAZA'!$B$2:$D$46,3,FALSE)</f>
        <v/>
      </c>
      <c r="G133" s="34" t="n"/>
      <c r="H133" s="34" t="n"/>
      <c r="I133" s="34" t="inlineStr">
        <is>
          <t>X</t>
        </is>
      </c>
      <c r="J133" s="34" t="n">
        <v>3</v>
      </c>
      <c r="K133" s="34" t="n">
        <v>5</v>
      </c>
      <c r="L133" s="34">
        <f>+J133*K133</f>
        <v/>
      </c>
      <c r="M133" s="34">
        <f>+IF(L133&lt;5,"BAJO",IF(L133&lt;10,"MEDIO",IF(L133&lt;17,"ALTO","CRITICO")))</f>
        <v/>
      </c>
      <c r="N133" s="34" t="inlineStr">
        <is>
          <t>Procedimiento de Gestión de la capacidad y desempeño de la Infraestructura</t>
        </is>
      </c>
      <c r="O133" s="54" t="inlineStr">
        <is>
          <t>PREVENTIVO</t>
        </is>
      </c>
      <c r="P133" s="34" t="inlineStr">
        <is>
          <t>Control Implementado sin evidencia de efectividad (Inefectivo prueba)</t>
        </is>
      </c>
      <c r="Q133" s="52" t="n">
        <v>0.3</v>
      </c>
      <c r="R133" s="34" t="inlineStr">
        <is>
          <t>Notificación automática de alertas</t>
        </is>
      </c>
      <c r="S133" s="53">
        <f>+IF(O133="PREVENTIVO",J133*(1-Q133),IF(O133="ADMINISTRACION",J133*(1-Q133),IF(O133="ELIMINACION",J133*(1-Q133),J133)))</f>
        <v/>
      </c>
      <c r="T133" s="53">
        <f>+IF(O133="DETECTIVO",K133*(1-Q133),IF(O133="RECUPERACION",K133*(1-Q133),K133))</f>
        <v/>
      </c>
      <c r="U133" s="54">
        <f>+S133*T133</f>
        <v/>
      </c>
      <c r="V133" s="65">
        <f>+IF(U133&lt;5,"BAJO",IF(U133&lt;10,"MEDIO",IF(U133&lt;17,"ALTO","CRITICO")))</f>
        <v/>
      </c>
      <c r="W133" s="65" t="inlineStr">
        <is>
          <t>MITIGAR</t>
        </is>
      </c>
      <c r="X133" s="34" t="inlineStr">
        <is>
          <t>REQUIERE TRATAMIENTO</t>
        </is>
      </c>
      <c r="Y133" s="34" t="inlineStr">
        <is>
          <t>PA-SI-005</t>
        </is>
      </c>
      <c r="Z133" s="34" t="inlineStr">
        <is>
          <t>Fortalecer el monitoreo proactivo de recursos (CPU, RAM, almacenamiento).</t>
        </is>
      </c>
    </row>
    <row r="134" hidden="1" ht="33.75" customHeight="1" s="106">
      <c r="A134" s="57" t="inlineStr">
        <is>
          <t>115-GTI</t>
        </is>
      </c>
      <c r="B134" s="17" t="inlineStr">
        <is>
          <t>SERVIDOR VM ESXI (Sistemas Externos, WS/APP Públicos)</t>
        </is>
      </c>
      <c r="C134" s="17" t="inlineStr">
        <is>
          <t>SVR 192.168.100.145 que contiene Virtualizados: Servidor de Riesgos-Servidor PANDORA FMS Enterprise 7.0NG 760-Sistemas, WS Acceso Público</t>
        </is>
      </c>
      <c r="D134" s="64" t="inlineStr">
        <is>
          <t>[HW] Equipamiento informático (hardware)</t>
        </is>
      </c>
      <c r="E134" s="34" t="inlineStr">
        <is>
          <t>[A.11] Acceso no autorizado</t>
        </is>
      </c>
      <c r="F134" s="34">
        <f>+VLOOKUP(E134,'CATALOGO AMENAZA'!$B$2:$D$46,3,FALSE)</f>
        <v/>
      </c>
      <c r="G134" s="34" t="inlineStr">
        <is>
          <t>X</t>
        </is>
      </c>
      <c r="H134" s="34" t="inlineStr">
        <is>
          <t>X</t>
        </is>
      </c>
      <c r="I134" s="34" t="n"/>
      <c r="J134" s="34" t="n">
        <v>2</v>
      </c>
      <c r="K134" s="34" t="n">
        <v>4</v>
      </c>
      <c r="L134" s="34">
        <f>+J134*K134</f>
        <v/>
      </c>
      <c r="M134" s="34">
        <f>+IF(L134&lt;5,"BAJO",IF(L134&lt;10,"MEDIO",IF(L134&lt;17,"ALTO","CRITICO")))</f>
        <v/>
      </c>
      <c r="N134" s="4" t="inlineStr">
        <is>
          <t>Control de accesos / VPN</t>
        </is>
      </c>
      <c r="O134" s="34" t="inlineStr">
        <is>
          <t>PREVENTIVO</t>
        </is>
      </c>
      <c r="P134" s="34" t="inlineStr">
        <is>
          <t>Control Implementado sin evidencia de efectividad (Inefectivo prueba)</t>
        </is>
      </c>
      <c r="Q134" s="52" t="n">
        <v>0.3</v>
      </c>
      <c r="R134" s="4" t="inlineStr">
        <is>
          <t>Contreaseñas de VPN no expiran</t>
        </is>
      </c>
      <c r="S134" s="53">
        <f>+IF(O134="PREVENTIVO",J134*(1-Q134),IF(O134="ADMINISTRACION",J134*(1-Q134),IF(O134="ELIMINACION",J134*(1-Q134),J134)))</f>
        <v/>
      </c>
      <c r="T134" s="53">
        <f>+IF(O134="DETECTIVO",K134*(1-Q134),IF(O134="RECUPERACION",K134*(1-Q134),K134))</f>
        <v/>
      </c>
      <c r="U134" s="54">
        <f>+S134*T134</f>
        <v/>
      </c>
      <c r="V134" s="65">
        <f>+IF(U134&lt;5,"BAJO",IF(U134&lt;10,"MEDIO",IF(U134&lt;17,"ALTO","CRITICO")))</f>
        <v/>
      </c>
      <c r="W134" s="87" t="inlineStr">
        <is>
          <t>MITIGAR</t>
        </is>
      </c>
      <c r="X134" s="80" t="inlineStr">
        <is>
          <t>-</t>
        </is>
      </c>
      <c r="Y134" s="80" t="inlineStr">
        <is>
          <t>-</t>
        </is>
      </c>
      <c r="Z134" s="80" t="inlineStr">
        <is>
          <t>-</t>
        </is>
      </c>
    </row>
    <row r="135" hidden="1" ht="45" customHeight="1" s="106">
      <c r="A135" s="57" t="inlineStr">
        <is>
          <t>115-GTI</t>
        </is>
      </c>
      <c r="B135" s="17" t="inlineStr">
        <is>
          <t>SERVIDOR VM ESXI (Sistemas Externos, WS/APP Públicos)</t>
        </is>
      </c>
      <c r="C135" s="17" t="inlineStr">
        <is>
          <t>SVR 192.168.100.145 que contiene Virtualizados: Servidor de Riesgos-Servidor PANDORA FMS Enterprise 7.0NG 760-Sistemas, WS Acceso Público</t>
        </is>
      </c>
      <c r="D135" s="64" t="inlineStr">
        <is>
          <t>[HW] Equipamiento informático (hardware)</t>
        </is>
      </c>
      <c r="E135" s="34" t="inlineStr">
        <is>
          <t>[A.23] Manipulación de los equipos</t>
        </is>
      </c>
      <c r="F135" s="34">
        <f>+VLOOKUP(E135,'CATALOGO AMENAZA'!$B$2:$D$46,3,FALSE)</f>
        <v/>
      </c>
      <c r="G135" s="34" t="inlineStr">
        <is>
          <t>X</t>
        </is>
      </c>
      <c r="H135" s="34" t="n"/>
      <c r="I135" s="34" t="inlineStr">
        <is>
          <t>X</t>
        </is>
      </c>
      <c r="J135" s="34" t="n">
        <v>3</v>
      </c>
      <c r="K135" s="34" t="n">
        <v>3</v>
      </c>
      <c r="L135" s="34">
        <f>+J135*K135</f>
        <v/>
      </c>
      <c r="M135" s="34">
        <f>+IF(L135&lt;5,"BAJO",IF(L135&lt;10,"MEDIO",IF(L135&lt;17,"ALTO","CRITICO")))</f>
        <v/>
      </c>
      <c r="N135" s="4" t="inlineStr">
        <is>
          <t>Control de accesos</t>
        </is>
      </c>
      <c r="O135" s="34" t="inlineStr">
        <is>
          <t>PREVENTIVO</t>
        </is>
      </c>
      <c r="P135" s="34" t="inlineStr">
        <is>
          <t>Control Implementado sin evidencia de efectividad (Inefectivo prueba)</t>
        </is>
      </c>
      <c r="Q135" s="52" t="n">
        <v>0.3</v>
      </c>
      <c r="R135" s="4" t="inlineStr">
        <is>
          <t>Usuarios genéricos</t>
        </is>
      </c>
      <c r="S135" s="53">
        <f>+IF(O135="PREVENTIVO",J135*(1-Q135),IF(O135="ADMINISTRACION",J135*(1-Q135),IF(O135="ELIMINACION",J135*(1-Q135),J135)))</f>
        <v/>
      </c>
      <c r="T135" s="53">
        <f>+IF(O135="DETECTIVO",K135*(1-Q135),IF(O135="RECUPERACION",K135*(1-Q135),K135))</f>
        <v/>
      </c>
      <c r="U135" s="54">
        <f>+S135*T135</f>
        <v/>
      </c>
      <c r="V135" s="65">
        <f>+IF(U135&lt;5,"BAJO",IF(U135&lt;10,"MEDIO",IF(U135&lt;17,"ALTO","CRITICO")))</f>
        <v/>
      </c>
      <c r="W135" s="87" t="inlineStr">
        <is>
          <t>MITIGAR</t>
        </is>
      </c>
      <c r="X135" s="80" t="inlineStr">
        <is>
          <t>-</t>
        </is>
      </c>
      <c r="Y135" s="80" t="inlineStr">
        <is>
          <t>-</t>
        </is>
      </c>
      <c r="Z135" s="80" t="inlineStr">
        <is>
          <t>-</t>
        </is>
      </c>
    </row>
    <row r="136" hidden="1" ht="102" customHeight="1" s="106">
      <c r="A136" s="57" t="inlineStr">
        <is>
          <t>116-GTI</t>
        </is>
      </c>
      <c r="B136" s="17" t="inlineStr">
        <is>
          <t>SERVIDOR VM ESXI (SW Cajeros)(VMSRVINTERNOS2)</t>
        </is>
      </c>
      <c r="C136" s="17" t="inlineStr">
        <is>
          <t>SVR 192.168.100.149 que contiene Virtualizados: Switch Transaccional Cajeros Automaticos PROSUPLY - Consola para Administracion Remota de Cajeros Automaticos- Consola para Administracion Remota de Cajeros Automaticos</t>
        </is>
      </c>
      <c r="D136" s="64" t="inlineStr">
        <is>
          <t>[HW] Equipamiento informático (hardware)</t>
        </is>
      </c>
      <c r="E136" s="34" t="inlineStr">
        <is>
          <t>[E.2] Errores del administrador</t>
        </is>
      </c>
      <c r="F136" s="34">
        <f>+VLOOKUP(E136,'CATALOGO AMENAZA'!$B$2:$D$46,3,FALSE)</f>
        <v/>
      </c>
      <c r="G136" s="34" t="inlineStr">
        <is>
          <t>X</t>
        </is>
      </c>
      <c r="H136" s="34" t="inlineStr">
        <is>
          <t>X</t>
        </is>
      </c>
      <c r="I136" s="34" t="inlineStr">
        <is>
          <t>X</t>
        </is>
      </c>
      <c r="J136" s="34" t="n">
        <v>2</v>
      </c>
      <c r="K136" s="34" t="n">
        <v>4</v>
      </c>
      <c r="L136" s="34">
        <f>+J136*K136</f>
        <v/>
      </c>
      <c r="M136" s="34">
        <f>+IF(L136&lt;5,"BAJO",IF(L136&lt;10,"MEDIO",IF(L136&lt;17,"ALTO","CRITICO")))</f>
        <v/>
      </c>
      <c r="N136" s="4" t="inlineStr">
        <is>
          <t>Control de cambios en los sistemas
Verificación posterior (informe)</t>
        </is>
      </c>
      <c r="O136" s="34" t="inlineStr">
        <is>
          <t>ADMINISTRACION</t>
        </is>
      </c>
      <c r="P136" s="34" t="inlineStr">
        <is>
          <t>Control Implementado sin evidencia de efectividad (Inefectivo prueba)</t>
        </is>
      </c>
      <c r="Q136" s="52" t="n">
        <v>0.3</v>
      </c>
      <c r="R136" s="4" t="inlineStr">
        <is>
          <t>No existe procedimiento formal de gestión de cambios</t>
        </is>
      </c>
      <c r="S136" s="53">
        <f>+IF(O136="PREVENTIVO",J136*(1-Q136),IF(O136="ADMINISTRACION",J136*(1-Q136),IF(O136="ELIMINACION",J136*(1-Q136),J136)))</f>
        <v/>
      </c>
      <c r="T136" s="53">
        <f>+IF(O136="DETECTIVO",K136*(1-Q136),IF(O136="RECUPERACION",K136*(1-Q136),K136))</f>
        <v/>
      </c>
      <c r="U136" s="54">
        <f>+S136*T136</f>
        <v/>
      </c>
      <c r="V136" s="65">
        <f>+IF(U136&lt;5,"BAJO",IF(U136&lt;10,"MEDIO",IF(U136&lt;17,"ALTO","CRITICO")))</f>
        <v/>
      </c>
      <c r="W136" s="87" t="inlineStr">
        <is>
          <t>MITIGAR</t>
        </is>
      </c>
      <c r="X136" s="80" t="inlineStr">
        <is>
          <t>-</t>
        </is>
      </c>
      <c r="Y136" s="80" t="inlineStr">
        <is>
          <t>-</t>
        </is>
      </c>
      <c r="Z136" s="80" t="inlineStr">
        <is>
          <t>-</t>
        </is>
      </c>
    </row>
    <row r="137" ht="45" customHeight="1" s="106">
      <c r="A137" s="57" t="inlineStr">
        <is>
          <t>116-GTI</t>
        </is>
      </c>
      <c r="B137" s="17" t="inlineStr">
        <is>
          <t>SERVIDOR VM ESXI (SW Cajeros)(VMSRVINTERNOS2)</t>
        </is>
      </c>
      <c r="C137" s="17" t="inlineStr">
        <is>
          <t>SVR 192.168.100.149 que contiene Virtualizados: Switch Transaccional Cajeros Automaticos PROSUPLY - Consola para Administracion Remota de Cajeros Automaticos- Consola para Administracion Remota de Cajeros Automaticos</t>
        </is>
      </c>
      <c r="D137" s="64" t="inlineStr">
        <is>
          <t>[HW] Equipamiento informático (hardware)</t>
        </is>
      </c>
      <c r="E137" s="34" t="inlineStr">
        <is>
          <t>[E.24] Caída del sistema por agotamiento de recursos</t>
        </is>
      </c>
      <c r="F137" s="34">
        <f>+VLOOKUP(E137,'CATALOGO AMENAZA'!$B$2:$D$46,3,FALSE)</f>
        <v/>
      </c>
      <c r="G137" s="34" t="n"/>
      <c r="H137" s="34" t="n"/>
      <c r="I137" s="34" t="inlineStr">
        <is>
          <t>X</t>
        </is>
      </c>
      <c r="J137" s="34" t="n">
        <v>3</v>
      </c>
      <c r="K137" s="34" t="n">
        <v>5</v>
      </c>
      <c r="L137" s="34">
        <f>+J137*K137</f>
        <v/>
      </c>
      <c r="M137" s="34">
        <f>+IF(L137&lt;5,"BAJO",IF(L137&lt;10,"MEDIO",IF(L137&lt;17,"ALTO","CRITICO")))</f>
        <v/>
      </c>
      <c r="N137" s="34" t="inlineStr">
        <is>
          <t>Procedimiento de Gestión de la capacidad y desempeño de la Infraestructura</t>
        </is>
      </c>
      <c r="O137" s="54" t="inlineStr">
        <is>
          <t>PREVENTIVO</t>
        </is>
      </c>
      <c r="P137" s="34" t="inlineStr">
        <is>
          <t>Control Implementado sin evidencia de efectividad (Inefectivo prueba)</t>
        </is>
      </c>
      <c r="Q137" s="52" t="n">
        <v>0.3</v>
      </c>
      <c r="R137" s="34" t="inlineStr">
        <is>
          <t>Notificación automática de alertas</t>
        </is>
      </c>
      <c r="S137" s="53">
        <f>+IF(O137="PREVENTIVO",J137*(1-Q137),IF(O137="ADMINISTRACION",J137*(1-Q137),IF(O137="ELIMINACION",J137*(1-Q137),J137)))</f>
        <v/>
      </c>
      <c r="T137" s="53">
        <f>+IF(O137="DETECTIVO",K137*(1-Q137),IF(O137="RECUPERACION",K137*(1-Q137),K137))</f>
        <v/>
      </c>
      <c r="U137" s="54">
        <f>+S137*T137</f>
        <v/>
      </c>
      <c r="V137" s="65">
        <f>+IF(U137&lt;5,"BAJO",IF(U137&lt;10,"MEDIO",IF(U137&lt;17,"ALTO","CRITICO")))</f>
        <v/>
      </c>
      <c r="W137" s="65" t="inlineStr">
        <is>
          <t>MITIGAR</t>
        </is>
      </c>
      <c r="X137" s="34" t="inlineStr">
        <is>
          <t>REQUIERE TRATAMIENTO</t>
        </is>
      </c>
      <c r="Y137" s="34" t="inlineStr">
        <is>
          <t>PA-SI-005</t>
        </is>
      </c>
      <c r="Z137" s="34" t="inlineStr">
        <is>
          <t>Fortalecer el monitoreo proactivo de recursos (CPU, RAM, almacenamiento).</t>
        </is>
      </c>
    </row>
    <row r="138" hidden="1" ht="45" customHeight="1" s="106">
      <c r="A138" s="57" t="inlineStr">
        <is>
          <t>116-GTI</t>
        </is>
      </c>
      <c r="B138" s="17" t="inlineStr">
        <is>
          <t>SERVIDOR VM ESXI (SW Cajeros)(VMSRVINTERNOS2)</t>
        </is>
      </c>
      <c r="C138" s="17" t="inlineStr">
        <is>
          <t>SVR 192.168.100.149 que contiene Virtualizados: Switch Transaccional Cajeros Automaticos PROSUPLY - Consola para Administracion Remota de Cajeros Automaticos- Consola para Administracion Remota de Cajeros Automaticos</t>
        </is>
      </c>
      <c r="D138" s="64" t="inlineStr">
        <is>
          <t>[HW] Equipamiento informático (hardware)</t>
        </is>
      </c>
      <c r="E138" s="34" t="inlineStr">
        <is>
          <t>[A.11] Acceso no autorizado</t>
        </is>
      </c>
      <c r="F138" s="34">
        <f>+VLOOKUP(E138,'CATALOGO AMENAZA'!$B$2:$D$46,3,FALSE)</f>
        <v/>
      </c>
      <c r="G138" s="34" t="inlineStr">
        <is>
          <t>X</t>
        </is>
      </c>
      <c r="H138" s="34" t="inlineStr">
        <is>
          <t>X</t>
        </is>
      </c>
      <c r="I138" s="34" t="n"/>
      <c r="J138" s="34" t="n">
        <v>2</v>
      </c>
      <c r="K138" s="34" t="n">
        <v>4</v>
      </c>
      <c r="L138" s="34">
        <f>+J138*K138</f>
        <v/>
      </c>
      <c r="M138" s="34">
        <f>+IF(L138&lt;5,"BAJO",IF(L138&lt;10,"MEDIO",IF(L138&lt;17,"ALTO","CRITICO")))</f>
        <v/>
      </c>
      <c r="N138" s="4" t="inlineStr">
        <is>
          <t>Control de accesos / VPN</t>
        </is>
      </c>
      <c r="O138" s="34" t="inlineStr">
        <is>
          <t>PREVENTIVO</t>
        </is>
      </c>
      <c r="P138" s="34" t="inlineStr">
        <is>
          <t>Control Implementado sin evidencia de efectividad (Inefectivo prueba)</t>
        </is>
      </c>
      <c r="Q138" s="52" t="n">
        <v>0.3</v>
      </c>
      <c r="R138" s="4" t="inlineStr">
        <is>
          <t>Contreaseñas de VPN no expiran</t>
        </is>
      </c>
      <c r="S138" s="53">
        <f>+IF(O138="PREVENTIVO",J138*(1-Q138),IF(O138="ADMINISTRACION",J138*(1-Q138),IF(O138="ELIMINACION",J138*(1-Q138),J138)))</f>
        <v/>
      </c>
      <c r="T138" s="53">
        <f>+IF(O138="DETECTIVO",K138*(1-Q138),IF(O138="RECUPERACION",K138*(1-Q138),K138))</f>
        <v/>
      </c>
      <c r="U138" s="54">
        <f>+S138*T138</f>
        <v/>
      </c>
      <c r="V138" s="65">
        <f>+IF(U138&lt;5,"BAJO",IF(U138&lt;10,"MEDIO",IF(U138&lt;17,"ALTO","CRITICO")))</f>
        <v/>
      </c>
      <c r="W138" s="87" t="inlineStr">
        <is>
          <t>MITIGAR</t>
        </is>
      </c>
      <c r="X138" s="80" t="inlineStr">
        <is>
          <t>-</t>
        </is>
      </c>
      <c r="Y138" s="80" t="inlineStr">
        <is>
          <t>-</t>
        </is>
      </c>
      <c r="Z138" s="80" t="inlineStr">
        <is>
          <t>-</t>
        </is>
      </c>
    </row>
    <row r="139" hidden="1" ht="45" customHeight="1" s="106">
      <c r="A139" s="57" t="inlineStr">
        <is>
          <t>116-GTI</t>
        </is>
      </c>
      <c r="B139" s="17" t="inlineStr">
        <is>
          <t>SERVIDOR VM ESXI (SW Cajeros)(VMSRVINTERNOS2)</t>
        </is>
      </c>
      <c r="C139" s="17" t="inlineStr">
        <is>
          <t>SVR 192.168.100.149 que contiene Virtualizados: Switch Transaccional Cajeros Automaticos PROSUPLY - Consola para Administracion Remota de Cajeros Automaticos- Consola para Administracion Remota de Cajeros Automaticos</t>
        </is>
      </c>
      <c r="D139" s="64" t="inlineStr">
        <is>
          <t>[HW] Equipamiento informático (hardware)</t>
        </is>
      </c>
      <c r="E139" s="34" t="inlineStr">
        <is>
          <t>[A.23] Manipulación de los equipos</t>
        </is>
      </c>
      <c r="F139" s="34">
        <f>+VLOOKUP(E139,'CATALOGO AMENAZA'!$B$2:$D$46,3,FALSE)</f>
        <v/>
      </c>
      <c r="G139" s="34" t="inlineStr">
        <is>
          <t>X</t>
        </is>
      </c>
      <c r="H139" s="34" t="n"/>
      <c r="I139" s="34" t="inlineStr">
        <is>
          <t>X</t>
        </is>
      </c>
      <c r="J139" s="34" t="n">
        <v>3</v>
      </c>
      <c r="K139" s="34" t="n">
        <v>3</v>
      </c>
      <c r="L139" s="34">
        <f>+J139*K139</f>
        <v/>
      </c>
      <c r="M139" s="34">
        <f>+IF(L139&lt;5,"BAJO",IF(L139&lt;10,"MEDIO",IF(L139&lt;17,"ALTO","CRITICO")))</f>
        <v/>
      </c>
      <c r="N139" s="4" t="inlineStr">
        <is>
          <t>Control de accesos</t>
        </is>
      </c>
      <c r="O139" s="34" t="inlineStr">
        <is>
          <t>PREVENTIVO</t>
        </is>
      </c>
      <c r="P139" s="34" t="inlineStr">
        <is>
          <t>Control Implementado sin evidencia de efectividad (Inefectivo prueba)</t>
        </is>
      </c>
      <c r="Q139" s="52" t="n">
        <v>0.3</v>
      </c>
      <c r="R139" s="4" t="inlineStr">
        <is>
          <t>Usuarios genéricos</t>
        </is>
      </c>
      <c r="S139" s="53">
        <f>+IF(O139="PREVENTIVO",J139*(1-Q139),IF(O139="ADMINISTRACION",J139*(1-Q139),IF(O139="ELIMINACION",J139*(1-Q139),J139)))</f>
        <v/>
      </c>
      <c r="T139" s="53">
        <f>+IF(O139="DETECTIVO",K139*(1-Q139),IF(O139="RECUPERACION",K139*(1-Q139),K139))</f>
        <v/>
      </c>
      <c r="U139" s="54">
        <f>+S139*T139</f>
        <v/>
      </c>
      <c r="V139" s="65">
        <f>+IF(U139&lt;5,"BAJO",IF(U139&lt;10,"MEDIO",IF(U139&lt;17,"ALTO","CRITICO")))</f>
        <v/>
      </c>
      <c r="W139" s="87" t="inlineStr">
        <is>
          <t>MITIGAR</t>
        </is>
      </c>
      <c r="X139" s="80" t="inlineStr">
        <is>
          <t>-</t>
        </is>
      </c>
      <c r="Y139" s="80" t="inlineStr">
        <is>
          <t>-</t>
        </is>
      </c>
      <c r="Z139" s="80" t="inlineStr">
        <is>
          <t>-</t>
        </is>
      </c>
    </row>
    <row r="140" hidden="1" ht="45" customHeight="1" s="106">
      <c r="A140" s="57" t="inlineStr">
        <is>
          <t>117-GTI</t>
        </is>
      </c>
      <c r="B140" s="17" t="inlineStr">
        <is>
          <t>SERVIDOR VM ESXI (Sistemas, WS Internos) (VMSRVINTERNOS)</t>
        </is>
      </c>
      <c r="C140" s="17" t="inlineStr">
        <is>
          <t>AVR 192.168.100.146 que contiene virtualizados :  Servidor de Dominio (Active Directory) y DNS - Servidor Webcoop/Dynacoop/ Alertas SMS OTP Correo - Web Service Equifax, Bdd Sybase Riesgos - Servidor de Veeam Backup/ Servidor Impresión RICOH</t>
        </is>
      </c>
      <c r="D140" s="64" t="inlineStr">
        <is>
          <t>[HW] Equipamiento informático (hardware)</t>
        </is>
      </c>
      <c r="E140" s="34" t="inlineStr">
        <is>
          <t>[E.2] Errores del administrador</t>
        </is>
      </c>
      <c r="F140" s="34">
        <f>+VLOOKUP(E140,'CATALOGO AMENAZA'!$B$2:$D$46,3,FALSE)</f>
        <v/>
      </c>
      <c r="G140" s="34" t="inlineStr">
        <is>
          <t>X</t>
        </is>
      </c>
      <c r="H140" s="34" t="inlineStr">
        <is>
          <t>X</t>
        </is>
      </c>
      <c r="I140" s="34" t="inlineStr">
        <is>
          <t>X</t>
        </is>
      </c>
      <c r="J140" s="34" t="n">
        <v>2</v>
      </c>
      <c r="K140" s="34" t="n">
        <v>4</v>
      </c>
      <c r="L140" s="34">
        <f>+J140*K140</f>
        <v/>
      </c>
      <c r="M140" s="34">
        <f>+IF(L140&lt;5,"BAJO",IF(L140&lt;10,"MEDIO",IF(L140&lt;17,"ALTO","CRITICO")))</f>
        <v/>
      </c>
      <c r="N140" s="4" t="inlineStr">
        <is>
          <t>Control de cambios en los sistemas
Verificación posterior (informe)</t>
        </is>
      </c>
      <c r="O140" s="34" t="inlineStr">
        <is>
          <t>ADMINISTRACION</t>
        </is>
      </c>
      <c r="P140" s="34" t="inlineStr">
        <is>
          <t>Control Implementado sin evidencia de efectividad (Inefectivo prueba)</t>
        </is>
      </c>
      <c r="Q140" s="52" t="n">
        <v>0.3</v>
      </c>
      <c r="R140" s="4" t="inlineStr">
        <is>
          <t>No existe procedimiento formal de gestión de cambios</t>
        </is>
      </c>
      <c r="S140" s="53">
        <f>+IF(O140="PREVENTIVO",J140*(1-Q140),IF(O140="ADMINISTRACION",J140*(1-Q140),IF(O140="ELIMINACION",J140*(1-Q140),J140)))</f>
        <v/>
      </c>
      <c r="T140" s="53">
        <f>+IF(O140="DETECTIVO",K140*(1-Q140),IF(O140="RECUPERACION",K140*(1-Q140),K140))</f>
        <v/>
      </c>
      <c r="U140" s="54">
        <f>+S140*T140</f>
        <v/>
      </c>
      <c r="V140" s="65">
        <f>+IF(U140&lt;5,"BAJO",IF(U140&lt;10,"MEDIO",IF(U140&lt;17,"ALTO","CRITICO")))</f>
        <v/>
      </c>
      <c r="W140" s="87" t="inlineStr">
        <is>
          <t>MITIGAR</t>
        </is>
      </c>
      <c r="X140" s="80" t="inlineStr">
        <is>
          <t>-</t>
        </is>
      </c>
      <c r="Y140" s="80" t="inlineStr">
        <is>
          <t>-</t>
        </is>
      </c>
      <c r="Z140" s="80" t="inlineStr">
        <is>
          <t>-</t>
        </is>
      </c>
    </row>
    <row r="141" ht="45" customHeight="1" s="106">
      <c r="A141" s="57" t="inlineStr">
        <is>
          <t>117-GTI</t>
        </is>
      </c>
      <c r="B141" s="17" t="inlineStr">
        <is>
          <t>SERVIDOR VM ESXI (Sistemas, WS Internos) (VMSRVINTERNOS)</t>
        </is>
      </c>
      <c r="C141" s="17" t="inlineStr">
        <is>
          <t>AVR 192.168.100.146 que contiene virtualizados :  Servidor de Dominio (Active Directory) y DNS - Servidor Webcoop/Dynacoop/ Alertas SMS OTP Correo - Web Service Equifax, Bdd Sybase Riesgos - Servidor de Veeam Backup/ Servidor Impresión RICOH</t>
        </is>
      </c>
      <c r="D141" s="64" t="inlineStr">
        <is>
          <t>[HW] Equipamiento informático (hardware)</t>
        </is>
      </c>
      <c r="E141" s="34" t="inlineStr">
        <is>
          <t>[E.24] Caída del sistema por agotamiento de recursos</t>
        </is>
      </c>
      <c r="F141" s="34">
        <f>+VLOOKUP(E141,'CATALOGO AMENAZA'!$B$2:$D$46,3,FALSE)</f>
        <v/>
      </c>
      <c r="G141" s="34" t="n"/>
      <c r="H141" s="34" t="n"/>
      <c r="I141" s="34" t="inlineStr">
        <is>
          <t>X</t>
        </is>
      </c>
      <c r="J141" s="34" t="n">
        <v>3</v>
      </c>
      <c r="K141" s="34" t="n">
        <v>5</v>
      </c>
      <c r="L141" s="34">
        <f>+J141*K141</f>
        <v/>
      </c>
      <c r="M141" s="34">
        <f>+IF(L141&lt;5,"BAJO",IF(L141&lt;10,"MEDIO",IF(L141&lt;17,"ALTO","CRITICO")))</f>
        <v/>
      </c>
      <c r="N141" s="34" t="inlineStr">
        <is>
          <t>Procedimiento de Gestión de la capacidad y desempeño de la Infraestructura</t>
        </is>
      </c>
      <c r="O141" s="54" t="inlineStr">
        <is>
          <t>PREVENTIVO</t>
        </is>
      </c>
      <c r="P141" s="34" t="inlineStr">
        <is>
          <t>Control Implementado sin evidencia de efectividad (Inefectivo prueba)</t>
        </is>
      </c>
      <c r="Q141" s="52" t="n">
        <v>0.3</v>
      </c>
      <c r="R141" s="34" t="inlineStr">
        <is>
          <t>Notificación automática de alertas</t>
        </is>
      </c>
      <c r="S141" s="53">
        <f>+IF(O141="PREVENTIVO",J141*(1-Q141),IF(O141="ADMINISTRACION",J141*(1-Q141),IF(O141="ELIMINACION",J141*(1-Q141),J141)))</f>
        <v/>
      </c>
      <c r="T141" s="53">
        <f>+IF(O141="DETECTIVO",K141*(1-Q141),IF(O141="RECUPERACION",K141*(1-Q141),K141))</f>
        <v/>
      </c>
      <c r="U141" s="54">
        <f>+S141*T141</f>
        <v/>
      </c>
      <c r="V141" s="65">
        <f>+IF(U141&lt;5,"BAJO",IF(U141&lt;10,"MEDIO",IF(U141&lt;17,"ALTO","CRITICO")))</f>
        <v/>
      </c>
      <c r="W141" s="65" t="inlineStr">
        <is>
          <t>MITIGAR</t>
        </is>
      </c>
      <c r="X141" s="34" t="inlineStr">
        <is>
          <t>REQUIERE TRATAMIENTO</t>
        </is>
      </c>
      <c r="Y141" s="34" t="inlineStr">
        <is>
          <t>PA-SI-005</t>
        </is>
      </c>
      <c r="Z141" s="34" t="inlineStr">
        <is>
          <t>Fortalecer el monitoreo proactivo de recursos (CPU, RAM, almacenamiento).</t>
        </is>
      </c>
    </row>
    <row r="142" hidden="1" ht="45" customHeight="1" s="106">
      <c r="A142" s="57" t="inlineStr">
        <is>
          <t>117-GTI</t>
        </is>
      </c>
      <c r="B142" s="17" t="inlineStr">
        <is>
          <t>SERVIDOR VM ESXI (Sistemas, WS Internos) (VMSRVINTERNOS)</t>
        </is>
      </c>
      <c r="C142" s="17" t="inlineStr">
        <is>
          <t>AVR 192.168.100.146 que contiene virtualizados :  Servidor de Dominio (Active Directory) y DNS - Servidor Webcoop/Dynacoop/ Alertas SMS OTP Correo - Web Service Equifax, Bdd Sybase Riesgos - Servidor de Veeam Backup/ Servidor Impresión RICOH</t>
        </is>
      </c>
      <c r="D142" s="64" t="inlineStr">
        <is>
          <t>[HW] Equipamiento informático (hardware)</t>
        </is>
      </c>
      <c r="E142" s="34" t="inlineStr">
        <is>
          <t>[A.11] Acceso no autorizado</t>
        </is>
      </c>
      <c r="F142" s="34">
        <f>+VLOOKUP(E142,'CATALOGO AMENAZA'!$B$2:$D$46,3,FALSE)</f>
        <v/>
      </c>
      <c r="G142" s="34" t="inlineStr">
        <is>
          <t>X</t>
        </is>
      </c>
      <c r="H142" s="34" t="inlineStr">
        <is>
          <t>X</t>
        </is>
      </c>
      <c r="I142" s="34" t="n"/>
      <c r="J142" s="34" t="n">
        <v>2</v>
      </c>
      <c r="K142" s="34" t="n">
        <v>4</v>
      </c>
      <c r="L142" s="34">
        <f>+J142*K142</f>
        <v/>
      </c>
      <c r="M142" s="34">
        <f>+IF(L142&lt;5,"BAJO",IF(L142&lt;10,"MEDIO",IF(L142&lt;17,"ALTO","CRITICO")))</f>
        <v/>
      </c>
      <c r="N142" s="4" t="inlineStr">
        <is>
          <t>Control de accesos / VPN</t>
        </is>
      </c>
      <c r="O142" s="34" t="inlineStr">
        <is>
          <t>PREVENTIVO</t>
        </is>
      </c>
      <c r="P142" s="34" t="inlineStr">
        <is>
          <t>Control Implementado sin evidencia de efectividad (Inefectivo prueba)</t>
        </is>
      </c>
      <c r="Q142" s="52" t="n">
        <v>0.3</v>
      </c>
      <c r="R142" s="4" t="inlineStr">
        <is>
          <t>Contreaseñas de VPN no expiran</t>
        </is>
      </c>
      <c r="S142" s="53">
        <f>+IF(O142="PREVENTIVO",J142*(1-Q142),IF(O142="ADMINISTRACION",J142*(1-Q142),IF(O142="ELIMINACION",J142*(1-Q142),J142)))</f>
        <v/>
      </c>
      <c r="T142" s="53">
        <f>+IF(O142="DETECTIVO",K142*(1-Q142),IF(O142="RECUPERACION",K142*(1-Q142),K142))</f>
        <v/>
      </c>
      <c r="U142" s="54">
        <f>+S142*T142</f>
        <v/>
      </c>
      <c r="V142" s="65">
        <f>+IF(U142&lt;5,"BAJO",IF(U142&lt;10,"MEDIO",IF(U142&lt;17,"ALTO","CRITICO")))</f>
        <v/>
      </c>
      <c r="W142" s="87" t="inlineStr">
        <is>
          <t>MITIGAR</t>
        </is>
      </c>
      <c r="X142" s="80" t="inlineStr">
        <is>
          <t>-</t>
        </is>
      </c>
      <c r="Y142" s="80" t="inlineStr">
        <is>
          <t>-</t>
        </is>
      </c>
      <c r="Z142" s="80" t="inlineStr">
        <is>
          <t>-</t>
        </is>
      </c>
    </row>
    <row r="143" hidden="1" ht="45" customHeight="1" s="106">
      <c r="A143" s="57" t="inlineStr">
        <is>
          <t>117-GTI</t>
        </is>
      </c>
      <c r="B143" s="17" t="inlineStr">
        <is>
          <t>SERVIDOR VM ESXI (Sistemas, WS Internos) (VMSRVINTERNOS)</t>
        </is>
      </c>
      <c r="C143" s="17" t="inlineStr">
        <is>
          <t>AVR 192.168.100.146 que contiene virtualizados :  Servidor de Dominio (Active Directory) y DNS - Servidor Webcoop/Dynacoop/ Alertas SMS OTP Correo - Web Service Equifax, Bdd Sybase Riesgos - Servidor de Veeam Backup/ Servidor Impresión RICOH</t>
        </is>
      </c>
      <c r="D143" s="64" t="inlineStr">
        <is>
          <t>[HW] Equipamiento informático (hardware)</t>
        </is>
      </c>
      <c r="E143" s="34" t="inlineStr">
        <is>
          <t>[A.23] Manipulación de los equipos</t>
        </is>
      </c>
      <c r="F143" s="34">
        <f>+VLOOKUP(E143,'CATALOGO AMENAZA'!$B$2:$D$46,3,FALSE)</f>
        <v/>
      </c>
      <c r="G143" s="34" t="inlineStr">
        <is>
          <t>X</t>
        </is>
      </c>
      <c r="H143" s="34" t="n"/>
      <c r="I143" s="34" t="inlineStr">
        <is>
          <t>X</t>
        </is>
      </c>
      <c r="J143" s="34" t="n">
        <v>3</v>
      </c>
      <c r="K143" s="34" t="n">
        <v>3</v>
      </c>
      <c r="L143" s="34">
        <f>+J143*K143</f>
        <v/>
      </c>
      <c r="M143" s="34">
        <f>+IF(L143&lt;5,"BAJO",IF(L143&lt;10,"MEDIO",IF(L143&lt;17,"ALTO","CRITICO")))</f>
        <v/>
      </c>
      <c r="N143" s="4" t="inlineStr">
        <is>
          <t>Control de accesos</t>
        </is>
      </c>
      <c r="O143" s="34" t="inlineStr">
        <is>
          <t>PREVENTIVO</t>
        </is>
      </c>
      <c r="P143" s="34" t="inlineStr">
        <is>
          <t>Control Implementado sin evidencia de efectividad (Inefectivo prueba)</t>
        </is>
      </c>
      <c r="Q143" s="52" t="n">
        <v>0.3</v>
      </c>
      <c r="R143" s="4" t="inlineStr">
        <is>
          <t>Usuarios genéricos</t>
        </is>
      </c>
      <c r="S143" s="53">
        <f>+IF(O143="PREVENTIVO",J143*(1-Q143),IF(O143="ADMINISTRACION",J143*(1-Q143),IF(O143="ELIMINACION",J143*(1-Q143),J143)))</f>
        <v/>
      </c>
      <c r="T143" s="53">
        <f>+IF(O143="DETECTIVO",K143*(1-Q143),IF(O143="RECUPERACION",K143*(1-Q143),K143))</f>
        <v/>
      </c>
      <c r="U143" s="54">
        <f>+S143*T143</f>
        <v/>
      </c>
      <c r="V143" s="65">
        <f>+IF(U143&lt;5,"BAJO",IF(U143&lt;10,"MEDIO",IF(U143&lt;17,"ALTO","CRITICO")))</f>
        <v/>
      </c>
      <c r="W143" s="87" t="inlineStr">
        <is>
          <t>MITIGAR</t>
        </is>
      </c>
      <c r="X143" s="80" t="inlineStr">
        <is>
          <t>-</t>
        </is>
      </c>
      <c r="Y143" s="80" t="inlineStr">
        <is>
          <t>-</t>
        </is>
      </c>
      <c r="Z143" s="80" t="inlineStr">
        <is>
          <t>-</t>
        </is>
      </c>
    </row>
    <row r="144" hidden="1" ht="45" customHeight="1" s="106">
      <c r="A144" s="57" t="inlineStr">
        <is>
          <t>118-GTI</t>
        </is>
      </c>
      <c r="B144" s="17" t="inlineStr">
        <is>
          <t>SERVIDOR VM ESXI (Sistemas, WS Internos)(VMSREXTERNOS3)</t>
        </is>
      </c>
      <c r="C144" s="17" t="inlineStr">
        <is>
          <t>SVR 192.168.100.242 que contiene virtualizados : Oracle VM Manager</t>
        </is>
      </c>
      <c r="D144" s="64" t="inlineStr">
        <is>
          <t>[HW] Equipamiento informático (hardware)</t>
        </is>
      </c>
      <c r="E144" s="34" t="inlineStr">
        <is>
          <t>[E.2] Errores del administrador</t>
        </is>
      </c>
      <c r="F144" s="34">
        <f>+VLOOKUP(E144,'CATALOGO AMENAZA'!$B$2:$D$46,3,FALSE)</f>
        <v/>
      </c>
      <c r="G144" s="34" t="inlineStr">
        <is>
          <t>X</t>
        </is>
      </c>
      <c r="H144" s="34" t="inlineStr">
        <is>
          <t>X</t>
        </is>
      </c>
      <c r="I144" s="34" t="inlineStr">
        <is>
          <t>X</t>
        </is>
      </c>
      <c r="J144" s="34" t="n">
        <v>2</v>
      </c>
      <c r="K144" s="34" t="n">
        <v>4</v>
      </c>
      <c r="L144" s="34">
        <f>+J144*K144</f>
        <v/>
      </c>
      <c r="M144" s="34">
        <f>+IF(L144&lt;5,"BAJO",IF(L144&lt;10,"MEDIO",IF(L144&lt;17,"ALTO","CRITICO")))</f>
        <v/>
      </c>
      <c r="N144" s="4" t="inlineStr">
        <is>
          <t>Control de cambios en los sistemas
Verificación posterior (informe)</t>
        </is>
      </c>
      <c r="O144" s="34" t="inlineStr">
        <is>
          <t>ADMINISTRACION</t>
        </is>
      </c>
      <c r="P144" s="34" t="inlineStr">
        <is>
          <t>Control Implementado sin evidencia de efectividad (Inefectivo prueba)</t>
        </is>
      </c>
      <c r="Q144" s="52" t="n">
        <v>0.3</v>
      </c>
      <c r="R144" s="4" t="inlineStr">
        <is>
          <t>No existe procedimiento formal de gestión de cambios</t>
        </is>
      </c>
      <c r="S144" s="53">
        <f>+IF(O144="PREVENTIVO",J144*(1-Q144),IF(O144="ADMINISTRACION",J144*(1-Q144),IF(O144="ELIMINACION",J144*(1-Q144),J144)))</f>
        <v/>
      </c>
      <c r="T144" s="53">
        <f>+IF(O144="DETECTIVO",K144*(1-Q144),IF(O144="RECUPERACION",K144*(1-Q144),K144))</f>
        <v/>
      </c>
      <c r="U144" s="54">
        <f>+S144*T144</f>
        <v/>
      </c>
      <c r="V144" s="65">
        <f>+IF(U144&lt;5,"BAJO",IF(U144&lt;10,"MEDIO",IF(U144&lt;17,"ALTO","CRITICO")))</f>
        <v/>
      </c>
      <c r="W144" s="87" t="inlineStr">
        <is>
          <t>MITIGAR</t>
        </is>
      </c>
      <c r="X144" s="80" t="inlineStr">
        <is>
          <t>-</t>
        </is>
      </c>
      <c r="Y144" s="80" t="inlineStr">
        <is>
          <t>-</t>
        </is>
      </c>
      <c r="Z144" s="80" t="inlineStr">
        <is>
          <t>-</t>
        </is>
      </c>
    </row>
    <row r="145" ht="45" customHeight="1" s="106">
      <c r="A145" s="57" t="inlineStr">
        <is>
          <t>118-GTI</t>
        </is>
      </c>
      <c r="B145" s="17" t="inlineStr">
        <is>
          <t>SERVIDOR VM ESXI (Sistemas, WS Internos)(VMSREXTERNOS3)</t>
        </is>
      </c>
      <c r="C145" s="17" t="inlineStr">
        <is>
          <t>SVR 192.168.100.242 que contiene virtualizados : Oracle VM Manager</t>
        </is>
      </c>
      <c r="D145" s="64" t="inlineStr">
        <is>
          <t>[HW] Equipamiento informático (hardware)</t>
        </is>
      </c>
      <c r="E145" s="34" t="inlineStr">
        <is>
          <t>[E.24] Caída del sistema por agotamiento de recursos</t>
        </is>
      </c>
      <c r="F145" s="34">
        <f>+VLOOKUP(E145,'CATALOGO AMENAZA'!$B$2:$D$46,3,FALSE)</f>
        <v/>
      </c>
      <c r="G145" s="34" t="n"/>
      <c r="H145" s="34" t="n"/>
      <c r="I145" s="34" t="inlineStr">
        <is>
          <t>X</t>
        </is>
      </c>
      <c r="J145" s="34" t="n">
        <v>3</v>
      </c>
      <c r="K145" s="34" t="n">
        <v>5</v>
      </c>
      <c r="L145" s="34">
        <f>+J145*K145</f>
        <v/>
      </c>
      <c r="M145" s="34">
        <f>+IF(L145&lt;5,"BAJO",IF(L145&lt;10,"MEDIO",IF(L145&lt;17,"ALTO","CRITICO")))</f>
        <v/>
      </c>
      <c r="N145" s="34" t="inlineStr">
        <is>
          <t>Procedimiento de Gestión de la capacidad y desempeño de la Infraestructura</t>
        </is>
      </c>
      <c r="O145" s="54" t="inlineStr">
        <is>
          <t>PREVENTIVO</t>
        </is>
      </c>
      <c r="P145" s="34" t="inlineStr">
        <is>
          <t>Control Implementado sin evidencia de efectividad (Inefectivo prueba)</t>
        </is>
      </c>
      <c r="Q145" s="52" t="n">
        <v>0.3</v>
      </c>
      <c r="R145" s="34" t="inlineStr">
        <is>
          <t>Notificación automática de alertas</t>
        </is>
      </c>
      <c r="S145" s="53">
        <f>+IF(O145="PREVENTIVO",J145*(1-Q145),IF(O145="ADMINISTRACION",J145*(1-Q145),IF(O145="ELIMINACION",J145*(1-Q145),J145)))</f>
        <v/>
      </c>
      <c r="T145" s="53">
        <f>+IF(O145="DETECTIVO",K145*(1-Q145),IF(O145="RECUPERACION",K145*(1-Q145),K145))</f>
        <v/>
      </c>
      <c r="U145" s="54">
        <f>+S145*T145</f>
        <v/>
      </c>
      <c r="V145" s="65">
        <f>+IF(U145&lt;5,"BAJO",IF(U145&lt;10,"MEDIO",IF(U145&lt;17,"ALTO","CRITICO")))</f>
        <v/>
      </c>
      <c r="W145" s="65" t="inlineStr">
        <is>
          <t>MITIGAR</t>
        </is>
      </c>
      <c r="X145" s="34" t="inlineStr">
        <is>
          <t>REQUIERE TRATAMIENTO</t>
        </is>
      </c>
      <c r="Y145" s="34" t="inlineStr">
        <is>
          <t>PA-SI-005</t>
        </is>
      </c>
      <c r="Z145" s="34" t="inlineStr">
        <is>
          <t>Fortalecer el monitoreo proactivo de recursos (CPU, RAM, almacenamiento).</t>
        </is>
      </c>
    </row>
    <row r="146" hidden="1" ht="45" customHeight="1" s="106">
      <c r="A146" s="57" t="inlineStr">
        <is>
          <t>118-GTI</t>
        </is>
      </c>
      <c r="B146" s="17" t="inlineStr">
        <is>
          <t>SERVIDOR VM ESXI (Sistemas, WS Internos)(VMSREXTERNOS3)</t>
        </is>
      </c>
      <c r="C146" s="17" t="inlineStr">
        <is>
          <t>SVR 192.168.100.242 que contiene virtualizados : Oracle VM Manager</t>
        </is>
      </c>
      <c r="D146" s="64" t="inlineStr">
        <is>
          <t>[HW] Equipamiento informático (hardware)</t>
        </is>
      </c>
      <c r="E146" s="34" t="inlineStr">
        <is>
          <t>[A.11] Acceso no autorizado</t>
        </is>
      </c>
      <c r="F146" s="34">
        <f>+VLOOKUP(E146,'CATALOGO AMENAZA'!$B$2:$D$46,3,FALSE)</f>
        <v/>
      </c>
      <c r="G146" s="34" t="inlineStr">
        <is>
          <t>X</t>
        </is>
      </c>
      <c r="H146" s="34" t="inlineStr">
        <is>
          <t>X</t>
        </is>
      </c>
      <c r="I146" s="34" t="n"/>
      <c r="J146" s="34" t="n">
        <v>2</v>
      </c>
      <c r="K146" s="34" t="n">
        <v>4</v>
      </c>
      <c r="L146" s="34">
        <f>+J146*K146</f>
        <v/>
      </c>
      <c r="M146" s="34">
        <f>+IF(L146&lt;5,"BAJO",IF(L146&lt;10,"MEDIO",IF(L146&lt;17,"ALTO","CRITICO")))</f>
        <v/>
      </c>
      <c r="N146" s="4" t="inlineStr">
        <is>
          <t>Control de accesos / VPN</t>
        </is>
      </c>
      <c r="O146" s="34" t="inlineStr">
        <is>
          <t>PREVENTIVO</t>
        </is>
      </c>
      <c r="P146" s="34" t="inlineStr">
        <is>
          <t>Control Implementado sin evidencia de efectividad (Inefectivo prueba)</t>
        </is>
      </c>
      <c r="Q146" s="52" t="n">
        <v>0.3</v>
      </c>
      <c r="R146" s="4" t="inlineStr">
        <is>
          <t>Contreaseñas de VPN no expiran</t>
        </is>
      </c>
      <c r="S146" s="53">
        <f>+IF(O146="PREVENTIVO",J146*(1-Q146),IF(O146="ADMINISTRACION",J146*(1-Q146),IF(O146="ELIMINACION",J146*(1-Q146),J146)))</f>
        <v/>
      </c>
      <c r="T146" s="53">
        <f>+IF(O146="DETECTIVO",K146*(1-Q146),IF(O146="RECUPERACION",K146*(1-Q146),K146))</f>
        <v/>
      </c>
      <c r="U146" s="54">
        <f>+S146*T146</f>
        <v/>
      </c>
      <c r="V146" s="65">
        <f>+IF(U146&lt;5,"BAJO",IF(U146&lt;10,"MEDIO",IF(U146&lt;17,"ALTO","CRITICO")))</f>
        <v/>
      </c>
      <c r="W146" s="87" t="inlineStr">
        <is>
          <t>MITIGAR</t>
        </is>
      </c>
      <c r="X146" s="80" t="inlineStr">
        <is>
          <t>-</t>
        </is>
      </c>
      <c r="Y146" s="80" t="inlineStr">
        <is>
          <t>-</t>
        </is>
      </c>
      <c r="Z146" s="80" t="inlineStr">
        <is>
          <t>-</t>
        </is>
      </c>
    </row>
    <row r="147" hidden="1" ht="41.1" customHeight="1" s="106">
      <c r="A147" s="57" t="inlineStr">
        <is>
          <t>118-GTI</t>
        </is>
      </c>
      <c r="B147" s="17" t="inlineStr">
        <is>
          <t>SERVIDOR VM ESXI (Sistemas, WS Internos)(VMSREXTERNOS3)</t>
        </is>
      </c>
      <c r="C147" s="17" t="inlineStr">
        <is>
          <t>SVR 192.168.100.242 que contiene virtualizados : Oracle VM Manager</t>
        </is>
      </c>
      <c r="D147" s="64" t="inlineStr">
        <is>
          <t>[HW] Equipamiento informático (hardware)</t>
        </is>
      </c>
      <c r="E147" s="34" t="inlineStr">
        <is>
          <t>[A.23] Manipulación de los equipos</t>
        </is>
      </c>
      <c r="F147" s="34">
        <f>+VLOOKUP(E147,'CATALOGO AMENAZA'!$B$2:$D$46,3,FALSE)</f>
        <v/>
      </c>
      <c r="G147" s="34" t="inlineStr">
        <is>
          <t>X</t>
        </is>
      </c>
      <c r="H147" s="34" t="n"/>
      <c r="I147" s="34" t="inlineStr">
        <is>
          <t>X</t>
        </is>
      </c>
      <c r="J147" s="34" t="n">
        <v>3</v>
      </c>
      <c r="K147" s="34" t="n">
        <v>3</v>
      </c>
      <c r="L147" s="34">
        <f>+J147*K147</f>
        <v/>
      </c>
      <c r="M147" s="34">
        <f>+IF(L147&lt;5,"BAJO",IF(L147&lt;10,"MEDIO",IF(L147&lt;17,"ALTO","CRITICO")))</f>
        <v/>
      </c>
      <c r="N147" s="4" t="inlineStr">
        <is>
          <t>Control de accesos</t>
        </is>
      </c>
      <c r="O147" s="34" t="inlineStr">
        <is>
          <t>PREVENTIVO</t>
        </is>
      </c>
      <c r="P147" s="34" t="inlineStr">
        <is>
          <t>Control Implementado sin evidencia de efectividad (Inefectivo prueba)</t>
        </is>
      </c>
      <c r="Q147" s="52" t="n">
        <v>0.3</v>
      </c>
      <c r="R147" s="4" t="inlineStr">
        <is>
          <t>Usuarios genéricos</t>
        </is>
      </c>
      <c r="S147" s="53">
        <f>+IF(O147="PREVENTIVO",J147*(1-Q147),IF(O147="ADMINISTRACION",J147*(1-Q147),IF(O147="ELIMINACION",J147*(1-Q147),J147)))</f>
        <v/>
      </c>
      <c r="T147" s="53">
        <f>+IF(O147="DETECTIVO",K147*(1-Q147),IF(O147="RECUPERACION",K147*(1-Q147),K147))</f>
        <v/>
      </c>
      <c r="U147" s="54">
        <f>+S147*T147</f>
        <v/>
      </c>
      <c r="V147" s="65">
        <f>+IF(U147&lt;5,"BAJO",IF(U147&lt;10,"MEDIO",IF(U147&lt;17,"ALTO","CRITICO")))</f>
        <v/>
      </c>
      <c r="W147" s="87" t="inlineStr">
        <is>
          <t>MITIGAR</t>
        </is>
      </c>
      <c r="X147" s="80" t="inlineStr">
        <is>
          <t>-</t>
        </is>
      </c>
      <c r="Y147" s="80" t="inlineStr">
        <is>
          <t>-</t>
        </is>
      </c>
      <c r="Z147" s="80" t="inlineStr">
        <is>
          <t>-</t>
        </is>
      </c>
    </row>
    <row r="148" hidden="1" ht="35.1" customHeight="1" s="106">
      <c r="A148" s="57" t="inlineStr">
        <is>
          <t>119-GTI</t>
        </is>
      </c>
      <c r="B148" s="17" t="inlineStr">
        <is>
          <t>Administrador de Comunicación e Infrestructura</t>
        </is>
      </c>
      <c r="C148" s="17" t="inlineStr">
        <is>
          <t>Funcionarios con el cargo de Administrador de Comunicación e Infraestructura - Consolas Operador Oracle VM - Web Service SERVIPAGOS</t>
        </is>
      </c>
      <c r="D148" s="55" t="inlineStr">
        <is>
          <t>[P] Personal</t>
        </is>
      </c>
      <c r="E148" s="34" t="inlineStr">
        <is>
          <t>[E.28] Indisponibilidad del personal</t>
        </is>
      </c>
      <c r="F148" s="34">
        <f>+VLOOKUP(E148,'CATALOGO AMENAZA'!$B$2:$D$46,3,FALSE)</f>
        <v/>
      </c>
      <c r="G148" s="34" t="n"/>
      <c r="H148" s="34" t="n"/>
      <c r="I148" s="34" t="inlineStr">
        <is>
          <t>X</t>
        </is>
      </c>
      <c r="J148" s="34" t="n">
        <v>2</v>
      </c>
      <c r="K148" s="34" t="n">
        <v>3</v>
      </c>
      <c r="L148" s="34">
        <f>+J148*K148</f>
        <v/>
      </c>
      <c r="M148" s="34">
        <f>+IF(L148&lt;5,"BAJO",IF(L148&lt;10,"MEDIO",IF(L148&lt;17,"ALTO","CRITICO")))</f>
        <v/>
      </c>
      <c r="N148" s="54" t="inlineStr">
        <is>
          <t>Plan de continuidad documentado</t>
        </is>
      </c>
      <c r="O148" s="54" t="inlineStr">
        <is>
          <t>RECUPERACION</t>
        </is>
      </c>
      <c r="P148" s="34" t="inlineStr">
        <is>
          <t>Control Implementado sin evidencia de efectividad (Inefectivo prueba)</t>
        </is>
      </c>
      <c r="Q148" s="52" t="n">
        <v>0.3</v>
      </c>
      <c r="R148" s="34" t="inlineStr">
        <is>
          <t>Dependencia de personal clave</t>
        </is>
      </c>
      <c r="S148" s="53">
        <f>+IF(O148="PREVENTIVO",J148*(1-Q148),IF(O148="ADMINISTRACION",J148*(1-Q148),IF(O148="ELIMINACION",J148*(1-Q148),J148)))</f>
        <v/>
      </c>
      <c r="T148" s="53">
        <f>+IF(O148="DETECTIVO",K148*(1-Q148),IF(O148="RECUPERACION",K148*(1-Q148),K148))</f>
        <v/>
      </c>
      <c r="U148" s="54">
        <f>+S148*T148</f>
        <v/>
      </c>
      <c r="V148" s="65">
        <f>+IF(U148&lt;5,"BAJO",IF(U148&lt;10,"MEDIO",IF(U148&lt;17,"ALTO","CRITICO")))</f>
        <v/>
      </c>
      <c r="W148" s="65" t="inlineStr">
        <is>
          <t>ACEPTABLE</t>
        </is>
      </c>
      <c r="X148" s="80" t="inlineStr">
        <is>
          <t>-</t>
        </is>
      </c>
      <c r="Y148" s="80" t="inlineStr">
        <is>
          <t>-</t>
        </is>
      </c>
      <c r="Z148" s="80" t="inlineStr">
        <is>
          <t>-</t>
        </is>
      </c>
    </row>
    <row r="149" hidden="1" ht="45" customHeight="1" s="106">
      <c r="A149" s="57" t="inlineStr">
        <is>
          <t>120-GTI</t>
        </is>
      </c>
      <c r="B149" s="17" t="inlineStr">
        <is>
          <t>Administrador de Base de Datos</t>
        </is>
      </c>
      <c r="C149" s="17" t="inlineStr">
        <is>
          <t>Funcionarios con el cargo de Administrador de Base de Datos</t>
        </is>
      </c>
      <c r="D149" s="55" t="inlineStr">
        <is>
          <t>[P] Personal</t>
        </is>
      </c>
      <c r="E149" s="34" t="inlineStr">
        <is>
          <t>[E.28] Indisponibilidad del personal</t>
        </is>
      </c>
      <c r="F149" s="34">
        <f>+VLOOKUP(E149,'CATALOGO AMENAZA'!$B$2:$D$46,3,FALSE)</f>
        <v/>
      </c>
      <c r="G149" s="34" t="n"/>
      <c r="H149" s="34" t="n"/>
      <c r="I149" s="34" t="inlineStr">
        <is>
          <t>X</t>
        </is>
      </c>
      <c r="J149" s="34" t="n">
        <v>2</v>
      </c>
      <c r="K149" s="34" t="n">
        <v>3</v>
      </c>
      <c r="L149" s="34">
        <f>+J149*K149</f>
        <v/>
      </c>
      <c r="M149" s="34">
        <f>+IF(L149&lt;5,"BAJO",IF(L149&lt;10,"MEDIO",IF(L149&lt;17,"ALTO","CRITICO")))</f>
        <v/>
      </c>
      <c r="N149" s="54" t="inlineStr">
        <is>
          <t>Plan de continuidad documentado</t>
        </is>
      </c>
      <c r="O149" s="54" t="inlineStr">
        <is>
          <t>RECUPERACION</t>
        </is>
      </c>
      <c r="P149" s="34" t="inlineStr">
        <is>
          <t>Control Implementado sin evidencia de efectividad (Inefectivo prueba)</t>
        </is>
      </c>
      <c r="Q149" s="52" t="n">
        <v>0.3</v>
      </c>
      <c r="R149" s="34" t="inlineStr">
        <is>
          <t>Dependencia de personal clave</t>
        </is>
      </c>
      <c r="S149" s="53">
        <f>+IF(O149="PREVENTIVO",J149*(1-Q149),IF(O149="ADMINISTRACION",J149*(1-Q149),IF(O149="ELIMINACION",J149*(1-Q149),J149)))</f>
        <v/>
      </c>
      <c r="T149" s="53">
        <f>+IF(O149="DETECTIVO",K149*(1-Q149),IF(O149="RECUPERACION",K149*(1-Q149),K149))</f>
        <v/>
      </c>
      <c r="U149" s="54">
        <f>+S149*T149</f>
        <v/>
      </c>
      <c r="V149" s="65">
        <f>+IF(U149&lt;5,"BAJO",IF(U149&lt;10,"MEDIO",IF(U149&lt;17,"ALTO","CRITICO")))</f>
        <v/>
      </c>
      <c r="W149" s="65" t="inlineStr">
        <is>
          <t>ACEPTABLE</t>
        </is>
      </c>
      <c r="X149" s="80" t="inlineStr">
        <is>
          <t>-</t>
        </is>
      </c>
      <c r="Y149" s="80" t="inlineStr">
        <is>
          <t>-</t>
        </is>
      </c>
      <c r="Z149" s="80" t="inlineStr">
        <is>
          <t>-</t>
        </is>
      </c>
    </row>
    <row r="150" hidden="1" ht="45" customHeight="1" s="106">
      <c r="A150" s="57" t="inlineStr">
        <is>
          <t>9-GFI</t>
        </is>
      </c>
      <c r="B150" s="17" t="inlineStr">
        <is>
          <t>Escrituras del Bien inmueble/ Autorizaciones de Gerencia</t>
        </is>
      </c>
      <c r="C150" s="17" t="inlineStr">
        <is>
          <t>Escritura del bien inmueble que se va adjudicar con autorización del Gerente. G</t>
        </is>
      </c>
      <c r="D150" s="55" t="inlineStr">
        <is>
          <t>[D] Datos / Información / datos de configuración</t>
        </is>
      </c>
      <c r="E150" s="34" t="inlineStr">
        <is>
          <t>[E.19] Fugas de información</t>
        </is>
      </c>
      <c r="F150" s="34">
        <f>+VLOOKUP(E150,'CATALOGO AMENAZA'!$B$2:$D$46,3,FALSE)</f>
        <v/>
      </c>
      <c r="G150" s="34" t="inlineStr">
        <is>
          <t>X</t>
        </is>
      </c>
      <c r="H150" s="34" t="n"/>
      <c r="I150" s="34" t="n"/>
      <c r="J150" s="34" t="n">
        <v>3</v>
      </c>
      <c r="K150" s="34" t="n">
        <v>4</v>
      </c>
      <c r="L150" s="34">
        <f>+J150*K150</f>
        <v/>
      </c>
      <c r="M150" s="34">
        <f>+IF(L150&lt;5,"BAJO",IF(L150&lt;10,"MEDIO",IF(L150&lt;17,"ALTO","CRITICO")))</f>
        <v/>
      </c>
      <c r="N150" s="54" t="inlineStr">
        <is>
          <t>Software DLP</t>
        </is>
      </c>
      <c r="O150" s="54" t="inlineStr">
        <is>
          <t>PREVENTIVO</t>
        </is>
      </c>
      <c r="P150" s="34" t="inlineStr">
        <is>
          <t>Control Implementado sin evidencia de efectividad (Inefectivo prueba)</t>
        </is>
      </c>
      <c r="Q150" s="52" t="n">
        <v>0.3</v>
      </c>
      <c r="R150" s="34" t="inlineStr">
        <is>
          <t>Politicas sin restricción para jefaturas</t>
        </is>
      </c>
      <c r="S150" s="53">
        <f>+IF(O150="PREVENTIVO",J150*(1-Q150),IF(O150="ADMINISTRACION",J150*(1-Q150),IF(O150="ELIMINACION",J150*(1-Q150),J150)))</f>
        <v/>
      </c>
      <c r="T150" s="53">
        <f>+IF(O150="DETECTIVO",K150*(1-Q150),IF(O150="RECUPERACION",K150*(1-Q150),K150))</f>
        <v/>
      </c>
      <c r="U150" s="54">
        <f>+S150*T150</f>
        <v/>
      </c>
      <c r="V150" s="65">
        <f>+IF(U150&lt;5,"BAJO",IF(U150&lt;10,"MEDIO",IF(U150&lt;17,"ALTO","CRITICO")))</f>
        <v/>
      </c>
      <c r="W150" s="87" t="inlineStr">
        <is>
          <t>MITIGAR</t>
        </is>
      </c>
      <c r="X150" s="80" t="inlineStr">
        <is>
          <t>-</t>
        </is>
      </c>
      <c r="Y150" s="80" t="inlineStr">
        <is>
          <t>-</t>
        </is>
      </c>
      <c r="Z150" s="80" t="inlineStr">
        <is>
          <t>-</t>
        </is>
      </c>
    </row>
    <row r="151" hidden="1" ht="22.5" customHeight="1" s="106">
      <c r="A151" s="57" t="inlineStr">
        <is>
          <t>9-GFI</t>
        </is>
      </c>
      <c r="B151" s="17" t="inlineStr">
        <is>
          <t>Escrituras del Bien inmueble/ Autorizaciones de Gerencia</t>
        </is>
      </c>
      <c r="C151" s="17" t="inlineStr">
        <is>
          <t>Escritura del bien inmueble que se va adjudicar con autorización del Gerente. G</t>
        </is>
      </c>
      <c r="D151" s="55" t="inlineStr">
        <is>
          <t>[D] Datos / Información / datos de configuración</t>
        </is>
      </c>
      <c r="E151" s="34" t="inlineStr">
        <is>
          <t>[E.18] Destrucción de información</t>
        </is>
      </c>
      <c r="F151" s="34">
        <f>+VLOOKUP(E151,'CATALOGO AMENAZA'!$B$2:$D$46,3,FALSE)</f>
        <v/>
      </c>
      <c r="G151" s="34" t="n"/>
      <c r="H151" s="34" t="n"/>
      <c r="I151" s="34" t="inlineStr">
        <is>
          <t>X</t>
        </is>
      </c>
      <c r="J151" s="34" t="n">
        <v>3</v>
      </c>
      <c r="K151" s="34" t="n">
        <v>3</v>
      </c>
      <c r="L151" s="34">
        <f>+J151*K151</f>
        <v/>
      </c>
      <c r="M151" s="34">
        <f>+IF(L151&lt;5,"BAJO",IF(L151&lt;10,"MEDIO",IF(L151&lt;17,"ALTO","CRITICO")))</f>
        <v/>
      </c>
      <c r="N151" s="54" t="inlineStr">
        <is>
          <t>Respaldo digital de información</t>
        </is>
      </c>
      <c r="O151" s="54" t="inlineStr">
        <is>
          <t>PREVENTIVO</t>
        </is>
      </c>
      <c r="P151" s="34" t="inlineStr">
        <is>
          <t>Control Implementado sin evidencia de efectividad (Inefectivo prueba)</t>
        </is>
      </c>
      <c r="Q151" s="52" t="n">
        <v>0.3</v>
      </c>
      <c r="R151" s="4" t="inlineStr">
        <is>
          <t>Almacenamiento manual en medio extraible</t>
        </is>
      </c>
      <c r="S151" s="53">
        <f>+IF(O151="PREVENTIVO",J151*(1-Q151),IF(O151="ADMINISTRACION",J151*(1-Q151),IF(O151="ELIMINACION",J151*(1-Q151),J151)))</f>
        <v/>
      </c>
      <c r="T151" s="53">
        <f>+IF(O151="DETECTIVO",K151*(1-Q151),IF(O151="RECUPERACION",K151*(1-Q151),K151))</f>
        <v/>
      </c>
      <c r="U151" s="54">
        <f>+S151*T151</f>
        <v/>
      </c>
      <c r="V151" s="65">
        <f>+IF(U151&lt;5,"BAJO",IF(U151&lt;10,"MEDIO",IF(U151&lt;17,"ALTO","CRITICO")))</f>
        <v/>
      </c>
      <c r="W151" s="87" t="inlineStr">
        <is>
          <t>MITIGAR</t>
        </is>
      </c>
      <c r="X151" s="80" t="inlineStr">
        <is>
          <t>-</t>
        </is>
      </c>
      <c r="Y151" s="80" t="inlineStr">
        <is>
          <t>-</t>
        </is>
      </c>
      <c r="Z151" s="80" t="inlineStr">
        <is>
          <t>-</t>
        </is>
      </c>
    </row>
    <row r="152" hidden="1" ht="22.5" customHeight="1" s="106">
      <c r="A152" s="57" t="inlineStr">
        <is>
          <t>10-GFI</t>
        </is>
      </c>
      <c r="B152" s="17" t="inlineStr">
        <is>
          <t>Cheque</t>
        </is>
      </c>
      <c r="C152" s="17" t="inlineStr">
        <is>
          <t>Pagos que se realiza a los proveedores en cheques</t>
        </is>
      </c>
      <c r="D152" s="55" t="inlineStr">
        <is>
          <t>[D] Datos / Información / datos de configuración</t>
        </is>
      </c>
      <c r="E152" s="34" t="inlineStr">
        <is>
          <t>[E.18] Destrucción de información</t>
        </is>
      </c>
      <c r="F152" s="34">
        <f>+VLOOKUP(E152,'CATALOGO AMENAZA'!$B$2:$D$46,3,FALSE)</f>
        <v/>
      </c>
      <c r="G152" s="34" t="n"/>
      <c r="H152" s="34" t="n"/>
      <c r="I152" s="34" t="inlineStr">
        <is>
          <t>X</t>
        </is>
      </c>
      <c r="J152" s="34" t="n">
        <v>3</v>
      </c>
      <c r="K152" s="34" t="n">
        <v>3</v>
      </c>
      <c r="L152" s="34">
        <f>+J152*K152</f>
        <v/>
      </c>
      <c r="M152" s="34">
        <f>+IF(L152&lt;5,"BAJO",IF(L152&lt;10,"MEDIO",IF(L152&lt;17,"ALTO","CRITICO")))</f>
        <v/>
      </c>
      <c r="N152" s="54" t="inlineStr">
        <is>
          <t>Respaldo digital de información</t>
        </is>
      </c>
      <c r="O152" s="54" t="inlineStr">
        <is>
          <t>PREVENTIVO</t>
        </is>
      </c>
      <c r="P152" s="34" t="inlineStr">
        <is>
          <t>Control Implementado sin evidencia de efectividad (Inefectivo prueba)</t>
        </is>
      </c>
      <c r="Q152" s="52" t="n">
        <v>0.3</v>
      </c>
      <c r="R152" s="4" t="inlineStr">
        <is>
          <t>Almacenamiento manual en medio extraible</t>
        </is>
      </c>
      <c r="S152" s="53">
        <f>+IF(O152="PREVENTIVO",J152*(1-Q152),IF(O152="ADMINISTRACION",J152*(1-Q152),IF(O152="ELIMINACION",J152*(1-Q152),J152)))</f>
        <v/>
      </c>
      <c r="T152" s="53">
        <f>+IF(O152="DETECTIVO",K152*(1-Q152),IF(O152="RECUPERACION",K152*(1-Q152),K152))</f>
        <v/>
      </c>
      <c r="U152" s="54">
        <f>+S152*T152</f>
        <v/>
      </c>
      <c r="V152" s="65">
        <f>+IF(U152&lt;5,"BAJO",IF(U152&lt;10,"MEDIO",IF(U152&lt;17,"ALTO","CRITICO")))</f>
        <v/>
      </c>
      <c r="W152" s="87" t="inlineStr">
        <is>
          <t>MITIGAR</t>
        </is>
      </c>
      <c r="X152" s="80" t="inlineStr">
        <is>
          <t>-</t>
        </is>
      </c>
      <c r="Y152" s="80" t="inlineStr">
        <is>
          <t>-</t>
        </is>
      </c>
      <c r="Z152" s="80" t="inlineStr">
        <is>
          <t>-</t>
        </is>
      </c>
    </row>
    <row r="153" hidden="1" ht="41.1" customHeight="1" s="106">
      <c r="A153" s="57" t="inlineStr">
        <is>
          <t>48-GFI</t>
        </is>
      </c>
      <c r="B153" s="17" t="inlineStr">
        <is>
          <t>Certificado de Depósito a Plazo</t>
        </is>
      </c>
      <c r="C153" s="17" t="inlineStr">
        <is>
          <t>Pre cancelación de inversiones Cancelación de inversiones Renovación de inversiones</t>
        </is>
      </c>
      <c r="D153" s="55" t="inlineStr">
        <is>
          <t>[D] Datos / Información / datos de configuración</t>
        </is>
      </c>
      <c r="E153" s="34" t="inlineStr">
        <is>
          <t>[E.18] Destrucción de información</t>
        </is>
      </c>
      <c r="F153" s="34">
        <f>+VLOOKUP(E153,'CATALOGO AMENAZA'!$B$2:$D$46,3,FALSE)</f>
        <v/>
      </c>
      <c r="G153" s="34" t="n"/>
      <c r="H153" s="34" t="n"/>
      <c r="I153" s="34" t="inlineStr">
        <is>
          <t>X</t>
        </is>
      </c>
      <c r="J153" s="34" t="n">
        <v>3</v>
      </c>
      <c r="K153" s="34" t="n">
        <v>3</v>
      </c>
      <c r="L153" s="34">
        <f>+J153*K153</f>
        <v/>
      </c>
      <c r="M153" s="34">
        <f>+IF(L153&lt;5,"BAJO",IF(L153&lt;10,"MEDIO",IF(L153&lt;17,"ALTO","CRITICO")))</f>
        <v/>
      </c>
      <c r="N153" s="54" t="inlineStr">
        <is>
          <t>Respaldo digital de información</t>
        </is>
      </c>
      <c r="O153" s="54" t="inlineStr">
        <is>
          <t>PREVENTIVO</t>
        </is>
      </c>
      <c r="P153" s="34" t="inlineStr">
        <is>
          <t>Control Implementado sin evidencia de efectividad (Inefectivo prueba)</t>
        </is>
      </c>
      <c r="Q153" s="52" t="n">
        <v>0.3</v>
      </c>
      <c r="R153" s="4" t="inlineStr">
        <is>
          <t>Almacenamiento manual en medio extraible</t>
        </is>
      </c>
      <c r="S153" s="53">
        <f>+IF(O153="PREVENTIVO",J153*(1-Q153),IF(O153="ADMINISTRACION",J153*(1-Q153),IF(O153="ELIMINACION",J153*(1-Q153),J153)))</f>
        <v/>
      </c>
      <c r="T153" s="53">
        <f>+IF(O153="DETECTIVO",K153*(1-Q153),IF(O153="RECUPERACION",K153*(1-Q153),K153))</f>
        <v/>
      </c>
      <c r="U153" s="54">
        <f>+S153*T153</f>
        <v/>
      </c>
      <c r="V153" s="65">
        <f>+IF(U153&lt;5,"BAJO",IF(U153&lt;10,"MEDIO",IF(U153&lt;17,"ALTO","CRITICO")))</f>
        <v/>
      </c>
      <c r="W153" s="87" t="inlineStr">
        <is>
          <t>MITIGAR</t>
        </is>
      </c>
      <c r="X153" s="80" t="inlineStr">
        <is>
          <t>-</t>
        </is>
      </c>
      <c r="Y153" s="80" t="inlineStr">
        <is>
          <t>-</t>
        </is>
      </c>
      <c r="Z153" s="80" t="inlineStr">
        <is>
          <t>-</t>
        </is>
      </c>
    </row>
    <row r="154" hidden="1" ht="33.75" customHeight="1" s="106">
      <c r="A154" s="57" t="inlineStr">
        <is>
          <t>11-GSO</t>
        </is>
      </c>
      <c r="B154" s="17" t="inlineStr">
        <is>
          <t>Sobres sellados con claves de contingencia</t>
        </is>
      </c>
      <c r="C154" s="17" t="inlineStr">
        <is>
          <t>Sobres que contienen las claves de contingencia</t>
        </is>
      </c>
      <c r="D154" s="55" t="inlineStr">
        <is>
          <t>[D] Datos / Información / datos de configuración</t>
        </is>
      </c>
      <c r="E154" s="34" t="inlineStr">
        <is>
          <t>[E.18] Destrucción de información</t>
        </is>
      </c>
      <c r="F154" s="34">
        <f>+VLOOKUP(E154,'CATALOGO AMENAZA'!$B$2:$D$46,3,FALSE)</f>
        <v/>
      </c>
      <c r="G154" s="34" t="n"/>
      <c r="H154" s="34" t="n"/>
      <c r="I154" s="34" t="inlineStr">
        <is>
          <t>X</t>
        </is>
      </c>
      <c r="J154" s="34" t="n">
        <v>2</v>
      </c>
      <c r="K154" s="34" t="n">
        <v>5</v>
      </c>
      <c r="L154" s="34">
        <f>+J154*K154</f>
        <v/>
      </c>
      <c r="M154" s="34">
        <f>+IF(L154&lt;5,"BAJO",IF(L154&lt;10,"MEDIO",IF(L154&lt;17,"ALTO","CRITICO")))</f>
        <v/>
      </c>
      <c r="N154" s="54" t="inlineStr">
        <is>
          <t>Respaldo digital de información</t>
        </is>
      </c>
      <c r="O154" s="54" t="inlineStr">
        <is>
          <t>PREVENTIVO</t>
        </is>
      </c>
      <c r="P154" s="34" t="inlineStr">
        <is>
          <t>Control Implementado sin evidencia de efectividad (Inefectivo prueba)</t>
        </is>
      </c>
      <c r="Q154" s="52" t="n">
        <v>0.3</v>
      </c>
      <c r="R154" s="4" t="inlineStr">
        <is>
          <t>Almacenamiento manual en medio extraible</t>
        </is>
      </c>
      <c r="S154" s="53">
        <f>+IF(O154="PREVENTIVO",J154*(1-Q154),IF(O154="ADMINISTRACION",J154*(1-Q154),IF(O154="ELIMINACION",J154*(1-Q154),J154)))</f>
        <v/>
      </c>
      <c r="T154" s="53">
        <f>+IF(O154="DETECTIVO",K154*(1-Q154),IF(O154="RECUPERACION",K154*(1-Q154),K154))</f>
        <v/>
      </c>
      <c r="U154" s="54">
        <f>+S154*T154</f>
        <v/>
      </c>
      <c r="V154" s="65">
        <f>+IF(U154&lt;5,"BAJO",IF(U154&lt;10,"MEDIO",IF(U154&lt;17,"ALTO","CRITICO")))</f>
        <v/>
      </c>
      <c r="W154" s="87" t="inlineStr">
        <is>
          <t>MITIGAR</t>
        </is>
      </c>
      <c r="X154" s="80" t="inlineStr">
        <is>
          <t>-</t>
        </is>
      </c>
      <c r="Y154" s="80" t="inlineStr">
        <is>
          <t>-</t>
        </is>
      </c>
      <c r="Z154" s="80" t="inlineStr">
        <is>
          <t>-</t>
        </is>
      </c>
    </row>
    <row r="155" hidden="1" ht="30.6" customHeight="1" s="106">
      <c r="A155" s="57" t="inlineStr">
        <is>
          <t>56-GSO</t>
        </is>
      </c>
      <c r="B155" s="17" t="inlineStr">
        <is>
          <t>Formulario activación o desactivación de la auditoria</t>
        </is>
      </c>
      <c r="C155" s="17" t="inlineStr">
        <is>
          <t>Formulario de registro de activación y desactivación, responsables y justificación</t>
        </is>
      </c>
      <c r="D155" s="55" t="inlineStr">
        <is>
          <t>[D] Datos / Información / datos de configuración</t>
        </is>
      </c>
      <c r="E155" s="34" t="inlineStr">
        <is>
          <t>[E.19] Fugas de información</t>
        </is>
      </c>
      <c r="F155" s="34">
        <f>+VLOOKUP(E155,'CATALOGO AMENAZA'!$B$2:$D$46,3,FALSE)</f>
        <v/>
      </c>
      <c r="G155" s="34" t="inlineStr">
        <is>
          <t>X</t>
        </is>
      </c>
      <c r="H155" s="34" t="n"/>
      <c r="I155" s="34" t="n"/>
      <c r="J155" s="34" t="n">
        <v>3</v>
      </c>
      <c r="K155" s="34" t="n">
        <v>2</v>
      </c>
      <c r="L155" s="34">
        <f>+J155*K155</f>
        <v/>
      </c>
      <c r="M155" s="34">
        <f>+IF(L155&lt;5,"BAJO",IF(L155&lt;10,"MEDIO",IF(L155&lt;17,"ALTO","CRITICO")))</f>
        <v/>
      </c>
      <c r="N155" s="54" t="inlineStr">
        <is>
          <t>Software DLP</t>
        </is>
      </c>
      <c r="O155" s="54" t="inlineStr">
        <is>
          <t>PREVENTIVO</t>
        </is>
      </c>
      <c r="P155" s="34" t="inlineStr">
        <is>
          <t>Control Implementado sin evidencia de efectividad (Inefectivo prueba)</t>
        </is>
      </c>
      <c r="Q155" s="52" t="n">
        <v>0.3</v>
      </c>
      <c r="R155" s="34" t="inlineStr">
        <is>
          <t>Politicas sin restricción para jefaturas</t>
        </is>
      </c>
      <c r="S155" s="53">
        <f>+IF(O155="PREVENTIVO",J155*(1-Q155),IF(O155="ADMINISTRACION",J155*(1-Q155),IF(O155="ELIMINACION",J155*(1-Q155),J155)))</f>
        <v/>
      </c>
      <c r="T155" s="53">
        <f>+IF(O155="DETECTIVO",K155*(1-Q155),IF(O155="RECUPERACION",K155*(1-Q155),K155))</f>
        <v/>
      </c>
      <c r="U155" s="54">
        <f>+S155*T155</f>
        <v/>
      </c>
      <c r="V155" s="65">
        <f>+IF(U155&lt;5,"BAJO",IF(U155&lt;10,"MEDIO",IF(U155&lt;17,"ALTO","CRITICO")))</f>
        <v/>
      </c>
      <c r="W155" s="65" t="inlineStr">
        <is>
          <t>ACEPTABLE</t>
        </is>
      </c>
      <c r="X155" s="80" t="inlineStr">
        <is>
          <t>-</t>
        </is>
      </c>
      <c r="Y155" s="80" t="inlineStr">
        <is>
          <t>-</t>
        </is>
      </c>
      <c r="Z155" s="80" t="inlineStr">
        <is>
          <t>-</t>
        </is>
      </c>
    </row>
    <row r="156" hidden="1" ht="61.35" customHeight="1" s="106">
      <c r="A156" s="99" t="inlineStr">
        <is>
          <t>71-GAD</t>
        </is>
      </c>
      <c r="B156" s="17" t="inlineStr">
        <is>
          <t>Contrato</t>
        </is>
      </c>
      <c r="C156" s="17" t="inlineStr">
        <is>
          <t>Contrato receptado por Jurídico Físico o digital con sumilla legalizado por los responsables, y se entrega jurídico el físico y el digital se sube a SARA.</t>
        </is>
      </c>
      <c r="D156" s="55" t="inlineStr">
        <is>
          <t>[D] Datos / Información / datos de configuración</t>
        </is>
      </c>
      <c r="E156" s="34" t="inlineStr">
        <is>
          <t>[A.7] Uso no previsto</t>
        </is>
      </c>
      <c r="F156" s="34">
        <f>+VLOOKUP(E156,'CATALOGO AMENAZA'!$B$2:$D$46,3,FALSE)</f>
        <v/>
      </c>
      <c r="G156" s="34" t="inlineStr">
        <is>
          <t>X</t>
        </is>
      </c>
      <c r="H156" s="34" t="inlineStr">
        <is>
          <t>X</t>
        </is>
      </c>
      <c r="I156" s="34" t="inlineStr">
        <is>
          <t>X</t>
        </is>
      </c>
      <c r="J156" s="34" t="n">
        <v>3</v>
      </c>
      <c r="K156" s="34" t="n">
        <v>3</v>
      </c>
      <c r="L156" s="34">
        <f>+J156*K156</f>
        <v/>
      </c>
      <c r="M156" s="34">
        <f>+IF(L156&lt;5,"BAJO",IF(L156&lt;10,"MEDIO",IF(L156&lt;17,"ALTO","CRITICO")))</f>
        <v/>
      </c>
      <c r="N156" s="34" t="inlineStr">
        <is>
          <t>Sortware DLP /Políticas de uso de información contractual</t>
        </is>
      </c>
      <c r="O156" s="34" t="inlineStr">
        <is>
          <t>PREVENTIVO</t>
        </is>
      </c>
      <c r="P156" s="34" t="inlineStr">
        <is>
          <t>Control Implementado sin evidencia de efectividad (Inefectivo prueba)</t>
        </is>
      </c>
      <c r="Q156" s="52" t="n">
        <v>0.3</v>
      </c>
      <c r="R156" s="4" t="inlineStr">
        <is>
          <t>Documentación sencible sin cifrar</t>
        </is>
      </c>
      <c r="S156" s="53">
        <f>+IF(O156="PREVENTIVO",J156*(1-Q156),IF(O156="ADMINISTRACION",J156*(1-Q156),IF(O156="ELIMINACION",J156*(1-Q156),J156)))</f>
        <v/>
      </c>
      <c r="T156" s="53">
        <f>+IF(O156="DETECTIVO",K156*(1-Q156),IF(O156="RECUPERACION",K156*(1-Q156),K156))</f>
        <v/>
      </c>
      <c r="U156" s="54">
        <f>+S156*T156</f>
        <v/>
      </c>
      <c r="V156" s="65">
        <f>+IF(U156&lt;5,"BAJO",IF(U156&lt;10,"MEDIO",IF(U156&lt;17,"ALTO","CRITICO")))</f>
        <v/>
      </c>
      <c r="W156" s="87" t="inlineStr">
        <is>
          <t>MITIGAR</t>
        </is>
      </c>
      <c r="X156" s="80" t="inlineStr">
        <is>
          <t>-</t>
        </is>
      </c>
      <c r="Y156" s="80" t="inlineStr">
        <is>
          <t>-</t>
        </is>
      </c>
      <c r="Z156" s="80" t="inlineStr">
        <is>
          <t>-</t>
        </is>
      </c>
    </row>
    <row r="157" hidden="1" ht="61.35" customHeight="1" s="106">
      <c r="A157" s="99" t="inlineStr">
        <is>
          <t>71-GAD</t>
        </is>
      </c>
      <c r="B157" s="17" t="inlineStr">
        <is>
          <t>Contrato</t>
        </is>
      </c>
      <c r="C157" s="17" t="inlineStr">
        <is>
          <t>Contrato receptado por Jurídico Físico o digital con sumilla legalizado por los responsables, y se entrega jurídico el físico y el digital se sube a SARA.</t>
        </is>
      </c>
      <c r="D157" s="55" t="inlineStr">
        <is>
          <t>[D] Datos / Información / datos de configuración</t>
        </is>
      </c>
      <c r="E157" s="34" t="inlineStr">
        <is>
          <t>[E.18] Destrucción de información</t>
        </is>
      </c>
      <c r="F157" s="34">
        <f>+VLOOKUP(E157,'CATALOGO AMENAZA'!$B$2:$D$46,3,FALSE)</f>
        <v/>
      </c>
      <c r="G157" s="34" t="n"/>
      <c r="H157" s="34" t="n"/>
      <c r="I157" s="34" t="inlineStr">
        <is>
          <t>X</t>
        </is>
      </c>
      <c r="J157" s="34" t="n">
        <v>2</v>
      </c>
      <c r="K157" s="34" t="n">
        <v>4</v>
      </c>
      <c r="L157" s="34">
        <f>+J157*K157</f>
        <v/>
      </c>
      <c r="M157" s="34">
        <f>+IF(L157&lt;5,"BAJO",IF(L157&lt;10,"MEDIO",IF(L157&lt;17,"ALTO","CRITICO")))</f>
        <v/>
      </c>
      <c r="N157" s="54" t="inlineStr">
        <is>
          <t>Respaldo digital de información</t>
        </is>
      </c>
      <c r="O157" s="54" t="inlineStr">
        <is>
          <t>PREVENTIVO</t>
        </is>
      </c>
      <c r="P157" s="34" t="inlineStr">
        <is>
          <t>Control Implementado sin evidencia de efectividad (Inefectivo prueba)</t>
        </is>
      </c>
      <c r="Q157" s="52" t="n">
        <v>0.3</v>
      </c>
      <c r="R157" s="34" t="inlineStr">
        <is>
          <t>-</t>
        </is>
      </c>
      <c r="S157" s="53">
        <f>+IF(O157="PREVENTIVO",J157*(1-Q157),IF(O157="ADMINISTRACION",J157*(1-Q157),IF(O157="ELIMINACION",J157*(1-Q157),J157)))</f>
        <v/>
      </c>
      <c r="T157" s="53">
        <f>+IF(O157="DETECTIVO",K157*(1-Q157),IF(O157="RECUPERACION",K157*(1-Q157),K157))</f>
        <v/>
      </c>
      <c r="U157" s="54">
        <f>+S157*T157</f>
        <v/>
      </c>
      <c r="V157" s="65">
        <f>+IF(U157&lt;5,"BAJO",IF(U157&lt;10,"MEDIO",IF(U157&lt;17,"ALTO","CRITICO")))</f>
        <v/>
      </c>
      <c r="W157" s="87" t="inlineStr">
        <is>
          <t>MITIGAR</t>
        </is>
      </c>
      <c r="X157" s="80" t="inlineStr">
        <is>
          <t>-</t>
        </is>
      </c>
      <c r="Y157" s="80" t="inlineStr">
        <is>
          <t>-</t>
        </is>
      </c>
      <c r="Z157" s="80" t="inlineStr">
        <is>
          <t>-</t>
        </is>
      </c>
    </row>
    <row r="158" hidden="1" ht="30.6" customHeight="1" s="106">
      <c r="A158" s="99" t="inlineStr">
        <is>
          <t>23-GCO</t>
        </is>
      </c>
      <c r="B158" s="17" t="inlineStr">
        <is>
          <t>Cartera transferida</t>
        </is>
      </c>
      <c r="C158" s="17" t="inlineStr">
        <is>
          <t>Archivo de registro que cuenta con el detalle de la cartera a transferir</t>
        </is>
      </c>
      <c r="D158" s="55" t="inlineStr">
        <is>
          <t>[D] Datos / Información / datos de configuración</t>
        </is>
      </c>
      <c r="E158" s="34" t="inlineStr">
        <is>
          <t>[E.19] Fugas de información</t>
        </is>
      </c>
      <c r="F158" s="34">
        <f>+VLOOKUP(E158,'CATALOGO AMENAZA'!$B$2:$D$46,3,FALSE)</f>
        <v/>
      </c>
      <c r="G158" s="34" t="inlineStr">
        <is>
          <t>X</t>
        </is>
      </c>
      <c r="H158" s="34" t="n"/>
      <c r="I158" s="34" t="n"/>
      <c r="J158" s="34" t="n">
        <v>3</v>
      </c>
      <c r="K158" s="34" t="n">
        <v>4</v>
      </c>
      <c r="L158" s="34">
        <f>+J158*K158</f>
        <v/>
      </c>
      <c r="M158" s="34">
        <f>+IF(L158&lt;5,"BAJO",IF(L158&lt;10,"MEDIO",IF(L158&lt;17,"ALTO","CRITICO")))</f>
        <v/>
      </c>
      <c r="N158" s="54" t="inlineStr">
        <is>
          <t>Software DLP</t>
        </is>
      </c>
      <c r="O158" s="54" t="inlineStr">
        <is>
          <t>PREVENTIVO</t>
        </is>
      </c>
      <c r="P158" s="34" t="inlineStr">
        <is>
          <t>Control Implementado sin evidencia de efectividad (Inefectivo prueba)</t>
        </is>
      </c>
      <c r="Q158" s="52" t="n">
        <v>0.3</v>
      </c>
      <c r="R158" s="34" t="inlineStr">
        <is>
          <t>Politicas sin restricción para jefaturas</t>
        </is>
      </c>
      <c r="S158" s="53">
        <f>+IF(O158="PREVENTIVO",J158*(1-Q158),IF(O158="ADMINISTRACION",J158*(1-Q158),IF(O158="ELIMINACION",J158*(1-Q158),J158)))</f>
        <v/>
      </c>
      <c r="T158" s="53">
        <f>+IF(O158="DETECTIVO",K158*(1-Q158),IF(O158="RECUPERACION",K158*(1-Q158),K158))</f>
        <v/>
      </c>
      <c r="U158" s="54">
        <f>+S158*T158</f>
        <v/>
      </c>
      <c r="V158" s="65">
        <f>+IF(U158&lt;5,"BAJO",IF(U158&lt;10,"MEDIO",IF(U158&lt;17,"ALTO","CRITICO")))</f>
        <v/>
      </c>
      <c r="W158" s="87" t="inlineStr">
        <is>
          <t>MITIGAR</t>
        </is>
      </c>
      <c r="X158" s="80" t="inlineStr">
        <is>
          <t>-</t>
        </is>
      </c>
      <c r="Y158" s="80" t="inlineStr">
        <is>
          <t>-</t>
        </is>
      </c>
      <c r="Z158" s="80" t="inlineStr">
        <is>
          <t>-</t>
        </is>
      </c>
    </row>
    <row r="159" hidden="1" ht="30.6" customHeight="1" s="106">
      <c r="A159" s="99" t="inlineStr">
        <is>
          <t>23-GCO</t>
        </is>
      </c>
      <c r="B159" s="17" t="inlineStr">
        <is>
          <t>Cartera transferida</t>
        </is>
      </c>
      <c r="C159" s="17" t="inlineStr">
        <is>
          <t>Archivo de registro que cuenta con el detalle de la cartera a transferir</t>
        </is>
      </c>
      <c r="D159" s="55" t="inlineStr">
        <is>
          <t>[D] Datos / Información / datos de configuración</t>
        </is>
      </c>
      <c r="E159" s="34" t="inlineStr">
        <is>
          <t>[E.18] Destrucción de información</t>
        </is>
      </c>
      <c r="F159" s="34">
        <f>+VLOOKUP(E159,'CATALOGO AMENAZA'!$B$2:$D$46,3,FALSE)</f>
        <v/>
      </c>
      <c r="G159" s="34" t="n"/>
      <c r="H159" s="34" t="n"/>
      <c r="I159" s="34" t="inlineStr">
        <is>
          <t>X</t>
        </is>
      </c>
      <c r="J159" s="34" t="n">
        <v>2</v>
      </c>
      <c r="K159" s="34" t="n">
        <v>2</v>
      </c>
      <c r="L159" s="34">
        <f>+J159*K159</f>
        <v/>
      </c>
      <c r="M159" s="34">
        <f>+IF(L159&lt;5,"BAJO",IF(L159&lt;10,"MEDIO",IF(L159&lt;17,"ALTO","CRITICO")))</f>
        <v/>
      </c>
      <c r="N159" s="54" t="inlineStr">
        <is>
          <t>Respaldo digital de información</t>
        </is>
      </c>
      <c r="O159" s="54" t="inlineStr">
        <is>
          <t>PREVENTIVO</t>
        </is>
      </c>
      <c r="P159" s="34" t="inlineStr">
        <is>
          <t>Control Implementado sin evidencia de efectividad (Inefectivo prueba)</t>
        </is>
      </c>
      <c r="Q159" s="52" t="n">
        <v>0.3</v>
      </c>
      <c r="R159" s="34" t="inlineStr">
        <is>
          <t>Almacenamiento sin prueba de efectividad</t>
        </is>
      </c>
      <c r="S159" s="53">
        <f>+IF(O159="PREVENTIVO",J159*(1-Q159),IF(O159="ADMINISTRACION",J159*(1-Q159),IF(O159="ELIMINACION",J159*(1-Q159),J159)))</f>
        <v/>
      </c>
      <c r="T159" s="53">
        <f>+IF(O159="DETECTIVO",K159*(1-Q159),IF(O159="RECUPERACION",K159*(1-Q159),K159))</f>
        <v/>
      </c>
      <c r="U159" s="54">
        <f>+S159*T159</f>
        <v/>
      </c>
      <c r="V159" s="65">
        <f>+IF(U159&lt;5,"BAJO",IF(U159&lt;10,"MEDIO",IF(U159&lt;17,"ALTO","CRITICO")))</f>
        <v/>
      </c>
      <c r="W159" s="65" t="inlineStr">
        <is>
          <t>ACEPTABLE</t>
        </is>
      </c>
      <c r="X159" s="80" t="inlineStr">
        <is>
          <t>-</t>
        </is>
      </c>
      <c r="Y159" s="80" t="inlineStr">
        <is>
          <t>-</t>
        </is>
      </c>
      <c r="Z159" s="80" t="inlineStr">
        <is>
          <t>-</t>
        </is>
      </c>
    </row>
    <row r="160" hidden="1" ht="41.1" customHeight="1" s="106">
      <c r="A160" s="99" t="inlineStr">
        <is>
          <t>28-GCO</t>
        </is>
      </c>
      <c r="B160" s="17" t="inlineStr">
        <is>
          <t>Minuta de levantamiento de hipoteca o prenda</t>
        </is>
      </c>
      <c r="C160" s="17" t="inlineStr">
        <is>
          <t>Escritura de hipoteca que realiza el socio y se recepta el físico</t>
        </is>
      </c>
      <c r="D160" s="55" t="inlineStr">
        <is>
          <t>[D] Datos / Información / datos de configuración</t>
        </is>
      </c>
      <c r="E160" s="34" t="inlineStr">
        <is>
          <t>[A.7] Uso no previsto</t>
        </is>
      </c>
      <c r="F160" s="34">
        <f>+VLOOKUP(E160,'CATALOGO AMENAZA'!$B$2:$D$46,3,FALSE)</f>
        <v/>
      </c>
      <c r="G160" s="34" t="inlineStr">
        <is>
          <t>X</t>
        </is>
      </c>
      <c r="H160" s="34" t="inlineStr">
        <is>
          <t>X</t>
        </is>
      </c>
      <c r="I160" s="34" t="inlineStr">
        <is>
          <t>X</t>
        </is>
      </c>
      <c r="J160" s="34" t="n">
        <v>3</v>
      </c>
      <c r="K160" s="34" t="n">
        <v>3</v>
      </c>
      <c r="L160" s="34">
        <f>+J160*K160</f>
        <v/>
      </c>
      <c r="M160" s="34">
        <f>+IF(L160&lt;5,"BAJO",IF(L160&lt;10,"MEDIO",IF(L160&lt;17,"ALTO","CRITICO")))</f>
        <v/>
      </c>
      <c r="N160" s="34" t="inlineStr">
        <is>
          <t>Sortware DLP /Políticas de uso de información contractual</t>
        </is>
      </c>
      <c r="O160" s="34" t="inlineStr">
        <is>
          <t>PREVENTIVO</t>
        </is>
      </c>
      <c r="P160" s="34" t="inlineStr">
        <is>
          <t>Control Implementado sin evidencia de efectividad (Inefectivo prueba)</t>
        </is>
      </c>
      <c r="Q160" s="52" t="n">
        <v>0.3</v>
      </c>
      <c r="R160" s="4" t="inlineStr">
        <is>
          <t>Documentación sencible sin cifrar</t>
        </is>
      </c>
      <c r="S160" s="53">
        <f>+IF(O160="PREVENTIVO",J160*(1-Q160),IF(O160="ADMINISTRACION",J160*(1-Q160),IF(O160="ELIMINACION",J160*(1-Q160),J160)))</f>
        <v/>
      </c>
      <c r="T160" s="53">
        <f>+IF(O160="DETECTIVO",K160*(1-Q160),IF(O160="RECUPERACION",K160*(1-Q160),K160))</f>
        <v/>
      </c>
      <c r="U160" s="54">
        <f>+S160*T160</f>
        <v/>
      </c>
      <c r="V160" s="65">
        <f>+IF(U160&lt;5,"BAJO",IF(U160&lt;10,"MEDIO",IF(U160&lt;17,"ALTO","CRITICO")))</f>
        <v/>
      </c>
      <c r="W160" s="87" t="inlineStr">
        <is>
          <t>MITIGAR</t>
        </is>
      </c>
      <c r="X160" s="80" t="inlineStr">
        <is>
          <t>-</t>
        </is>
      </c>
      <c r="Y160" s="80" t="inlineStr">
        <is>
          <t>-</t>
        </is>
      </c>
      <c r="Z160" s="80" t="inlineStr">
        <is>
          <t>-</t>
        </is>
      </c>
    </row>
    <row r="161" hidden="1" ht="30.6" customHeight="1" s="106">
      <c r="A161" s="99" t="inlineStr">
        <is>
          <t>28-GCO</t>
        </is>
      </c>
      <c r="B161" s="17" t="inlineStr">
        <is>
          <t>Minuta de levantamiento de hipoteca o prenda</t>
        </is>
      </c>
      <c r="C161" s="17" t="inlineStr">
        <is>
          <t>Escritura de hipoteca que realiza el socio y se recepta el físico</t>
        </is>
      </c>
      <c r="D161" s="55" t="inlineStr">
        <is>
          <t>[D] Datos / Información / datos de configuración</t>
        </is>
      </c>
      <c r="E161" s="34" t="inlineStr">
        <is>
          <t>[E.18] Destrucción de información</t>
        </is>
      </c>
      <c r="F161" s="34">
        <f>+VLOOKUP(E161,'CATALOGO AMENAZA'!$B$2:$D$46,3,FALSE)</f>
        <v/>
      </c>
      <c r="G161" s="34" t="n"/>
      <c r="H161" s="34" t="n"/>
      <c r="I161" s="34" t="inlineStr">
        <is>
          <t>X</t>
        </is>
      </c>
      <c r="J161" s="34" t="n">
        <v>2</v>
      </c>
      <c r="K161" s="34" t="n">
        <v>3</v>
      </c>
      <c r="L161" s="34">
        <f>+J161*K161</f>
        <v/>
      </c>
      <c r="M161" s="34">
        <f>+IF(L161&lt;5,"BAJO",IF(L161&lt;10,"MEDIO",IF(L161&lt;17,"ALTO","CRITICO")))</f>
        <v/>
      </c>
      <c r="N161" s="54" t="inlineStr">
        <is>
          <t>Respaldo digital de información</t>
        </is>
      </c>
      <c r="O161" s="54" t="inlineStr">
        <is>
          <t>PREVENTIVO</t>
        </is>
      </c>
      <c r="P161" s="34" t="inlineStr">
        <is>
          <t>Control Implementado sin evidencia de efectividad (Inefectivo prueba)</t>
        </is>
      </c>
      <c r="Q161" s="52" t="n">
        <v>0.3</v>
      </c>
      <c r="R161" s="34" t="inlineStr">
        <is>
          <t>Almacenamiento sin prueba de efectividad</t>
        </is>
      </c>
      <c r="S161" s="53">
        <f>+IF(O161="PREVENTIVO",J161*(1-Q161),IF(O161="ADMINISTRACION",J161*(1-Q161),IF(O161="ELIMINACION",J161*(1-Q161),J161)))</f>
        <v/>
      </c>
      <c r="T161" s="53">
        <f>+IF(O161="DETECTIVO",K161*(1-Q161),IF(O161="RECUPERACION",K161*(1-Q161),K161))</f>
        <v/>
      </c>
      <c r="U161" s="54">
        <f>+S161*T161</f>
        <v/>
      </c>
      <c r="V161" s="65">
        <f>+IF(U161&lt;5,"BAJO",IF(U161&lt;10,"MEDIO",IF(U161&lt;17,"ALTO","CRITICO")))</f>
        <v/>
      </c>
      <c r="W161" s="65" t="inlineStr">
        <is>
          <t>ACEPTABLE</t>
        </is>
      </c>
      <c r="X161" s="80" t="inlineStr">
        <is>
          <t>-</t>
        </is>
      </c>
      <c r="Y161" s="80" t="inlineStr">
        <is>
          <t>-</t>
        </is>
      </c>
      <c r="Z161" s="80" t="inlineStr">
        <is>
          <t>-</t>
        </is>
      </c>
    </row>
    <row r="162" hidden="1" ht="41.1" customHeight="1" s="106">
      <c r="A162" s="99" t="inlineStr">
        <is>
          <t>32-GCO</t>
        </is>
      </c>
      <c r="B162" s="17" t="inlineStr">
        <is>
          <t>Convenio de compra de cartera</t>
        </is>
      </c>
      <c r="C162" s="17" t="inlineStr">
        <is>
          <t>Convenio de compra de cartera aprobado por GG y certificado por el CAD</t>
        </is>
      </c>
      <c r="D162" s="55" t="inlineStr">
        <is>
          <t>[D] Datos / Información / datos de configuración</t>
        </is>
      </c>
      <c r="E162" s="34" t="inlineStr">
        <is>
          <t>[A.7] Uso no previsto</t>
        </is>
      </c>
      <c r="F162" s="34">
        <f>+VLOOKUP(E162,'CATALOGO AMENAZA'!$B$2:$D$46,3,FALSE)</f>
        <v/>
      </c>
      <c r="G162" s="34" t="inlineStr">
        <is>
          <t>X</t>
        </is>
      </c>
      <c r="H162" s="34" t="inlineStr">
        <is>
          <t>X</t>
        </is>
      </c>
      <c r="I162" s="34" t="inlineStr">
        <is>
          <t>X</t>
        </is>
      </c>
      <c r="J162" s="34" t="n">
        <v>3</v>
      </c>
      <c r="K162" s="34" t="n">
        <v>3</v>
      </c>
      <c r="L162" s="34">
        <f>+J162*K162</f>
        <v/>
      </c>
      <c r="M162" s="34">
        <f>+IF(L162&lt;5,"BAJO",IF(L162&lt;10,"MEDIO",IF(L162&lt;17,"ALTO","CRITICO")))</f>
        <v/>
      </c>
      <c r="N162" s="34" t="inlineStr">
        <is>
          <t>Sortware DLP /Políticas de uso de información contractual</t>
        </is>
      </c>
      <c r="O162" s="34" t="inlineStr">
        <is>
          <t>PREVENTIVO</t>
        </is>
      </c>
      <c r="P162" s="34" t="inlineStr">
        <is>
          <t>Control Implementado sin evidencia de efectividad (Inefectivo prueba)</t>
        </is>
      </c>
      <c r="Q162" s="52" t="n">
        <v>0.3</v>
      </c>
      <c r="R162" s="4" t="inlineStr">
        <is>
          <t>Documentación sencible sin cifrar</t>
        </is>
      </c>
      <c r="S162" s="53">
        <f>+IF(O162="PREVENTIVO",J162*(1-Q162),IF(O162="ADMINISTRACION",J162*(1-Q162),IF(O162="ELIMINACION",J162*(1-Q162),J162)))</f>
        <v/>
      </c>
      <c r="T162" s="53">
        <f>+IF(O162="DETECTIVO",K162*(1-Q162),IF(O162="RECUPERACION",K162*(1-Q162),K162))</f>
        <v/>
      </c>
      <c r="U162" s="54">
        <f>+S162*T162</f>
        <v/>
      </c>
      <c r="V162" s="65">
        <f>+IF(U162&lt;5,"BAJO",IF(U162&lt;10,"MEDIO",IF(U162&lt;17,"ALTO","CRITICO")))</f>
        <v/>
      </c>
      <c r="W162" s="87" t="inlineStr">
        <is>
          <t>MITIGAR</t>
        </is>
      </c>
      <c r="X162" s="80" t="inlineStr">
        <is>
          <t>-</t>
        </is>
      </c>
      <c r="Y162" s="80" t="inlineStr">
        <is>
          <t>-</t>
        </is>
      </c>
      <c r="Z162" s="80" t="inlineStr">
        <is>
          <t>-</t>
        </is>
      </c>
    </row>
    <row r="163" hidden="1" ht="30.6" customHeight="1" s="106">
      <c r="A163" s="99" t="inlineStr">
        <is>
          <t>32-GCO</t>
        </is>
      </c>
      <c r="B163" s="17" t="inlineStr">
        <is>
          <t>Convenio de compra de cartera</t>
        </is>
      </c>
      <c r="C163" s="17" t="inlineStr">
        <is>
          <t>Convenio de compra de cartera aprobado por GG y certificado por el CAD</t>
        </is>
      </c>
      <c r="D163" s="55" t="inlineStr">
        <is>
          <t>[D] Datos / Información / datos de configuración</t>
        </is>
      </c>
      <c r="E163" s="34" t="inlineStr">
        <is>
          <t>[E.18] Destrucción de información</t>
        </is>
      </c>
      <c r="F163" s="34">
        <f>+VLOOKUP(E163,'CATALOGO AMENAZA'!$B$2:$D$46,3,FALSE)</f>
        <v/>
      </c>
      <c r="G163" s="34" t="n"/>
      <c r="H163" s="34" t="n"/>
      <c r="I163" s="34" t="inlineStr">
        <is>
          <t>X</t>
        </is>
      </c>
      <c r="J163" s="34" t="n">
        <v>2</v>
      </c>
      <c r="K163" s="34" t="n">
        <v>3</v>
      </c>
      <c r="L163" s="34">
        <f>+J163*K163</f>
        <v/>
      </c>
      <c r="M163" s="34">
        <f>+IF(L163&lt;5,"BAJO",IF(L163&lt;10,"MEDIO",IF(L163&lt;17,"ALTO","CRITICO")))</f>
        <v/>
      </c>
      <c r="N163" s="54" t="inlineStr">
        <is>
          <t>Respaldo digital de información</t>
        </is>
      </c>
      <c r="O163" s="54" t="inlineStr">
        <is>
          <t>PREVENTIVO</t>
        </is>
      </c>
      <c r="P163" s="34" t="inlineStr">
        <is>
          <t>Control Implementado sin evidencia de efectividad (Inefectivo prueba)</t>
        </is>
      </c>
      <c r="Q163" s="52" t="n">
        <v>0.3</v>
      </c>
      <c r="R163" s="34" t="inlineStr">
        <is>
          <t>Almacenamiento sin prueba de efectividad</t>
        </is>
      </c>
      <c r="S163" s="53">
        <f>+IF(O163="PREVENTIVO",J163*(1-Q163),IF(O163="ADMINISTRACION",J163*(1-Q163),IF(O163="ELIMINACION",J163*(1-Q163),J163)))</f>
        <v/>
      </c>
      <c r="T163" s="53">
        <f>+IF(O163="DETECTIVO",K163*(1-Q163),IF(O163="RECUPERACION",K163*(1-Q163),K163))</f>
        <v/>
      </c>
      <c r="U163" s="54">
        <f>+S163*T163</f>
        <v/>
      </c>
      <c r="V163" s="65">
        <f>+IF(U163&lt;5,"BAJO",IF(U163&lt;10,"MEDIO",IF(U163&lt;17,"ALTO","CRITICO")))</f>
        <v/>
      </c>
      <c r="W163" s="65" t="inlineStr">
        <is>
          <t>ACEPTABLE</t>
        </is>
      </c>
      <c r="X163" s="80" t="inlineStr">
        <is>
          <t>-</t>
        </is>
      </c>
      <c r="Y163" s="80" t="inlineStr">
        <is>
          <t>-</t>
        </is>
      </c>
      <c r="Z163" s="80" t="inlineStr">
        <is>
          <t>-</t>
        </is>
      </c>
    </row>
    <row r="164" hidden="1" ht="30.6" customHeight="1" s="106">
      <c r="A164" s="99" t="inlineStr">
        <is>
          <t>39-GCO</t>
        </is>
      </c>
      <c r="B164" s="17" t="inlineStr">
        <is>
          <t>Expedientes físicos</t>
        </is>
      </c>
      <c r="C164" s="17" t="inlineStr">
        <is>
          <t xml:space="preserve">Documentación física resultante del proceso de compra de cartera </t>
        </is>
      </c>
      <c r="D164" s="55" t="inlineStr">
        <is>
          <t>[D] Datos / Información / datos de configuración</t>
        </is>
      </c>
      <c r="E164" s="34" t="inlineStr">
        <is>
          <t>[E.19] Fugas de información</t>
        </is>
      </c>
      <c r="F164" s="34">
        <f>+VLOOKUP(E164,'CATALOGO AMENAZA'!$B$2:$D$46,3,FALSE)</f>
        <v/>
      </c>
      <c r="G164" s="34" t="inlineStr">
        <is>
          <t>X</t>
        </is>
      </c>
      <c r="H164" s="34" t="n"/>
      <c r="I164" s="34" t="n"/>
      <c r="J164" s="34" t="n">
        <v>3</v>
      </c>
      <c r="K164" s="34" t="n">
        <v>3</v>
      </c>
      <c r="L164" s="34">
        <f>+J164*K164</f>
        <v/>
      </c>
      <c r="M164" s="34">
        <f>+IF(L164&lt;5,"BAJO",IF(L164&lt;10,"MEDIO",IF(L164&lt;17,"ALTO","CRITICO")))</f>
        <v/>
      </c>
      <c r="N164" s="34" t="inlineStr">
        <is>
          <t>Simulacros</t>
        </is>
      </c>
      <c r="O164" s="54" t="inlineStr">
        <is>
          <t>PREVENTIVO</t>
        </is>
      </c>
      <c r="P164" s="34" t="inlineStr">
        <is>
          <t>Control implementado formalizado y probado</t>
        </is>
      </c>
      <c r="Q164" s="50" t="n">
        <v>0.8</v>
      </c>
      <c r="R164" s="34" t="inlineStr">
        <is>
          <t>-</t>
        </is>
      </c>
      <c r="S164" s="53">
        <f>+IF(O164="PREVENTIVO",J164*(1-Q164),IF(O164="ADMINISTRACION",J164*(1-Q164),IF(O164="ELIMINACION",J164*(1-Q164),J164)))</f>
        <v/>
      </c>
      <c r="T164" s="53">
        <f>+IF(O164="DETECTIVO",K164*(1-Q164),IF(O164="RECUPERACION",K164*(1-Q164),K164))</f>
        <v/>
      </c>
      <c r="U164" s="54">
        <f>+S164*T164</f>
        <v/>
      </c>
      <c r="V164" s="65">
        <f>+IF(U164&lt;5,"BAJO",IF(U164&lt;10,"MEDIO",IF(U164&lt;17,"ALTO","CRITICO")))</f>
        <v/>
      </c>
      <c r="W164" s="65" t="inlineStr">
        <is>
          <t>ACEPTABLE</t>
        </is>
      </c>
      <c r="X164" s="80" t="inlineStr">
        <is>
          <t>-</t>
        </is>
      </c>
      <c r="Y164" s="80" t="inlineStr">
        <is>
          <t>-</t>
        </is>
      </c>
      <c r="Z164" s="80" t="inlineStr">
        <is>
          <t>-</t>
        </is>
      </c>
    </row>
    <row r="165" hidden="1" ht="30.6" customHeight="1" s="106">
      <c r="A165" s="99" t="inlineStr">
        <is>
          <t>39-GCO</t>
        </is>
      </c>
      <c r="B165" s="17" t="inlineStr">
        <is>
          <t>Expedientes físicos</t>
        </is>
      </c>
      <c r="C165" s="17" t="inlineStr">
        <is>
          <t xml:space="preserve">Documentación física resultante del proceso de compra de cartera </t>
        </is>
      </c>
      <c r="D165" s="55" t="inlineStr">
        <is>
          <t>[D] Datos / Información / datos de configuración</t>
        </is>
      </c>
      <c r="E165" s="34" t="inlineStr">
        <is>
          <t>[E.18] Destrucción de información</t>
        </is>
      </c>
      <c r="F165" s="34">
        <f>+VLOOKUP(E165,'CATALOGO AMENAZA'!$B$2:$D$46,3,FALSE)</f>
        <v/>
      </c>
      <c r="G165" s="34" t="n"/>
      <c r="H165" s="34" t="n"/>
      <c r="I165" s="34" t="inlineStr">
        <is>
          <t>X</t>
        </is>
      </c>
      <c r="J165" s="34" t="n">
        <v>2</v>
      </c>
      <c r="K165" s="34" t="n">
        <v>4</v>
      </c>
      <c r="L165" s="34">
        <f>+J165*K165</f>
        <v/>
      </c>
      <c r="M165" s="34">
        <f>+IF(L165&lt;5,"BAJO",IF(L165&lt;10,"MEDIO",IF(L165&lt;17,"ALTO","CRITICO")))</f>
        <v/>
      </c>
      <c r="N165" s="54" t="inlineStr">
        <is>
          <t>Respaldo digital de información</t>
        </is>
      </c>
      <c r="O165" s="54" t="inlineStr">
        <is>
          <t>PREVENTIVO</t>
        </is>
      </c>
      <c r="P165" s="34" t="inlineStr">
        <is>
          <t>Control Implementado sin evidencia de efectividad (Inefectivo prueba)</t>
        </is>
      </c>
      <c r="Q165" s="52" t="n">
        <v>0.3</v>
      </c>
      <c r="R165" s="34" t="inlineStr">
        <is>
          <t>Almacenamiento sin prueba de efectividad</t>
        </is>
      </c>
      <c r="S165" s="53">
        <f>+IF(O165="PREVENTIVO",J165*(1-Q165),IF(O165="ADMINISTRACION",J165*(1-Q165),IF(O165="ELIMINACION",J165*(1-Q165),J165)))</f>
        <v/>
      </c>
      <c r="T165" s="53">
        <f>+IF(O165="DETECTIVO",K165*(1-Q165),IF(O165="RECUPERACION",K165*(1-Q165),K165))</f>
        <v/>
      </c>
      <c r="U165" s="54">
        <f>+S165*T165</f>
        <v/>
      </c>
      <c r="V165" s="65">
        <f>+IF(U165&lt;5,"BAJO",IF(U165&lt;10,"MEDIO",IF(U165&lt;17,"ALTO","CRITICO")))</f>
        <v/>
      </c>
      <c r="W165" s="87" t="inlineStr">
        <is>
          <t>MITIGAR</t>
        </is>
      </c>
      <c r="X165" s="80" t="inlineStr">
        <is>
          <t>-</t>
        </is>
      </c>
      <c r="Y165" s="80" t="inlineStr">
        <is>
          <t>-</t>
        </is>
      </c>
      <c r="Z165" s="80" t="inlineStr">
        <is>
          <t>-</t>
        </is>
      </c>
    </row>
    <row r="166" hidden="1" ht="41.1" customHeight="1" s="106">
      <c r="A166" s="99" t="inlineStr">
        <is>
          <t>40-GCO</t>
        </is>
      </c>
      <c r="B166" s="17" t="inlineStr">
        <is>
          <t>Expedientes digitales</t>
        </is>
      </c>
      <c r="C166" s="17" t="inlineStr">
        <is>
          <t xml:space="preserve">Documentación digital resultante del proceso de compra de cartera </t>
        </is>
      </c>
      <c r="D166" s="55" t="inlineStr">
        <is>
          <t>[D] Datos / Información / datos de configuración</t>
        </is>
      </c>
      <c r="E166" s="34" t="inlineStr">
        <is>
          <t>[A.7] Uso no previsto</t>
        </is>
      </c>
      <c r="F166" s="34">
        <f>+VLOOKUP(E166,'CATALOGO AMENAZA'!$B$2:$D$46,3,FALSE)</f>
        <v/>
      </c>
      <c r="G166" s="34" t="inlineStr">
        <is>
          <t>X</t>
        </is>
      </c>
      <c r="H166" s="34" t="inlineStr">
        <is>
          <t>X</t>
        </is>
      </c>
      <c r="I166" s="34" t="inlineStr">
        <is>
          <t>X</t>
        </is>
      </c>
      <c r="J166" s="34" t="n">
        <v>2</v>
      </c>
      <c r="K166" s="34" t="n">
        <v>4</v>
      </c>
      <c r="L166" s="34">
        <f>+J166*K166</f>
        <v/>
      </c>
      <c r="M166" s="34">
        <f>+IF(L166&lt;5,"BAJO",IF(L166&lt;10,"MEDIO",IF(L166&lt;17,"ALTO","CRITICO")))</f>
        <v/>
      </c>
      <c r="N166" s="34" t="inlineStr">
        <is>
          <t>Sortware DLP /Políticas de uso de información contractual</t>
        </is>
      </c>
      <c r="O166" s="34" t="inlineStr">
        <is>
          <t>PREVENTIVO</t>
        </is>
      </c>
      <c r="P166" s="34" t="inlineStr">
        <is>
          <t>Control Implementado sin evidencia de efectividad (Inefectivo prueba)</t>
        </is>
      </c>
      <c r="Q166" s="52" t="n">
        <v>0.3</v>
      </c>
      <c r="R166" s="4" t="inlineStr">
        <is>
          <t>Documentación sencible sin cifrar</t>
        </is>
      </c>
      <c r="S166" s="53">
        <f>+IF(O166="PREVENTIVO",J166*(1-Q166),IF(O166="ADMINISTRACION",J166*(1-Q166),IF(O166="ELIMINACION",J166*(1-Q166),J166)))</f>
        <v/>
      </c>
      <c r="T166" s="53">
        <f>+IF(O166="DETECTIVO",K166*(1-Q166),IF(O166="RECUPERACION",K166*(1-Q166),K166))</f>
        <v/>
      </c>
      <c r="U166" s="54">
        <f>+S166*T166</f>
        <v/>
      </c>
      <c r="V166" s="65">
        <f>+IF(U166&lt;5,"BAJO",IF(U166&lt;10,"MEDIO",IF(U166&lt;17,"ALTO","CRITICO")))</f>
        <v/>
      </c>
      <c r="W166" s="87" t="inlineStr">
        <is>
          <t>MITIGAR</t>
        </is>
      </c>
      <c r="X166" s="80" t="inlineStr">
        <is>
          <t>-</t>
        </is>
      </c>
      <c r="Y166" s="80" t="inlineStr">
        <is>
          <t>-</t>
        </is>
      </c>
      <c r="Z166" s="80" t="inlineStr">
        <is>
          <t>-</t>
        </is>
      </c>
    </row>
    <row r="167" hidden="1" ht="30.6" customHeight="1" s="106">
      <c r="A167" s="99" t="inlineStr">
        <is>
          <t>40-GCO</t>
        </is>
      </c>
      <c r="B167" s="17" t="inlineStr">
        <is>
          <t>Expedientes digitales</t>
        </is>
      </c>
      <c r="C167" s="17" t="inlineStr">
        <is>
          <t xml:space="preserve">Documentación digital resultante del proceso de compra de cartera </t>
        </is>
      </c>
      <c r="D167" s="55" t="inlineStr">
        <is>
          <t>[D] Datos / Información / datos de configuración</t>
        </is>
      </c>
      <c r="E167" s="34" t="inlineStr">
        <is>
          <t>[E.18] Destrucción de información</t>
        </is>
      </c>
      <c r="F167" s="34">
        <f>+VLOOKUP(E167,'CATALOGO AMENAZA'!$B$2:$D$46,3,FALSE)</f>
        <v/>
      </c>
      <c r="G167" s="34" t="n"/>
      <c r="H167" s="34" t="n"/>
      <c r="I167" s="34" t="inlineStr">
        <is>
          <t>X</t>
        </is>
      </c>
      <c r="J167" s="34" t="n">
        <v>2</v>
      </c>
      <c r="K167" s="34" t="n">
        <v>4</v>
      </c>
      <c r="L167" s="34">
        <f>+J167*K167</f>
        <v/>
      </c>
      <c r="M167" s="34">
        <f>+IF(L167&lt;5,"BAJO",IF(L167&lt;10,"MEDIO",IF(L167&lt;17,"ALTO","CRITICO")))</f>
        <v/>
      </c>
      <c r="N167" s="54" t="inlineStr">
        <is>
          <t>Respaldo digital de información</t>
        </is>
      </c>
      <c r="O167" s="54" t="inlineStr">
        <is>
          <t>PREVENTIVO</t>
        </is>
      </c>
      <c r="P167" s="34" t="inlineStr">
        <is>
          <t>Control Implementado sin evidencia de efectividad (Inefectivo prueba)</t>
        </is>
      </c>
      <c r="Q167" s="52" t="n">
        <v>0.3</v>
      </c>
      <c r="R167" s="34" t="inlineStr">
        <is>
          <t>Almacenamiento sin prueba de efectividad</t>
        </is>
      </c>
      <c r="S167" s="53">
        <f>+IF(O167="PREVENTIVO",J167*(1-Q167),IF(O167="ADMINISTRACION",J167*(1-Q167),IF(O167="ELIMINACION",J167*(1-Q167),J167)))</f>
        <v/>
      </c>
      <c r="T167" s="53">
        <f>+IF(O167="DETECTIVO",K167*(1-Q167),IF(O167="RECUPERACION",K167*(1-Q167),K167))</f>
        <v/>
      </c>
      <c r="U167" s="54">
        <f>+S167*T167</f>
        <v/>
      </c>
      <c r="V167" s="65">
        <f>+IF(U167&lt;5,"BAJO",IF(U167&lt;10,"MEDIO",IF(U167&lt;17,"ALTO","CRITICO")))</f>
        <v/>
      </c>
      <c r="W167" s="87" t="inlineStr">
        <is>
          <t>MITIGAR</t>
        </is>
      </c>
      <c r="X167" s="80" t="inlineStr">
        <is>
          <t>-</t>
        </is>
      </c>
      <c r="Y167" s="80" t="inlineStr">
        <is>
          <t>-</t>
        </is>
      </c>
      <c r="Z167" s="80" t="inlineStr">
        <is>
          <t>-</t>
        </is>
      </c>
    </row>
    <row r="168" hidden="1" ht="41.1" customHeight="1" s="106">
      <c r="A168" s="99" t="inlineStr">
        <is>
          <t>42-GCO</t>
        </is>
      </c>
      <c r="B168" s="17" t="inlineStr">
        <is>
          <t>Pagarés endosados</t>
        </is>
      </c>
      <c r="C168" s="17" t="inlineStr">
        <is>
          <t>Garantías de pagarés recibidas por el proveedor</t>
        </is>
      </c>
      <c r="D168" s="55" t="inlineStr">
        <is>
          <t>[D] Datos / Información / datos de configuración</t>
        </is>
      </c>
      <c r="E168" s="34" t="inlineStr">
        <is>
          <t>[A.7] Uso no previsto</t>
        </is>
      </c>
      <c r="F168" s="34">
        <f>+VLOOKUP(E168,'CATALOGO AMENAZA'!$B$2:$D$46,3,FALSE)</f>
        <v/>
      </c>
      <c r="G168" s="34" t="inlineStr">
        <is>
          <t>X</t>
        </is>
      </c>
      <c r="H168" s="34" t="inlineStr">
        <is>
          <t>X</t>
        </is>
      </c>
      <c r="I168" s="34" t="inlineStr">
        <is>
          <t>X</t>
        </is>
      </c>
      <c r="J168" s="34" t="n">
        <v>3</v>
      </c>
      <c r="K168" s="34" t="n">
        <v>2</v>
      </c>
      <c r="L168" s="34">
        <f>+J168*K168</f>
        <v/>
      </c>
      <c r="M168" s="34">
        <f>+IF(L168&lt;5,"BAJO",IF(L168&lt;10,"MEDIO",IF(L168&lt;17,"ALTO","CRITICO")))</f>
        <v/>
      </c>
      <c r="N168" s="34" t="inlineStr">
        <is>
          <t>Sortware DLP /Políticas de uso de información contractual</t>
        </is>
      </c>
      <c r="O168" s="34" t="inlineStr">
        <is>
          <t>PREVENTIVO</t>
        </is>
      </c>
      <c r="P168" s="34" t="inlineStr">
        <is>
          <t>Control Implementado sin evidencia de efectividad (Inefectivo prueba)</t>
        </is>
      </c>
      <c r="Q168" s="52" t="n">
        <v>0.3</v>
      </c>
      <c r="R168" s="4" t="inlineStr">
        <is>
          <t>Documentación sencible sin cifrar</t>
        </is>
      </c>
      <c r="S168" s="53">
        <f>+IF(O168="PREVENTIVO",J168*(1-Q168),IF(O168="ADMINISTRACION",J168*(1-Q168),IF(O168="ELIMINACION",J168*(1-Q168),J168)))</f>
        <v/>
      </c>
      <c r="T168" s="53">
        <f>+IF(O168="DETECTIVO",K168*(1-Q168),IF(O168="RECUPERACION",K168*(1-Q168),K168))</f>
        <v/>
      </c>
      <c r="U168" s="54">
        <f>+S168*T168</f>
        <v/>
      </c>
      <c r="V168" s="65">
        <f>+IF(U168&lt;5,"BAJO",IF(U168&lt;10,"MEDIO",IF(U168&lt;17,"ALTO","CRITICO")))</f>
        <v/>
      </c>
      <c r="W168" s="65" t="inlineStr">
        <is>
          <t>ACEPTABLE</t>
        </is>
      </c>
      <c r="X168" s="80" t="inlineStr">
        <is>
          <t>-</t>
        </is>
      </c>
      <c r="Y168" s="80" t="inlineStr">
        <is>
          <t>-</t>
        </is>
      </c>
      <c r="Z168" s="80" t="inlineStr">
        <is>
          <t>-</t>
        </is>
      </c>
    </row>
    <row r="169" hidden="1" ht="30.6" customHeight="1" s="106">
      <c r="A169" s="99" t="inlineStr">
        <is>
          <t>42-GCO</t>
        </is>
      </c>
      <c r="B169" s="17" t="inlineStr">
        <is>
          <t>Pagarés endosados</t>
        </is>
      </c>
      <c r="C169" s="17" t="inlineStr">
        <is>
          <t>Garantías de pagarés recibidas por el proveedor</t>
        </is>
      </c>
      <c r="D169" s="55" t="inlineStr">
        <is>
          <t>[D] Datos / Información / datos de configuración</t>
        </is>
      </c>
      <c r="E169" s="34" t="inlineStr">
        <is>
          <t>[E.18] Destrucción de información</t>
        </is>
      </c>
      <c r="F169" s="34">
        <f>+VLOOKUP(E169,'CATALOGO AMENAZA'!$B$2:$D$46,3,FALSE)</f>
        <v/>
      </c>
      <c r="G169" s="34" t="n"/>
      <c r="H169" s="34" t="n"/>
      <c r="I169" s="34" t="inlineStr">
        <is>
          <t>X</t>
        </is>
      </c>
      <c r="J169" s="34" t="n">
        <v>2</v>
      </c>
      <c r="K169" s="34" t="n">
        <v>3</v>
      </c>
      <c r="L169" s="34">
        <f>+J169*K169</f>
        <v/>
      </c>
      <c r="M169" s="34">
        <f>+IF(L169&lt;5,"BAJO",IF(L169&lt;10,"MEDIO",IF(L169&lt;17,"ALTO","CRITICO")))</f>
        <v/>
      </c>
      <c r="N169" s="54" t="inlineStr">
        <is>
          <t>Respaldo digital de información</t>
        </is>
      </c>
      <c r="O169" s="54" t="inlineStr">
        <is>
          <t>PREVENTIVO</t>
        </is>
      </c>
      <c r="P169" s="34" t="inlineStr">
        <is>
          <t>Control Implementado sin evidencia de efectividad (Inefectivo prueba)</t>
        </is>
      </c>
      <c r="Q169" s="52" t="n">
        <v>0.3</v>
      </c>
      <c r="R169" s="34" t="inlineStr">
        <is>
          <t>Almacenamiento sin prueba de efectividad</t>
        </is>
      </c>
      <c r="S169" s="53">
        <f>+IF(O169="PREVENTIVO",J169*(1-Q169),IF(O169="ADMINISTRACION",J169*(1-Q169),IF(O169="ELIMINACION",J169*(1-Q169),J169)))</f>
        <v/>
      </c>
      <c r="T169" s="53">
        <f>+IF(O169="DETECTIVO",K169*(1-Q169),IF(O169="RECUPERACION",K169*(1-Q169),K169))</f>
        <v/>
      </c>
      <c r="U169" s="54">
        <f>+S169*T169</f>
        <v/>
      </c>
      <c r="V169" s="65">
        <f>+IF(U169&lt;5,"BAJO",IF(U169&lt;10,"MEDIO",IF(U169&lt;17,"ALTO","CRITICO")))</f>
        <v/>
      </c>
      <c r="W169" s="65" t="inlineStr">
        <is>
          <t>ACEPTABLE</t>
        </is>
      </c>
      <c r="X169" s="80" t="inlineStr">
        <is>
          <t>-</t>
        </is>
      </c>
      <c r="Y169" s="80" t="inlineStr">
        <is>
          <t>-</t>
        </is>
      </c>
      <c r="Z169" s="80" t="inlineStr">
        <is>
          <t>-</t>
        </is>
      </c>
    </row>
    <row r="170" hidden="1" ht="61.35" customHeight="1" s="106">
      <c r="A170" s="99" t="inlineStr">
        <is>
          <t>44-GCO</t>
        </is>
      </c>
      <c r="B170" s="17" t="inlineStr">
        <is>
          <t>Pólizas de seguro endosadas</t>
        </is>
      </c>
      <c r="C170" s="17" t="inlineStr">
        <is>
          <t>Documentos de pólizas enviadas a Tesorería,   así como los pagares endosados hipotecas y pólizas de seguro para el archivo bajo custodio</t>
        </is>
      </c>
      <c r="D170" s="55" t="inlineStr">
        <is>
          <t>[D] Datos / Información / datos de configuración</t>
        </is>
      </c>
      <c r="E170" s="34" t="inlineStr">
        <is>
          <t>[A.7] Uso no previsto</t>
        </is>
      </c>
      <c r="F170" s="34">
        <f>+VLOOKUP(E170,'CATALOGO AMENAZA'!$B$2:$D$46,3,FALSE)</f>
        <v/>
      </c>
      <c r="G170" s="34" t="inlineStr">
        <is>
          <t>X</t>
        </is>
      </c>
      <c r="H170" s="34" t="inlineStr">
        <is>
          <t>X</t>
        </is>
      </c>
      <c r="I170" s="34" t="inlineStr">
        <is>
          <t>X</t>
        </is>
      </c>
      <c r="J170" s="34" t="n">
        <v>2</v>
      </c>
      <c r="K170" s="34" t="n">
        <v>2</v>
      </c>
      <c r="L170" s="34">
        <f>+J170*K170</f>
        <v/>
      </c>
      <c r="M170" s="34">
        <f>+IF(L170&lt;5,"BAJO",IF(L170&lt;10,"MEDIO",IF(L170&lt;17,"ALTO","CRITICO")))</f>
        <v/>
      </c>
      <c r="N170" s="34" t="inlineStr">
        <is>
          <t>Sortware DLP /Políticas de uso de información contractual</t>
        </is>
      </c>
      <c r="O170" s="34" t="inlineStr">
        <is>
          <t>PREVENTIVO</t>
        </is>
      </c>
      <c r="P170" s="34" t="inlineStr">
        <is>
          <t>Control Implementado sin evidencia de efectividad (Inefectivo prueba)</t>
        </is>
      </c>
      <c r="Q170" s="52" t="n">
        <v>0.3</v>
      </c>
      <c r="R170" s="4" t="inlineStr">
        <is>
          <t>Documentación sencible sin cifrar</t>
        </is>
      </c>
      <c r="S170" s="53">
        <f>+IF(O170="PREVENTIVO",J170*(1-Q170),IF(O170="ADMINISTRACION",J170*(1-Q170),IF(O170="ELIMINACION",J170*(1-Q170),J170)))</f>
        <v/>
      </c>
      <c r="T170" s="53">
        <f>+IF(O170="DETECTIVO",K170*(1-Q170),IF(O170="RECUPERACION",K170*(1-Q170),K170))</f>
        <v/>
      </c>
      <c r="U170" s="54">
        <f>+S170*T170</f>
        <v/>
      </c>
      <c r="V170" s="65">
        <f>+IF(U170&lt;5,"BAJO",IF(U170&lt;10,"MEDIO",IF(U170&lt;17,"ALTO","CRITICO")))</f>
        <v/>
      </c>
      <c r="W170" s="65" t="inlineStr">
        <is>
          <t>ACEPTABLE</t>
        </is>
      </c>
      <c r="X170" s="80" t="inlineStr">
        <is>
          <t>-</t>
        </is>
      </c>
      <c r="Y170" s="80" t="inlineStr">
        <is>
          <t>-</t>
        </is>
      </c>
      <c r="Z170" s="80" t="inlineStr">
        <is>
          <t>-</t>
        </is>
      </c>
    </row>
    <row r="171" hidden="1" ht="61.35" customHeight="1" s="106">
      <c r="A171" s="99" t="inlineStr">
        <is>
          <t>44-GCO</t>
        </is>
      </c>
      <c r="B171" s="17" t="inlineStr">
        <is>
          <t>Pólizas de seguro endosadas</t>
        </is>
      </c>
      <c r="C171" s="17" t="inlineStr">
        <is>
          <t>Documentos de pólizas enviadas a Tesorería,   así como los pagares endosados hipotecas y pólizas de seguro para el archivo bajo custodio</t>
        </is>
      </c>
      <c r="D171" s="55" t="inlineStr">
        <is>
          <t>[D] Datos / Información / datos de configuración</t>
        </is>
      </c>
      <c r="E171" s="34" t="inlineStr">
        <is>
          <t>[E.18] Destrucción de información</t>
        </is>
      </c>
      <c r="F171" s="34">
        <f>+VLOOKUP(E171,'CATALOGO AMENAZA'!$B$2:$D$46,3,FALSE)</f>
        <v/>
      </c>
      <c r="G171" s="34" t="n"/>
      <c r="H171" s="34" t="n"/>
      <c r="I171" s="34" t="inlineStr">
        <is>
          <t>X</t>
        </is>
      </c>
      <c r="J171" s="34" t="n">
        <v>2</v>
      </c>
      <c r="K171" s="34" t="n">
        <v>3</v>
      </c>
      <c r="L171" s="34">
        <f>+J171*K171</f>
        <v/>
      </c>
      <c r="M171" s="34">
        <f>+IF(L171&lt;5,"BAJO",IF(L171&lt;10,"MEDIO",IF(L171&lt;17,"ALTO","CRITICO")))</f>
        <v/>
      </c>
      <c r="N171" s="54" t="inlineStr">
        <is>
          <t>Respaldo digital de información</t>
        </is>
      </c>
      <c r="O171" s="54" t="inlineStr">
        <is>
          <t>PREVENTIVO</t>
        </is>
      </c>
      <c r="P171" s="34" t="inlineStr">
        <is>
          <t>Control Implementado sin evidencia de efectividad (Inefectivo prueba)</t>
        </is>
      </c>
      <c r="Q171" s="52" t="n">
        <v>0.3</v>
      </c>
      <c r="R171" s="34" t="inlineStr">
        <is>
          <t>Almacenamiento sin prueba de efectividad</t>
        </is>
      </c>
      <c r="S171" s="53">
        <f>+IF(O171="PREVENTIVO",J171*(1-Q171),IF(O171="ADMINISTRACION",J171*(1-Q171),IF(O171="ELIMINACION",J171*(1-Q171),J171)))</f>
        <v/>
      </c>
      <c r="T171" s="53">
        <f>+IF(O171="DETECTIVO",K171*(1-Q171),IF(O171="RECUPERACION",K171*(1-Q171),K171))</f>
        <v/>
      </c>
      <c r="U171" s="54">
        <f>+S171*T171</f>
        <v/>
      </c>
      <c r="V171" s="65">
        <f>+IF(U171&lt;5,"BAJO",IF(U171&lt;10,"MEDIO",IF(U171&lt;17,"ALTO","CRITICO")))</f>
        <v/>
      </c>
      <c r="W171" s="65" t="inlineStr">
        <is>
          <t>ACEPTABLE</t>
        </is>
      </c>
      <c r="X171" s="80" t="inlineStr">
        <is>
          <t>-</t>
        </is>
      </c>
      <c r="Y171" s="80" t="inlineStr">
        <is>
          <t>-</t>
        </is>
      </c>
      <c r="Z171" s="80" t="inlineStr">
        <is>
          <t>-</t>
        </is>
      </c>
    </row>
    <row r="172" hidden="1" ht="20.45" customHeight="1" s="106">
      <c r="A172" s="99" t="inlineStr">
        <is>
          <t>45-GCO</t>
        </is>
      </c>
      <c r="B172" s="17" t="inlineStr">
        <is>
          <t>Pagaré</t>
        </is>
      </c>
      <c r="C172" s="17" t="inlineStr">
        <is>
          <t>Pagaré otorgado por el proveedor</t>
        </is>
      </c>
      <c r="D172" s="55" t="inlineStr">
        <is>
          <t>[D] Datos / Información / datos de configuración</t>
        </is>
      </c>
      <c r="E172" s="34" t="inlineStr">
        <is>
          <t>[E.19] Fugas de información</t>
        </is>
      </c>
      <c r="F172" s="34">
        <f>+VLOOKUP(E172,'CATALOGO AMENAZA'!$B$2:$D$46,3,FALSE)</f>
        <v/>
      </c>
      <c r="G172" s="34" t="inlineStr">
        <is>
          <t>X</t>
        </is>
      </c>
      <c r="H172" s="34" t="n"/>
      <c r="I172" s="34" t="n"/>
      <c r="J172" s="34" t="n">
        <v>2</v>
      </c>
      <c r="K172" s="34" t="n">
        <v>3</v>
      </c>
      <c r="L172" s="34">
        <f>+J172*K172</f>
        <v/>
      </c>
      <c r="M172" s="34">
        <f>+IF(L172&lt;5,"BAJO",IF(L172&lt;10,"MEDIO",IF(L172&lt;17,"ALTO","CRITICO")))</f>
        <v/>
      </c>
      <c r="N172" s="34" t="inlineStr">
        <is>
          <t>Simulacros</t>
        </is>
      </c>
      <c r="O172" s="54" t="inlineStr">
        <is>
          <t>PREVENTIVO</t>
        </is>
      </c>
      <c r="P172" s="34" t="inlineStr">
        <is>
          <t>Control implementado formalizado y probado</t>
        </is>
      </c>
      <c r="Q172" s="50" t="n">
        <v>0.8</v>
      </c>
      <c r="R172" s="34" t="inlineStr">
        <is>
          <t>-</t>
        </is>
      </c>
      <c r="S172" s="53">
        <f>+IF(O172="PREVENTIVO",J172*(1-Q172),IF(O172="ADMINISTRACION",J172*(1-Q172),IF(O172="ELIMINACION",J172*(1-Q172),J172)))</f>
        <v/>
      </c>
      <c r="T172" s="53">
        <f>+IF(O172="DETECTIVO",K172*(1-Q172),IF(O172="RECUPERACION",K172*(1-Q172),K172))</f>
        <v/>
      </c>
      <c r="U172" s="54">
        <f>+S172*T172</f>
        <v/>
      </c>
      <c r="V172" s="65">
        <f>+IF(U172&lt;5,"BAJO",IF(U172&lt;10,"MEDIO",IF(U172&lt;17,"ALTO","CRITICO")))</f>
        <v/>
      </c>
      <c r="W172" s="65" t="inlineStr">
        <is>
          <t>ACEPTABLE</t>
        </is>
      </c>
      <c r="X172" s="80" t="inlineStr">
        <is>
          <t>-</t>
        </is>
      </c>
      <c r="Y172" s="80" t="inlineStr">
        <is>
          <t>-</t>
        </is>
      </c>
      <c r="Z172" s="80" t="inlineStr">
        <is>
          <t>-</t>
        </is>
      </c>
    </row>
    <row r="173" hidden="1" ht="30.6" customHeight="1" s="106">
      <c r="A173" s="99" t="inlineStr">
        <is>
          <t>45-GCO</t>
        </is>
      </c>
      <c r="B173" s="17" t="inlineStr">
        <is>
          <t>Pagaré</t>
        </is>
      </c>
      <c r="C173" s="17" t="inlineStr">
        <is>
          <t>Pagaré otorgado por el proveedor</t>
        </is>
      </c>
      <c r="D173" s="55" t="inlineStr">
        <is>
          <t>[D] Datos / Información / datos de configuración</t>
        </is>
      </c>
      <c r="E173" s="34" t="inlineStr">
        <is>
          <t>[E.18] Destrucción de información</t>
        </is>
      </c>
      <c r="F173" s="34">
        <f>+VLOOKUP(E173,'CATALOGO AMENAZA'!$B$2:$D$46,3,FALSE)</f>
        <v/>
      </c>
      <c r="G173" s="34" t="n"/>
      <c r="H173" s="34" t="n"/>
      <c r="I173" s="34" t="inlineStr">
        <is>
          <t>X</t>
        </is>
      </c>
      <c r="J173" s="34" t="n">
        <v>2</v>
      </c>
      <c r="K173" s="34" t="n">
        <v>3</v>
      </c>
      <c r="L173" s="34">
        <f>+J173*K173</f>
        <v/>
      </c>
      <c r="M173" s="34">
        <f>+IF(L173&lt;5,"BAJO",IF(L173&lt;10,"MEDIO",IF(L173&lt;17,"ALTO","CRITICO")))</f>
        <v/>
      </c>
      <c r="N173" s="54" t="inlineStr">
        <is>
          <t>Respaldo digital de información</t>
        </is>
      </c>
      <c r="O173" s="54" t="inlineStr">
        <is>
          <t>PREVENTIVO</t>
        </is>
      </c>
      <c r="P173" s="34" t="inlineStr">
        <is>
          <t>Control Implementado sin evidencia de efectividad (Inefectivo prueba)</t>
        </is>
      </c>
      <c r="Q173" s="52" t="n">
        <v>0.3</v>
      </c>
      <c r="R173" s="34" t="inlineStr">
        <is>
          <t>Almacenamiento sin prueba de efectividad</t>
        </is>
      </c>
      <c r="S173" s="53">
        <f>+IF(O173="PREVENTIVO",J173*(1-Q173),IF(O173="ADMINISTRACION",J173*(1-Q173),IF(O173="ELIMINACION",J173*(1-Q173),J173)))</f>
        <v/>
      </c>
      <c r="T173" s="53">
        <f>+IF(O173="DETECTIVO",K173*(1-Q173),IF(O173="RECUPERACION",K173*(1-Q173),K173))</f>
        <v/>
      </c>
      <c r="U173" s="54">
        <f>+S173*T173</f>
        <v/>
      </c>
      <c r="V173" s="65">
        <f>+IF(U173&lt;5,"BAJO",IF(U173&lt;10,"MEDIO",IF(U173&lt;17,"ALTO","CRITICO")))</f>
        <v/>
      </c>
      <c r="W173" s="65" t="inlineStr">
        <is>
          <t>ACEPTABLE</t>
        </is>
      </c>
      <c r="X173" s="80" t="inlineStr">
        <is>
          <t>-</t>
        </is>
      </c>
      <c r="Y173" s="80" t="inlineStr">
        <is>
          <t>-</t>
        </is>
      </c>
      <c r="Z173" s="80" t="inlineStr">
        <is>
          <t>-</t>
        </is>
      </c>
    </row>
    <row r="174" hidden="1" ht="41.1" customHeight="1" s="106">
      <c r="A174" s="99" t="inlineStr">
        <is>
          <t>46-GCO</t>
        </is>
      </c>
      <c r="B174" s="17" t="inlineStr">
        <is>
          <t>Póliza de seguro vehicular</t>
        </is>
      </c>
      <c r="C174" s="17" t="inlineStr">
        <is>
          <t>Póliza de seguro vehicular de las operaciones canceladas</t>
        </is>
      </c>
      <c r="D174" s="55" t="inlineStr">
        <is>
          <t>[D] Datos / Información / datos de configuración</t>
        </is>
      </c>
      <c r="E174" s="34" t="inlineStr">
        <is>
          <t>[A.7] Uso no previsto</t>
        </is>
      </c>
      <c r="F174" s="34">
        <f>+VLOOKUP(E174,'CATALOGO AMENAZA'!$B$2:$D$46,3,FALSE)</f>
        <v/>
      </c>
      <c r="G174" s="34" t="inlineStr">
        <is>
          <t>X</t>
        </is>
      </c>
      <c r="H174" s="34" t="inlineStr">
        <is>
          <t>X</t>
        </is>
      </c>
      <c r="I174" s="34" t="inlineStr">
        <is>
          <t>X</t>
        </is>
      </c>
      <c r="J174" s="34" t="n">
        <v>2</v>
      </c>
      <c r="K174" s="34" t="n">
        <v>2</v>
      </c>
      <c r="L174" s="34">
        <f>+J174*K174</f>
        <v/>
      </c>
      <c r="M174" s="34">
        <f>+IF(L174&lt;5,"BAJO",IF(L174&lt;10,"MEDIO",IF(L174&lt;17,"ALTO","CRITICO")))</f>
        <v/>
      </c>
      <c r="N174" s="34" t="inlineStr">
        <is>
          <t>Sortware DLP /Políticas de uso de información contractual</t>
        </is>
      </c>
      <c r="O174" s="34" t="inlineStr">
        <is>
          <t>PREVENTIVO</t>
        </is>
      </c>
      <c r="P174" s="34" t="inlineStr">
        <is>
          <t>Control Implementado sin evidencia de efectividad (Inefectivo prueba)</t>
        </is>
      </c>
      <c r="Q174" s="52" t="n">
        <v>0.3</v>
      </c>
      <c r="R174" s="4" t="inlineStr">
        <is>
          <t>Documentación sencible sin cifrar</t>
        </is>
      </c>
      <c r="S174" s="53">
        <f>+IF(O174="PREVENTIVO",J174*(1-Q174),IF(O174="ADMINISTRACION",J174*(1-Q174),IF(O174="ELIMINACION",J174*(1-Q174),J174)))</f>
        <v/>
      </c>
      <c r="T174" s="53">
        <f>+IF(O174="DETECTIVO",K174*(1-Q174),IF(O174="RECUPERACION",K174*(1-Q174),K174))</f>
        <v/>
      </c>
      <c r="U174" s="54">
        <f>+S174*T174</f>
        <v/>
      </c>
      <c r="V174" s="65">
        <f>+IF(U174&lt;5,"BAJO",IF(U174&lt;10,"MEDIO",IF(U174&lt;17,"ALTO","CRITICO")))</f>
        <v/>
      </c>
      <c r="W174" s="65" t="inlineStr">
        <is>
          <t>ACEPTABLE</t>
        </is>
      </c>
      <c r="X174" s="80" t="inlineStr">
        <is>
          <t>-</t>
        </is>
      </c>
      <c r="Y174" s="80" t="inlineStr">
        <is>
          <t>-</t>
        </is>
      </c>
      <c r="Z174" s="80" t="inlineStr">
        <is>
          <t>-</t>
        </is>
      </c>
    </row>
    <row r="175" hidden="1" ht="30.6" customHeight="1" s="106">
      <c r="A175" s="99" t="inlineStr">
        <is>
          <t>46-GCO</t>
        </is>
      </c>
      <c r="B175" s="17" t="inlineStr">
        <is>
          <t>Póliza de seguro vehicular</t>
        </is>
      </c>
      <c r="C175" s="17" t="inlineStr">
        <is>
          <t>Póliza de seguro vehicular de las operaciones canceladas</t>
        </is>
      </c>
      <c r="D175" s="55" t="inlineStr">
        <is>
          <t>[D] Datos / Información / datos de configuración</t>
        </is>
      </c>
      <c r="E175" s="34" t="inlineStr">
        <is>
          <t>[E.18] Destrucción de información</t>
        </is>
      </c>
      <c r="F175" s="34">
        <f>+VLOOKUP(E175,'CATALOGO AMENAZA'!$B$2:$D$46,3,FALSE)</f>
        <v/>
      </c>
      <c r="G175" s="34" t="n"/>
      <c r="H175" s="34" t="n"/>
      <c r="I175" s="34" t="inlineStr">
        <is>
          <t>X</t>
        </is>
      </c>
      <c r="J175" s="34" t="n">
        <v>2</v>
      </c>
      <c r="K175" s="34" t="n">
        <v>2</v>
      </c>
      <c r="L175" s="34">
        <f>+J175*K175</f>
        <v/>
      </c>
      <c r="M175" s="34">
        <f>+IF(L175&lt;5,"BAJO",IF(L175&lt;10,"MEDIO",IF(L175&lt;17,"ALTO","CRITICO")))</f>
        <v/>
      </c>
      <c r="N175" s="54" t="inlineStr">
        <is>
          <t>Respaldo digital de información</t>
        </is>
      </c>
      <c r="O175" s="54" t="inlineStr">
        <is>
          <t>PREVENTIVO</t>
        </is>
      </c>
      <c r="P175" s="34" t="inlineStr">
        <is>
          <t>Control Implementado sin evidencia de efectividad (Inefectivo prueba)</t>
        </is>
      </c>
      <c r="Q175" s="52" t="n">
        <v>0.3</v>
      </c>
      <c r="R175" s="34" t="inlineStr">
        <is>
          <t>Almacenamiento sin prueba de efectividad</t>
        </is>
      </c>
      <c r="S175" s="53">
        <f>+IF(O175="PREVENTIVO",J175*(1-Q175),IF(O175="ADMINISTRACION",J175*(1-Q175),IF(O175="ELIMINACION",J175*(1-Q175),J175)))</f>
        <v/>
      </c>
      <c r="T175" s="53">
        <f>+IF(O175="DETECTIVO",K175*(1-Q175),IF(O175="RECUPERACION",K175*(1-Q175),K175))</f>
        <v/>
      </c>
      <c r="U175" s="54">
        <f>+S175*T175</f>
        <v/>
      </c>
      <c r="V175" s="65">
        <f>+IF(U175&lt;5,"BAJO",IF(U175&lt;10,"MEDIO",IF(U175&lt;17,"ALTO","CRITICO")))</f>
        <v/>
      </c>
      <c r="W175" s="65" t="inlineStr">
        <is>
          <t>ACEPTABLE</t>
        </is>
      </c>
      <c r="X175" s="80" t="inlineStr">
        <is>
          <t>-</t>
        </is>
      </c>
      <c r="Y175" s="80" t="inlineStr">
        <is>
          <t>-</t>
        </is>
      </c>
      <c r="Z175" s="80" t="inlineStr">
        <is>
          <t>-</t>
        </is>
      </c>
    </row>
    <row r="176" hidden="1" ht="41.1" customHeight="1" s="106">
      <c r="A176" s="99" t="inlineStr">
        <is>
          <t>52-GCO</t>
        </is>
      </c>
      <c r="B176" s="17" t="inlineStr">
        <is>
          <t>Operaciones de crédito vendidas</t>
        </is>
      </c>
      <c r="C176" s="17" t="inlineStr">
        <is>
          <t>Reporte de cartera a venderse de acuerdo con los requerimientos del proveedor</t>
        </is>
      </c>
      <c r="D176" s="55" t="inlineStr">
        <is>
          <t>[D] Datos / Información / datos de configuración</t>
        </is>
      </c>
      <c r="E176" s="34" t="inlineStr">
        <is>
          <t>[E.19] Fugas de información</t>
        </is>
      </c>
      <c r="F176" s="34">
        <f>+VLOOKUP(E176,'CATALOGO AMENAZA'!$B$2:$D$46,3,FALSE)</f>
        <v/>
      </c>
      <c r="G176" s="34" t="inlineStr">
        <is>
          <t>X</t>
        </is>
      </c>
      <c r="H176" s="34" t="n"/>
      <c r="I176" s="34" t="n"/>
      <c r="J176" s="34" t="n">
        <v>3</v>
      </c>
      <c r="K176" s="34" t="n">
        <v>4</v>
      </c>
      <c r="L176" s="34">
        <f>+J176*K176</f>
        <v/>
      </c>
      <c r="M176" s="34">
        <f>+IF(L176&lt;5,"BAJO",IF(L176&lt;10,"MEDIO",IF(L176&lt;17,"ALTO","CRITICO")))</f>
        <v/>
      </c>
      <c r="N176" s="54" t="inlineStr">
        <is>
          <t>Software DLP</t>
        </is>
      </c>
      <c r="O176" s="54" t="inlineStr">
        <is>
          <t>PREVENTIVO</t>
        </is>
      </c>
      <c r="P176" s="34" t="inlineStr">
        <is>
          <t>Control Implementado sin evidencia de efectividad (Inefectivo prueba)</t>
        </is>
      </c>
      <c r="Q176" s="52" t="n">
        <v>0.3</v>
      </c>
      <c r="R176" s="34" t="inlineStr">
        <is>
          <t>Politicas sin restricción para jefaturas</t>
        </is>
      </c>
      <c r="S176" s="53">
        <f>+IF(O176="PREVENTIVO",J176*(1-Q176),IF(O176="ADMINISTRACION",J176*(1-Q176),IF(O176="ELIMINACION",J176*(1-Q176),J176)))</f>
        <v/>
      </c>
      <c r="T176" s="53">
        <f>+IF(O176="DETECTIVO",K176*(1-Q176),IF(O176="RECUPERACION",K176*(1-Q176),K176))</f>
        <v/>
      </c>
      <c r="U176" s="54">
        <f>+S176*T176</f>
        <v/>
      </c>
      <c r="V176" s="65">
        <f>+IF(U176&lt;5,"BAJO",IF(U176&lt;10,"MEDIO",IF(U176&lt;17,"ALTO","CRITICO")))</f>
        <v/>
      </c>
      <c r="W176" s="87" t="inlineStr">
        <is>
          <t>MITIGAR</t>
        </is>
      </c>
      <c r="X176" s="80" t="inlineStr">
        <is>
          <t>-</t>
        </is>
      </c>
      <c r="Y176" s="80" t="inlineStr">
        <is>
          <t>-</t>
        </is>
      </c>
      <c r="Z176" s="80" t="inlineStr">
        <is>
          <t>-</t>
        </is>
      </c>
    </row>
    <row r="177" hidden="1" ht="41.1" customHeight="1" s="106">
      <c r="A177" s="99" t="inlineStr">
        <is>
          <t>52-GCO</t>
        </is>
      </c>
      <c r="B177" s="17" t="inlineStr">
        <is>
          <t>Operaciones de crédito vendidas</t>
        </is>
      </c>
      <c r="C177" s="17" t="inlineStr">
        <is>
          <t>Reporte de cartera a venderse de acuerdo con los requerimientos del proveedor</t>
        </is>
      </c>
      <c r="D177" s="55" t="inlineStr">
        <is>
          <t>[D] Datos / Información / datos de configuración</t>
        </is>
      </c>
      <c r="E177" s="34" t="inlineStr">
        <is>
          <t>[E.18] Destrucción de información</t>
        </is>
      </c>
      <c r="F177" s="34">
        <f>+VLOOKUP(E177,'CATALOGO AMENAZA'!$B$2:$D$46,3,FALSE)</f>
        <v/>
      </c>
      <c r="G177" s="34" t="n"/>
      <c r="H177" s="34" t="n"/>
      <c r="I177" s="34" t="inlineStr">
        <is>
          <t>X</t>
        </is>
      </c>
      <c r="J177" s="34" t="n">
        <v>2</v>
      </c>
      <c r="K177" s="34" t="n">
        <v>2</v>
      </c>
      <c r="L177" s="34">
        <f>+J177*K177</f>
        <v/>
      </c>
      <c r="M177" s="34">
        <f>+IF(L177&lt;5,"BAJO",IF(L177&lt;10,"MEDIO",IF(L177&lt;17,"ALTO","CRITICO")))</f>
        <v/>
      </c>
      <c r="N177" s="54" t="inlineStr">
        <is>
          <t>Respaldo digital de información</t>
        </is>
      </c>
      <c r="O177" s="54" t="inlineStr">
        <is>
          <t>PREVENTIVO</t>
        </is>
      </c>
      <c r="P177" s="34" t="inlineStr">
        <is>
          <t>Control Implementado sin evidencia de efectividad (Inefectivo prueba)</t>
        </is>
      </c>
      <c r="Q177" s="52" t="n">
        <v>0.3</v>
      </c>
      <c r="R177" s="34" t="inlineStr">
        <is>
          <t>Almacenamiento sin prueba de efectividad</t>
        </is>
      </c>
      <c r="S177" s="53">
        <f>+IF(O177="PREVENTIVO",J177*(1-Q177),IF(O177="ADMINISTRACION",J177*(1-Q177),IF(O177="ELIMINACION",J177*(1-Q177),J177)))</f>
        <v/>
      </c>
      <c r="T177" s="53">
        <f>+IF(O177="DETECTIVO",K177*(1-Q177),IF(O177="RECUPERACION",K177*(1-Q177),K177))</f>
        <v/>
      </c>
      <c r="U177" s="54">
        <f>+S177*T177</f>
        <v/>
      </c>
      <c r="V177" s="65">
        <f>+IF(U177&lt;5,"BAJO",IF(U177&lt;10,"MEDIO",IF(U177&lt;17,"ALTO","CRITICO")))</f>
        <v/>
      </c>
      <c r="W177" s="65" t="inlineStr">
        <is>
          <t>ACEPTABLE</t>
        </is>
      </c>
      <c r="X177" s="80" t="inlineStr">
        <is>
          <t>-</t>
        </is>
      </c>
      <c r="Y177" s="80" t="inlineStr">
        <is>
          <t>-</t>
        </is>
      </c>
      <c r="Z177" s="80" t="inlineStr">
        <is>
          <t>-</t>
        </is>
      </c>
    </row>
    <row r="178" hidden="1" ht="30.6" customHeight="1" s="106">
      <c r="A178" s="99" t="inlineStr">
        <is>
          <t>30-GNE</t>
        </is>
      </c>
      <c r="B178" s="17" t="inlineStr">
        <is>
          <t>Grabaciones Sistema Issabel</t>
        </is>
      </c>
      <c r="C178" s="17" t="inlineStr">
        <is>
          <t>Archivos de sonido donde se evidencia la gestión de la campaña</t>
        </is>
      </c>
      <c r="D178" s="55" t="inlineStr">
        <is>
          <t>[D] Datos / Información / datos de configuración</t>
        </is>
      </c>
      <c r="E178" s="34" t="inlineStr">
        <is>
          <t>[E.19] Fugas de información</t>
        </is>
      </c>
      <c r="F178" s="34">
        <f>+VLOOKUP(E178,'CATALOGO AMENAZA'!$B$2:$D$46,3,FALSE)</f>
        <v/>
      </c>
      <c r="G178" s="34" t="inlineStr">
        <is>
          <t>X</t>
        </is>
      </c>
      <c r="H178" s="34" t="n"/>
      <c r="I178" s="34" t="n"/>
      <c r="J178" s="34" t="n">
        <v>3</v>
      </c>
      <c r="K178" s="34" t="n">
        <v>2</v>
      </c>
      <c r="L178" s="34">
        <f>+J178*K178</f>
        <v/>
      </c>
      <c r="M178" s="34">
        <f>+IF(L178&lt;5,"BAJO",IF(L178&lt;10,"MEDIO",IF(L178&lt;17,"ALTO","CRITICO")))</f>
        <v/>
      </c>
      <c r="N178" s="54" t="inlineStr">
        <is>
          <t>Software DLP</t>
        </is>
      </c>
      <c r="O178" s="54" t="inlineStr">
        <is>
          <t>PREVENTIVO</t>
        </is>
      </c>
      <c r="P178" s="34" t="inlineStr">
        <is>
          <t>Control Implementado sin evidencia de efectividad (Inefectivo prueba)</t>
        </is>
      </c>
      <c r="Q178" s="52" t="n">
        <v>0.3</v>
      </c>
      <c r="R178" s="34" t="inlineStr">
        <is>
          <t>Politicas sin restricción para jefaturas</t>
        </is>
      </c>
      <c r="S178" s="53">
        <f>+IF(O178="PREVENTIVO",J178*(1-Q178),IF(O178="ADMINISTRACION",J178*(1-Q178),IF(O178="ELIMINACION",J178*(1-Q178),J178)))</f>
        <v/>
      </c>
      <c r="T178" s="53">
        <f>+IF(O178="DETECTIVO",K178*(1-Q178),IF(O178="RECUPERACION",K178*(1-Q178),K178))</f>
        <v/>
      </c>
      <c r="U178" s="54">
        <f>+S178*T178</f>
        <v/>
      </c>
      <c r="V178" s="65">
        <f>+IF(U178&lt;5,"BAJO",IF(U178&lt;10,"MEDIO",IF(U178&lt;17,"ALTO","CRITICO")))</f>
        <v/>
      </c>
      <c r="W178" s="65" t="inlineStr">
        <is>
          <t>ACEPTABLE</t>
        </is>
      </c>
      <c r="X178" s="80" t="inlineStr">
        <is>
          <t>-</t>
        </is>
      </c>
      <c r="Y178" s="80" t="inlineStr">
        <is>
          <t>-</t>
        </is>
      </c>
      <c r="Z178" s="80" t="inlineStr">
        <is>
          <t>-</t>
        </is>
      </c>
    </row>
    <row r="179" hidden="1" ht="30.6" customHeight="1" s="106">
      <c r="A179" s="99" t="inlineStr">
        <is>
          <t>30-GNE</t>
        </is>
      </c>
      <c r="B179" s="17" t="inlineStr">
        <is>
          <t>Grabaciones Sistema Issabel</t>
        </is>
      </c>
      <c r="C179" s="17" t="inlineStr">
        <is>
          <t>Archivos de sonido donde se evidencia la gestión de la campaña</t>
        </is>
      </c>
      <c r="D179" s="55" t="inlineStr">
        <is>
          <t>[D] Datos / Información / datos de configuración</t>
        </is>
      </c>
      <c r="E179" s="34" t="inlineStr">
        <is>
          <t>[E.18] Destrucción de información</t>
        </is>
      </c>
      <c r="F179" s="34">
        <f>+VLOOKUP(E179,'CATALOGO AMENAZA'!$B$2:$D$46,3,FALSE)</f>
        <v/>
      </c>
      <c r="G179" s="34" t="n"/>
      <c r="H179" s="34" t="n"/>
      <c r="I179" s="34" t="inlineStr">
        <is>
          <t>X</t>
        </is>
      </c>
      <c r="J179" s="34" t="n">
        <v>2</v>
      </c>
      <c r="K179" s="34" t="n">
        <v>3</v>
      </c>
      <c r="L179" s="34">
        <f>+J179*K179</f>
        <v/>
      </c>
      <c r="M179" s="34">
        <f>+IF(L179&lt;5,"BAJO",IF(L179&lt;10,"MEDIO",IF(L179&lt;17,"ALTO","CRITICO")))</f>
        <v/>
      </c>
      <c r="N179" s="54" t="inlineStr">
        <is>
          <t>Respaldo digital de información</t>
        </is>
      </c>
      <c r="O179" s="54" t="inlineStr">
        <is>
          <t>PREVENTIVO</t>
        </is>
      </c>
      <c r="P179" s="34" t="inlineStr">
        <is>
          <t>Control Implementado sin evidencia de efectividad (Inefectivo prueba)</t>
        </is>
      </c>
      <c r="Q179" s="52" t="n">
        <v>0.3</v>
      </c>
      <c r="R179" s="34" t="inlineStr">
        <is>
          <t>Almacenamiento sin prueba de efectividad</t>
        </is>
      </c>
      <c r="S179" s="53">
        <f>+IF(O179="PREVENTIVO",J179*(1-Q179),IF(O179="ADMINISTRACION",J179*(1-Q179),IF(O179="ELIMINACION",J179*(1-Q179),J179)))</f>
        <v/>
      </c>
      <c r="T179" s="53">
        <f>+IF(O179="DETECTIVO",K179*(1-Q179),IF(O179="RECUPERACION",K179*(1-Q179),K179))</f>
        <v/>
      </c>
      <c r="U179" s="54">
        <f>+S179*T179</f>
        <v/>
      </c>
      <c r="V179" s="65">
        <f>+IF(U179&lt;5,"BAJO",IF(U179&lt;10,"MEDIO",IF(U179&lt;17,"ALTO","CRITICO")))</f>
        <v/>
      </c>
      <c r="W179" s="65" t="inlineStr">
        <is>
          <t>ACEPTABLE</t>
        </is>
      </c>
      <c r="X179" s="80" t="inlineStr">
        <is>
          <t>-</t>
        </is>
      </c>
      <c r="Y179" s="80" t="inlineStr">
        <is>
          <t>-</t>
        </is>
      </c>
      <c r="Z179" s="80" t="inlineStr">
        <is>
          <t>-</t>
        </is>
      </c>
    </row>
    <row r="180" hidden="1" ht="30.6" customHeight="1" s="106">
      <c r="A180" s="99" t="inlineStr">
        <is>
          <t>32-GNE</t>
        </is>
      </c>
      <c r="B180" s="17" t="inlineStr">
        <is>
          <t>Grabaciones Sistema Issabel</t>
        </is>
      </c>
      <c r="C180" s="17" t="inlineStr">
        <is>
          <t>Archivos de sonido donde se evidencia la gestión de la campaña</t>
        </is>
      </c>
      <c r="D180" s="55" t="inlineStr">
        <is>
          <t>[D] Datos / Información / datos de configuración</t>
        </is>
      </c>
      <c r="E180" s="34" t="inlineStr">
        <is>
          <t>[E.19] Fugas de información</t>
        </is>
      </c>
      <c r="F180" s="34">
        <f>+VLOOKUP(E180,'CATALOGO AMENAZA'!$B$2:$D$46,3,FALSE)</f>
        <v/>
      </c>
      <c r="G180" s="34" t="inlineStr">
        <is>
          <t>X</t>
        </is>
      </c>
      <c r="H180" s="34" t="n"/>
      <c r="I180" s="34" t="n"/>
      <c r="J180" s="34" t="n">
        <v>3</v>
      </c>
      <c r="K180" s="34" t="n">
        <v>2</v>
      </c>
      <c r="L180" s="34">
        <f>+J180*K180</f>
        <v/>
      </c>
      <c r="M180" s="34">
        <f>+IF(L180&lt;5,"BAJO",IF(L180&lt;10,"MEDIO",IF(L180&lt;17,"ALTO","CRITICO")))</f>
        <v/>
      </c>
      <c r="N180" s="54" t="inlineStr">
        <is>
          <t>Software DLP</t>
        </is>
      </c>
      <c r="O180" s="54" t="inlineStr">
        <is>
          <t>PREVENTIVO</t>
        </is>
      </c>
      <c r="P180" s="34" t="inlineStr">
        <is>
          <t>Control Implementado sin evidencia de efectividad (Inefectivo prueba)</t>
        </is>
      </c>
      <c r="Q180" s="52" t="n">
        <v>0.3</v>
      </c>
      <c r="R180" s="34" t="inlineStr">
        <is>
          <t>Politicas sin restricción para jefaturas</t>
        </is>
      </c>
      <c r="S180" s="53">
        <f>+IF(O180="PREVENTIVO",J180*(1-Q180),IF(O180="ADMINISTRACION",J180*(1-Q180),IF(O180="ELIMINACION",J180*(1-Q180),J180)))</f>
        <v/>
      </c>
      <c r="T180" s="53">
        <f>+IF(O180="DETECTIVO",K180*(1-Q180),IF(O180="RECUPERACION",K180*(1-Q180),K180))</f>
        <v/>
      </c>
      <c r="U180" s="54">
        <f>+S180*T180</f>
        <v/>
      </c>
      <c r="V180" s="65">
        <f>+IF(U180&lt;5,"BAJO",IF(U180&lt;10,"MEDIO",IF(U180&lt;17,"ALTO","CRITICO")))</f>
        <v/>
      </c>
      <c r="W180" s="65" t="inlineStr">
        <is>
          <t>ACEPTABLE</t>
        </is>
      </c>
      <c r="X180" s="80" t="inlineStr">
        <is>
          <t>-</t>
        </is>
      </c>
      <c r="Y180" s="80" t="inlineStr">
        <is>
          <t>-</t>
        </is>
      </c>
      <c r="Z180" s="80" t="inlineStr">
        <is>
          <t>-</t>
        </is>
      </c>
    </row>
    <row r="181" hidden="1" ht="30.6" customHeight="1" s="106">
      <c r="A181" s="99" t="inlineStr">
        <is>
          <t>32-GNE</t>
        </is>
      </c>
      <c r="B181" s="17" t="inlineStr">
        <is>
          <t>Grabaciones Sistema Issabel</t>
        </is>
      </c>
      <c r="C181" s="17" t="inlineStr">
        <is>
          <t>Archivos de sonido donde se evidencia la gestión de la campaña</t>
        </is>
      </c>
      <c r="D181" s="55" t="inlineStr">
        <is>
          <t>[D] Datos / Información / datos de configuración</t>
        </is>
      </c>
      <c r="E181" s="34" t="inlineStr">
        <is>
          <t>[E.18] Destrucción de información</t>
        </is>
      </c>
      <c r="F181" s="34">
        <f>+VLOOKUP(E181,'CATALOGO AMENAZA'!$B$2:$D$46,3,FALSE)</f>
        <v/>
      </c>
      <c r="G181" s="34" t="n"/>
      <c r="H181" s="34" t="n"/>
      <c r="I181" s="34" t="inlineStr">
        <is>
          <t>X</t>
        </is>
      </c>
      <c r="J181" s="34" t="n">
        <v>2</v>
      </c>
      <c r="K181" s="34" t="n">
        <v>3</v>
      </c>
      <c r="L181" s="34">
        <f>+J181*K181</f>
        <v/>
      </c>
      <c r="M181" s="34">
        <f>+IF(L181&lt;5,"BAJO",IF(L181&lt;10,"MEDIO",IF(L181&lt;17,"ALTO","CRITICO")))</f>
        <v/>
      </c>
      <c r="N181" s="54" t="inlineStr">
        <is>
          <t>Respaldo digital de información</t>
        </is>
      </c>
      <c r="O181" s="54" t="inlineStr">
        <is>
          <t>PREVENTIVO</t>
        </is>
      </c>
      <c r="P181" s="34" t="inlineStr">
        <is>
          <t>Control Implementado sin evidencia de efectividad (Inefectivo prueba)</t>
        </is>
      </c>
      <c r="Q181" s="52" t="n">
        <v>0.3</v>
      </c>
      <c r="R181" s="34" t="inlineStr">
        <is>
          <t>Almacenamiento sin prueba de efectividad</t>
        </is>
      </c>
      <c r="S181" s="53">
        <f>+IF(O181="PREVENTIVO",J181*(1-Q181),IF(O181="ADMINISTRACION",J181*(1-Q181),IF(O181="ELIMINACION",J181*(1-Q181),J181)))</f>
        <v/>
      </c>
      <c r="T181" s="53">
        <f>+IF(O181="DETECTIVO",K181*(1-Q181),IF(O181="RECUPERACION",K181*(1-Q181),K181))</f>
        <v/>
      </c>
      <c r="U181" s="54">
        <f>+S181*T181</f>
        <v/>
      </c>
      <c r="V181" s="65">
        <f>+IF(U181&lt;5,"BAJO",IF(U181&lt;10,"MEDIO",IF(U181&lt;17,"ALTO","CRITICO")))</f>
        <v/>
      </c>
      <c r="W181" s="65" t="inlineStr">
        <is>
          <t>ACEPTABLE</t>
        </is>
      </c>
      <c r="X181" s="80" t="inlineStr">
        <is>
          <t>-</t>
        </is>
      </c>
      <c r="Y181" s="80" t="inlineStr">
        <is>
          <t>-</t>
        </is>
      </c>
      <c r="Z181" s="80" t="inlineStr">
        <is>
          <t>-</t>
        </is>
      </c>
    </row>
    <row r="182" hidden="1" ht="30.6" customHeight="1" s="106">
      <c r="A182" s="99" t="inlineStr">
        <is>
          <t>37-GNE</t>
        </is>
      </c>
      <c r="B182" s="17" t="inlineStr">
        <is>
          <t>Grabaciones sistema Issabel</t>
        </is>
      </c>
      <c r="C182" s="17" t="inlineStr">
        <is>
          <t>Audio de la llamada realizada por el gestor telefónica</t>
        </is>
      </c>
      <c r="D182" s="55" t="inlineStr">
        <is>
          <t>[D] Datos / Información / datos de configuración</t>
        </is>
      </c>
      <c r="E182" s="34" t="inlineStr">
        <is>
          <t>[E.19] Fugas de información</t>
        </is>
      </c>
      <c r="F182" s="34">
        <f>+VLOOKUP(E182,'CATALOGO AMENAZA'!$B$2:$D$46,3,FALSE)</f>
        <v/>
      </c>
      <c r="G182" s="34" t="inlineStr">
        <is>
          <t>X</t>
        </is>
      </c>
      <c r="H182" s="34" t="n"/>
      <c r="I182" s="34" t="n"/>
      <c r="J182" s="34" t="n">
        <v>3</v>
      </c>
      <c r="K182" s="34" t="n">
        <v>2</v>
      </c>
      <c r="L182" s="34">
        <f>+J182*K182</f>
        <v/>
      </c>
      <c r="M182" s="34">
        <f>+IF(L182&lt;5,"BAJO",IF(L182&lt;10,"MEDIO",IF(L182&lt;17,"ALTO","CRITICO")))</f>
        <v/>
      </c>
      <c r="N182" s="54" t="inlineStr">
        <is>
          <t>Software DLP</t>
        </is>
      </c>
      <c r="O182" s="54" t="inlineStr">
        <is>
          <t>PREVENTIVO</t>
        </is>
      </c>
      <c r="P182" s="34" t="inlineStr">
        <is>
          <t>Control Implementado sin evidencia de efectividad (Inefectivo prueba)</t>
        </is>
      </c>
      <c r="Q182" s="52" t="n">
        <v>0.3</v>
      </c>
      <c r="R182" s="34" t="inlineStr">
        <is>
          <t>Politicas sin restricción para jefaturas</t>
        </is>
      </c>
      <c r="S182" s="53">
        <f>+IF(O182="PREVENTIVO",J182*(1-Q182),IF(O182="ADMINISTRACION",J182*(1-Q182),IF(O182="ELIMINACION",J182*(1-Q182),J182)))</f>
        <v/>
      </c>
      <c r="T182" s="53">
        <f>+IF(O182="DETECTIVO",K182*(1-Q182),IF(O182="RECUPERACION",K182*(1-Q182),K182))</f>
        <v/>
      </c>
      <c r="U182" s="54">
        <f>+S182*T182</f>
        <v/>
      </c>
      <c r="V182" s="65">
        <f>+IF(U182&lt;5,"BAJO",IF(U182&lt;10,"MEDIO",IF(U182&lt;17,"ALTO","CRITICO")))</f>
        <v/>
      </c>
      <c r="W182" s="65" t="inlineStr">
        <is>
          <t>ACEPTABLE</t>
        </is>
      </c>
      <c r="X182" s="80" t="inlineStr">
        <is>
          <t>-</t>
        </is>
      </c>
      <c r="Y182" s="80" t="inlineStr">
        <is>
          <t>-</t>
        </is>
      </c>
      <c r="Z182" s="80" t="inlineStr">
        <is>
          <t>-</t>
        </is>
      </c>
    </row>
    <row r="183" hidden="1" ht="30.6" customHeight="1" s="106">
      <c r="A183" s="99" t="inlineStr">
        <is>
          <t>37-GNE</t>
        </is>
      </c>
      <c r="B183" s="17" t="inlineStr">
        <is>
          <t>Grabaciones sistema Issabel</t>
        </is>
      </c>
      <c r="C183" s="17" t="inlineStr">
        <is>
          <t>Audio de la llamada realizada por el gestor telefónica</t>
        </is>
      </c>
      <c r="D183" s="55" t="inlineStr">
        <is>
          <t>[D] Datos / Información / datos de configuración</t>
        </is>
      </c>
      <c r="E183" s="34" t="inlineStr">
        <is>
          <t>[E.18] Destrucción de información</t>
        </is>
      </c>
      <c r="F183" s="34">
        <f>+VLOOKUP(E183,'CATALOGO AMENAZA'!$B$2:$D$46,3,FALSE)</f>
        <v/>
      </c>
      <c r="G183" s="34" t="n"/>
      <c r="H183" s="34" t="n"/>
      <c r="I183" s="34" t="inlineStr">
        <is>
          <t>X</t>
        </is>
      </c>
      <c r="J183" s="34" t="n">
        <v>2</v>
      </c>
      <c r="K183" s="34" t="n">
        <v>3</v>
      </c>
      <c r="L183" s="34">
        <f>+J183*K183</f>
        <v/>
      </c>
      <c r="M183" s="34">
        <f>+IF(L183&lt;5,"BAJO",IF(L183&lt;10,"MEDIO",IF(L183&lt;17,"ALTO","CRITICO")))</f>
        <v/>
      </c>
      <c r="N183" s="54" t="inlineStr">
        <is>
          <t>Respaldo digital de información</t>
        </is>
      </c>
      <c r="O183" s="54" t="inlineStr">
        <is>
          <t>PREVENTIVO</t>
        </is>
      </c>
      <c r="P183" s="34" t="inlineStr">
        <is>
          <t>Control Implementado sin evidencia de efectividad (Inefectivo prueba)</t>
        </is>
      </c>
      <c r="Q183" s="52" t="n">
        <v>0.3</v>
      </c>
      <c r="R183" s="34" t="inlineStr">
        <is>
          <t>Almacenamiento sin prueba de efectividad</t>
        </is>
      </c>
      <c r="S183" s="53">
        <f>+IF(O183="PREVENTIVO",J183*(1-Q183),IF(O183="ADMINISTRACION",J183*(1-Q183),IF(O183="ELIMINACION",J183*(1-Q183),J183)))</f>
        <v/>
      </c>
      <c r="T183" s="53">
        <f>+IF(O183="DETECTIVO",K183*(1-Q183),IF(O183="RECUPERACION",K183*(1-Q183),K183))</f>
        <v/>
      </c>
      <c r="U183" s="54">
        <f>+S183*T183</f>
        <v/>
      </c>
      <c r="V183" s="65">
        <f>+IF(U183&lt;5,"BAJO",IF(U183&lt;10,"MEDIO",IF(U183&lt;17,"ALTO","CRITICO")))</f>
        <v/>
      </c>
      <c r="W183" s="65" t="inlineStr">
        <is>
          <t>ACEPTABLE</t>
        </is>
      </c>
      <c r="X183" s="80" t="inlineStr">
        <is>
          <t>-</t>
        </is>
      </c>
      <c r="Y183" s="80" t="inlineStr">
        <is>
          <t>-</t>
        </is>
      </c>
      <c r="Z183" s="80" t="inlineStr">
        <is>
          <t>-</t>
        </is>
      </c>
    </row>
    <row r="184" hidden="1" ht="30.6" customHeight="1" s="106">
      <c r="A184" s="99" t="inlineStr">
        <is>
          <t>40-GNE</t>
        </is>
      </c>
      <c r="B184" s="17" t="inlineStr">
        <is>
          <t>Grabaciones sistema Issabel</t>
        </is>
      </c>
      <c r="C184" s="17" t="inlineStr">
        <is>
          <t>Audio de la llamada realizada por el gestor telefónico</t>
        </is>
      </c>
      <c r="D184" s="55" t="inlineStr">
        <is>
          <t>[D] Datos / Información / datos de configuración</t>
        </is>
      </c>
      <c r="E184" s="34" t="inlineStr">
        <is>
          <t>[E.19] Fugas de información</t>
        </is>
      </c>
      <c r="F184" s="34">
        <f>+VLOOKUP(E184,'CATALOGO AMENAZA'!$B$2:$D$46,3,FALSE)</f>
        <v/>
      </c>
      <c r="G184" s="34" t="inlineStr">
        <is>
          <t>X</t>
        </is>
      </c>
      <c r="H184" s="34" t="n"/>
      <c r="I184" s="34" t="n"/>
      <c r="J184" s="34" t="n">
        <v>3</v>
      </c>
      <c r="K184" s="34" t="n">
        <v>2</v>
      </c>
      <c r="L184" s="34">
        <f>+J184*K184</f>
        <v/>
      </c>
      <c r="M184" s="34">
        <f>+IF(L184&lt;5,"BAJO",IF(L184&lt;10,"MEDIO",IF(L184&lt;17,"ALTO","CRITICO")))</f>
        <v/>
      </c>
      <c r="N184" s="54" t="inlineStr">
        <is>
          <t>Software DLP</t>
        </is>
      </c>
      <c r="O184" s="54" t="inlineStr">
        <is>
          <t>PREVENTIVO</t>
        </is>
      </c>
      <c r="P184" s="34" t="inlineStr">
        <is>
          <t>Control Implementado sin evidencia de efectividad (Inefectivo prueba)</t>
        </is>
      </c>
      <c r="Q184" s="52" t="n">
        <v>0.3</v>
      </c>
      <c r="R184" s="34" t="inlineStr">
        <is>
          <t>Politicas sin restricción para jefaturas</t>
        </is>
      </c>
      <c r="S184" s="53">
        <f>+IF(O184="PREVENTIVO",J184*(1-Q184),IF(O184="ADMINISTRACION",J184*(1-Q184),IF(O184="ELIMINACION",J184*(1-Q184),J184)))</f>
        <v/>
      </c>
      <c r="T184" s="53">
        <f>+IF(O184="DETECTIVO",K184*(1-Q184),IF(O184="RECUPERACION",K184*(1-Q184),K184))</f>
        <v/>
      </c>
      <c r="U184" s="54">
        <f>+S184*T184</f>
        <v/>
      </c>
      <c r="V184" s="65">
        <f>+IF(U184&lt;5,"BAJO",IF(U184&lt;10,"MEDIO",IF(U184&lt;17,"ALTO","CRITICO")))</f>
        <v/>
      </c>
      <c r="W184" s="65" t="inlineStr">
        <is>
          <t>ACEPTABLE</t>
        </is>
      </c>
      <c r="X184" s="80" t="inlineStr">
        <is>
          <t>-</t>
        </is>
      </c>
      <c r="Y184" s="80" t="inlineStr">
        <is>
          <t>-</t>
        </is>
      </c>
      <c r="Z184" s="80" t="inlineStr">
        <is>
          <t>-</t>
        </is>
      </c>
    </row>
    <row r="185" hidden="1" ht="30.6" customHeight="1" s="106">
      <c r="A185" s="99" t="inlineStr">
        <is>
          <t>40-GNE</t>
        </is>
      </c>
      <c r="B185" s="17" t="inlineStr">
        <is>
          <t>Grabaciones sistema Issabel</t>
        </is>
      </c>
      <c r="C185" s="17" t="inlineStr">
        <is>
          <t>Audio de la llamada realizada por el gestor telefónico</t>
        </is>
      </c>
      <c r="D185" s="55" t="inlineStr">
        <is>
          <t>[D] Datos / Información / datos de configuración</t>
        </is>
      </c>
      <c r="E185" s="34" t="inlineStr">
        <is>
          <t>[E.18] Destrucción de información</t>
        </is>
      </c>
      <c r="F185" s="34">
        <f>+VLOOKUP(E185,'CATALOGO AMENAZA'!$B$2:$D$46,3,FALSE)</f>
        <v/>
      </c>
      <c r="G185" s="34" t="n"/>
      <c r="H185" s="34" t="n"/>
      <c r="I185" s="34" t="inlineStr">
        <is>
          <t>X</t>
        </is>
      </c>
      <c r="J185" s="34" t="n">
        <v>2</v>
      </c>
      <c r="K185" s="34" t="n">
        <v>3</v>
      </c>
      <c r="L185" s="34">
        <f>+J185*K185</f>
        <v/>
      </c>
      <c r="M185" s="34">
        <f>+IF(L185&lt;5,"BAJO",IF(L185&lt;10,"MEDIO",IF(L185&lt;17,"ALTO","CRITICO")))</f>
        <v/>
      </c>
      <c r="N185" s="54" t="inlineStr">
        <is>
          <t>Respaldo digital de información</t>
        </is>
      </c>
      <c r="O185" s="54" t="inlineStr">
        <is>
          <t>PREVENTIVO</t>
        </is>
      </c>
      <c r="P185" s="34" t="inlineStr">
        <is>
          <t>Control Implementado sin evidencia de efectividad (Inefectivo prueba)</t>
        </is>
      </c>
      <c r="Q185" s="52" t="n">
        <v>0.3</v>
      </c>
      <c r="R185" s="34" t="inlineStr">
        <is>
          <t>Almacenamiento sin prueba de efectividad</t>
        </is>
      </c>
      <c r="S185" s="53">
        <f>+IF(O185="PREVENTIVO",J185*(1-Q185),IF(O185="ADMINISTRACION",J185*(1-Q185),IF(O185="ELIMINACION",J185*(1-Q185),J185)))</f>
        <v/>
      </c>
      <c r="T185" s="53">
        <f>+IF(O185="DETECTIVO",K185*(1-Q185),IF(O185="RECUPERACION",K185*(1-Q185),K185))</f>
        <v/>
      </c>
      <c r="U185" s="54">
        <f>+S185*T185</f>
        <v/>
      </c>
      <c r="V185" s="65">
        <f>+IF(U185&lt;5,"BAJO",IF(U185&lt;10,"MEDIO",IF(U185&lt;17,"ALTO","CRITICO")))</f>
        <v/>
      </c>
      <c r="W185" s="65" t="inlineStr">
        <is>
          <t>ACEPTABLE</t>
        </is>
      </c>
      <c r="X185" s="80" t="inlineStr">
        <is>
          <t>-</t>
        </is>
      </c>
      <c r="Y185" s="80" t="inlineStr">
        <is>
          <t>-</t>
        </is>
      </c>
      <c r="Z185" s="80" t="inlineStr">
        <is>
          <t>-</t>
        </is>
      </c>
    </row>
    <row r="186" ht="51" customHeight="1" s="106">
      <c r="A186" s="99" t="inlineStr">
        <is>
          <t>43-GNE</t>
        </is>
      </c>
      <c r="B186" s="17" t="inlineStr">
        <is>
          <t>Reportes del módulo de
Cooperativa Virtual</t>
        </is>
      </c>
      <c r="C186" s="17" t="inlineStr">
        <is>
          <t>Reporte de clientes validados y registrados</t>
        </is>
      </c>
      <c r="D186" s="55" t="inlineStr">
        <is>
          <t>[D] Datos / Información / datos de configuración</t>
        </is>
      </c>
      <c r="E186" s="34" t="inlineStr">
        <is>
          <t>[A.7] Uso no previsto</t>
        </is>
      </c>
      <c r="F186" s="34">
        <f>+VLOOKUP(E186,'CATALOGO AMENAZA'!$B$2:$D$46,3,FALSE)</f>
        <v/>
      </c>
      <c r="G186" s="34" t="inlineStr">
        <is>
          <t>X</t>
        </is>
      </c>
      <c r="H186" s="34" t="inlineStr">
        <is>
          <t>X</t>
        </is>
      </c>
      <c r="I186" s="34" t="inlineStr">
        <is>
          <t>X</t>
        </is>
      </c>
      <c r="J186" s="34" t="n">
        <v>4</v>
      </c>
      <c r="K186" s="34" t="n">
        <v>4</v>
      </c>
      <c r="L186" s="34">
        <f>+J186*K186</f>
        <v/>
      </c>
      <c r="M186" s="34">
        <f>+IF(L186&lt;5,"BAJO",IF(L186&lt;10,"MEDIO",IF(L186&lt;17,"ALTO","CRITICO")))</f>
        <v/>
      </c>
      <c r="N186" s="34" t="inlineStr">
        <is>
          <t>Sortware DLP /Políticas de uso de información contractual</t>
        </is>
      </c>
      <c r="O186" s="34" t="inlineStr">
        <is>
          <t>PREVENTIVO</t>
        </is>
      </c>
      <c r="P186" s="34" t="inlineStr">
        <is>
          <t>Control Implementado sin evidencia de efectividad (Inefectivo prueba)</t>
        </is>
      </c>
      <c r="Q186" s="52" t="n">
        <v>0.3</v>
      </c>
      <c r="R186" s="4" t="inlineStr">
        <is>
          <t>Documentación sensible sin cifrar</t>
        </is>
      </c>
      <c r="S186" s="53">
        <f>+IF(O186="PREVENTIVO",J186*(1-Q186),IF(O186="ADMINISTRACION",J186*(1-Q186),IF(O186="ELIMINACION",J186*(1-Q186),J186)))</f>
        <v/>
      </c>
      <c r="T186" s="53">
        <f>+IF(O186="DETECTIVO",K186*(1-Q186),IF(O186="RECUPERACION",K186*(1-Q186),K186))</f>
        <v/>
      </c>
      <c r="U186" s="54">
        <f>+S186*T186</f>
        <v/>
      </c>
      <c r="V186" s="65">
        <f>+IF(U186&lt;5,"BAJO",IF(U186&lt;10,"MEDIO",IF(U186&lt;17,"ALTO","CRITICO")))</f>
        <v/>
      </c>
      <c r="W186" s="65" t="inlineStr">
        <is>
          <t>MITIGAR</t>
        </is>
      </c>
      <c r="X186" s="34" t="inlineStr">
        <is>
          <t>REQUIERE TRATAMIENTO</t>
        </is>
      </c>
      <c r="Y186" s="34" t="inlineStr">
        <is>
          <t>PA-SI-006</t>
        </is>
      </c>
      <c r="Z186" s="34" t="inlineStr">
        <is>
          <t>Fortalecer las políticas de prevención de fuga de información (DLP) para mejorar la protección de datos sensibles.</t>
        </is>
      </c>
    </row>
    <row r="187" hidden="1" ht="30.6" customHeight="1" s="106">
      <c r="A187" s="99" t="inlineStr">
        <is>
          <t>43-GNE</t>
        </is>
      </c>
      <c r="B187" s="17" t="inlineStr">
        <is>
          <t>Reportes del módulo de
Cooperativa Virtual</t>
        </is>
      </c>
      <c r="C187" s="17" t="inlineStr">
        <is>
          <t>Reporte de clientes validados y registrados</t>
        </is>
      </c>
      <c r="D187" s="55" t="inlineStr">
        <is>
          <t>[D] Datos / Información / datos de configuración</t>
        </is>
      </c>
      <c r="E187" s="34" t="inlineStr">
        <is>
          <t>[E.18] Destrucción de información</t>
        </is>
      </c>
      <c r="F187" s="34">
        <f>+VLOOKUP(E187,'CATALOGO AMENAZA'!$B$2:$D$46,3,FALSE)</f>
        <v/>
      </c>
      <c r="G187" s="34" t="n"/>
      <c r="H187" s="34" t="n"/>
      <c r="I187" s="34" t="inlineStr">
        <is>
          <t>X</t>
        </is>
      </c>
      <c r="J187" s="34" t="n">
        <v>2</v>
      </c>
      <c r="K187" s="34" t="n">
        <v>3</v>
      </c>
      <c r="L187" s="34">
        <f>+J187*K187</f>
        <v/>
      </c>
      <c r="M187" s="34">
        <f>+IF(L187&lt;5,"BAJO",IF(L187&lt;10,"MEDIO",IF(L187&lt;17,"ALTO","CRITICO")))</f>
        <v/>
      </c>
      <c r="N187" s="54" t="inlineStr">
        <is>
          <t>Respaldo digital de información</t>
        </is>
      </c>
      <c r="O187" s="54" t="inlineStr">
        <is>
          <t>PREVENTIVO</t>
        </is>
      </c>
      <c r="P187" s="34" t="inlineStr">
        <is>
          <t>Control Implementado sin evidencia de efectividad (Inefectivo prueba)</t>
        </is>
      </c>
      <c r="Q187" s="52" t="n">
        <v>0.3</v>
      </c>
      <c r="R187" s="34" t="inlineStr">
        <is>
          <t>Almacenamiento sin prueba de efectividad</t>
        </is>
      </c>
      <c r="S187" s="53">
        <f>+IF(O187="PREVENTIVO",J187*(1-Q187),IF(O187="ADMINISTRACION",J187*(1-Q187),IF(O187="ELIMINACION",J187*(1-Q187),J187)))</f>
        <v/>
      </c>
      <c r="T187" s="53">
        <f>+IF(O187="DETECTIVO",K187*(1-Q187),IF(O187="RECUPERACION",K187*(1-Q187),K187))</f>
        <v/>
      </c>
      <c r="U187" s="54">
        <f>+S187*T187</f>
        <v/>
      </c>
      <c r="V187" s="65">
        <f>+IF(U187&lt;5,"BAJO",IF(U187&lt;10,"MEDIO",IF(U187&lt;17,"ALTO","CRITICO")))</f>
        <v/>
      </c>
      <c r="W187" s="65" t="inlineStr">
        <is>
          <t>ACEPTABLE</t>
        </is>
      </c>
      <c r="X187" s="80" t="inlineStr">
        <is>
          <t>-</t>
        </is>
      </c>
      <c r="Y187" s="80" t="inlineStr">
        <is>
          <t>-</t>
        </is>
      </c>
      <c r="Z187" s="80" t="inlineStr">
        <is>
          <t>-</t>
        </is>
      </c>
    </row>
    <row r="188" hidden="1" ht="30.6" customHeight="1" s="106">
      <c r="A188" s="99" t="inlineStr">
        <is>
          <t>44-GNE</t>
        </is>
      </c>
      <c r="B188" s="17" t="inlineStr">
        <is>
          <t>Grabaciones sistema Issabel</t>
        </is>
      </c>
      <c r="C188" s="17" t="inlineStr">
        <is>
          <t>Audio de la llamada realizada por el gestor telefónico</t>
        </is>
      </c>
      <c r="D188" s="55" t="inlineStr">
        <is>
          <t>[D] Datos / Información / datos de configuración</t>
        </is>
      </c>
      <c r="E188" s="34" t="inlineStr">
        <is>
          <t>[E.19] Fugas de información</t>
        </is>
      </c>
      <c r="F188" s="34">
        <f>+VLOOKUP(E188,'CATALOGO AMENAZA'!$B$2:$D$46,3,FALSE)</f>
        <v/>
      </c>
      <c r="G188" s="34" t="inlineStr">
        <is>
          <t>X</t>
        </is>
      </c>
      <c r="H188" s="34" t="n"/>
      <c r="I188" s="34" t="n"/>
      <c r="J188" s="34" t="n">
        <v>3</v>
      </c>
      <c r="K188" s="34" t="n">
        <v>2</v>
      </c>
      <c r="L188" s="34">
        <f>+J188*K188</f>
        <v/>
      </c>
      <c r="M188" s="34">
        <f>+IF(L188&lt;5,"BAJO",IF(L188&lt;10,"MEDIO",IF(L188&lt;17,"ALTO","CRITICO")))</f>
        <v/>
      </c>
      <c r="N188" s="54" t="inlineStr">
        <is>
          <t>Software DLP</t>
        </is>
      </c>
      <c r="O188" s="54" t="inlineStr">
        <is>
          <t>PREVENTIVO</t>
        </is>
      </c>
      <c r="P188" s="34" t="inlineStr">
        <is>
          <t>Control Implementado sin evidencia de efectividad (Inefectivo prueba)</t>
        </is>
      </c>
      <c r="Q188" s="52" t="n">
        <v>0.3</v>
      </c>
      <c r="R188" s="34" t="inlineStr">
        <is>
          <t>Politicas sin restricción para jefaturas</t>
        </is>
      </c>
      <c r="S188" s="53">
        <f>+IF(O188="PREVENTIVO",J188*(1-Q188),IF(O188="ADMINISTRACION",J188*(1-Q188),IF(O188="ELIMINACION",J188*(1-Q188),J188)))</f>
        <v/>
      </c>
      <c r="T188" s="53">
        <f>+IF(O188="DETECTIVO",K188*(1-Q188),IF(O188="RECUPERACION",K188*(1-Q188),K188))</f>
        <v/>
      </c>
      <c r="U188" s="54">
        <f>+S188*T188</f>
        <v/>
      </c>
      <c r="V188" s="65">
        <f>+IF(U188&lt;5,"BAJO",IF(U188&lt;10,"MEDIO",IF(U188&lt;17,"ALTO","CRITICO")))</f>
        <v/>
      </c>
      <c r="W188" s="65" t="inlineStr">
        <is>
          <t>ACEPTABLE</t>
        </is>
      </c>
      <c r="X188" s="80" t="inlineStr">
        <is>
          <t>-</t>
        </is>
      </c>
      <c r="Y188" s="80" t="inlineStr">
        <is>
          <t>-</t>
        </is>
      </c>
      <c r="Z188" s="80" t="inlineStr">
        <is>
          <t>-</t>
        </is>
      </c>
    </row>
    <row r="189" hidden="1" ht="30.6" customHeight="1" s="106">
      <c r="A189" s="99" t="inlineStr">
        <is>
          <t>46-GNE</t>
        </is>
      </c>
      <c r="B189" s="17" t="inlineStr">
        <is>
          <t>Equipos de computación de Analista de Contact Center</t>
        </is>
      </c>
      <c r="C189" s="17" t="inlineStr">
        <is>
          <t>Equipos de computación donde se realiza la gestión del área</t>
        </is>
      </c>
      <c r="D189" s="64" t="inlineStr">
        <is>
          <t>[HW] Equipamiento informático (hardware)</t>
        </is>
      </c>
      <c r="E189" s="34" t="inlineStr">
        <is>
          <t>[E.25] Pérdida de equipos</t>
        </is>
      </c>
      <c r="F189" s="34" t="inlineStr">
        <is>
          <t xml:space="preserve">
[C] confidencialidad 
[D] disponibilidad</t>
        </is>
      </c>
      <c r="G189" s="34" t="inlineStr">
        <is>
          <t>X</t>
        </is>
      </c>
      <c r="H189" s="34" t="n"/>
      <c r="I189" s="34" t="inlineStr">
        <is>
          <t>X</t>
        </is>
      </c>
      <c r="J189" s="34" t="n">
        <v>1</v>
      </c>
      <c r="K189" s="34" t="n">
        <v>3</v>
      </c>
      <c r="L189" s="34">
        <f>+J189*K189</f>
        <v/>
      </c>
      <c r="M189" s="34">
        <f>+IF(L189&lt;5,"BAJO",IF(L189&lt;10,"MEDIO",IF(L189&lt;17,"ALTO","CRITICO")))</f>
        <v/>
      </c>
      <c r="N189" s="54" t="inlineStr">
        <is>
          <t>Respaldo digital de información</t>
        </is>
      </c>
      <c r="O189" s="54" t="inlineStr">
        <is>
          <t>PREVENTIVO</t>
        </is>
      </c>
      <c r="P189" s="34" t="inlineStr">
        <is>
          <t>Control Implementado sin evidencia de efectividad (Inefectivo prueba)</t>
        </is>
      </c>
      <c r="Q189" s="52" t="n">
        <v>0.3</v>
      </c>
      <c r="R189" s="34" t="inlineStr">
        <is>
          <t>Almacenamiento sin prueba de efectividad</t>
        </is>
      </c>
      <c r="S189" s="53">
        <f>+IF(O189="PREVENTIVO",J189*(1-Q189),IF(O189="ADMINISTRACION",J189*(1-Q189),IF(O189="ELIMINACION",J189*(1-Q189),J189)))</f>
        <v/>
      </c>
      <c r="T189" s="53">
        <f>+IF(O189="DETECTIVO",K189*(1-Q189),IF(O189="RECUPERACION",K189*(1-Q189),K189))</f>
        <v/>
      </c>
      <c r="U189" s="54">
        <f>+S189*T189</f>
        <v/>
      </c>
      <c r="V189" s="65">
        <f>+IF(U189&lt;5,"BAJO",IF(U189&lt;10,"MEDIO",IF(U189&lt;17,"ALTO","CRITICO")))</f>
        <v/>
      </c>
      <c r="W189" s="65" t="inlineStr">
        <is>
          <t>ACEPTABLE</t>
        </is>
      </c>
      <c r="X189" s="80" t="inlineStr">
        <is>
          <t>-</t>
        </is>
      </c>
      <c r="Y189" s="80" t="inlineStr">
        <is>
          <t>-</t>
        </is>
      </c>
      <c r="Z189" s="80" t="inlineStr">
        <is>
          <t>-</t>
        </is>
      </c>
    </row>
    <row r="190" hidden="1" ht="41.1" customHeight="1" s="106">
      <c r="A190" s="99" t="inlineStr">
        <is>
          <t>46-GNE</t>
        </is>
      </c>
      <c r="B190" s="17" t="inlineStr">
        <is>
          <t>Equipos de computación de Analista de Contact Center</t>
        </is>
      </c>
      <c r="C190" s="17" t="inlineStr">
        <is>
          <t>Equipos de computación donde se realiza la gestión del área</t>
        </is>
      </c>
      <c r="D190" s="64" t="inlineStr">
        <is>
          <t>[HW] Equipamiento informático (hardware)</t>
        </is>
      </c>
      <c r="E190" s="34" t="inlineStr">
        <is>
          <t>[A.7] Uso no previsto</t>
        </is>
      </c>
      <c r="F190" s="34">
        <f>+VLOOKUP(E190,'CATALOGO AMENAZA'!$B$2:$D$46,3,FALSE)</f>
        <v/>
      </c>
      <c r="G190" s="34" t="inlineStr">
        <is>
          <t>X</t>
        </is>
      </c>
      <c r="H190" s="34" t="inlineStr">
        <is>
          <t>X</t>
        </is>
      </c>
      <c r="I190" s="34" t="inlineStr">
        <is>
          <t>X</t>
        </is>
      </c>
      <c r="J190" s="34" t="n">
        <v>3</v>
      </c>
      <c r="K190" s="34" t="n">
        <v>3</v>
      </c>
      <c r="L190" s="34">
        <f>+J190*K190</f>
        <v/>
      </c>
      <c r="M190" s="34">
        <f>+IF(L190&lt;5,"BAJO",IF(L190&lt;10,"MEDIO",IF(L190&lt;17,"ALTO","CRITICO")))</f>
        <v/>
      </c>
      <c r="N190" s="34" t="inlineStr">
        <is>
          <t>Sortware DLP /Políticas de uso de información contractual</t>
        </is>
      </c>
      <c r="O190" s="34" t="inlineStr">
        <is>
          <t>PREVENTIVO</t>
        </is>
      </c>
      <c r="P190" s="34" t="inlineStr">
        <is>
          <t>Control Implementado sin evidencia de efectividad (Inefectivo prueba)</t>
        </is>
      </c>
      <c r="Q190" s="52" t="n">
        <v>0.3</v>
      </c>
      <c r="R190" s="4" t="inlineStr">
        <is>
          <t>Documentación sencible sin cifrar</t>
        </is>
      </c>
      <c r="S190" s="53">
        <f>+IF(O190="PREVENTIVO",J190*(1-Q190),IF(O190="ADMINISTRACION",J190*(1-Q190),IF(O190="ELIMINACION",J190*(1-Q190),J190)))</f>
        <v/>
      </c>
      <c r="T190" s="53">
        <f>+IF(O190="DETECTIVO",K190*(1-Q190),IF(O190="RECUPERACION",K190*(1-Q190),K190))</f>
        <v/>
      </c>
      <c r="U190" s="54">
        <f>+S190*T190</f>
        <v/>
      </c>
      <c r="V190" s="65">
        <f>+IF(U190&lt;5,"BAJO",IF(U190&lt;10,"MEDIO",IF(U190&lt;17,"ALTO","CRITICO")))</f>
        <v/>
      </c>
      <c r="W190" s="87" t="inlineStr">
        <is>
          <t>MITIGAR</t>
        </is>
      </c>
      <c r="X190" s="80" t="inlineStr">
        <is>
          <t>-</t>
        </is>
      </c>
      <c r="Y190" s="80" t="inlineStr">
        <is>
          <t>-</t>
        </is>
      </c>
      <c r="Z190" s="80" t="inlineStr">
        <is>
          <t>-</t>
        </is>
      </c>
    </row>
    <row r="191" hidden="1" ht="30.6" customHeight="1" s="106">
      <c r="A191" s="99" t="inlineStr">
        <is>
          <t>44-GNE</t>
        </is>
      </c>
      <c r="B191" s="17" t="inlineStr">
        <is>
          <t>Grabaciones sistema Issabel</t>
        </is>
      </c>
      <c r="C191" s="17" t="inlineStr">
        <is>
          <t>Audio de la llamada realizada por el gestor telefónico</t>
        </is>
      </c>
      <c r="D191" s="55" t="inlineStr">
        <is>
          <t>[D] Datos / Información / datos de configuración</t>
        </is>
      </c>
      <c r="E191" s="34" t="inlineStr">
        <is>
          <t>[E.18] Destrucción de información</t>
        </is>
      </c>
      <c r="F191" s="34">
        <f>+VLOOKUP(E191,'CATALOGO AMENAZA'!$B$2:$D$46,3,FALSE)</f>
        <v/>
      </c>
      <c r="G191" s="34" t="n"/>
      <c r="H191" s="34" t="n"/>
      <c r="I191" s="34" t="inlineStr">
        <is>
          <t>X</t>
        </is>
      </c>
      <c r="J191" s="34" t="n">
        <v>2</v>
      </c>
      <c r="K191" s="34" t="n">
        <v>2</v>
      </c>
      <c r="L191" s="34">
        <f>+J191*K191</f>
        <v/>
      </c>
      <c r="M191" s="34">
        <f>+IF(L191&lt;5,"BAJO",IF(L191&lt;10,"MEDIO",IF(L191&lt;17,"ALTO","CRITICO")))</f>
        <v/>
      </c>
      <c r="N191" s="54" t="inlineStr">
        <is>
          <t>Respaldo digital de información</t>
        </is>
      </c>
      <c r="O191" s="54" t="inlineStr">
        <is>
          <t>PREVENTIVO</t>
        </is>
      </c>
      <c r="P191" s="34" t="inlineStr">
        <is>
          <t>Control Implementado sin evidencia de efectividad (Inefectivo prueba)</t>
        </is>
      </c>
      <c r="Q191" s="52" t="n">
        <v>0.3</v>
      </c>
      <c r="R191" s="34" t="inlineStr">
        <is>
          <t>Almacenamiento sin prueba de efectividad</t>
        </is>
      </c>
      <c r="S191" s="53">
        <f>+IF(O191="PREVENTIVO",J191*(1-Q191),IF(O191="ADMINISTRACION",J191*(1-Q191),IF(O191="ELIMINACION",J191*(1-Q191),J191)))</f>
        <v/>
      </c>
      <c r="T191" s="53">
        <f>+IF(O191="DETECTIVO",K191*(1-Q191),IF(O191="RECUPERACION",K191*(1-Q191),K191))</f>
        <v/>
      </c>
      <c r="U191" s="54">
        <f>+S191*T191</f>
        <v/>
      </c>
      <c r="V191" s="65">
        <f>+IF(U191&lt;5,"BAJO",IF(U191&lt;10,"MEDIO",IF(U191&lt;17,"ALTO","CRITICO")))</f>
        <v/>
      </c>
      <c r="W191" s="65" t="inlineStr">
        <is>
          <t>ACEPTABLE</t>
        </is>
      </c>
      <c r="X191" s="80" t="inlineStr">
        <is>
          <t>-</t>
        </is>
      </c>
      <c r="Y191" s="80" t="inlineStr">
        <is>
          <t>-</t>
        </is>
      </c>
      <c r="Z191" s="80" t="inlineStr">
        <is>
          <t>-</t>
        </is>
      </c>
    </row>
    <row r="192" hidden="1" ht="51" customHeight="1" s="106">
      <c r="A192" s="99" t="inlineStr">
        <is>
          <t>58-GOP</t>
        </is>
      </c>
      <c r="B192" s="17" t="inlineStr">
        <is>
          <t>Cheques / Depósito</t>
        </is>
      </c>
      <c r="C192" s="17" t="inlineStr">
        <is>
          <t>Documento contable de valor que utiliza una persona para retirar dinero de la cuenta de quien lo emite</t>
        </is>
      </c>
      <c r="D192" s="55" t="inlineStr">
        <is>
          <t>[D] Datos / Información / datos de configuración</t>
        </is>
      </c>
      <c r="E192" s="34" t="inlineStr">
        <is>
          <t>[A.7] Uso no previsto</t>
        </is>
      </c>
      <c r="F192" s="34">
        <f>+VLOOKUP(E192,'CATALOGO AMENAZA'!$B$2:$D$46,3,FALSE)</f>
        <v/>
      </c>
      <c r="G192" s="34" t="inlineStr">
        <is>
          <t>X</t>
        </is>
      </c>
      <c r="H192" s="34" t="inlineStr">
        <is>
          <t>X</t>
        </is>
      </c>
      <c r="I192" s="34" t="inlineStr">
        <is>
          <t>X</t>
        </is>
      </c>
      <c r="J192" s="34" t="n">
        <v>3</v>
      </c>
      <c r="K192" s="34" t="n">
        <v>3</v>
      </c>
      <c r="L192" s="34">
        <f>+J192*K192</f>
        <v/>
      </c>
      <c r="M192" s="34">
        <f>+IF(L192&lt;5,"BAJO",IF(L192&lt;10,"MEDIO",IF(L192&lt;17,"ALTO","CRITICO")))</f>
        <v/>
      </c>
      <c r="N192" s="34" t="inlineStr">
        <is>
          <t>Sortware DLP /Políticas de uso de información contractual</t>
        </is>
      </c>
      <c r="O192" s="34" t="inlineStr">
        <is>
          <t>PREVENTIVO</t>
        </is>
      </c>
      <c r="P192" s="34" t="inlineStr">
        <is>
          <t>Control Implementado sin evidencia de efectividad (Inefectivo prueba)</t>
        </is>
      </c>
      <c r="Q192" s="52" t="n">
        <v>0.3</v>
      </c>
      <c r="R192" s="4" t="inlineStr">
        <is>
          <t>Documentación sencible sin cifrar</t>
        </is>
      </c>
      <c r="S192" s="53">
        <f>+IF(O192="PREVENTIVO",J192*(1-Q192),IF(O192="ADMINISTRACION",J192*(1-Q192),IF(O192="ELIMINACION",J192*(1-Q192),J192)))</f>
        <v/>
      </c>
      <c r="T192" s="53">
        <f>+IF(O192="DETECTIVO",K192*(1-Q192),IF(O192="RECUPERACION",K192*(1-Q192),K192))</f>
        <v/>
      </c>
      <c r="U192" s="54">
        <f>+S192*T192</f>
        <v/>
      </c>
      <c r="V192" s="65">
        <f>+IF(U192&lt;5,"BAJO",IF(U192&lt;10,"MEDIO",IF(U192&lt;17,"ALTO","CRITICO")))</f>
        <v/>
      </c>
      <c r="W192" s="87" t="inlineStr">
        <is>
          <t>MITIGAR</t>
        </is>
      </c>
      <c r="X192" s="80" t="inlineStr">
        <is>
          <t>-</t>
        </is>
      </c>
      <c r="Y192" s="80" t="inlineStr">
        <is>
          <t>-</t>
        </is>
      </c>
      <c r="Z192" s="80" t="inlineStr">
        <is>
          <t>-</t>
        </is>
      </c>
    </row>
    <row r="193" hidden="1" ht="51" customHeight="1" s="106">
      <c r="A193" s="99" t="inlineStr">
        <is>
          <t>58-GOP</t>
        </is>
      </c>
      <c r="B193" s="17" t="inlineStr">
        <is>
          <t>Cheques / Depósito</t>
        </is>
      </c>
      <c r="C193" s="17" t="inlineStr">
        <is>
          <t>Documento contable de valor que utiliza una persona para retirar dinero de la cuenta de quien lo emite</t>
        </is>
      </c>
      <c r="D193" s="55" t="inlineStr">
        <is>
          <t>[D] Datos / Información / datos de configuración</t>
        </is>
      </c>
      <c r="E193" s="34" t="inlineStr">
        <is>
          <t>[E.18] Destrucción de información</t>
        </is>
      </c>
      <c r="F193" s="34">
        <f>+VLOOKUP(E193,'CATALOGO AMENAZA'!$B$2:$D$46,3,FALSE)</f>
        <v/>
      </c>
      <c r="G193" s="34" t="n"/>
      <c r="H193" s="34" t="n"/>
      <c r="I193" s="34" t="inlineStr">
        <is>
          <t>X</t>
        </is>
      </c>
      <c r="J193" s="34" t="n">
        <v>2</v>
      </c>
      <c r="K193" s="34" t="n">
        <v>2</v>
      </c>
      <c r="L193" s="34">
        <f>+J193*K193</f>
        <v/>
      </c>
      <c r="M193" s="34">
        <f>+IF(L193&lt;5,"BAJO",IF(L193&lt;10,"MEDIO",IF(L193&lt;17,"ALTO","CRITICO")))</f>
        <v/>
      </c>
      <c r="N193" s="54" t="inlineStr">
        <is>
          <t>Respaldo digital de información</t>
        </is>
      </c>
      <c r="O193" s="54" t="inlineStr">
        <is>
          <t>PREVENTIVO</t>
        </is>
      </c>
      <c r="P193" s="34" t="inlineStr">
        <is>
          <t>Control Implementado sin evidencia de efectividad (Inefectivo prueba)</t>
        </is>
      </c>
      <c r="Q193" s="52" t="n">
        <v>0.3</v>
      </c>
      <c r="R193" s="34" t="inlineStr">
        <is>
          <t>Almacenamiento sin prueba de efectividad</t>
        </is>
      </c>
      <c r="S193" s="53">
        <f>+IF(O193="PREVENTIVO",J193*(1-Q193),IF(O193="ADMINISTRACION",J193*(1-Q193),IF(O193="ELIMINACION",J193*(1-Q193),J193)))</f>
        <v/>
      </c>
      <c r="T193" s="53">
        <f>+IF(O193="DETECTIVO",K193*(1-Q193),IF(O193="RECUPERACION",K193*(1-Q193),K193))</f>
        <v/>
      </c>
      <c r="U193" s="54">
        <f>+S193*T193</f>
        <v/>
      </c>
      <c r="V193" s="65">
        <f>+IF(U193&lt;5,"BAJO",IF(U193&lt;10,"MEDIO",IF(U193&lt;17,"ALTO","CRITICO")))</f>
        <v/>
      </c>
      <c r="W193" s="65" t="inlineStr">
        <is>
          <t>ACEPTABLE</t>
        </is>
      </c>
      <c r="X193" s="80" t="inlineStr">
        <is>
          <t>-</t>
        </is>
      </c>
      <c r="Y193" s="80" t="inlineStr">
        <is>
          <t>-</t>
        </is>
      </c>
      <c r="Z193" s="80" t="inlineStr">
        <is>
          <t>-</t>
        </is>
      </c>
    </row>
    <row r="194" hidden="1" ht="51" customHeight="1" s="106">
      <c r="A194" s="99" t="inlineStr">
        <is>
          <t>67-GOP</t>
        </is>
      </c>
      <c r="B194" s="17" t="inlineStr">
        <is>
          <t>Comprobante de ingreso y egreso de caja</t>
        </is>
      </c>
      <c r="C194" s="17" t="inlineStr">
        <is>
          <t>Registro de ingreso y egreso que se imprime después de la recaudación con información del servicio y valor</t>
        </is>
      </c>
      <c r="D194" s="55" t="inlineStr">
        <is>
          <t>[D] Datos / Información / datos de configuración</t>
        </is>
      </c>
      <c r="E194" s="34" t="inlineStr">
        <is>
          <t>[A.7] Uso no previsto</t>
        </is>
      </c>
      <c r="F194" s="34">
        <f>+VLOOKUP(E194,'CATALOGO AMENAZA'!$B$2:$D$46,3,FALSE)</f>
        <v/>
      </c>
      <c r="G194" s="34" t="inlineStr">
        <is>
          <t>X</t>
        </is>
      </c>
      <c r="H194" s="34" t="inlineStr">
        <is>
          <t>X</t>
        </is>
      </c>
      <c r="I194" s="34" t="inlineStr">
        <is>
          <t>X</t>
        </is>
      </c>
      <c r="J194" s="34" t="n">
        <v>3</v>
      </c>
      <c r="K194" s="34" t="n">
        <v>3</v>
      </c>
      <c r="L194" s="34">
        <f>+J194*K194</f>
        <v/>
      </c>
      <c r="M194" s="34">
        <f>+IF(L194&lt;5,"BAJO",IF(L194&lt;10,"MEDIO",IF(L194&lt;17,"ALTO","CRITICO")))</f>
        <v/>
      </c>
      <c r="N194" s="34" t="inlineStr">
        <is>
          <t>Sortware DLP /Políticas de uso de información contractual</t>
        </is>
      </c>
      <c r="O194" s="34" t="inlineStr">
        <is>
          <t>PREVENTIVO</t>
        </is>
      </c>
      <c r="P194" s="34" t="inlineStr">
        <is>
          <t>Control Implementado sin evidencia de efectividad (Inefectivo prueba)</t>
        </is>
      </c>
      <c r="Q194" s="52" t="n">
        <v>0.3</v>
      </c>
      <c r="R194" s="4" t="inlineStr">
        <is>
          <t>Documentación sencible sin cifrar</t>
        </is>
      </c>
      <c r="S194" s="53">
        <f>+IF(O194="PREVENTIVO",J194*(1-Q194),IF(O194="ADMINISTRACION",J194*(1-Q194),IF(O194="ELIMINACION",J194*(1-Q194),J194)))</f>
        <v/>
      </c>
      <c r="T194" s="53">
        <f>+IF(O194="DETECTIVO",K194*(1-Q194),IF(O194="RECUPERACION",K194*(1-Q194),K194))</f>
        <v/>
      </c>
      <c r="U194" s="54">
        <f>+S194*T194</f>
        <v/>
      </c>
      <c r="V194" s="65">
        <f>+IF(U194&lt;5,"BAJO",IF(U194&lt;10,"MEDIO",IF(U194&lt;17,"ALTO","CRITICO")))</f>
        <v/>
      </c>
      <c r="W194" s="87" t="inlineStr">
        <is>
          <t>MITIGAR</t>
        </is>
      </c>
      <c r="X194" s="80" t="inlineStr">
        <is>
          <t>-</t>
        </is>
      </c>
      <c r="Y194" s="80" t="inlineStr">
        <is>
          <t>-</t>
        </is>
      </c>
      <c r="Z194" s="80" t="inlineStr">
        <is>
          <t>-</t>
        </is>
      </c>
    </row>
    <row r="195" hidden="1" ht="51" customHeight="1" s="106">
      <c r="A195" s="99" t="inlineStr">
        <is>
          <t>67-GOP</t>
        </is>
      </c>
      <c r="B195" s="17" t="inlineStr">
        <is>
          <t>Comprobante de ingreso y egreso de caja</t>
        </is>
      </c>
      <c r="C195" s="17" t="inlineStr">
        <is>
          <t>Registro de ingreso y egreso que se imprime después de la recaudación con información del servicio y valor</t>
        </is>
      </c>
      <c r="D195" s="55" t="inlineStr">
        <is>
          <t>[D] Datos / Información / datos de configuración</t>
        </is>
      </c>
      <c r="E195" s="34" t="inlineStr">
        <is>
          <t>[E.18] Destrucción de información</t>
        </is>
      </c>
      <c r="F195" s="34">
        <f>+VLOOKUP(E195,'CATALOGO AMENAZA'!$B$2:$D$46,3,FALSE)</f>
        <v/>
      </c>
      <c r="G195" s="34" t="n"/>
      <c r="H195" s="34" t="n"/>
      <c r="I195" s="34" t="inlineStr">
        <is>
          <t>X</t>
        </is>
      </c>
      <c r="J195" s="34" t="n">
        <v>2</v>
      </c>
      <c r="K195" s="34" t="n">
        <v>2</v>
      </c>
      <c r="L195" s="34">
        <f>+J195*K195</f>
        <v/>
      </c>
      <c r="M195" s="34">
        <f>+IF(L195&lt;5,"BAJO",IF(L195&lt;10,"MEDIO",IF(L195&lt;17,"ALTO","CRITICO")))</f>
        <v/>
      </c>
      <c r="N195" s="54" t="inlineStr">
        <is>
          <t>Respaldo digital de información</t>
        </is>
      </c>
      <c r="O195" s="54" t="inlineStr">
        <is>
          <t>PREVENTIVO</t>
        </is>
      </c>
      <c r="P195" s="34" t="inlineStr">
        <is>
          <t>Control Implementado sin evidencia de efectividad (Inefectivo prueba)</t>
        </is>
      </c>
      <c r="Q195" s="52" t="n">
        <v>0.3</v>
      </c>
      <c r="R195" s="34" t="inlineStr">
        <is>
          <t>Almacenamiento sin prueba de efectividad</t>
        </is>
      </c>
      <c r="S195" s="53">
        <f>+IF(O195="PREVENTIVO",J195*(1-Q195),IF(O195="ADMINISTRACION",J195*(1-Q195),IF(O195="ELIMINACION",J195*(1-Q195),J195)))</f>
        <v/>
      </c>
      <c r="T195" s="53">
        <f>+IF(O195="DETECTIVO",K195*(1-Q195),IF(O195="RECUPERACION",K195*(1-Q195),K195))</f>
        <v/>
      </c>
      <c r="U195" s="54">
        <f>+S195*T195</f>
        <v/>
      </c>
      <c r="V195" s="65">
        <f>+IF(U195&lt;5,"BAJO",IF(U195&lt;10,"MEDIO",IF(U195&lt;17,"ALTO","CRITICO")))</f>
        <v/>
      </c>
      <c r="W195" s="65" t="inlineStr">
        <is>
          <t>ACEPTABLE</t>
        </is>
      </c>
      <c r="X195" s="80" t="inlineStr">
        <is>
          <t>-</t>
        </is>
      </c>
      <c r="Y195" s="80" t="inlineStr">
        <is>
          <t>-</t>
        </is>
      </c>
      <c r="Z195" s="80" t="inlineStr">
        <is>
          <t>-</t>
        </is>
      </c>
    </row>
    <row r="196" hidden="1" ht="41.1" customHeight="1" s="106">
      <c r="A196" s="99" t="inlineStr">
        <is>
          <t>75-GOP</t>
        </is>
      </c>
      <c r="B196" s="17" t="inlineStr">
        <is>
          <t>Cheques</t>
        </is>
      </c>
      <c r="C196" s="17" t="inlineStr">
        <is>
          <t>Cheque</t>
        </is>
      </c>
      <c r="D196" s="55" t="inlineStr">
        <is>
          <t>[D] Datos / Información / datos de configuración</t>
        </is>
      </c>
      <c r="E196" s="34" t="inlineStr">
        <is>
          <t>[A.7] Uso no previsto</t>
        </is>
      </c>
      <c r="F196" s="34">
        <f>+VLOOKUP(E196,'CATALOGO AMENAZA'!$B$2:$D$46,3,FALSE)</f>
        <v/>
      </c>
      <c r="G196" s="34" t="inlineStr">
        <is>
          <t>X</t>
        </is>
      </c>
      <c r="H196" s="34" t="inlineStr">
        <is>
          <t>X</t>
        </is>
      </c>
      <c r="I196" s="34" t="inlineStr">
        <is>
          <t>X</t>
        </is>
      </c>
      <c r="J196" s="34" t="n">
        <v>3</v>
      </c>
      <c r="K196" s="34" t="n">
        <v>3</v>
      </c>
      <c r="L196" s="34">
        <f>+J196*K196</f>
        <v/>
      </c>
      <c r="M196" s="34">
        <f>+IF(L196&lt;5,"BAJO",IF(L196&lt;10,"MEDIO",IF(L196&lt;17,"ALTO","CRITICO")))</f>
        <v/>
      </c>
      <c r="N196" s="34" t="inlineStr">
        <is>
          <t>Sortware DLP /Políticas de uso de información contractual</t>
        </is>
      </c>
      <c r="O196" s="34" t="inlineStr">
        <is>
          <t>PREVENTIVO</t>
        </is>
      </c>
      <c r="P196" s="34" t="inlineStr">
        <is>
          <t>Control Implementado sin evidencia de efectividad (Inefectivo prueba)</t>
        </is>
      </c>
      <c r="Q196" s="52" t="n">
        <v>0.3</v>
      </c>
      <c r="R196" s="4" t="inlineStr">
        <is>
          <t>Documentación sencible sin cifrar</t>
        </is>
      </c>
      <c r="S196" s="53">
        <f>+IF(O196="PREVENTIVO",J196*(1-Q196),IF(O196="ADMINISTRACION",J196*(1-Q196),IF(O196="ELIMINACION",J196*(1-Q196),J196)))</f>
        <v/>
      </c>
      <c r="T196" s="53">
        <f>+IF(O196="DETECTIVO",K196*(1-Q196),IF(O196="RECUPERACION",K196*(1-Q196),K196))</f>
        <v/>
      </c>
      <c r="U196" s="54">
        <f>+S196*T196</f>
        <v/>
      </c>
      <c r="V196" s="65">
        <f>+IF(U196&lt;5,"BAJO",IF(U196&lt;10,"MEDIO",IF(U196&lt;17,"ALTO","CRITICO")))</f>
        <v/>
      </c>
      <c r="W196" s="87" t="inlineStr">
        <is>
          <t>MITIGAR</t>
        </is>
      </c>
      <c r="X196" s="80" t="inlineStr">
        <is>
          <t>-</t>
        </is>
      </c>
      <c r="Y196" s="80" t="inlineStr">
        <is>
          <t>-</t>
        </is>
      </c>
      <c r="Z196" s="80" t="inlineStr">
        <is>
          <t>-</t>
        </is>
      </c>
    </row>
    <row r="197" hidden="1" ht="30.6" customHeight="1" s="106">
      <c r="A197" s="99" t="inlineStr">
        <is>
          <t>75-GOP</t>
        </is>
      </c>
      <c r="B197" s="17" t="inlineStr">
        <is>
          <t>Cheques</t>
        </is>
      </c>
      <c r="C197" s="17" t="inlineStr">
        <is>
          <t>Cheque</t>
        </is>
      </c>
      <c r="D197" s="55" t="inlineStr">
        <is>
          <t>[D] Datos / Información / datos de configuración</t>
        </is>
      </c>
      <c r="E197" s="34" t="inlineStr">
        <is>
          <t>[E.18] Destrucción de información</t>
        </is>
      </c>
      <c r="F197" s="34">
        <f>+VLOOKUP(E197,'CATALOGO AMENAZA'!$B$2:$D$46,3,FALSE)</f>
        <v/>
      </c>
      <c r="G197" s="34" t="n"/>
      <c r="H197" s="34" t="n"/>
      <c r="I197" s="34" t="inlineStr">
        <is>
          <t>X</t>
        </is>
      </c>
      <c r="J197" s="34" t="n">
        <v>2</v>
      </c>
      <c r="K197" s="34" t="n">
        <v>2</v>
      </c>
      <c r="L197" s="34">
        <f>+J197*K197</f>
        <v/>
      </c>
      <c r="M197" s="34">
        <f>+IF(L197&lt;5,"BAJO",IF(L197&lt;10,"MEDIO",IF(L197&lt;17,"ALTO","CRITICO")))</f>
        <v/>
      </c>
      <c r="N197" s="54" t="inlineStr">
        <is>
          <t>Respaldo digital de información</t>
        </is>
      </c>
      <c r="O197" s="54" t="inlineStr">
        <is>
          <t>PREVENTIVO</t>
        </is>
      </c>
      <c r="P197" s="34" t="inlineStr">
        <is>
          <t>Control Implementado sin evidencia de efectividad (Inefectivo prueba)</t>
        </is>
      </c>
      <c r="Q197" s="52" t="n">
        <v>0.3</v>
      </c>
      <c r="R197" s="34" t="inlineStr">
        <is>
          <t>Almacenamiento sin prueba de efectividad</t>
        </is>
      </c>
      <c r="S197" s="53">
        <f>+IF(O197="PREVENTIVO",J197*(1-Q197),IF(O197="ADMINISTRACION",J197*(1-Q197),IF(O197="ELIMINACION",J197*(1-Q197),J197)))</f>
        <v/>
      </c>
      <c r="T197" s="53">
        <f>+IF(O197="DETECTIVO",K197*(1-Q197),IF(O197="RECUPERACION",K197*(1-Q197),K197))</f>
        <v/>
      </c>
      <c r="U197" s="54">
        <f>+S197*T197</f>
        <v/>
      </c>
      <c r="V197" s="65">
        <f>+IF(U197&lt;5,"BAJO",IF(U197&lt;10,"MEDIO",IF(U197&lt;17,"ALTO","CRITICO")))</f>
        <v/>
      </c>
      <c r="W197" s="65" t="inlineStr">
        <is>
          <t>ACEPTABLE</t>
        </is>
      </c>
      <c r="X197" s="80" t="inlineStr">
        <is>
          <t>-</t>
        </is>
      </c>
      <c r="Y197" s="80" t="inlineStr">
        <is>
          <t>-</t>
        </is>
      </c>
      <c r="Z197" s="80" t="inlineStr">
        <is>
          <t>-</t>
        </is>
      </c>
    </row>
    <row r="198" hidden="1" ht="51" customHeight="1" s="106">
      <c r="A198" s="99" t="inlineStr">
        <is>
          <t>86-GOP</t>
        </is>
      </c>
      <c r="B198" s="17" t="inlineStr">
        <is>
          <t>Cheques / Retiro</t>
        </is>
      </c>
      <c r="C198" s="17" t="inlineStr">
        <is>
          <t xml:space="preserve"> Documento contable que entrega el supervisor operativo al socio luego de la autorización del retiro por las áreas correspondientes</t>
        </is>
      </c>
      <c r="D198" s="55" t="inlineStr">
        <is>
          <t>[D] Datos / Información / datos de configuración</t>
        </is>
      </c>
      <c r="E198" s="34" t="inlineStr">
        <is>
          <t>[A.7] Uso no previsto</t>
        </is>
      </c>
      <c r="F198" s="34">
        <f>+VLOOKUP(E198,'CATALOGO AMENAZA'!$B$2:$D$46,3,FALSE)</f>
        <v/>
      </c>
      <c r="G198" s="34" t="inlineStr">
        <is>
          <t>X</t>
        </is>
      </c>
      <c r="H198" s="34" t="inlineStr">
        <is>
          <t>X</t>
        </is>
      </c>
      <c r="I198" s="34" t="inlineStr">
        <is>
          <t>X</t>
        </is>
      </c>
      <c r="J198" s="34" t="n">
        <v>3</v>
      </c>
      <c r="K198" s="34" t="n">
        <v>2</v>
      </c>
      <c r="L198" s="34">
        <f>+J198*K198</f>
        <v/>
      </c>
      <c r="M198" s="34">
        <f>+IF(L198&lt;5,"BAJO",IF(L198&lt;10,"MEDIO",IF(L198&lt;17,"ALTO","CRITICO")))</f>
        <v/>
      </c>
      <c r="N198" s="34" t="inlineStr">
        <is>
          <t>Sortware DLP /Políticas de uso de información contractual</t>
        </is>
      </c>
      <c r="O198" s="34" t="inlineStr">
        <is>
          <t>PREVENTIVO</t>
        </is>
      </c>
      <c r="P198" s="34" t="inlineStr">
        <is>
          <t>Control Implementado sin evidencia de efectividad (Inefectivo prueba)</t>
        </is>
      </c>
      <c r="Q198" s="52" t="n">
        <v>0.3</v>
      </c>
      <c r="R198" s="4" t="inlineStr">
        <is>
          <t>Documentación sencible sin cifrar</t>
        </is>
      </c>
      <c r="S198" s="53">
        <f>+IF(O198="PREVENTIVO",J198*(1-Q198),IF(O198="ADMINISTRACION",J198*(1-Q198),IF(O198="ELIMINACION",J198*(1-Q198),J198)))</f>
        <v/>
      </c>
      <c r="T198" s="53">
        <f>+IF(O198="DETECTIVO",K198*(1-Q198),IF(O198="RECUPERACION",K198*(1-Q198),K198))</f>
        <v/>
      </c>
      <c r="U198" s="54">
        <f>+S198*T198</f>
        <v/>
      </c>
      <c r="V198" s="65">
        <f>+IF(U198&lt;5,"BAJO",IF(U198&lt;10,"MEDIO",IF(U198&lt;17,"ALTO","CRITICO")))</f>
        <v/>
      </c>
      <c r="W198" s="65" t="inlineStr">
        <is>
          <t>ACEPTABLE</t>
        </is>
      </c>
      <c r="X198" s="80" t="inlineStr">
        <is>
          <t>-</t>
        </is>
      </c>
      <c r="Y198" s="80" t="inlineStr">
        <is>
          <t>-</t>
        </is>
      </c>
      <c r="Z198" s="80" t="inlineStr">
        <is>
          <t>-</t>
        </is>
      </c>
    </row>
    <row r="199" hidden="1" ht="30.6" customHeight="1" s="106">
      <c r="A199" s="99" t="inlineStr">
        <is>
          <t xml:space="preserve">19-GRE </t>
        </is>
      </c>
      <c r="B199" s="17" t="inlineStr">
        <is>
          <t>Equipos de computación del Jefe de Cobranza</t>
        </is>
      </c>
      <c r="C199" s="17" t="inlineStr">
        <is>
          <t>Equipos de computación donde se realiza la gestión del área</t>
        </is>
      </c>
      <c r="D199" s="64" t="inlineStr">
        <is>
          <t>[HW] Equipamiento informático (hardware)</t>
        </is>
      </c>
      <c r="E199" s="34" t="inlineStr">
        <is>
          <t>[E.25] Pérdida de equipos</t>
        </is>
      </c>
      <c r="F199" s="34" t="inlineStr">
        <is>
          <t xml:space="preserve">
[C] confidencialidad 
[D] disponibilidad</t>
        </is>
      </c>
      <c r="G199" s="34" t="inlineStr">
        <is>
          <t>X</t>
        </is>
      </c>
      <c r="H199" s="34" t="n"/>
      <c r="I199" s="34" t="inlineStr">
        <is>
          <t>X</t>
        </is>
      </c>
      <c r="J199" s="34" t="n">
        <v>1</v>
      </c>
      <c r="K199" s="34" t="n">
        <v>3</v>
      </c>
      <c r="L199" s="34">
        <f>+J199*K199</f>
        <v/>
      </c>
      <c r="M199" s="34">
        <f>+IF(L199&lt;5,"BAJO",IF(L199&lt;10,"MEDIO",IF(L199&lt;17,"ALTO","CRITICO")))</f>
        <v/>
      </c>
      <c r="N199" s="54" t="inlineStr">
        <is>
          <t>Respaldo digital de información</t>
        </is>
      </c>
      <c r="O199" s="54" t="inlineStr">
        <is>
          <t>PREVENTIVO</t>
        </is>
      </c>
      <c r="P199" s="34" t="inlineStr">
        <is>
          <t>Control Implementado sin evidencia de efectividad (Inefectivo prueba)</t>
        </is>
      </c>
      <c r="Q199" s="52" t="n">
        <v>0.3</v>
      </c>
      <c r="R199" s="34" t="inlineStr">
        <is>
          <t>Almacenamiento sin prueba de efectividad</t>
        </is>
      </c>
      <c r="S199" s="53">
        <f>+IF(O199="PREVENTIVO",J199*(1-Q199),IF(O199="ADMINISTRACION",J199*(1-Q199),IF(O199="ELIMINACION",J199*(1-Q199),J199)))</f>
        <v/>
      </c>
      <c r="T199" s="53">
        <f>+IF(O199="DETECTIVO",K199*(1-Q199),IF(O199="RECUPERACION",K199*(1-Q199),K199))</f>
        <v/>
      </c>
      <c r="U199" s="54">
        <f>+S199*T199</f>
        <v/>
      </c>
      <c r="V199" s="65">
        <f>+IF(U199&lt;5,"BAJO",IF(U199&lt;10,"MEDIO",IF(U199&lt;17,"ALTO","CRITICO")))</f>
        <v/>
      </c>
      <c r="W199" s="65" t="inlineStr">
        <is>
          <t>ACEPTABLE</t>
        </is>
      </c>
      <c r="X199" s="80" t="inlineStr">
        <is>
          <t>-</t>
        </is>
      </c>
      <c r="Y199" s="80" t="inlineStr">
        <is>
          <t>-</t>
        </is>
      </c>
      <c r="Z199" s="80" t="inlineStr">
        <is>
          <t>-</t>
        </is>
      </c>
    </row>
    <row r="200" hidden="1" ht="41.1" customHeight="1" s="106">
      <c r="A200" s="99" t="inlineStr">
        <is>
          <t xml:space="preserve">19-GRE </t>
        </is>
      </c>
      <c r="B200" s="17" t="inlineStr">
        <is>
          <t>Equipos de computación del Jefe de Cobranza</t>
        </is>
      </c>
      <c r="C200" s="17" t="inlineStr">
        <is>
          <t>Equipos de computación donde se realiza la gestión del área</t>
        </is>
      </c>
      <c r="D200" s="64" t="inlineStr">
        <is>
          <t>[HW] Equipamiento informático (hardware)</t>
        </is>
      </c>
      <c r="E200" s="34" t="inlineStr">
        <is>
          <t>[A.7] Uso no previsto</t>
        </is>
      </c>
      <c r="F200" s="34">
        <f>+VLOOKUP(E200,'CATALOGO AMENAZA'!$B$2:$D$46,3,FALSE)</f>
        <v/>
      </c>
      <c r="G200" s="34" t="inlineStr">
        <is>
          <t>X</t>
        </is>
      </c>
      <c r="H200" s="34" t="inlineStr">
        <is>
          <t>X</t>
        </is>
      </c>
      <c r="I200" s="34" t="inlineStr">
        <is>
          <t>X</t>
        </is>
      </c>
      <c r="J200" s="34" t="n">
        <v>3</v>
      </c>
      <c r="K200" s="34" t="n">
        <v>3</v>
      </c>
      <c r="L200" s="34">
        <f>+J200*K200</f>
        <v/>
      </c>
      <c r="M200" s="34">
        <f>+IF(L200&lt;5,"BAJO",IF(L200&lt;10,"MEDIO",IF(L200&lt;17,"ALTO","CRITICO")))</f>
        <v/>
      </c>
      <c r="N200" s="34" t="inlineStr">
        <is>
          <t>Sortware DLP /Políticas de uso de información contractual</t>
        </is>
      </c>
      <c r="O200" s="34" t="inlineStr">
        <is>
          <t>PREVENTIVO</t>
        </is>
      </c>
      <c r="P200" s="34" t="inlineStr">
        <is>
          <t>Control Implementado sin evidencia de efectividad (Inefectivo prueba)</t>
        </is>
      </c>
      <c r="Q200" s="52" t="n">
        <v>0.3</v>
      </c>
      <c r="R200" s="4" t="inlineStr">
        <is>
          <t>Documentación sencible sin cifrar</t>
        </is>
      </c>
      <c r="S200" s="53">
        <f>+IF(O200="PREVENTIVO",J200*(1-Q200),IF(O200="ADMINISTRACION",J200*(1-Q200),IF(O200="ELIMINACION",J200*(1-Q200),J200)))</f>
        <v/>
      </c>
      <c r="T200" s="53">
        <f>+IF(O200="DETECTIVO",K200*(1-Q200),IF(O200="RECUPERACION",K200*(1-Q200),K200))</f>
        <v/>
      </c>
      <c r="U200" s="54">
        <f>+S200*T200</f>
        <v/>
      </c>
      <c r="V200" s="65">
        <f>+IF(U200&lt;5,"BAJO",IF(U200&lt;10,"MEDIO",IF(U200&lt;17,"ALTO","CRITICO")))</f>
        <v/>
      </c>
      <c r="W200" s="87" t="inlineStr">
        <is>
          <t>MITIGAR</t>
        </is>
      </c>
      <c r="X200" s="80" t="inlineStr">
        <is>
          <t>-</t>
        </is>
      </c>
      <c r="Y200" s="80" t="inlineStr">
        <is>
          <t>-</t>
        </is>
      </c>
      <c r="Z200" s="80" t="inlineStr">
        <is>
          <t>-</t>
        </is>
      </c>
    </row>
    <row r="201" hidden="1" ht="51" customHeight="1" s="106">
      <c r="A201" s="99" t="inlineStr">
        <is>
          <t>86-GOP</t>
        </is>
      </c>
      <c r="B201" s="17" t="inlineStr">
        <is>
          <t>Cheques / Retiro</t>
        </is>
      </c>
      <c r="C201" s="17" t="inlineStr">
        <is>
          <t xml:space="preserve"> Documento contable que entrega el supervisor operativo al socio luego de la autorización del retiro por las áreas correspondientes</t>
        </is>
      </c>
      <c r="D201" s="55" t="inlineStr">
        <is>
          <t>[D] Datos / Información / datos de configuración</t>
        </is>
      </c>
      <c r="E201" s="34" t="inlineStr">
        <is>
          <t>[E.18] Destrucción de información</t>
        </is>
      </c>
      <c r="F201" s="34">
        <f>+VLOOKUP(E201,'CATALOGO AMENAZA'!$B$2:$D$46,3,FALSE)</f>
        <v/>
      </c>
      <c r="G201" s="34" t="n"/>
      <c r="H201" s="34" t="n"/>
      <c r="I201" s="34" t="inlineStr">
        <is>
          <t>X</t>
        </is>
      </c>
      <c r="J201" s="34" t="n">
        <v>2</v>
      </c>
      <c r="K201" s="34" t="n">
        <v>2</v>
      </c>
      <c r="L201" s="34">
        <f>+J201*K201</f>
        <v/>
      </c>
      <c r="M201" s="34">
        <f>+IF(L201&lt;5,"BAJO",IF(L201&lt;10,"MEDIO",IF(L201&lt;17,"ALTO","CRITICO")))</f>
        <v/>
      </c>
      <c r="N201" s="54" t="inlineStr">
        <is>
          <t>Respaldo digital de información</t>
        </is>
      </c>
      <c r="O201" s="54" t="inlineStr">
        <is>
          <t>PREVENTIVO</t>
        </is>
      </c>
      <c r="P201" s="34" t="inlineStr">
        <is>
          <t>Control Implementado sin evidencia de efectividad (Inefectivo prueba)</t>
        </is>
      </c>
      <c r="Q201" s="52" t="n">
        <v>0.3</v>
      </c>
      <c r="R201" s="34" t="inlineStr">
        <is>
          <t>Almacenamiento sin prueba de efectividad</t>
        </is>
      </c>
      <c r="S201" s="53">
        <f>+IF(O201="PREVENTIVO",J201*(1-Q201),IF(O201="ADMINISTRACION",J201*(1-Q201),IF(O201="ELIMINACION",J201*(1-Q201),J201)))</f>
        <v/>
      </c>
      <c r="T201" s="53">
        <f>+IF(O201="DETECTIVO",K201*(1-Q201),IF(O201="RECUPERACION",K201*(1-Q201),K201))</f>
        <v/>
      </c>
      <c r="U201" s="54">
        <f>+S201*T201</f>
        <v/>
      </c>
      <c r="V201" s="65">
        <f>+IF(U201&lt;5,"BAJO",IF(U201&lt;10,"MEDIO",IF(U201&lt;17,"ALTO","CRITICO")))</f>
        <v/>
      </c>
      <c r="W201" s="65" t="inlineStr">
        <is>
          <t>ACEPTABLE</t>
        </is>
      </c>
      <c r="X201" s="80" t="inlineStr">
        <is>
          <t>-</t>
        </is>
      </c>
      <c r="Y201" s="80" t="inlineStr">
        <is>
          <t>-</t>
        </is>
      </c>
      <c r="Z201" s="80" t="inlineStr">
        <is>
          <t>-</t>
        </is>
      </c>
    </row>
    <row r="202" hidden="1" ht="51" customHeight="1" s="106">
      <c r="A202" s="99" t="inlineStr">
        <is>
          <t xml:space="preserve">23-GRE </t>
        </is>
      </c>
      <c r="B202" s="17" t="inlineStr">
        <is>
          <t>Documentos para el inicio de tramites judiciales</t>
        </is>
      </c>
      <c r="C202" s="17" t="inlineStr">
        <is>
          <t>Pagaré, escritura de hipoteca, tabla de amortización, liquidación actualizada, tabla de pagos actualizada</t>
        </is>
      </c>
      <c r="D202" s="55" t="inlineStr">
        <is>
          <t>[D] Datos / Información / datos de configuración</t>
        </is>
      </c>
      <c r="E202" s="34" t="inlineStr">
        <is>
          <t>[A.7] Uso no previsto</t>
        </is>
      </c>
      <c r="F202" s="34">
        <f>+VLOOKUP(E202,'CATALOGO AMENAZA'!$B$2:$D$46,3,FALSE)</f>
        <v/>
      </c>
      <c r="G202" s="34" t="inlineStr">
        <is>
          <t>X</t>
        </is>
      </c>
      <c r="H202" s="34" t="inlineStr">
        <is>
          <t>X</t>
        </is>
      </c>
      <c r="I202" s="34" t="inlineStr">
        <is>
          <t>X</t>
        </is>
      </c>
      <c r="J202" s="34" t="n">
        <v>3</v>
      </c>
      <c r="K202" s="34" t="n">
        <v>3</v>
      </c>
      <c r="L202" s="34">
        <f>+J202*K202</f>
        <v/>
      </c>
      <c r="M202" s="34">
        <f>+IF(L202&lt;5,"BAJO",IF(L202&lt;10,"MEDIO",IF(L202&lt;17,"ALTO","CRITICO")))</f>
        <v/>
      </c>
      <c r="N202" s="34" t="inlineStr">
        <is>
          <t>Sortware DLP /Políticas de uso de información contractual</t>
        </is>
      </c>
      <c r="O202" s="34" t="inlineStr">
        <is>
          <t>PREVENTIVO</t>
        </is>
      </c>
      <c r="P202" s="34" t="inlineStr">
        <is>
          <t>Control Implementado sin evidencia de efectividad (Inefectivo prueba)</t>
        </is>
      </c>
      <c r="Q202" s="52" t="n">
        <v>0.3</v>
      </c>
      <c r="R202" s="4" t="inlineStr">
        <is>
          <t>Documentación sencible sin cifrar</t>
        </is>
      </c>
      <c r="S202" s="53">
        <f>+IF(O202="PREVENTIVO",J202*(1-Q202),IF(O202="ADMINISTRACION",J202*(1-Q202),IF(O202="ELIMINACION",J202*(1-Q202),J202)))</f>
        <v/>
      </c>
      <c r="T202" s="53">
        <f>+IF(O202="DETECTIVO",K202*(1-Q202),IF(O202="RECUPERACION",K202*(1-Q202),K202))</f>
        <v/>
      </c>
      <c r="U202" s="54">
        <f>+S202*T202</f>
        <v/>
      </c>
      <c r="V202" s="65">
        <f>+IF(U202&lt;5,"BAJO",IF(U202&lt;10,"MEDIO",IF(U202&lt;17,"ALTO","CRITICO")))</f>
        <v/>
      </c>
      <c r="W202" s="87" t="inlineStr">
        <is>
          <t>MITIGAR</t>
        </is>
      </c>
      <c r="X202" s="80" t="inlineStr">
        <is>
          <t>-</t>
        </is>
      </c>
      <c r="Y202" s="80" t="inlineStr">
        <is>
          <t>-</t>
        </is>
      </c>
      <c r="Z202" s="80" t="inlineStr">
        <is>
          <t>-</t>
        </is>
      </c>
    </row>
    <row r="203" hidden="1" ht="51" customHeight="1" s="106">
      <c r="A203" s="99" t="inlineStr">
        <is>
          <t xml:space="preserve">23-GRE </t>
        </is>
      </c>
      <c r="B203" s="17" t="inlineStr">
        <is>
          <t>Documentos para el inicio de tramites judiciales</t>
        </is>
      </c>
      <c r="C203" s="17" t="inlineStr">
        <is>
          <t>Pagaré, escritura de hipoteca, tabla de amortización, liquidación actualizada, tabla de pagos actualizada</t>
        </is>
      </c>
      <c r="D203" s="55" t="inlineStr">
        <is>
          <t>[D] Datos / Información / datos de configuración</t>
        </is>
      </c>
      <c r="E203" s="34" t="inlineStr">
        <is>
          <t>[E.19] Fugas de información</t>
        </is>
      </c>
      <c r="F203" s="34">
        <f>+VLOOKUP(E203,'CATALOGO AMENAZA'!$B$2:$D$46,3,FALSE)</f>
        <v/>
      </c>
      <c r="G203" s="34" t="inlineStr">
        <is>
          <t>X</t>
        </is>
      </c>
      <c r="H203" s="34" t="n"/>
      <c r="I203" s="34" t="n"/>
      <c r="J203" s="34" t="n">
        <v>2</v>
      </c>
      <c r="K203" s="34" t="n">
        <v>3</v>
      </c>
      <c r="L203" s="34">
        <f>+J203*K203</f>
        <v/>
      </c>
      <c r="M203" s="34">
        <f>+IF(L203&lt;5,"BAJO",IF(L203&lt;10,"MEDIO",IF(L203&lt;17,"ALTO","CRITICO")))</f>
        <v/>
      </c>
      <c r="N203" s="54" t="inlineStr">
        <is>
          <t>Software DLP</t>
        </is>
      </c>
      <c r="O203" s="54" t="inlineStr">
        <is>
          <t>PREVENTIVO</t>
        </is>
      </c>
      <c r="P203" s="34" t="inlineStr">
        <is>
          <t>Control Implementado sin evidencia de efectividad (Inefectivo prueba)</t>
        </is>
      </c>
      <c r="Q203" s="52" t="n">
        <v>0.3</v>
      </c>
      <c r="R203" s="34" t="inlineStr">
        <is>
          <t>Politicas sin restricción para jefaturas</t>
        </is>
      </c>
      <c r="S203" s="53">
        <f>+IF(O203="PREVENTIVO",J203*(1-Q203),IF(O203="ADMINISTRACION",J203*(1-Q203),IF(O203="ELIMINACION",J203*(1-Q203),J203)))</f>
        <v/>
      </c>
      <c r="T203" s="53">
        <f>+IF(O203="DETECTIVO",K203*(1-Q203),IF(O203="RECUPERACION",K203*(1-Q203),K203))</f>
        <v/>
      </c>
      <c r="U203" s="54">
        <f>+S203*T203</f>
        <v/>
      </c>
      <c r="V203" s="65">
        <f>+IF(U203&lt;5,"BAJO",IF(U203&lt;10,"MEDIO",IF(U203&lt;17,"ALTO","CRITICO")))</f>
        <v/>
      </c>
      <c r="W203" s="65" t="inlineStr">
        <is>
          <t>ACEPTABLE</t>
        </is>
      </c>
      <c r="X203" s="80" t="inlineStr">
        <is>
          <t>-</t>
        </is>
      </c>
      <c r="Y203" s="80" t="inlineStr">
        <is>
          <t>-</t>
        </is>
      </c>
      <c r="Z203" s="80" t="inlineStr">
        <is>
          <t>-</t>
        </is>
      </c>
    </row>
    <row r="204" hidden="1" ht="81.59999999999999" customHeight="1" s="106">
      <c r="A204" s="99" t="inlineStr">
        <is>
          <t xml:space="preserve">26-GRE </t>
        </is>
      </c>
      <c r="B204" s="17" t="inlineStr">
        <is>
          <t>Documentos habilitantes para la demanda</t>
        </is>
      </c>
      <c r="C204" s="17" t="inlineStr">
        <is>
          <t>Documentos entregados al abogado externo Anexo de asignación de cartera abogados externos/Acta entrega recepción de documentos/Documentos para el inicio de tramites judiciales</t>
        </is>
      </c>
      <c r="D204" s="55" t="inlineStr">
        <is>
          <t>[D] Datos / Información / datos de configuración</t>
        </is>
      </c>
      <c r="E204" s="34" t="inlineStr">
        <is>
          <t>[A.7] Uso no previsto</t>
        </is>
      </c>
      <c r="F204" s="34">
        <f>+VLOOKUP(E204,'CATALOGO AMENAZA'!$B$2:$D$46,3,FALSE)</f>
        <v/>
      </c>
      <c r="G204" s="34" t="inlineStr">
        <is>
          <t>X</t>
        </is>
      </c>
      <c r="H204" s="34" t="inlineStr">
        <is>
          <t>X</t>
        </is>
      </c>
      <c r="I204" s="34" t="inlineStr">
        <is>
          <t>X</t>
        </is>
      </c>
      <c r="J204" s="34" t="n">
        <v>3</v>
      </c>
      <c r="K204" s="34" t="n">
        <v>3</v>
      </c>
      <c r="L204" s="34">
        <f>+J204*K204</f>
        <v/>
      </c>
      <c r="M204" s="34">
        <f>+IF(L204&lt;5,"BAJO",IF(L204&lt;10,"MEDIO",IF(L204&lt;17,"ALTO","CRITICO")))</f>
        <v/>
      </c>
      <c r="N204" s="34" t="inlineStr">
        <is>
          <t>Sortware DLP /Políticas de uso de información contractual</t>
        </is>
      </c>
      <c r="O204" s="34" t="inlineStr">
        <is>
          <t>PREVENTIVO</t>
        </is>
      </c>
      <c r="P204" s="34" t="inlineStr">
        <is>
          <t>Control Implementado sin evidencia de efectividad (Inefectivo prueba)</t>
        </is>
      </c>
      <c r="Q204" s="52" t="n">
        <v>0.3</v>
      </c>
      <c r="R204" s="4" t="inlineStr">
        <is>
          <t>Documentación sencible sin cifrar</t>
        </is>
      </c>
      <c r="S204" s="53">
        <f>+IF(O204="PREVENTIVO",J204*(1-Q204),IF(O204="ADMINISTRACION",J204*(1-Q204),IF(O204="ELIMINACION",J204*(1-Q204),J204)))</f>
        <v/>
      </c>
      <c r="T204" s="53">
        <f>+IF(O204="DETECTIVO",K204*(1-Q204),IF(O204="RECUPERACION",K204*(1-Q204),K204))</f>
        <v/>
      </c>
      <c r="U204" s="54">
        <f>+S204*T204</f>
        <v/>
      </c>
      <c r="V204" s="65">
        <f>+IF(U204&lt;5,"BAJO",IF(U204&lt;10,"MEDIO",IF(U204&lt;17,"ALTO","CRITICO")))</f>
        <v/>
      </c>
      <c r="W204" s="87" t="inlineStr">
        <is>
          <t>MITIGAR</t>
        </is>
      </c>
      <c r="X204" s="80" t="inlineStr">
        <is>
          <t>-</t>
        </is>
      </c>
      <c r="Y204" s="80" t="inlineStr">
        <is>
          <t>-</t>
        </is>
      </c>
      <c r="Z204" s="80" t="inlineStr">
        <is>
          <t>-</t>
        </is>
      </c>
    </row>
    <row r="205" hidden="1" ht="81.59999999999999" customHeight="1" s="106">
      <c r="A205" s="99" t="inlineStr">
        <is>
          <t xml:space="preserve">26-GRE </t>
        </is>
      </c>
      <c r="B205" s="17" t="inlineStr">
        <is>
          <t>Documentos habilitantes para la demanda</t>
        </is>
      </c>
      <c r="C205" s="17" t="inlineStr">
        <is>
          <t>Documentos entregados al abogado externo Anexo de asignación de cartera abogados externos/Acta entrega recepción de documentos/Documentos para el inicio de tramites judiciales</t>
        </is>
      </c>
      <c r="D205" s="55" t="inlineStr">
        <is>
          <t>[D] Datos / Información / datos de configuración</t>
        </is>
      </c>
      <c r="E205" s="34" t="inlineStr">
        <is>
          <t>[E.19] Fugas de información</t>
        </is>
      </c>
      <c r="F205" s="34">
        <f>+VLOOKUP(E205,'CATALOGO AMENAZA'!$B$2:$D$46,3,FALSE)</f>
        <v/>
      </c>
      <c r="G205" s="34" t="inlineStr">
        <is>
          <t>X</t>
        </is>
      </c>
      <c r="H205" s="34" t="n"/>
      <c r="I205" s="34" t="n"/>
      <c r="J205" s="34" t="n">
        <v>2</v>
      </c>
      <c r="K205" s="34" t="n">
        <v>3</v>
      </c>
      <c r="L205" s="34">
        <f>+J205*K205</f>
        <v/>
      </c>
      <c r="M205" s="34">
        <f>+IF(L205&lt;5,"BAJO",IF(L205&lt;10,"MEDIO",IF(L205&lt;17,"ALTO","CRITICO")))</f>
        <v/>
      </c>
      <c r="N205" s="54" t="inlineStr">
        <is>
          <t>Software DLP</t>
        </is>
      </c>
      <c r="O205" s="54" t="inlineStr">
        <is>
          <t>PREVENTIVO</t>
        </is>
      </c>
      <c r="P205" s="34" t="inlineStr">
        <is>
          <t>Control Implementado sin evidencia de efectividad (Inefectivo prueba)</t>
        </is>
      </c>
      <c r="Q205" s="52" t="n">
        <v>0.3</v>
      </c>
      <c r="R205" s="34" t="inlineStr">
        <is>
          <t>Politicas sin restricción para jefaturas</t>
        </is>
      </c>
      <c r="S205" s="53">
        <f>+IF(O205="PREVENTIVO",J205*(1-Q205),IF(O205="ADMINISTRACION",J205*(1-Q205),IF(O205="ELIMINACION",J205*(1-Q205),J205)))</f>
        <v/>
      </c>
      <c r="T205" s="53">
        <f>+IF(O205="DETECTIVO",K205*(1-Q205),IF(O205="RECUPERACION",K205*(1-Q205),K205))</f>
        <v/>
      </c>
      <c r="U205" s="54">
        <f>+S205*T205</f>
        <v/>
      </c>
      <c r="V205" s="65">
        <f>+IF(U205&lt;5,"BAJO",IF(U205&lt;10,"MEDIO",IF(U205&lt;17,"ALTO","CRITICO")))</f>
        <v/>
      </c>
      <c r="W205" s="65" t="inlineStr">
        <is>
          <t>ACEPTABLE</t>
        </is>
      </c>
      <c r="X205" s="80" t="inlineStr">
        <is>
          <t>-</t>
        </is>
      </c>
      <c r="Y205" s="80" t="inlineStr">
        <is>
          <t>-</t>
        </is>
      </c>
      <c r="Z205" s="80" t="inlineStr">
        <is>
          <t>-</t>
        </is>
      </c>
    </row>
    <row r="206" hidden="1" ht="30.6" customHeight="1" s="106">
      <c r="A206" s="99" t="inlineStr">
        <is>
          <t xml:space="preserve">27-GRE </t>
        </is>
      </c>
      <c r="B206" s="17" t="inlineStr">
        <is>
          <t>Registro de cartera asignada a abogados externos</t>
        </is>
      </c>
      <c r="C206" s="17" t="inlineStr">
        <is>
          <t>Registro de cartera asignada obtenida del sistema FIT</t>
        </is>
      </c>
      <c r="D206" s="55" t="inlineStr">
        <is>
          <t>[D] Datos / Información / datos de configuración</t>
        </is>
      </c>
      <c r="E206" s="34" t="inlineStr">
        <is>
          <t>[E.18] Destrucción de información</t>
        </is>
      </c>
      <c r="F206" s="34">
        <f>+VLOOKUP(E206,'CATALOGO AMENAZA'!$B$2:$D$46,3,FALSE)</f>
        <v/>
      </c>
      <c r="G206" s="34" t="n"/>
      <c r="H206" s="34" t="n"/>
      <c r="I206" s="34" t="inlineStr">
        <is>
          <t>X</t>
        </is>
      </c>
      <c r="J206" s="34" t="n">
        <v>2</v>
      </c>
      <c r="K206" s="34" t="n">
        <v>4</v>
      </c>
      <c r="L206" s="34">
        <f>+J206*K206</f>
        <v/>
      </c>
      <c r="M206" s="34">
        <f>+IF(L206&lt;5,"BAJO",IF(L206&lt;10,"MEDIO",IF(L206&lt;17,"ALTO","CRITICO")))</f>
        <v/>
      </c>
      <c r="N206" s="54" t="inlineStr">
        <is>
          <t>Respaldo digital de información</t>
        </is>
      </c>
      <c r="O206" s="54" t="inlineStr">
        <is>
          <t>PREVENTIVO</t>
        </is>
      </c>
      <c r="P206" s="34" t="inlineStr">
        <is>
          <t>Control Implementado sin evidencia de efectividad (Inefectivo prueba)</t>
        </is>
      </c>
      <c r="Q206" s="52" t="n">
        <v>0.3</v>
      </c>
      <c r="R206" s="34" t="inlineStr">
        <is>
          <t>Almacenamiento sin prueba de efectividad</t>
        </is>
      </c>
      <c r="S206" s="53">
        <f>+IF(O206="PREVENTIVO",J206*(1-Q206),IF(O206="ADMINISTRACION",J206*(1-Q206),IF(O206="ELIMINACION",J206*(1-Q206),J206)))</f>
        <v/>
      </c>
      <c r="T206" s="53">
        <f>+IF(O206="DETECTIVO",K206*(1-Q206),IF(O206="RECUPERACION",K206*(1-Q206),K206))</f>
        <v/>
      </c>
      <c r="U206" s="54">
        <f>+S206*T206</f>
        <v/>
      </c>
      <c r="V206" s="65">
        <f>+IF(U206&lt;5,"BAJO",IF(U206&lt;10,"MEDIO",IF(U206&lt;17,"ALTO","CRITICO")))</f>
        <v/>
      </c>
      <c r="W206" s="87" t="inlineStr">
        <is>
          <t>MITIGAR</t>
        </is>
      </c>
      <c r="X206" s="80" t="inlineStr">
        <is>
          <t>-</t>
        </is>
      </c>
      <c r="Y206" s="80" t="inlineStr">
        <is>
          <t>-</t>
        </is>
      </c>
      <c r="Z206" s="80" t="inlineStr">
        <is>
          <t>-</t>
        </is>
      </c>
    </row>
    <row r="207" hidden="1" ht="30.6" customHeight="1" s="106">
      <c r="A207" s="99" t="inlineStr">
        <is>
          <t xml:space="preserve">27-GRE </t>
        </is>
      </c>
      <c r="B207" s="17" t="inlineStr">
        <is>
          <t>Registro de cartera asignada a abogados externos</t>
        </is>
      </c>
      <c r="C207" s="17" t="inlineStr">
        <is>
          <t>Registro de cartera asignada obtenida del sistema FIT</t>
        </is>
      </c>
      <c r="D207" s="55" t="inlineStr">
        <is>
          <t>[D] Datos / Información / datos de configuración</t>
        </is>
      </c>
      <c r="E207" s="34" t="inlineStr">
        <is>
          <t>[E.19] Fugas de información</t>
        </is>
      </c>
      <c r="F207" s="34">
        <f>+VLOOKUP(E207,'CATALOGO AMENAZA'!$B$2:$D$46,3,FALSE)</f>
        <v/>
      </c>
      <c r="G207" s="34" t="inlineStr">
        <is>
          <t>X</t>
        </is>
      </c>
      <c r="H207" s="34" t="n"/>
      <c r="I207" s="34" t="n"/>
      <c r="J207" s="34" t="n">
        <v>3</v>
      </c>
      <c r="K207" s="34" t="n">
        <v>4</v>
      </c>
      <c r="L207" s="34">
        <f>+J207*K207</f>
        <v/>
      </c>
      <c r="M207" s="34">
        <f>+IF(L207&lt;5,"BAJO",IF(L207&lt;10,"MEDIO",IF(L207&lt;17,"ALTO","CRITICO")))</f>
        <v/>
      </c>
      <c r="N207" s="54" t="inlineStr">
        <is>
          <t>Software DLP</t>
        </is>
      </c>
      <c r="O207" s="54" t="inlineStr">
        <is>
          <t>PREVENTIVO</t>
        </is>
      </c>
      <c r="P207" s="34" t="inlineStr">
        <is>
          <t>Control Implementado sin evidencia de efectividad (Inefectivo prueba)</t>
        </is>
      </c>
      <c r="Q207" s="52" t="n">
        <v>0.3</v>
      </c>
      <c r="R207" s="34" t="inlineStr">
        <is>
          <t>Politicas sin restricción para jefaturas</t>
        </is>
      </c>
      <c r="S207" s="53">
        <f>+IF(O207="PREVENTIVO",J207*(1-Q207),IF(O207="ADMINISTRACION",J207*(1-Q207),IF(O207="ELIMINACION",J207*(1-Q207),J207)))</f>
        <v/>
      </c>
      <c r="T207" s="53">
        <f>+IF(O207="DETECTIVO",K207*(1-Q207),IF(O207="RECUPERACION",K207*(1-Q207),K207))</f>
        <v/>
      </c>
      <c r="U207" s="54">
        <f>+S207*T207</f>
        <v/>
      </c>
      <c r="V207" s="65">
        <f>+IF(U207&lt;5,"BAJO",IF(U207&lt;10,"MEDIO",IF(U207&lt;17,"ALTO","CRITICO")))</f>
        <v/>
      </c>
      <c r="W207" s="87" t="inlineStr">
        <is>
          <t>MITIGAR</t>
        </is>
      </c>
      <c r="X207" s="80" t="inlineStr">
        <is>
          <t>-</t>
        </is>
      </c>
      <c r="Y207" s="80" t="inlineStr">
        <is>
          <t>-</t>
        </is>
      </c>
      <c r="Z207" s="80" t="inlineStr">
        <is>
          <t>-</t>
        </is>
      </c>
    </row>
    <row r="208" hidden="1" ht="30.6" customHeight="1" s="106">
      <c r="A208" s="99" t="inlineStr">
        <is>
          <t xml:space="preserve">30-GRE </t>
        </is>
      </c>
      <c r="B208" s="17" t="inlineStr">
        <is>
          <t>Escritura de adjudicación del bien</t>
        </is>
      </c>
      <c r="C208" s="17" t="inlineStr">
        <is>
          <t>Escritura del bien correctamente legalizada</t>
        </is>
      </c>
      <c r="D208" s="55" t="inlineStr">
        <is>
          <t>[D] Datos / Información / datos de configuración</t>
        </is>
      </c>
      <c r="E208" s="34" t="inlineStr">
        <is>
          <t>[E.18] Destrucción de información</t>
        </is>
      </c>
      <c r="F208" s="34">
        <f>+VLOOKUP(E208,'CATALOGO AMENAZA'!$B$2:$D$46,3,FALSE)</f>
        <v/>
      </c>
      <c r="G208" s="34" t="n"/>
      <c r="H208" s="34" t="n"/>
      <c r="I208" s="34" t="inlineStr">
        <is>
          <t>X</t>
        </is>
      </c>
      <c r="J208" s="34" t="n">
        <v>2</v>
      </c>
      <c r="K208" s="34" t="n">
        <v>3</v>
      </c>
      <c r="L208" s="34">
        <f>+J208*K208</f>
        <v/>
      </c>
      <c r="M208" s="34">
        <f>+IF(L208&lt;5,"BAJO",IF(L208&lt;10,"MEDIO",IF(L208&lt;17,"ALTO","CRITICO")))</f>
        <v/>
      </c>
      <c r="N208" s="54" t="inlineStr">
        <is>
          <t>Respaldo digital de información</t>
        </is>
      </c>
      <c r="O208" s="54" t="inlineStr">
        <is>
          <t>PREVENTIVO</t>
        </is>
      </c>
      <c r="P208" s="34" t="inlineStr">
        <is>
          <t>Control Implementado sin evidencia de efectividad (Inefectivo prueba)</t>
        </is>
      </c>
      <c r="Q208" s="52" t="n">
        <v>0.3</v>
      </c>
      <c r="R208" s="34" t="inlineStr">
        <is>
          <t>Almacenamiento sin prueba de efectividad</t>
        </is>
      </c>
      <c r="S208" s="53">
        <f>+IF(O208="PREVENTIVO",J208*(1-Q208),IF(O208="ADMINISTRACION",J208*(1-Q208),IF(O208="ELIMINACION",J208*(1-Q208),J208)))</f>
        <v/>
      </c>
      <c r="T208" s="53">
        <f>+IF(O208="DETECTIVO",K208*(1-Q208),IF(O208="RECUPERACION",K208*(1-Q208),K208))</f>
        <v/>
      </c>
      <c r="U208" s="54">
        <f>+S208*T208</f>
        <v/>
      </c>
      <c r="V208" s="65">
        <f>+IF(U208&lt;5,"BAJO",IF(U208&lt;10,"MEDIO",IF(U208&lt;17,"ALTO","CRITICO")))</f>
        <v/>
      </c>
      <c r="W208" s="65" t="inlineStr">
        <is>
          <t>ACEPTABLE</t>
        </is>
      </c>
      <c r="X208" s="80" t="inlineStr">
        <is>
          <t>-</t>
        </is>
      </c>
      <c r="Y208" s="80" t="inlineStr">
        <is>
          <t>-</t>
        </is>
      </c>
      <c r="Z208" s="80" t="inlineStr">
        <is>
          <t>-</t>
        </is>
      </c>
    </row>
    <row r="209" hidden="1" ht="30.6" customHeight="1" s="106">
      <c r="A209" s="99" t="inlineStr">
        <is>
          <t xml:space="preserve">38-GRE </t>
        </is>
      </c>
      <c r="B209" s="17" t="inlineStr">
        <is>
          <t>Equipos de computación del Gerente Jurídico</t>
        </is>
      </c>
      <c r="C209" s="17" t="inlineStr">
        <is>
          <t>Equipos de computación donde se realiza la gestión del área</t>
        </is>
      </c>
      <c r="D209" s="64" t="inlineStr">
        <is>
          <t>[HW] Equipamiento informático (hardware)</t>
        </is>
      </c>
      <c r="E209" s="34" t="inlineStr">
        <is>
          <t>[E.25] Pérdida de equipos</t>
        </is>
      </c>
      <c r="F209" s="34" t="inlineStr">
        <is>
          <t xml:space="preserve">
[C] confidencialidad 
[D] disponibilidad</t>
        </is>
      </c>
      <c r="G209" s="34" t="inlineStr">
        <is>
          <t>X</t>
        </is>
      </c>
      <c r="H209" s="34" t="n"/>
      <c r="I209" s="34" t="inlineStr">
        <is>
          <t>X</t>
        </is>
      </c>
      <c r="J209" s="34" t="n">
        <v>1</v>
      </c>
      <c r="K209" s="34" t="n">
        <v>3</v>
      </c>
      <c r="L209" s="34">
        <f>+J209*K209</f>
        <v/>
      </c>
      <c r="M209" s="34">
        <f>+IF(L209&lt;5,"BAJO",IF(L209&lt;10,"MEDIO",IF(L209&lt;17,"ALTO","CRITICO")))</f>
        <v/>
      </c>
      <c r="N209" s="54" t="inlineStr">
        <is>
          <t>Respaldo digital de información</t>
        </is>
      </c>
      <c r="O209" s="54" t="inlineStr">
        <is>
          <t>PREVENTIVO</t>
        </is>
      </c>
      <c r="P209" s="34" t="inlineStr">
        <is>
          <t>Control Implementado sin evidencia de efectividad (Inefectivo prueba)</t>
        </is>
      </c>
      <c r="Q209" s="52" t="n">
        <v>0.3</v>
      </c>
      <c r="R209" s="34" t="inlineStr">
        <is>
          <t>Almacenamiento sin prueba de efectividad</t>
        </is>
      </c>
      <c r="S209" s="53">
        <f>+IF(O209="PREVENTIVO",J209*(1-Q209),IF(O209="ADMINISTRACION",J209*(1-Q209),IF(O209="ELIMINACION",J209*(1-Q209),J209)))</f>
        <v/>
      </c>
      <c r="T209" s="53">
        <f>+IF(O209="DETECTIVO",K209*(1-Q209),IF(O209="RECUPERACION",K209*(1-Q209),K209))</f>
        <v/>
      </c>
      <c r="U209" s="54">
        <f>+S209*T209</f>
        <v/>
      </c>
      <c r="V209" s="65">
        <f>+IF(U209&lt;5,"BAJO",IF(U209&lt;10,"MEDIO",IF(U209&lt;17,"ALTO","CRITICO")))</f>
        <v/>
      </c>
      <c r="W209" s="65" t="inlineStr">
        <is>
          <t>ACEPTABLE</t>
        </is>
      </c>
      <c r="X209" s="80" t="inlineStr">
        <is>
          <t>-</t>
        </is>
      </c>
      <c r="Y209" s="80" t="inlineStr">
        <is>
          <t>-</t>
        </is>
      </c>
      <c r="Z209" s="80" t="inlineStr">
        <is>
          <t>-</t>
        </is>
      </c>
    </row>
    <row r="210" hidden="1" ht="41.1" customHeight="1" s="106">
      <c r="A210" s="99" t="inlineStr">
        <is>
          <t xml:space="preserve">38-GRE </t>
        </is>
      </c>
      <c r="B210" s="17" t="inlineStr">
        <is>
          <t>Equipos de computación del Gerente Jurídico</t>
        </is>
      </c>
      <c r="C210" s="17" t="inlineStr">
        <is>
          <t>Equipos de computación donde se realiza la gestión del área</t>
        </is>
      </c>
      <c r="D210" s="64" t="inlineStr">
        <is>
          <t>[HW] Equipamiento informático (hardware)</t>
        </is>
      </c>
      <c r="E210" s="34" t="inlineStr">
        <is>
          <t>[A.7] Uso no previsto</t>
        </is>
      </c>
      <c r="F210" s="34">
        <f>+VLOOKUP(E210,'CATALOGO AMENAZA'!$B$2:$D$46,3,FALSE)</f>
        <v/>
      </c>
      <c r="G210" s="34" t="inlineStr">
        <is>
          <t>X</t>
        </is>
      </c>
      <c r="H210" s="34" t="inlineStr">
        <is>
          <t>X</t>
        </is>
      </c>
      <c r="I210" s="34" t="inlineStr">
        <is>
          <t>X</t>
        </is>
      </c>
      <c r="J210" s="34" t="n">
        <v>3</v>
      </c>
      <c r="K210" s="34" t="n">
        <v>3</v>
      </c>
      <c r="L210" s="34">
        <f>+J210*K210</f>
        <v/>
      </c>
      <c r="M210" s="34">
        <f>+IF(L210&lt;5,"BAJO",IF(L210&lt;10,"MEDIO",IF(L210&lt;17,"ALTO","CRITICO")))</f>
        <v/>
      </c>
      <c r="N210" s="34" t="inlineStr">
        <is>
          <t>Sortware DLP /Políticas de uso de información contractual</t>
        </is>
      </c>
      <c r="O210" s="34" t="inlineStr">
        <is>
          <t>PREVENTIVO</t>
        </is>
      </c>
      <c r="P210" s="34" t="inlineStr">
        <is>
          <t>Control Implementado sin evidencia de efectividad (Inefectivo prueba)</t>
        </is>
      </c>
      <c r="Q210" s="52" t="n">
        <v>0.3</v>
      </c>
      <c r="R210" s="4" t="inlineStr">
        <is>
          <t>Documentación sencible sin cifrar</t>
        </is>
      </c>
      <c r="S210" s="53">
        <f>+IF(O210="PREVENTIVO",J210*(1-Q210),IF(O210="ADMINISTRACION",J210*(1-Q210),IF(O210="ELIMINACION",J210*(1-Q210),J210)))</f>
        <v/>
      </c>
      <c r="T210" s="53">
        <f>+IF(O210="DETECTIVO",K210*(1-Q210),IF(O210="RECUPERACION",K210*(1-Q210),K210))</f>
        <v/>
      </c>
      <c r="U210" s="54">
        <f>+S210*T210</f>
        <v/>
      </c>
      <c r="V210" s="65">
        <f>+IF(U210&lt;5,"BAJO",IF(U210&lt;10,"MEDIO",IF(U210&lt;17,"ALTO","CRITICO")))</f>
        <v/>
      </c>
      <c r="W210" s="87" t="inlineStr">
        <is>
          <t>MITIGAR</t>
        </is>
      </c>
      <c r="X210" s="80" t="inlineStr">
        <is>
          <t>-</t>
        </is>
      </c>
      <c r="Y210" s="80" t="inlineStr">
        <is>
          <t>-</t>
        </is>
      </c>
      <c r="Z210" s="80" t="inlineStr">
        <is>
          <t>-</t>
        </is>
      </c>
    </row>
    <row r="211" hidden="1" ht="41.1" customHeight="1" s="106">
      <c r="A211" s="20" t="inlineStr">
        <is>
          <t xml:space="preserve">30-GRE </t>
        </is>
      </c>
      <c r="B211" s="45" t="inlineStr">
        <is>
          <t>Escritura de adjudicación del bien</t>
        </is>
      </c>
      <c r="C211" s="45" t="inlineStr">
        <is>
          <t>Escritura del bien correctamente legalizada</t>
        </is>
      </c>
      <c r="D211" s="58" t="inlineStr">
        <is>
          <t>[D] Datos / Información / datos de configuración</t>
        </is>
      </c>
      <c r="E211" s="32" t="inlineStr">
        <is>
          <t>[A.7] Uso no previsto</t>
        </is>
      </c>
      <c r="F211" s="32">
        <f>+VLOOKUP(E211,'CATALOGO AMENAZA'!$B$2:$D$46,3,FALSE)</f>
        <v/>
      </c>
      <c r="G211" s="34" t="inlineStr">
        <is>
          <t>X</t>
        </is>
      </c>
      <c r="H211" s="34" t="inlineStr">
        <is>
          <t>X</t>
        </is>
      </c>
      <c r="I211" s="34" t="inlineStr">
        <is>
          <t>X</t>
        </is>
      </c>
      <c r="J211" s="32" t="n">
        <v>3</v>
      </c>
      <c r="K211" s="32" t="n">
        <v>3</v>
      </c>
      <c r="L211" s="32">
        <f>+J211*K211</f>
        <v/>
      </c>
      <c r="M211" s="32">
        <f>+IF(L211&lt;5,"BAJO",IF(L211&lt;10,"MEDIO",IF(L211&lt;17,"ALTO","CRITICO")))</f>
        <v/>
      </c>
      <c r="N211" s="32" t="inlineStr">
        <is>
          <t>Sortware DLP /Políticas de uso de información contractual</t>
        </is>
      </c>
      <c r="O211" s="32" t="inlineStr">
        <is>
          <t>PREVENTIVO</t>
        </is>
      </c>
      <c r="P211" s="32" t="inlineStr">
        <is>
          <t>Control Implementado sin evidencia de efectividad (Inefectivo prueba)</t>
        </is>
      </c>
      <c r="Q211" s="59" t="n">
        <v>0.3</v>
      </c>
      <c r="R211" s="51" t="inlineStr">
        <is>
          <t>Documentación sencible sin cifrar</t>
        </is>
      </c>
      <c r="S211" s="60">
        <f>+IF(O211="PREVENTIVO",J211*(1-Q211),IF(O211="ADMINISTRACION",J211*(1-Q211),IF(O211="ELIMINACION",J211*(1-Q211),J211)))</f>
        <v/>
      </c>
      <c r="T211" s="60">
        <f>+IF(P211="PREVENTIVO",K211*(1-R211),IF(P211="ADMINISTRACION",K211*(1-R211),IF(P211="ELIMINACION",K211*(1-R211),K211)))</f>
        <v/>
      </c>
      <c r="U211" s="60">
        <f>+IF(Q211="PREVENTIVO",L211*(1-S211),IF(Q211="ADMINISTRACION",L211*(1-S211),IF(Q211="ELIMINACION",L211*(1-S211),L211)))</f>
        <v/>
      </c>
      <c r="V211" s="66">
        <f>+IF(R211="PREVENTIVO",M211*(1-T211),IF(R211="ADMINISTRACION",M211*(1-T211),IF(R211="ELIMINACION",M211*(1-T211),M211)))</f>
        <v/>
      </c>
      <c r="W211" s="87" t="inlineStr">
        <is>
          <t>MITIGAR</t>
        </is>
      </c>
      <c r="X211" s="80" t="inlineStr">
        <is>
          <t>-</t>
        </is>
      </c>
      <c r="Y211" s="80" t="inlineStr">
        <is>
          <t>-</t>
        </is>
      </c>
      <c r="Z211" s="80" t="inlineStr">
        <is>
          <t>-</t>
        </is>
      </c>
    </row>
  </sheetData>
  <pageMargins left="0.7" right="0.7" top="0.75" bottom="0.75" header="0.3" footer="0.3"/>
  <pageSetup orientation="portrait" paperSize="66" scale="77" fitToHeight="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D7"/>
  <sheetViews>
    <sheetView workbookViewId="0">
      <selection activeCell="M13" sqref="M13"/>
    </sheetView>
  </sheetViews>
  <sheetFormatPr baseColWidth="10" defaultRowHeight="11.25"/>
  <cols>
    <col width="14.6640625" customWidth="1" style="106" min="1" max="1"/>
    <col width="46.6640625" customWidth="1" style="16" min="2" max="2"/>
    <col width="40.1640625" bestFit="1" customWidth="1" style="16" min="3" max="3"/>
    <col width="10" bestFit="1" customWidth="1" style="106" min="4" max="4"/>
  </cols>
  <sheetData>
    <row r="1" ht="20.45" customHeight="1" s="106">
      <c r="A1" s="83" t="inlineStr">
        <is>
          <t>PLAN DE ACCION</t>
        </is>
      </c>
      <c r="B1" s="84" t="inlineStr">
        <is>
          <t>DESCIPCION PLAN DE ACCIÓN</t>
        </is>
      </c>
      <c r="C1" s="81" t="inlineStr">
        <is>
          <t>RESPONSABLE</t>
        </is>
      </c>
      <c r="D1" s="86" t="inlineStr">
        <is>
          <t>PLAZO</t>
        </is>
      </c>
    </row>
    <row r="2" ht="20.45" customHeight="1" s="106">
      <c r="A2" s="82" t="inlineStr">
        <is>
          <t>PA-SI-001</t>
        </is>
      </c>
      <c r="B2" s="82" t="inlineStr">
        <is>
          <t>Identificar una herramienta que permitan realizar un análisis de LOGS</t>
        </is>
      </c>
      <c r="C2" s="82" t="inlineStr">
        <is>
          <t>JEFE DE SEGURIDAD DE LA INFORMACION</t>
        </is>
      </c>
      <c r="D2" s="85" t="inlineStr">
        <is>
          <t>8 MESES</t>
        </is>
      </c>
    </row>
    <row r="3" ht="20.45" customHeight="1" s="106">
      <c r="A3" s="82" t="inlineStr">
        <is>
          <t>PA-SI-002</t>
        </is>
      </c>
      <c r="B3" s="82" t="inlineStr">
        <is>
          <t>Fortalecer mecanismos de protección contra ataques DoS/DDoS</t>
        </is>
      </c>
      <c r="C3" s="82" t="inlineStr">
        <is>
          <t>JEFE DE SEGURIDAD DE LA INFORMACION</t>
        </is>
      </c>
      <c r="D3" s="85" t="inlineStr">
        <is>
          <t>3 MESES</t>
        </is>
      </c>
    </row>
    <row r="4" ht="20.45" customHeight="1" s="106">
      <c r="A4" s="82" t="inlineStr">
        <is>
          <t>PA-SI-003</t>
        </is>
      </c>
      <c r="B4" s="82" t="inlineStr">
        <is>
          <t>Determinar accesos restringidos para la consola administrativa</t>
        </is>
      </c>
      <c r="C4" s="82" t="inlineStr">
        <is>
          <t>JEFE DE SEGURIDAD DE LA INFORMACION</t>
        </is>
      </c>
      <c r="D4" s="85" t="inlineStr">
        <is>
          <t>3 MESES</t>
        </is>
      </c>
    </row>
    <row r="5" ht="24" customHeight="1" s="106">
      <c r="A5" s="82" t="inlineStr">
        <is>
          <t>PA-SI-004</t>
        </is>
      </c>
      <c r="B5" s="82" t="inlineStr">
        <is>
          <t>Aplicar política de expiración de contraseñas VPN.</t>
        </is>
      </c>
      <c r="C5" s="82" t="inlineStr">
        <is>
          <t>JEFE DE SEGURIDAD DE LA INFORMACION</t>
        </is>
      </c>
      <c r="D5" s="85" t="inlineStr">
        <is>
          <t>6 MESES</t>
        </is>
      </c>
    </row>
    <row r="6" ht="20.45" customHeight="1" s="106">
      <c r="A6" s="82" t="inlineStr">
        <is>
          <t>PA-SI-005</t>
        </is>
      </c>
      <c r="B6" s="82" t="inlineStr">
        <is>
          <t>Fortalecer el monitoreo proactivo de recursos (CPU, RAM, almacenamiento).</t>
        </is>
      </c>
      <c r="C6" s="82" t="inlineStr">
        <is>
          <t>JEFE DE SEGURIDAD DE LA INFORMACION</t>
        </is>
      </c>
      <c r="D6" s="85" t="inlineStr">
        <is>
          <t>6 MESES</t>
        </is>
      </c>
    </row>
    <row r="7" ht="30.6" customHeight="1" s="106">
      <c r="A7" s="82" t="inlineStr">
        <is>
          <t>PA-SI-006</t>
        </is>
      </c>
      <c r="B7" s="82" t="inlineStr">
        <is>
          <t>Fortalecer las políticas de prevención de fuga de información (DLP) para mejorar la protección de datos sensibles.</t>
        </is>
      </c>
      <c r="C7" s="82" t="inlineStr">
        <is>
          <t>JEFE DE SEGURIDAD DE LA INFORMACION</t>
        </is>
      </c>
      <c r="D7" s="85" t="inlineStr">
        <is>
          <t>8 MESES</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68"/>
  <sheetViews>
    <sheetView zoomScale="138" workbookViewId="0">
      <selection activeCell="A74" sqref="A74"/>
    </sheetView>
  </sheetViews>
  <sheetFormatPr baseColWidth="10" defaultRowHeight="11.25"/>
  <cols>
    <col width="64" bestFit="1" customWidth="1" style="106" min="1" max="1"/>
    <col width="12.5" customWidth="1" style="106" min="2" max="2"/>
    <col width="6.1640625" bestFit="1" customWidth="1" style="106" min="3" max="3"/>
    <col width="7.1640625" bestFit="1" customWidth="1" style="106" min="4" max="4"/>
    <col width="13.1640625" bestFit="1" customWidth="1" style="106" min="5" max="6"/>
    <col width="68.1640625" bestFit="1" customWidth="1" style="106" min="7" max="22"/>
    <col width="13.1640625" bestFit="1" customWidth="1" style="106" min="23" max="23"/>
  </cols>
  <sheetData>
    <row r="1">
      <c r="A1" s="67" t="inlineStr">
        <is>
          <t>Etiquetas de fila</t>
        </is>
      </c>
      <c r="B1" t="inlineStr">
        <is>
          <t>Cuenta de CRITICIDAD</t>
        </is>
      </c>
    </row>
    <row r="2">
      <c r="A2" s="68" t="inlineStr">
        <is>
          <t>ALTA</t>
        </is>
      </c>
      <c r="B2" t="n">
        <v>68</v>
      </c>
    </row>
    <row r="3">
      <c r="A3" s="68" t="inlineStr">
        <is>
          <t>BAJA</t>
        </is>
      </c>
      <c r="B3" t="n">
        <v>639</v>
      </c>
    </row>
    <row r="4">
      <c r="A4" s="68" t="inlineStr">
        <is>
          <t>MEDIA</t>
        </is>
      </c>
      <c r="B4" t="n">
        <v>697</v>
      </c>
    </row>
    <row r="5">
      <c r="A5" s="68" t="inlineStr">
        <is>
          <t>Total general</t>
        </is>
      </c>
      <c r="B5" t="n">
        <v>1404</v>
      </c>
    </row>
    <row r="9">
      <c r="A9" s="67" t="inlineStr">
        <is>
          <t>EVENTO DE AMENAZA</t>
        </is>
      </c>
      <c r="B9" t="inlineStr">
        <is>
          <t>(Todas)</t>
        </is>
      </c>
    </row>
    <row r="11">
      <c r="A11" s="67" t="inlineStr">
        <is>
          <t>TIPO DE ACTIVO MAGGERIT</t>
        </is>
      </c>
      <c r="B11" t="inlineStr">
        <is>
          <t>Cuenta de EVENTO DE AMENAZA</t>
        </is>
      </c>
    </row>
    <row r="12">
      <c r="A12" t="inlineStr">
        <is>
          <t>[D] Datos / Información / datos de configuración</t>
        </is>
      </c>
      <c r="B12" t="n">
        <v>59</v>
      </c>
    </row>
    <row r="13">
      <c r="A13" t="inlineStr">
        <is>
          <t>[HW] Equipamiento informático (hardware)</t>
        </is>
      </c>
      <c r="B13" t="n">
        <v>103</v>
      </c>
    </row>
    <row r="14">
      <c r="A14" t="inlineStr">
        <is>
          <t>[Media] Soportes de información</t>
        </is>
      </c>
      <c r="B14" t="n">
        <v>4</v>
      </c>
    </row>
    <row r="15">
      <c r="A15" t="inlineStr">
        <is>
          <t>[P] Personal</t>
        </is>
      </c>
      <c r="B15" t="n">
        <v>4</v>
      </c>
    </row>
    <row r="16">
      <c r="A16" t="inlineStr">
        <is>
          <t>[S] Servicios</t>
        </is>
      </c>
      <c r="B16" t="n">
        <v>10</v>
      </c>
    </row>
    <row r="17">
      <c r="A17" t="inlineStr">
        <is>
          <t>[SW] Software - Aplicaciones informáticas</t>
        </is>
      </c>
      <c r="B17" t="n">
        <v>29</v>
      </c>
    </row>
    <row r="18">
      <c r="A18" t="inlineStr">
        <is>
          <t>Total general</t>
        </is>
      </c>
      <c r="B18" t="n">
        <v>209</v>
      </c>
    </row>
    <row r="22">
      <c r="A22" s="67" t="inlineStr">
        <is>
          <t>Cuenta de EVENTO DE AMENAZA</t>
        </is>
      </c>
      <c r="B22" s="67" t="inlineStr">
        <is>
          <t>Etiquetas de columna</t>
        </is>
      </c>
    </row>
    <row r="23">
      <c r="A23" s="67" t="inlineStr">
        <is>
          <t>NIVELES DE RIESGO HINNERENTE</t>
        </is>
      </c>
      <c r="B23" t="inlineStr">
        <is>
          <t>ALTO</t>
        </is>
      </c>
      <c r="C23" t="inlineStr">
        <is>
          <t>BAJO</t>
        </is>
      </c>
      <c r="D23" t="inlineStr">
        <is>
          <t>CRITICO</t>
        </is>
      </c>
      <c r="E23" t="inlineStr">
        <is>
          <t>MEDIO</t>
        </is>
      </c>
      <c r="F23" t="inlineStr">
        <is>
          <t>Total general</t>
        </is>
      </c>
    </row>
    <row r="24">
      <c r="A24" s="68" t="inlineStr">
        <is>
          <t>[D] Datos / Información / datos de configuración</t>
        </is>
      </c>
      <c r="B24" s="73" t="n">
        <v>7</v>
      </c>
      <c r="C24" s="71" t="n">
        <v>11</v>
      </c>
      <c r="D24" s="70" t="n"/>
      <c r="E24" s="72" t="n">
        <v>41</v>
      </c>
      <c r="F24" t="n">
        <v>59</v>
      </c>
    </row>
    <row r="25">
      <c r="A25" s="68" t="inlineStr">
        <is>
          <t>[HW] Equipamiento informático (hardware)</t>
        </is>
      </c>
      <c r="B25" s="73" t="n">
        <v>21</v>
      </c>
      <c r="C25" s="71" t="n">
        <v>3</v>
      </c>
      <c r="D25" s="70" t="n">
        <v>1</v>
      </c>
      <c r="E25" s="72" t="n">
        <v>78</v>
      </c>
      <c r="F25" t="n">
        <v>103</v>
      </c>
    </row>
    <row r="26">
      <c r="A26" s="68" t="inlineStr">
        <is>
          <t>[Media] Soportes de información</t>
        </is>
      </c>
      <c r="B26" s="73" t="n"/>
      <c r="C26" s="71" t="n">
        <v>1</v>
      </c>
      <c r="D26" s="70" t="n"/>
      <c r="E26" s="72" t="n">
        <v>3</v>
      </c>
      <c r="F26" t="n">
        <v>4</v>
      </c>
    </row>
    <row r="27">
      <c r="A27" s="68" t="inlineStr">
        <is>
          <t>[P] Personal</t>
        </is>
      </c>
      <c r="B27" s="73" t="n"/>
      <c r="C27" s="71" t="n"/>
      <c r="D27" s="70" t="n"/>
      <c r="E27" s="72" t="n">
        <v>4</v>
      </c>
      <c r="F27" t="n">
        <v>4</v>
      </c>
    </row>
    <row r="28">
      <c r="A28" s="68" t="inlineStr">
        <is>
          <t>[S] Servicios</t>
        </is>
      </c>
      <c r="B28" s="73" t="n">
        <v>1</v>
      </c>
      <c r="C28" s="71" t="n"/>
      <c r="D28" s="70" t="n"/>
      <c r="E28" s="72" t="n">
        <v>9</v>
      </c>
      <c r="F28" t="n">
        <v>10</v>
      </c>
    </row>
    <row r="29">
      <c r="A29" s="68" t="inlineStr">
        <is>
          <t>[SW] Software - Aplicaciones informáticas</t>
        </is>
      </c>
      <c r="B29" s="73" t="n">
        <v>4</v>
      </c>
      <c r="C29" s="71" t="n">
        <v>10</v>
      </c>
      <c r="D29" s="70" t="n">
        <v>2</v>
      </c>
      <c r="E29" s="72" t="n">
        <v>13</v>
      </c>
      <c r="F29" t="n">
        <v>29</v>
      </c>
    </row>
    <row r="30">
      <c r="A30" s="68" t="inlineStr">
        <is>
          <t>Total general</t>
        </is>
      </c>
      <c r="B30" t="n">
        <v>33</v>
      </c>
      <c r="C30" t="n">
        <v>25</v>
      </c>
      <c r="D30" t="n">
        <v>3</v>
      </c>
      <c r="E30" t="n">
        <v>148</v>
      </c>
      <c r="F30" t="n">
        <v>209</v>
      </c>
    </row>
    <row r="32">
      <c r="A32" s="67" t="inlineStr">
        <is>
          <t>NIVELES DE RIESGO HINNERENTE</t>
        </is>
      </c>
      <c r="B32" t="inlineStr">
        <is>
          <t>Cuenta de DETERMINACION RIESGO ACUMULADO O INHERENTE</t>
        </is>
      </c>
    </row>
    <row r="33">
      <c r="A33" s="68" t="inlineStr">
        <is>
          <t>ALTO</t>
        </is>
      </c>
      <c r="B33" t="n">
        <v>33</v>
      </c>
    </row>
    <row r="34">
      <c r="A34" s="68" t="inlineStr">
        <is>
          <t>BAJO</t>
        </is>
      </c>
      <c r="B34" t="n">
        <v>25</v>
      </c>
    </row>
    <row r="35">
      <c r="A35" s="68" t="inlineStr">
        <is>
          <t>CRITICO</t>
        </is>
      </c>
      <c r="B35" t="n">
        <v>3</v>
      </c>
    </row>
    <row r="36">
      <c r="A36" s="68" t="inlineStr">
        <is>
          <t>MEDIO</t>
        </is>
      </c>
      <c r="B36" t="n">
        <v>148</v>
      </c>
    </row>
    <row r="37">
      <c r="A37" s="68" t="inlineStr">
        <is>
          <t>Total general</t>
        </is>
      </c>
      <c r="B37" t="n">
        <v>209</v>
      </c>
    </row>
    <row r="42">
      <c r="A42" s="67" t="inlineStr">
        <is>
          <t>Cuenta de EVENTO DE AMENAZA</t>
        </is>
      </c>
      <c r="B42" s="67" t="inlineStr">
        <is>
          <t>Etiquetas de columna</t>
        </is>
      </c>
    </row>
    <row r="43">
      <c r="A43" s="67" t="inlineStr">
        <is>
          <t>NIVELES DE RIESGO RESIDUAL</t>
        </is>
      </c>
      <c r="B43" t="inlineStr">
        <is>
          <t>ALTO</t>
        </is>
      </c>
      <c r="C43" t="inlineStr">
        <is>
          <t>BAJO</t>
        </is>
      </c>
      <c r="D43" t="inlineStr">
        <is>
          <t>MEDIO</t>
        </is>
      </c>
      <c r="E43" t="inlineStr">
        <is>
          <t>Total general</t>
        </is>
      </c>
    </row>
    <row r="44">
      <c r="A44" s="68" t="inlineStr">
        <is>
          <t>[D] Datos / Información / datos de configuración</t>
        </is>
      </c>
      <c r="B44" s="73" t="n">
        <v>1</v>
      </c>
      <c r="C44" s="71" t="n">
        <v>34</v>
      </c>
      <c r="D44" s="72" t="n">
        <v>24</v>
      </c>
      <c r="E44" t="n">
        <v>59</v>
      </c>
    </row>
    <row r="45">
      <c r="A45" s="68" t="inlineStr">
        <is>
          <t>[HW] Equipamiento informático (hardware)</t>
        </is>
      </c>
      <c r="B45" s="73" t="n">
        <v>7</v>
      </c>
      <c r="C45" s="71" t="n">
        <v>28</v>
      </c>
      <c r="D45" s="72" t="n">
        <v>68</v>
      </c>
      <c r="E45" t="n">
        <v>103</v>
      </c>
    </row>
    <row r="46">
      <c r="A46" s="68" t="inlineStr">
        <is>
          <t>[Media] Soportes de información</t>
        </is>
      </c>
      <c r="B46" s="73" t="n"/>
      <c r="C46" s="71" t="n">
        <v>1</v>
      </c>
      <c r="D46" s="72" t="n">
        <v>3</v>
      </c>
      <c r="E46" t="n">
        <v>4</v>
      </c>
    </row>
    <row r="47">
      <c r="A47" s="68" t="inlineStr">
        <is>
          <t>[P] Personal</t>
        </is>
      </c>
      <c r="B47" s="73" t="n"/>
      <c r="C47" s="71" t="n">
        <v>4</v>
      </c>
      <c r="D47" s="72" t="n"/>
      <c r="E47" t="n">
        <v>4</v>
      </c>
    </row>
    <row r="48">
      <c r="A48" s="68" t="inlineStr">
        <is>
          <t>[S] Servicios</t>
        </is>
      </c>
      <c r="B48" s="73" t="n"/>
      <c r="C48" s="71" t="n">
        <v>5</v>
      </c>
      <c r="D48" s="72" t="n">
        <v>5</v>
      </c>
      <c r="E48" t="n">
        <v>10</v>
      </c>
    </row>
    <row r="49">
      <c r="A49" s="68" t="inlineStr">
        <is>
          <t>[SW] Software - Aplicaciones informáticas</t>
        </is>
      </c>
      <c r="B49" s="73" t="n">
        <v>1</v>
      </c>
      <c r="C49" s="71" t="n">
        <v>17</v>
      </c>
      <c r="D49" s="72" t="n">
        <v>11</v>
      </c>
      <c r="E49" t="n">
        <v>29</v>
      </c>
    </row>
    <row r="50">
      <c r="A50" s="68" t="inlineStr">
        <is>
          <t>Total general</t>
        </is>
      </c>
      <c r="B50" t="n">
        <v>9</v>
      </c>
      <c r="C50" t="n">
        <v>89</v>
      </c>
      <c r="D50" t="n">
        <v>111</v>
      </c>
      <c r="E50" t="n">
        <v>209</v>
      </c>
    </row>
    <row r="52">
      <c r="A52" s="67" t="inlineStr">
        <is>
          <t>NIVELES DE RIESGO HINNERENTE</t>
        </is>
      </c>
      <c r="B52" t="inlineStr">
        <is>
          <t>Cuenta de DETERMINACION RIESGO RESIDUAL</t>
        </is>
      </c>
    </row>
    <row r="53">
      <c r="A53" s="68" t="inlineStr">
        <is>
          <t>ALTO</t>
        </is>
      </c>
      <c r="B53" t="n">
        <v>9</v>
      </c>
    </row>
    <row r="54">
      <c r="A54" s="68" t="inlineStr">
        <is>
          <t>BAJO</t>
        </is>
      </c>
      <c r="B54" t="n">
        <v>89</v>
      </c>
    </row>
    <row r="55">
      <c r="A55" s="68" t="inlineStr">
        <is>
          <t>MEDIO</t>
        </is>
      </c>
      <c r="B55" t="n">
        <v>111</v>
      </c>
    </row>
    <row r="56">
      <c r="A56" s="68" t="inlineStr">
        <is>
          <t>Total general</t>
        </is>
      </c>
      <c r="B56" t="n">
        <v>209</v>
      </c>
    </row>
    <row r="60">
      <c r="A60" s="67" t="inlineStr">
        <is>
          <t>Efectividad de los controles</t>
        </is>
      </c>
      <c r="B60" t="inlineStr">
        <is>
          <t>Número de controles</t>
        </is>
      </c>
    </row>
    <row r="61">
      <c r="A61" s="74" t="n">
        <v>0.3</v>
      </c>
      <c r="B61" t="n">
        <v>186</v>
      </c>
    </row>
    <row r="62">
      <c r="A62" s="69" t="inlineStr">
        <is>
          <t>Control Implementado sin evidencia de efectividad (Inefectivo prueba)</t>
        </is>
      </c>
      <c r="B62" t="n">
        <v>186</v>
      </c>
    </row>
    <row r="63">
      <c r="A63" s="74" t="n">
        <v>0.4</v>
      </c>
      <c r="B63" t="n">
        <v>20</v>
      </c>
    </row>
    <row r="64">
      <c r="A64" s="69" t="inlineStr">
        <is>
          <t>Control Implementado sin evidencia de efectividad (Inefectivo prueba)</t>
        </is>
      </c>
      <c r="B64" t="n">
        <v>20</v>
      </c>
    </row>
    <row r="65">
      <c r="A65" s="74" t="n">
        <v>0.8</v>
      </c>
      <c r="B65" t="n">
        <v>3</v>
      </c>
    </row>
    <row r="66">
      <c r="A66" s="69" t="inlineStr">
        <is>
          <t>Control implementado formalizado y probado</t>
        </is>
      </c>
      <c r="B66" t="n">
        <v>2</v>
      </c>
    </row>
    <row r="67">
      <c r="A67" s="69" t="inlineStr">
        <is>
          <t>Control Implementado sin evidencia de efectividad (Inefectivo prueba)</t>
        </is>
      </c>
      <c r="B67" t="n">
        <v>1</v>
      </c>
    </row>
    <row r="68">
      <c r="A68" s="74" t="inlineStr">
        <is>
          <t>Total general</t>
        </is>
      </c>
      <c r="B68" t="n">
        <v>209</v>
      </c>
    </row>
  </sheetData>
  <pageMargins left="0.7" right="0.7" top="0.75" bottom="0.75" header="0.3" footer="0.3"/>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52"/>
  <sheetViews>
    <sheetView workbookViewId="0">
      <selection activeCell="A1" sqref="A1:B1"/>
    </sheetView>
  </sheetViews>
  <sheetFormatPr baseColWidth="10" defaultRowHeight="11.25"/>
  <cols>
    <col width="65.1640625" bestFit="1" customWidth="1" style="106" min="2" max="2"/>
  </cols>
  <sheetData>
    <row r="1">
      <c r="A1" s="100" t="n"/>
      <c r="B1" s="101" t="n"/>
    </row>
    <row r="2">
      <c r="A2" s="102" t="inlineStr">
        <is>
          <t>Código</t>
        </is>
      </c>
      <c r="B2" s="102" t="inlineStr">
        <is>
          <t>Descripción</t>
        </is>
      </c>
    </row>
    <row r="3">
      <c r="A3" s="13" t="inlineStr">
        <is>
          <t>V1</t>
        </is>
      </c>
      <c r="B3" s="10" t="inlineStr">
        <is>
          <t>Implementación ineficaz de políticas de seguridad de la información</t>
        </is>
      </c>
    </row>
    <row r="4">
      <c r="A4" s="13" t="inlineStr">
        <is>
          <t>V2</t>
        </is>
      </c>
      <c r="B4" s="10" t="inlineStr">
        <is>
          <t>Documentos y archivos sin cifrar</t>
        </is>
      </c>
    </row>
    <row r="5">
      <c r="A5" s="13" t="inlineStr">
        <is>
          <t>V3</t>
        </is>
      </c>
      <c r="B5" s="10" t="inlineStr">
        <is>
          <t>Componentes vulnerables y fuera de soporte</t>
        </is>
      </c>
    </row>
    <row r="6">
      <c r="A6" s="13" t="inlineStr">
        <is>
          <t>V4</t>
        </is>
      </c>
      <c r="B6" s="10" t="inlineStr">
        <is>
          <t>Diseño inseguro del sistema</t>
        </is>
      </c>
    </row>
    <row r="7">
      <c r="A7" s="13" t="inlineStr">
        <is>
          <t>V5</t>
        </is>
      </c>
      <c r="B7" s="10" t="inlineStr">
        <is>
          <t>Fallos criptográficos</t>
        </is>
      </c>
    </row>
    <row r="8">
      <c r="A8" s="13" t="inlineStr">
        <is>
          <t>V6</t>
        </is>
      </c>
      <c r="B8" s="36" t="inlineStr">
        <is>
          <t>Ausencia de componentes de respaldo</t>
        </is>
      </c>
    </row>
    <row r="9">
      <c r="A9" s="13" t="inlineStr">
        <is>
          <t>V7</t>
        </is>
      </c>
      <c r="B9" s="10" t="inlineStr">
        <is>
          <t>Configuración incorrecta de software o hardware</t>
        </is>
      </c>
    </row>
    <row r="10">
      <c r="A10" s="13" t="inlineStr">
        <is>
          <t>V8</t>
        </is>
      </c>
      <c r="B10" s="36" t="inlineStr">
        <is>
          <t>Falta de prácticas de seguridad de la información</t>
        </is>
      </c>
    </row>
    <row r="11">
      <c r="A11" s="13" t="inlineStr">
        <is>
          <t>V9</t>
        </is>
      </c>
      <c r="B11" s="10" t="inlineStr">
        <is>
          <t xml:space="preserve"> Software no actualizado con parches de seguridad</t>
        </is>
      </c>
    </row>
    <row r="12">
      <c r="A12" s="13" t="inlineStr">
        <is>
          <t>V10</t>
        </is>
      </c>
      <c r="B12" s="10" t="inlineStr">
        <is>
          <t xml:space="preserve"> Controles de acceso mal implementados</t>
        </is>
      </c>
    </row>
    <row r="13">
      <c r="A13" s="13" t="inlineStr">
        <is>
          <t>V11</t>
        </is>
      </c>
      <c r="B13" s="36" t="inlineStr">
        <is>
          <t xml:space="preserve"> Uso de contraseñas débiles o compartidas</t>
        </is>
      </c>
    </row>
    <row r="14">
      <c r="A14" s="13" t="inlineStr">
        <is>
          <t>V12</t>
        </is>
      </c>
      <c r="B14" s="36" t="inlineStr">
        <is>
          <t xml:space="preserve"> Sistemas sin autenticación multifactor</t>
        </is>
      </c>
    </row>
    <row r="15">
      <c r="A15" s="13" t="inlineStr">
        <is>
          <t>V13</t>
        </is>
      </c>
      <c r="B15" s="10" t="inlineStr">
        <is>
          <t xml:space="preserve"> Falta de segmentación de red</t>
        </is>
      </c>
    </row>
    <row r="16">
      <c r="A16" s="13" t="inlineStr">
        <is>
          <t>V14</t>
        </is>
      </c>
      <c r="B16" s="10" t="inlineStr">
        <is>
          <t xml:space="preserve"> Permisos excesivos otorgados a usuarios</t>
        </is>
      </c>
    </row>
    <row r="17">
      <c r="A17" s="13" t="inlineStr">
        <is>
          <t>V15</t>
        </is>
      </c>
      <c r="B17" s="10" t="inlineStr">
        <is>
          <t xml:space="preserve"> Registros de auditoría insuficientes o no revisados</t>
        </is>
      </c>
    </row>
    <row r="18">
      <c r="A18" s="13" t="inlineStr">
        <is>
          <t>V16</t>
        </is>
      </c>
      <c r="B18" s="10" t="inlineStr">
        <is>
          <t xml:space="preserve"> Políticas de respaldo inexistentes o ineficaces</t>
        </is>
      </c>
    </row>
    <row r="19">
      <c r="A19" s="13" t="inlineStr">
        <is>
          <t>V17</t>
        </is>
      </c>
      <c r="B19" s="36" t="inlineStr">
        <is>
          <t xml:space="preserve"> Procesos de recuperación no probados</t>
        </is>
      </c>
    </row>
    <row r="20">
      <c r="A20" s="13" t="inlineStr">
        <is>
          <t>V18</t>
        </is>
      </c>
      <c r="B20" s="36" t="inlineStr">
        <is>
          <t xml:space="preserve"> Redacción ambigua o incompleta de procedimientos</t>
        </is>
      </c>
    </row>
    <row r="21">
      <c r="A21" s="13" t="inlineStr">
        <is>
          <t>V19</t>
        </is>
      </c>
      <c r="B21" s="10" t="inlineStr">
        <is>
          <t xml:space="preserve"> Incumplimiento de requisitos legales o regulatorios</t>
        </is>
      </c>
    </row>
    <row r="22">
      <c r="A22" s="13" t="inlineStr">
        <is>
          <t>V20</t>
        </is>
      </c>
      <c r="B22" s="10" t="inlineStr">
        <is>
          <t xml:space="preserve"> Falta de monitoreo en tiempo real de eventos críticos</t>
        </is>
      </c>
    </row>
    <row r="23">
      <c r="A23" s="13" t="inlineStr">
        <is>
          <t>V21</t>
        </is>
      </c>
      <c r="B23" s="10" t="inlineStr">
        <is>
          <t xml:space="preserve"> Dispositivos sin protección física adecuada</t>
        </is>
      </c>
    </row>
    <row r="24">
      <c r="A24" s="13" t="inlineStr">
        <is>
          <t>V22</t>
        </is>
      </c>
      <c r="B24" s="10" t="inlineStr">
        <is>
          <t xml:space="preserve"> Aplicaciones con vulnerabilidades conocidas</t>
        </is>
      </c>
    </row>
    <row r="25">
      <c r="A25" s="13" t="inlineStr">
        <is>
          <t>V23</t>
        </is>
      </c>
      <c r="B25" s="36" t="inlineStr">
        <is>
          <t xml:space="preserve"> Procesos manuales propensos a errores</t>
        </is>
      </c>
    </row>
    <row r="26">
      <c r="A26" s="13" t="inlineStr">
        <is>
          <t>V24</t>
        </is>
      </c>
      <c r="B26" s="10" t="inlineStr">
        <is>
          <t xml:space="preserve"> Integración insegura con servicios de terceros</t>
        </is>
      </c>
    </row>
    <row r="27">
      <c r="A27" s="13" t="inlineStr">
        <is>
          <t>V25</t>
        </is>
      </c>
      <c r="B27" s="10" t="inlineStr">
        <is>
          <t xml:space="preserve"> Datos sensibles almacenados sin protección adecuada</t>
        </is>
      </c>
    </row>
    <row r="28">
      <c r="A28" s="13" t="inlineStr">
        <is>
          <t>V26</t>
        </is>
      </c>
      <c r="B28" s="10" t="inlineStr">
        <is>
          <t xml:space="preserve"> Puertos y servicios innecesarios abiertos</t>
        </is>
      </c>
    </row>
    <row r="29">
      <c r="A29" s="13" t="inlineStr">
        <is>
          <t>V27</t>
        </is>
      </c>
      <c r="B29" s="10" t="inlineStr">
        <is>
          <t xml:space="preserve"> Inexistencia de controles de acceso físico</t>
        </is>
      </c>
    </row>
    <row r="30">
      <c r="A30" s="13" t="inlineStr">
        <is>
          <t>V28</t>
        </is>
      </c>
      <c r="B30" s="36" t="inlineStr">
        <is>
          <t xml:space="preserve"> Dispositivos portátiles sin cifrado ni políticas de control</t>
        </is>
      </c>
    </row>
    <row r="31">
      <c r="A31" s="13" t="inlineStr">
        <is>
          <t>V29</t>
        </is>
      </c>
      <c r="B31" s="36" t="inlineStr">
        <is>
          <t xml:space="preserve"> Falta de gestión de activos documentada</t>
        </is>
      </c>
    </row>
    <row r="32">
      <c r="A32" s="13" t="inlineStr">
        <is>
          <t>V30</t>
        </is>
      </c>
      <c r="B32" s="10" t="inlineStr">
        <is>
          <t xml:space="preserve"> Contratos con proveedores sin cláusulas de seguridad</t>
        </is>
      </c>
    </row>
    <row r="33">
      <c r="A33" s="13" t="inlineStr">
        <is>
          <t>V31</t>
        </is>
      </c>
      <c r="B33" s="10" t="inlineStr">
        <is>
          <t xml:space="preserve"> Empleados sin capacitación en seguridad</t>
        </is>
      </c>
    </row>
    <row r="34">
      <c r="A34" s="13" t="inlineStr">
        <is>
          <t>V32</t>
        </is>
      </c>
      <c r="B34" s="10" t="inlineStr">
        <is>
          <t xml:space="preserve"> Pruebas de seguridad no realizadas antes del paso a producción</t>
        </is>
      </c>
    </row>
    <row r="35">
      <c r="A35" s="13" t="inlineStr">
        <is>
          <t>V33</t>
        </is>
      </c>
      <c r="B35" s="10" t="inlineStr">
        <is>
          <t xml:space="preserve"> Acceso privilegiado no controlado</t>
        </is>
      </c>
    </row>
    <row r="36">
      <c r="A36" s="13" t="inlineStr">
        <is>
          <t>V34</t>
        </is>
      </c>
      <c r="B36" s="10" t="inlineStr">
        <is>
          <t xml:space="preserve"> Dependencia excesiva de un solo proveedor o recurso</t>
        </is>
      </c>
    </row>
    <row r="37">
      <c r="A37" s="13" t="inlineStr">
        <is>
          <t>V35</t>
        </is>
      </c>
      <c r="B37" s="10" t="inlineStr">
        <is>
          <t xml:space="preserve"> Código fuente sin revisión o control de versiones</t>
        </is>
      </c>
    </row>
    <row r="38">
      <c r="A38" s="13" t="inlineStr">
        <is>
          <t>V36</t>
        </is>
      </c>
      <c r="B38" s="10" t="inlineStr">
        <is>
          <t xml:space="preserve"> Infraestructura sin alta disponibilidad</t>
        </is>
      </c>
    </row>
    <row r="39">
      <c r="A39" s="13" t="inlineStr">
        <is>
          <t>V37</t>
        </is>
      </c>
      <c r="B39" s="10" t="inlineStr">
        <is>
          <t xml:space="preserve"> Exposición de interfaces administrativas a internet</t>
        </is>
      </c>
    </row>
    <row r="40">
      <c r="A40" s="13" t="inlineStr">
        <is>
          <t>V38</t>
        </is>
      </c>
      <c r="B40" s="10" t="inlineStr">
        <is>
          <t xml:space="preserve"> Falta de mecanismos de detección de intrusos</t>
        </is>
      </c>
    </row>
    <row r="41">
      <c r="A41" s="13" t="inlineStr">
        <is>
          <t>V39</t>
        </is>
      </c>
      <c r="B41" s="10" t="inlineStr">
        <is>
          <t xml:space="preserve"> Incapacidad para identificar y gestionar incidentes</t>
        </is>
      </c>
    </row>
    <row r="42">
      <c r="A42" s="13" t="inlineStr">
        <is>
          <t>V40</t>
        </is>
      </c>
      <c r="B42" s="10" t="inlineStr">
        <is>
          <t xml:space="preserve"> Respuestas a incidentes no documentadas ni evaluadas</t>
        </is>
      </c>
    </row>
    <row r="43">
      <c r="A43" s="13" t="inlineStr">
        <is>
          <t>V41</t>
        </is>
      </c>
      <c r="B43" s="10" t="inlineStr">
        <is>
          <t xml:space="preserve"> Políticas de seguridad obsoletas o no aplicadas</t>
        </is>
      </c>
    </row>
    <row r="44">
      <c r="A44" s="13" t="inlineStr">
        <is>
          <t>V42</t>
        </is>
      </c>
      <c r="B44" s="10" t="inlineStr">
        <is>
          <t xml:space="preserve"> Ausencia de evaluación periódica de riesgos</t>
        </is>
      </c>
    </row>
    <row r="45">
      <c r="A45" s="13" t="inlineStr">
        <is>
          <t>V43</t>
        </is>
      </c>
      <c r="B45" s="10" t="inlineStr">
        <is>
          <t xml:space="preserve"> Fallas en la cadena de suministro de TIC</t>
        </is>
      </c>
    </row>
    <row r="46">
      <c r="A46" s="13" t="inlineStr">
        <is>
          <t>V44</t>
        </is>
      </c>
      <c r="B46" s="10" t="inlineStr">
        <is>
          <t xml:space="preserve"> Uso de dispositivos personales sin control</t>
        </is>
      </c>
    </row>
    <row r="47">
      <c r="A47" s="13" t="inlineStr">
        <is>
          <t>V45</t>
        </is>
      </c>
      <c r="B47" s="10" t="inlineStr">
        <is>
          <t xml:space="preserve"> Ausencia de segregación de funciones críticas</t>
        </is>
      </c>
    </row>
    <row r="48">
      <c r="A48" s="13" t="inlineStr">
        <is>
          <t>V46</t>
        </is>
      </c>
      <c r="B48" s="10" t="inlineStr">
        <is>
          <t xml:space="preserve"> Contraseñas almacenadas en texto plano</t>
        </is>
      </c>
    </row>
    <row r="49">
      <c r="A49" s="13" t="inlineStr">
        <is>
          <t>V47</t>
        </is>
      </c>
      <c r="B49" s="36" t="inlineStr">
        <is>
          <t xml:space="preserve"> Falta de prácticas de seguridad de la información</t>
        </is>
      </c>
    </row>
    <row r="50">
      <c r="A50" s="35" t="inlineStr">
        <is>
          <t>V48</t>
        </is>
      </c>
      <c r="B50" s="10" t="inlineStr">
        <is>
          <t>Falta de revisión y aprobación formal de manuales y procedimeintos</t>
        </is>
      </c>
    </row>
    <row r="51">
      <c r="A51" s="35" t="inlineStr">
        <is>
          <t>V49</t>
        </is>
      </c>
      <c r="B51" s="37" t="inlineStr">
        <is>
          <t>Instalación física sin protexión</t>
        </is>
      </c>
    </row>
    <row r="52">
      <c r="A52" s="35" t="inlineStr">
        <is>
          <t>V50</t>
        </is>
      </c>
      <c r="B52" s="37" t="inlineStr">
        <is>
          <t>Dependiencia de un solo usuario/empleado administrador</t>
        </is>
      </c>
    </row>
  </sheetData>
  <mergeCells count="1">
    <mergeCell ref="A1:B1"/>
  </mergeCells>
  <pageMargins left="0.7" right="0.7" top="0.75" bottom="0.75" header="0.3" footer="0.3"/>
</worksheet>
</file>

<file path=xl/worksheets/sheet8.xml><?xml version="1.0" encoding="utf-8"?>
<worksheet xmlns="http://schemas.openxmlformats.org/spreadsheetml/2006/main">
  <sheetPr filterMode="1">
    <outlinePr summaryBelow="1" summaryRight="1"/>
    <pageSetUpPr/>
  </sheetPr>
  <dimension ref="A1:N46"/>
  <sheetViews>
    <sheetView topLeftCell="A3" workbookViewId="0">
      <selection activeCell="C21" sqref="C21"/>
    </sheetView>
  </sheetViews>
  <sheetFormatPr baseColWidth="10" defaultColWidth="11.5" defaultRowHeight="11.25"/>
  <cols>
    <col width="21.6640625" customWidth="1" style="16" min="1" max="1"/>
    <col width="42.1640625" customWidth="1" style="38" min="2" max="2"/>
    <col width="105.5" customWidth="1" style="16" min="3" max="3"/>
    <col width="19.5" bestFit="1" customWidth="1" style="38" min="4" max="4"/>
    <col width="7.6640625" customWidth="1" style="16" min="5" max="5"/>
    <col width="5" customWidth="1" style="16" min="6" max="6"/>
    <col width="7.1640625" customWidth="1" style="16" min="7" max="7"/>
    <col width="8.6640625" customWidth="1" style="16" min="8" max="8"/>
    <col width="8.5" customWidth="1" style="16" min="9" max="9"/>
    <col width="7.6640625" customWidth="1" style="16" min="10" max="10"/>
    <col width="8.5" customWidth="1" style="16" min="11" max="11"/>
    <col width="7.1640625" customWidth="1" style="16" min="12" max="12"/>
    <col width="6.5" customWidth="1" style="16" min="13" max="14"/>
    <col width="11.5" customWidth="1" style="16" min="15" max="18"/>
    <col width="11.5" customWidth="1" style="16" min="19" max="16384"/>
  </cols>
  <sheetData>
    <row r="1">
      <c r="A1" s="17" t="n"/>
      <c r="B1" s="34" t="n"/>
      <c r="C1" s="17" t="n"/>
      <c r="D1" s="34" t="n"/>
      <c r="E1" s="107" t="inlineStr">
        <is>
          <t>TIPOS DE ACTIVOS</t>
        </is>
      </c>
      <c r="F1" s="98" t="n"/>
      <c r="G1" s="98" t="n"/>
      <c r="H1" s="98" t="n"/>
      <c r="I1" s="98" t="n"/>
      <c r="J1" s="98" t="n"/>
      <c r="K1" s="98" t="n"/>
      <c r="L1" s="98" t="n"/>
      <c r="M1" s="98" t="n"/>
      <c r="N1" s="99" t="n"/>
    </row>
    <row r="2" ht="101.1" customHeight="1" s="106">
      <c r="A2" s="44" t="inlineStr">
        <is>
          <t>TIPOS DE AMENAZA</t>
        </is>
      </c>
      <c r="B2" s="43" t="inlineStr">
        <is>
          <t>AMENAZA</t>
        </is>
      </c>
      <c r="C2" s="43" t="inlineStr">
        <is>
          <t>DESCRIPCION</t>
        </is>
      </c>
      <c r="D2" s="43" t="inlineStr">
        <is>
          <t>DIMENSIONES</t>
        </is>
      </c>
      <c r="E2" s="42" t="inlineStr">
        <is>
          <t>[D] Datos / Información / datos de configuración</t>
        </is>
      </c>
      <c r="F2" s="42" t="inlineStr">
        <is>
          <t>[K] Claves criptográficas</t>
        </is>
      </c>
      <c r="G2" s="42" t="inlineStr">
        <is>
          <t>[S] Servicios</t>
        </is>
      </c>
      <c r="H2" s="42" t="inlineStr">
        <is>
          <t>[SW] Software - Aplicaciones informáticas</t>
        </is>
      </c>
      <c r="I2" s="42" t="inlineStr">
        <is>
          <t>[HW] Equipamiento informático (hardware)</t>
        </is>
      </c>
      <c r="J2" s="42" t="inlineStr">
        <is>
          <t>[COM] Redes de comunicaciones</t>
        </is>
      </c>
      <c r="K2" s="42" t="inlineStr">
        <is>
          <t>[Media] Soportes de información</t>
        </is>
      </c>
      <c r="L2" s="42" t="inlineStr">
        <is>
          <t>[AUX] equipamiento auxiliar</t>
        </is>
      </c>
      <c r="M2" s="42" t="inlineStr">
        <is>
          <t>[L] Instalaciones</t>
        </is>
      </c>
      <c r="N2" s="42" t="inlineStr">
        <is>
          <t>[P] Personal</t>
        </is>
      </c>
    </row>
    <row r="3" ht="12" customHeight="1" s="106">
      <c r="A3" s="47" t="inlineStr">
        <is>
          <t>[N] Desastres naturales</t>
        </is>
      </c>
      <c r="B3" s="34" t="inlineStr">
        <is>
          <t>[N.1] Fuego</t>
        </is>
      </c>
      <c r="C3" s="17" t="inlineStr">
        <is>
          <t>incendios: posibilidad de que el fuego acabe con recursos del sistema.</t>
        </is>
      </c>
      <c r="D3" s="34" t="inlineStr">
        <is>
          <t>[D] disponibilidad</t>
        </is>
      </c>
      <c r="E3" s="34" t="n"/>
      <c r="F3" s="34" t="n"/>
      <c r="G3" s="34" t="n"/>
      <c r="H3" s="34" t="n"/>
      <c r="I3" s="34" t="inlineStr">
        <is>
          <t>X</t>
        </is>
      </c>
      <c r="J3" s="34" t="n"/>
      <c r="K3" s="34" t="inlineStr">
        <is>
          <t>X</t>
        </is>
      </c>
      <c r="L3" s="34" t="inlineStr">
        <is>
          <t>X</t>
        </is>
      </c>
      <c r="M3" s="34" t="inlineStr">
        <is>
          <t>X</t>
        </is>
      </c>
      <c r="N3" s="34" t="n"/>
    </row>
    <row r="4" ht="12" customHeight="1" s="106">
      <c r="A4" s="47" t="inlineStr">
        <is>
          <t>[N] Desastres naturales</t>
        </is>
      </c>
      <c r="B4" s="34" t="inlineStr">
        <is>
          <t>[N.2] Daños por agua</t>
        </is>
      </c>
      <c r="C4" s="17" t="inlineStr">
        <is>
          <t>inundaciones: posibilidad de que el agua acabe con recursos del sistema.</t>
        </is>
      </c>
      <c r="D4" s="34" t="inlineStr">
        <is>
          <t>[D] disponibilidad</t>
        </is>
      </c>
      <c r="E4" s="34" t="n"/>
      <c r="F4" s="34" t="n"/>
      <c r="G4" s="34" t="n"/>
      <c r="H4" s="34" t="n"/>
      <c r="I4" s="34" t="inlineStr">
        <is>
          <t>X</t>
        </is>
      </c>
      <c r="J4" s="34" t="n"/>
      <c r="K4" s="34" t="inlineStr">
        <is>
          <t>X</t>
        </is>
      </c>
      <c r="L4" s="34" t="inlineStr">
        <is>
          <t>X</t>
        </is>
      </c>
      <c r="M4" s="34" t="inlineStr">
        <is>
          <t>X</t>
        </is>
      </c>
      <c r="N4" s="34" t="n"/>
    </row>
    <row r="5" ht="41.1" customHeight="1" s="106">
      <c r="A5" s="47" t="inlineStr">
        <is>
          <t>[N] Desastres naturales</t>
        </is>
      </c>
      <c r="B5" s="34" t="inlineStr">
        <is>
          <t>[N.*] Desastres naturales</t>
        </is>
      </c>
      <c r="C5" s="17" t="inlineStr">
        <is>
          <t>otros incidentes que se producen sin intervención humana: rayo, tormenta eléctrica, terremoto, ciclones, avalancha, corrimiento de tierras, ... Se excluyen desastres específicos tales como incendios (ver [N.1]) e inundaciones (ver [N.2]). Se excluye al personal por cuanto se ha previsto una amenaza específica [E.31] para cubrir la indisponibilidad involuntaria del personal sin entrar en sus causas.</t>
        </is>
      </c>
      <c r="D5" s="34" t="inlineStr">
        <is>
          <t>[D] disponibilidad</t>
        </is>
      </c>
      <c r="E5" s="34" t="n"/>
      <c r="F5" s="34" t="n"/>
      <c r="G5" s="34" t="n"/>
      <c r="H5" s="34" t="n"/>
      <c r="I5" s="34" t="inlineStr">
        <is>
          <t>X</t>
        </is>
      </c>
      <c r="J5" s="34" t="n"/>
      <c r="K5" s="34" t="inlineStr">
        <is>
          <t>X</t>
        </is>
      </c>
      <c r="L5" s="34" t="inlineStr">
        <is>
          <t>X</t>
        </is>
      </c>
      <c r="M5" s="34" t="inlineStr">
        <is>
          <t>X</t>
        </is>
      </c>
      <c r="N5" s="34" t="n"/>
    </row>
    <row r="6" hidden="1" ht="41.1" customHeight="1" s="106">
      <c r="A6" s="48" t="inlineStr">
        <is>
          <t>[E] Errores y fallos no intencionados</t>
        </is>
      </c>
      <c r="B6" s="34" t="inlineStr">
        <is>
          <t>[E.1] Errores de los usuarios</t>
        </is>
      </c>
      <c r="C6" s="17" t="inlineStr">
        <is>
          <t>equivocaciones de las personas cuando usan los servicios, datos, etc.</t>
        </is>
      </c>
      <c r="D6" s="34" t="inlineStr">
        <is>
          <t>[I] integridad 
[C] confidencialidad 
[D] disponibilidad</t>
        </is>
      </c>
      <c r="E6" s="34" t="inlineStr">
        <is>
          <t>X</t>
        </is>
      </c>
      <c r="F6" s="34" t="inlineStr">
        <is>
          <t>X</t>
        </is>
      </c>
      <c r="G6" s="34" t="inlineStr">
        <is>
          <t>X</t>
        </is>
      </c>
      <c r="H6" s="34" t="inlineStr">
        <is>
          <t>X</t>
        </is>
      </c>
      <c r="I6" s="34" t="n"/>
      <c r="J6" s="34" t="n"/>
      <c r="K6" s="34" t="inlineStr">
        <is>
          <t>X</t>
        </is>
      </c>
      <c r="L6" s="34" t="n"/>
      <c r="M6" s="34" t="n"/>
      <c r="N6" s="34" t="n"/>
    </row>
    <row r="7" ht="30.6" customHeight="1" s="106">
      <c r="A7" s="48" t="inlineStr">
        <is>
          <t>[E] Errores y fallos no intencionados</t>
        </is>
      </c>
      <c r="B7" s="34" t="inlineStr">
        <is>
          <t>[E.2] Errores del administrador</t>
        </is>
      </c>
      <c r="C7" s="17" t="inlineStr">
        <is>
          <t>equivocaciones de personas con responsabilidades de instalación y operación</t>
        </is>
      </c>
      <c r="D7" s="34" t="inlineStr">
        <is>
          <t>[I] integridad 
[C] confidencialidad 
[D] disponibilidad</t>
        </is>
      </c>
      <c r="E7" s="34" t="inlineStr">
        <is>
          <t>X</t>
        </is>
      </c>
      <c r="F7" s="34" t="inlineStr">
        <is>
          <t>X</t>
        </is>
      </c>
      <c r="G7" s="34" t="inlineStr">
        <is>
          <t>X</t>
        </is>
      </c>
      <c r="H7" s="34" t="inlineStr">
        <is>
          <t>X</t>
        </is>
      </c>
      <c r="I7" s="34" t="inlineStr">
        <is>
          <t>X</t>
        </is>
      </c>
      <c r="J7" s="34" t="inlineStr">
        <is>
          <t>X</t>
        </is>
      </c>
      <c r="K7" s="34" t="inlineStr">
        <is>
          <t>X</t>
        </is>
      </c>
      <c r="L7" s="34" t="n"/>
      <c r="M7" s="34" t="n"/>
      <c r="N7" s="34" t="n"/>
    </row>
    <row r="8" hidden="1" ht="20.45" customHeight="1" s="106">
      <c r="A8" s="48" t="inlineStr">
        <is>
          <t>[E] Errores y fallos no intencionados</t>
        </is>
      </c>
      <c r="B8" s="34" t="inlineStr">
        <is>
          <t>[E.3] Errores de monitorización (log)</t>
        </is>
      </c>
      <c r="C8" s="17" t="inlineStr">
        <is>
          <t>inadecuado registro de actividades: falta de registros, registros incompletos, registros incorrectamente fechados, registros incorrectamente atribuidos, …</t>
        </is>
      </c>
      <c r="D8" s="34" t="inlineStr">
        <is>
          <t>[I] integridad (trazabilidad)</t>
        </is>
      </c>
      <c r="E8" s="34" t="inlineStr">
        <is>
          <t>X</t>
        </is>
      </c>
      <c r="F8" s="34" t="n"/>
      <c r="G8" s="34" t="n"/>
      <c r="H8" s="34" t="n"/>
      <c r="I8" s="34" t="n"/>
      <c r="J8" s="34" t="n"/>
      <c r="K8" s="34" t="n"/>
      <c r="L8" s="34" t="n"/>
      <c r="M8" s="34" t="n"/>
      <c r="N8" s="34" t="n"/>
    </row>
    <row r="9" hidden="1" ht="20.45" customHeight="1" s="106">
      <c r="A9" s="48" t="inlineStr">
        <is>
          <t>[E] Errores y fallos no intencionados</t>
        </is>
      </c>
      <c r="B9" s="34" t="inlineStr">
        <is>
          <t>[E.4] Errores de configuración</t>
        </is>
      </c>
      <c r="C9" s="17" t="inlineStr">
        <is>
          <t>introducción de datos de configuración erróneos. Prácticamente todos los activos dependen de su configuración y ésta de la diligencia del administrador: privilegios de acceso, flujos de actividades, registro de actividad, encaminamiento, etc.</t>
        </is>
      </c>
      <c r="D9" s="34" t="inlineStr">
        <is>
          <t>[I] integridad</t>
        </is>
      </c>
      <c r="E9" s="34" t="inlineStr">
        <is>
          <t>X</t>
        </is>
      </c>
      <c r="F9" s="34" t="n"/>
      <c r="G9" s="34" t="n"/>
      <c r="H9" s="34" t="n"/>
      <c r="I9" s="34" t="n"/>
      <c r="J9" s="34" t="n"/>
      <c r="K9" s="34" t="n"/>
      <c r="L9" s="34" t="n"/>
      <c r="M9" s="34" t="n"/>
      <c r="N9" s="34" t="n"/>
    </row>
    <row r="10" hidden="1" ht="20.45" customHeight="1" s="106">
      <c r="A10" s="48" t="inlineStr">
        <is>
          <t>[E] Errores y fallos no intencionados</t>
        </is>
      </c>
      <c r="B10" s="34" t="inlineStr">
        <is>
          <t>[E.7] Deficiencias en la organización</t>
        </is>
      </c>
      <c r="C10" s="17" t="inlineStr">
        <is>
          <t>cuando no está claro quién tiene que hacer exactamente qué y cuándo, incluyendo tomar medidas sobre los activos o informar a la jerarquía de gestión. Acciones descoordinadas, errores por omisión, etc.</t>
        </is>
      </c>
      <c r="D10" s="34" t="inlineStr">
        <is>
          <t>[D] disponibilidad</t>
        </is>
      </c>
      <c r="E10" s="34" t="n"/>
      <c r="F10" s="34" t="n"/>
      <c r="G10" s="34" t="n"/>
      <c r="H10" s="34" t="n"/>
      <c r="I10" s="34" t="n"/>
      <c r="J10" s="34" t="n"/>
      <c r="K10" s="34" t="n"/>
      <c r="L10" s="34" t="n"/>
      <c r="M10" s="34" t="n"/>
      <c r="N10" s="34" t="inlineStr">
        <is>
          <t>X</t>
        </is>
      </c>
    </row>
    <row r="11" hidden="1" ht="30.6" customHeight="1" s="106">
      <c r="A11" s="48" t="inlineStr">
        <is>
          <t>[E] Errores y fallos no intencionados</t>
        </is>
      </c>
      <c r="B11" s="34" t="inlineStr">
        <is>
          <t>[E.8] Difusión de software dañino</t>
        </is>
      </c>
      <c r="C11" s="17" t="inlineStr">
        <is>
          <t>propagación inocente de virus, espías (spyware), gusanos, troyanos, bombas lógicas, etc.</t>
        </is>
      </c>
      <c r="D11" s="34" t="inlineStr">
        <is>
          <t>[I] integridad 
[C] confidencialidad 
[D] disponibilidad</t>
        </is>
      </c>
      <c r="E11" s="34" t="n"/>
      <c r="F11" s="34" t="n"/>
      <c r="G11" s="34" t="n"/>
      <c r="H11" s="34" t="inlineStr">
        <is>
          <t>X</t>
        </is>
      </c>
      <c r="I11" s="34" t="n"/>
      <c r="J11" s="34" t="n"/>
      <c r="K11" s="34" t="n"/>
      <c r="L11" s="34" t="n"/>
      <c r="M11" s="34" t="n"/>
      <c r="N11" s="34" t="n"/>
    </row>
    <row r="12" hidden="1" ht="41.1" customHeight="1" s="106">
      <c r="A12" s="48" t="inlineStr">
        <is>
          <t>[E] Errores y fallos no intencionados</t>
        </is>
      </c>
      <c r="B12" s="34" t="inlineStr">
        <is>
          <t>[E.9] Errores de [re-]encaminamiento</t>
        </is>
      </c>
      <c r="C12" s="17" t="inlineStr">
        <is>
          <t>envío de información a través de un sistema o una red usando, accidentalmente, una ruta incorrecta que lleve la información a donde o por donde no es debido; puede tratarse de mensajes entre personas, entre procesos o entre unos y otros. Es particularmente destacable el caso de que el error de encaminamiento suponga un error de entrega, acabando la información en manos de quien no se espera.</t>
        </is>
      </c>
      <c r="D12" s="34" t="inlineStr">
        <is>
          <t>[C] confidencialidad</t>
        </is>
      </c>
      <c r="E12" s="34" t="n"/>
      <c r="F12" s="34" t="n"/>
      <c r="G12" s="34" t="inlineStr">
        <is>
          <t>X</t>
        </is>
      </c>
      <c r="H12" s="34" t="inlineStr">
        <is>
          <t>X</t>
        </is>
      </c>
      <c r="I12" s="34" t="n"/>
      <c r="J12" s="34" t="inlineStr">
        <is>
          <t>X</t>
        </is>
      </c>
      <c r="K12" s="34" t="n"/>
      <c r="L12" s="34" t="n"/>
      <c r="M12" s="34" t="n"/>
      <c r="N12" s="34" t="n"/>
    </row>
    <row r="13" hidden="1" ht="20.45" customHeight="1" s="106">
      <c r="A13" s="48" t="inlineStr">
        <is>
          <t>[E] Errores y fallos no intencionados</t>
        </is>
      </c>
      <c r="B13" s="34" t="inlineStr">
        <is>
          <t>[E.10] Errores de secuencia</t>
        </is>
      </c>
      <c r="C13" s="17" t="inlineStr">
        <is>
          <t>alteración accidental del orden de los mensajes transmitidos.</t>
        </is>
      </c>
      <c r="D13" s="34" t="inlineStr">
        <is>
          <t>[I] integridad</t>
        </is>
      </c>
      <c r="E13" s="34" t="n"/>
      <c r="F13" s="34" t="n"/>
      <c r="G13" s="34" t="inlineStr">
        <is>
          <t>X</t>
        </is>
      </c>
      <c r="H13" s="34" t="inlineStr">
        <is>
          <t>X</t>
        </is>
      </c>
      <c r="I13" s="34" t="n"/>
      <c r="J13" s="34" t="inlineStr">
        <is>
          <t>X</t>
        </is>
      </c>
      <c r="K13" s="34" t="n"/>
      <c r="L13" s="34" t="n"/>
      <c r="M13" s="34" t="n"/>
      <c r="N13" s="34" t="n"/>
    </row>
    <row r="14" hidden="1" ht="20.45" customHeight="1" s="106">
      <c r="A14" s="48" t="inlineStr">
        <is>
          <t>[E] Errores y fallos no intencionados</t>
        </is>
      </c>
      <c r="B14" s="34" t="inlineStr">
        <is>
          <t>[E.15] Alteración accidental de la información</t>
        </is>
      </c>
      <c r="C14" s="17" t="inlineStr">
        <is>
          <t>alteración accidental de la información. Esta amenaza sólo se identifica sobre datos en general, pues cuando la información está en algún soporte informático, hay amenazas específicas.</t>
        </is>
      </c>
      <c r="D14" s="34" t="inlineStr">
        <is>
          <t>[I] integridad</t>
        </is>
      </c>
      <c r="E14" s="34" t="inlineStr">
        <is>
          <t>X</t>
        </is>
      </c>
      <c r="F14" s="34" t="inlineStr">
        <is>
          <t>X</t>
        </is>
      </c>
      <c r="G14" s="34" t="inlineStr">
        <is>
          <t>X</t>
        </is>
      </c>
      <c r="H14" s="34" t="inlineStr">
        <is>
          <t>X</t>
        </is>
      </c>
      <c r="I14" s="34" t="n"/>
      <c r="J14" s="34" t="inlineStr">
        <is>
          <t>X</t>
        </is>
      </c>
      <c r="K14" s="34" t="inlineStr">
        <is>
          <t>X</t>
        </is>
      </c>
      <c r="L14" s="34" t="n"/>
      <c r="M14" s="34" t="inlineStr">
        <is>
          <t>X</t>
        </is>
      </c>
      <c r="N14" s="34" t="n"/>
    </row>
    <row r="15" hidden="1" ht="20.45" customHeight="1" s="106">
      <c r="A15" s="48" t="inlineStr">
        <is>
          <t>[E] Errores y fallos no intencionados</t>
        </is>
      </c>
      <c r="B15" s="34" t="inlineStr">
        <is>
          <t>[E.18] Destrucción de información</t>
        </is>
      </c>
      <c r="C15" s="17" t="inlineStr">
        <is>
          <t>pérdida accidental de información. Esta amenaza sólo se identifica sobre datos en general, pues cuando la información está en algún soporte informático, hay amenazas específicas.</t>
        </is>
      </c>
      <c r="D15" s="34" t="inlineStr">
        <is>
          <t>[D] disponibilidad</t>
        </is>
      </c>
      <c r="E15" s="34" t="inlineStr">
        <is>
          <t>X</t>
        </is>
      </c>
      <c r="F15" s="34" t="inlineStr">
        <is>
          <t>X</t>
        </is>
      </c>
      <c r="G15" s="34" t="inlineStr">
        <is>
          <t>X</t>
        </is>
      </c>
      <c r="H15" s="34" t="inlineStr">
        <is>
          <t>X</t>
        </is>
      </c>
      <c r="I15" s="34" t="n"/>
      <c r="J15" s="34" t="inlineStr">
        <is>
          <t>X</t>
        </is>
      </c>
      <c r="K15" s="34" t="inlineStr">
        <is>
          <t>X</t>
        </is>
      </c>
      <c r="L15" s="34" t="n"/>
      <c r="M15" s="34" t="inlineStr">
        <is>
          <t>X</t>
        </is>
      </c>
      <c r="N15" s="34" t="n"/>
    </row>
    <row r="16" hidden="1" ht="20.45" customHeight="1" s="106">
      <c r="A16" s="48" t="inlineStr">
        <is>
          <t>[E] Errores y fallos no intencionados</t>
        </is>
      </c>
      <c r="B16" s="34" t="inlineStr">
        <is>
          <t>[E.19] Fugas de información</t>
        </is>
      </c>
      <c r="C16" s="17" t="inlineStr">
        <is>
          <t>revelación por indiscreción. Incontinencia verbal, medios electrónicos, soporte papel, etc.</t>
        </is>
      </c>
      <c r="D16" s="34" t="inlineStr">
        <is>
          <t>[C] confidencialidad</t>
        </is>
      </c>
      <c r="E16" s="34" t="inlineStr">
        <is>
          <t>X</t>
        </is>
      </c>
      <c r="F16" s="34" t="inlineStr">
        <is>
          <t>X</t>
        </is>
      </c>
      <c r="G16" s="34" t="inlineStr">
        <is>
          <t>X</t>
        </is>
      </c>
      <c r="H16" s="34" t="inlineStr">
        <is>
          <t>X</t>
        </is>
      </c>
      <c r="I16" s="34" t="n"/>
      <c r="J16" s="34" t="inlineStr">
        <is>
          <t>X</t>
        </is>
      </c>
      <c r="K16" s="34" t="inlineStr">
        <is>
          <t>X</t>
        </is>
      </c>
      <c r="L16" s="34" t="n"/>
      <c r="M16" s="34" t="inlineStr">
        <is>
          <t>X</t>
        </is>
      </c>
      <c r="N16" s="34" t="inlineStr">
        <is>
          <t>X</t>
        </is>
      </c>
    </row>
    <row r="17" hidden="1" ht="30.6" customHeight="1" s="106">
      <c r="A17" s="48" t="inlineStr">
        <is>
          <t>[E] Errores y fallos no intencionados</t>
        </is>
      </c>
      <c r="B17" s="34" t="inlineStr">
        <is>
          <t>[E.20] Vulnerabilidades de los programas (software)</t>
        </is>
      </c>
      <c r="C17" s="17" t="inlineStr">
        <is>
          <t>defectos en el código que dan pie a una operación defectuosa sin intención por parte del usuario pero con consecuencias sobre la integridad de los datos o la capacidad misma de operar.</t>
        </is>
      </c>
      <c r="D17" s="34" t="inlineStr">
        <is>
          <t>[I] integridad 
[C] confidencialidad 
[D] disponibilidad</t>
        </is>
      </c>
      <c r="E17" s="34" t="n"/>
      <c r="F17" s="34" t="n"/>
      <c r="G17" s="34" t="n"/>
      <c r="H17" s="34" t="inlineStr">
        <is>
          <t>X</t>
        </is>
      </c>
      <c r="I17" s="34" t="n"/>
      <c r="J17" s="34" t="n"/>
      <c r="K17" s="34" t="n"/>
      <c r="L17" s="34" t="n"/>
      <c r="M17" s="34" t="n"/>
      <c r="N17" s="34" t="n"/>
    </row>
    <row r="18" hidden="1" ht="20.45" customHeight="1" s="106">
      <c r="A18" s="48" t="inlineStr">
        <is>
          <t>[E] Errores y fallos no intencionados</t>
        </is>
      </c>
      <c r="B18" s="34" t="inlineStr">
        <is>
          <t>[E.21] Errores de mantenimiento / actualización de programas (software)</t>
        </is>
      </c>
      <c r="C18" s="17" t="inlineStr">
        <is>
          <t>defectos en los procedimientos o controles de actualización del código que permiten que sigan utilizándose programas con defectos conocidos y reparados por el fabricante.</t>
        </is>
      </c>
      <c r="D18" s="34" t="inlineStr">
        <is>
          <t>[I] integridad 
[D] disponibilidad</t>
        </is>
      </c>
      <c r="E18" s="34" t="n"/>
      <c r="F18" s="34" t="n"/>
      <c r="G18" s="34" t="n"/>
      <c r="H18" s="34" t="inlineStr">
        <is>
          <t>X</t>
        </is>
      </c>
      <c r="I18" s="34" t="n"/>
      <c r="J18" s="34" t="n"/>
      <c r="K18" s="34" t="n"/>
      <c r="L18" s="34" t="n"/>
      <c r="M18" s="34" t="n"/>
      <c r="N18" s="34" t="n"/>
    </row>
    <row r="19" ht="20.45" customHeight="1" s="106">
      <c r="A19" s="48" t="inlineStr">
        <is>
          <t>[E] Errores y fallos no intencionados</t>
        </is>
      </c>
      <c r="B19" s="34" t="inlineStr">
        <is>
          <t>[E.23] Errores de mantenimiento / actualización de equipos (hardware)</t>
        </is>
      </c>
      <c r="C19" s="17" t="inlineStr">
        <is>
          <t>defectos en los procedimientos o controles de actualización de los equipos que permiten que sigan utilizándose más allá del tiempo nominal de uso.</t>
        </is>
      </c>
      <c r="D19" s="34" t="inlineStr">
        <is>
          <t>[D] disponibilidad</t>
        </is>
      </c>
      <c r="E19" s="34" t="n"/>
      <c r="F19" s="34" t="n"/>
      <c r="G19" s="34" t="n"/>
      <c r="H19" s="34" t="n"/>
      <c r="I19" s="34" t="inlineStr">
        <is>
          <t>X</t>
        </is>
      </c>
      <c r="J19" s="34" t="n"/>
      <c r="K19" s="34" t="inlineStr">
        <is>
          <t>X</t>
        </is>
      </c>
      <c r="L19" s="34" t="inlineStr">
        <is>
          <t>X</t>
        </is>
      </c>
      <c r="M19" s="34" t="n"/>
      <c r="N19" s="34" t="n"/>
    </row>
    <row r="20" ht="20.45" customHeight="1" s="106">
      <c r="A20" s="48" t="inlineStr">
        <is>
          <t>[E] Errores y fallos no intencionados</t>
        </is>
      </c>
      <c r="B20" s="34" t="inlineStr">
        <is>
          <t>[E.24] Caída del sistema por agotamiento de recursos</t>
        </is>
      </c>
      <c r="C20" s="17" t="inlineStr">
        <is>
          <t>la carencia de recursos suficientes provoca la caída del sistema cuando la carga de trabajo es desmesurada.</t>
        </is>
      </c>
      <c r="D20" s="34" t="inlineStr">
        <is>
          <t>[D] disponibilidad</t>
        </is>
      </c>
      <c r="E20" s="34" t="n"/>
      <c r="F20" s="34" t="n"/>
      <c r="G20" s="34" t="inlineStr">
        <is>
          <t>X</t>
        </is>
      </c>
      <c r="H20" s="34" t="n"/>
      <c r="I20" s="34" t="inlineStr">
        <is>
          <t>X</t>
        </is>
      </c>
      <c r="J20" s="34" t="inlineStr">
        <is>
          <t>X</t>
        </is>
      </c>
      <c r="K20" s="34" t="n"/>
      <c r="L20" s="34" t="n"/>
      <c r="M20" s="34" t="n"/>
      <c r="N20" s="34" t="n"/>
    </row>
    <row r="21" ht="30.6" customHeight="1" s="106">
      <c r="A21" s="48" t="inlineStr">
        <is>
          <t>[E] Errores y fallos no intencionados</t>
        </is>
      </c>
      <c r="B21" s="34" t="inlineStr">
        <is>
          <t>[E.25] Pérdida de equipos</t>
        </is>
      </c>
      <c r="C21" s="17" t="inlineStr">
        <is>
          <t>la pérdida de equipos provoca directamente la carencia de un medio para prestar los servicios, es decir una indisponibilidad. Se puede perder todo tipo de equipamiento, siendo la pérdida de equipos y soportes de información los más habituales. En el caso de equipos que hospedan datos, además se puede sufrir una fuga de información.</t>
        </is>
      </c>
      <c r="D21" s="34" t="inlineStr">
        <is>
          <t xml:space="preserve">
[C] confidencialidad 
[D] disponibilidad</t>
        </is>
      </c>
      <c r="E21" s="34" t="n"/>
      <c r="F21" s="34" t="n"/>
      <c r="G21" s="34" t="n"/>
      <c r="H21" s="34" t="n"/>
      <c r="I21" s="34" t="inlineStr">
        <is>
          <t>X</t>
        </is>
      </c>
      <c r="J21" s="34" t="n"/>
      <c r="K21" s="34" t="inlineStr">
        <is>
          <t>X</t>
        </is>
      </c>
      <c r="L21" s="34" t="inlineStr">
        <is>
          <t>X</t>
        </is>
      </c>
      <c r="M21" s="34" t="n"/>
      <c r="N21" s="34" t="n"/>
    </row>
    <row r="22" hidden="1" ht="20.45" customHeight="1" s="106">
      <c r="A22" s="48" t="inlineStr">
        <is>
          <t>[E] Errores y fallos no intencionados</t>
        </is>
      </c>
      <c r="B22" s="34" t="inlineStr">
        <is>
          <t>[E.28] Indisponibilidad del personal</t>
        </is>
      </c>
      <c r="C22" s="17" t="inlineStr">
        <is>
          <t>ausencia accidental del puesto de trabajo: enfermedad, alteraciones del orden público, guerra bacteriológica, …</t>
        </is>
      </c>
      <c r="D22" s="34" t="inlineStr">
        <is>
          <t>[D] disponibilidad</t>
        </is>
      </c>
      <c r="E22" s="34" t="n"/>
      <c r="F22" s="34" t="n"/>
      <c r="G22" s="34" t="n"/>
      <c r="H22" s="34" t="n"/>
      <c r="I22" s="34" t="n"/>
      <c r="J22" s="34" t="n"/>
      <c r="K22" s="34" t="n"/>
      <c r="L22" s="34" t="n"/>
      <c r="M22" s="34" t="n"/>
      <c r="N22" s="34" t="inlineStr">
        <is>
          <t>X</t>
        </is>
      </c>
    </row>
    <row r="23" hidden="1" ht="20.45" customHeight="1" s="106">
      <c r="A23" s="49" t="inlineStr">
        <is>
          <t>[A] Ataques intencionados</t>
        </is>
      </c>
      <c r="B23" s="34" t="inlineStr">
        <is>
          <t>[A.3] Manipulación de los registros de actividad (log)</t>
        </is>
      </c>
      <c r="C23" s="17" t="n"/>
      <c r="D23" s="34" t="inlineStr">
        <is>
          <t>[I] integridad (trazabilidad)</t>
        </is>
      </c>
      <c r="E23" s="34" t="inlineStr">
        <is>
          <t>X</t>
        </is>
      </c>
      <c r="F23" s="34" t="n"/>
      <c r="G23" s="34" t="n"/>
      <c r="H23" s="34" t="n"/>
      <c r="I23" s="34" t="n"/>
      <c r="J23" s="34" t="n"/>
      <c r="K23" s="34" t="n"/>
      <c r="L23" s="34" t="n"/>
      <c r="M23" s="34" t="n"/>
      <c r="N23" s="34" t="n"/>
    </row>
    <row r="24" hidden="1" ht="30.6" customHeight="1" s="106">
      <c r="A24" s="49" t="inlineStr">
        <is>
          <t>[A] Ataques intencionados</t>
        </is>
      </c>
      <c r="B24" s="34" t="inlineStr">
        <is>
          <t>[A.4] Manipulación de la configuración</t>
        </is>
      </c>
      <c r="C24" s="17" t="inlineStr">
        <is>
          <t>prácticamente todos los activos dependen de su configuración y ésta de la diligencia del administrador: privilegios de acceso, flujos de actividades, registro de actividad, encaminamiento, etc.</t>
        </is>
      </c>
      <c r="D24" s="34" t="inlineStr">
        <is>
          <t>[I] integridad 
[C] confidencialidad 
[A] Autenticidad</t>
        </is>
      </c>
      <c r="E24" s="34" t="inlineStr">
        <is>
          <t>X</t>
        </is>
      </c>
      <c r="F24" s="34" t="n"/>
      <c r="G24" s="34" t="n"/>
      <c r="H24" s="34" t="n"/>
      <c r="I24" s="34" t="n"/>
      <c r="J24" s="34" t="n"/>
      <c r="K24" s="34" t="n"/>
      <c r="L24" s="34" t="n"/>
      <c r="M24" s="34" t="n"/>
      <c r="N24" s="34" t="n"/>
    </row>
    <row r="25" hidden="1" ht="30.6" customHeight="1" s="106">
      <c r="A25" s="49" t="inlineStr">
        <is>
          <t>[A] Ataques intencionados</t>
        </is>
      </c>
      <c r="B25" s="34" t="inlineStr">
        <is>
          <t>[A.5] Suplantación de la identidad del usuario</t>
        </is>
      </c>
      <c r="C25" s="17" t="inlineStr">
        <is>
          <t>cuando un atacante consigue hacerse pasar por un usuario autorizado, disfruta de los privilegios de este para sus fines propios. Esta amenaza puede ser perpetrada por personal interno, por personas ajenas a la Organización o por personal contratado temporalmente.</t>
        </is>
      </c>
      <c r="D25" s="34" t="inlineStr">
        <is>
          <t>[I] integridad 
[C] confidencialidad 
[A] Autenticidad</t>
        </is>
      </c>
      <c r="E25" s="34" t="inlineStr">
        <is>
          <t>X</t>
        </is>
      </c>
      <c r="F25" s="34" t="inlineStr">
        <is>
          <t>X</t>
        </is>
      </c>
      <c r="G25" s="34" t="inlineStr">
        <is>
          <t>X</t>
        </is>
      </c>
      <c r="H25" s="34" t="inlineStr">
        <is>
          <t>X</t>
        </is>
      </c>
      <c r="I25" s="34" t="n"/>
      <c r="J25" s="34" t="inlineStr">
        <is>
          <t>X</t>
        </is>
      </c>
      <c r="K25" s="34" t="n"/>
      <c r="L25" s="34" t="n"/>
      <c r="M25" s="34" t="n"/>
      <c r="N25" s="34" t="n"/>
    </row>
    <row r="26" ht="30.6" customHeight="1" s="106">
      <c r="A26" s="49" t="inlineStr">
        <is>
          <t>[A] Ataques intencionados</t>
        </is>
      </c>
      <c r="B26" s="34" t="inlineStr">
        <is>
          <t>[A.6] Abuso de privilegios de acceso</t>
        </is>
      </c>
      <c r="C26" s="17" t="inlineStr">
        <is>
          <t>cada usuario disfruta de un nivel de privilegios para un determinado propósito; cuando un usuario abusa de su nivel de privilegios para realizar tareas que no son de su competencia, hay problemas.</t>
        </is>
      </c>
      <c r="D26" s="34" t="inlineStr">
        <is>
          <t>[I] integridad 
[C] confidencialidad 
[D] disponibilidad</t>
        </is>
      </c>
      <c r="E26" s="34" t="inlineStr">
        <is>
          <t>X</t>
        </is>
      </c>
      <c r="F26" s="34" t="inlineStr">
        <is>
          <t>X</t>
        </is>
      </c>
      <c r="G26" s="34" t="inlineStr">
        <is>
          <t>X</t>
        </is>
      </c>
      <c r="H26" s="34" t="inlineStr">
        <is>
          <t>X</t>
        </is>
      </c>
      <c r="I26" s="34" t="inlineStr">
        <is>
          <t>X</t>
        </is>
      </c>
      <c r="J26" s="34" t="inlineStr">
        <is>
          <t>X</t>
        </is>
      </c>
      <c r="K26" s="34" t="n"/>
      <c r="L26" s="34" t="n"/>
      <c r="M26" s="34" t="n"/>
      <c r="N26" s="34" t="n"/>
    </row>
    <row r="27" ht="30.6" customHeight="1" s="106">
      <c r="A27" s="49" t="inlineStr">
        <is>
          <t>[A] Ataques intencionados</t>
        </is>
      </c>
      <c r="B27" s="34" t="inlineStr">
        <is>
          <t>[A.7] Uso no previsto</t>
        </is>
      </c>
      <c r="C27" s="17" t="inlineStr">
        <is>
          <t>utilización de los recursos del sistema para fines no previstos, típicamente de interés personal: juegos, consultas personales en Internet, bases de datos personales, programas personales, almacenamiento de datos personales, etc.</t>
        </is>
      </c>
      <c r="D27" s="34" t="inlineStr">
        <is>
          <t>[I] integridad 
[C] confidencialidad 
[D] disponibilidad</t>
        </is>
      </c>
      <c r="E27" s="34" t="inlineStr">
        <is>
          <t>X</t>
        </is>
      </c>
      <c r="F27" s="34" t="n"/>
      <c r="G27" s="34" t="n"/>
      <c r="H27" s="34" t="inlineStr">
        <is>
          <t>X</t>
        </is>
      </c>
      <c r="I27" s="34" t="inlineStr">
        <is>
          <t>X</t>
        </is>
      </c>
      <c r="J27" s="34" t="inlineStr">
        <is>
          <t>X</t>
        </is>
      </c>
      <c r="K27" s="34" t="inlineStr">
        <is>
          <t>X</t>
        </is>
      </c>
      <c r="L27" s="34" t="inlineStr">
        <is>
          <t>X</t>
        </is>
      </c>
      <c r="M27" s="34" t="inlineStr">
        <is>
          <t>X</t>
        </is>
      </c>
      <c r="N27" s="34" t="n"/>
    </row>
    <row r="28" hidden="1" ht="30.6" customHeight="1" s="106">
      <c r="A28" s="49" t="inlineStr">
        <is>
          <t>[A] Ataques intencionados</t>
        </is>
      </c>
      <c r="B28" s="34" t="inlineStr">
        <is>
          <t>[A.8] Difusión de software dañino</t>
        </is>
      </c>
      <c r="C28" s="17" t="inlineStr">
        <is>
          <t>propagación intencionada de virus, espías (spyware), gusanos, troyanos, bombas lógicas, etc.</t>
        </is>
      </c>
      <c r="D28" s="34" t="inlineStr">
        <is>
          <t>[I] integridad 
[C] confidencialidad 
[D] disponibilidad</t>
        </is>
      </c>
      <c r="E28" s="34" t="n"/>
      <c r="F28" s="34" t="n"/>
      <c r="G28" s="34" t="n"/>
      <c r="H28" s="34" t="inlineStr">
        <is>
          <t>X</t>
        </is>
      </c>
      <c r="I28" s="34" t="n"/>
      <c r="J28" s="34" t="n"/>
      <c r="K28" s="34" t="n"/>
      <c r="L28" s="34" t="n"/>
      <c r="M28" s="34" t="n"/>
      <c r="N28" s="34" t="n"/>
    </row>
    <row r="29" hidden="1" ht="51" customHeight="1" s="106">
      <c r="A29" s="49" t="inlineStr">
        <is>
          <t>[A] Ataques intencionados</t>
        </is>
      </c>
      <c r="B29" s="34" t="inlineStr">
        <is>
          <t>[A.9] [Re-]encaminamiento de mensajes</t>
        </is>
      </c>
      <c r="C29" s="17" t="inlineStr">
        <is>
          <t>envío de información a un destino incorrecto a través de un sistema o una red, que llevan la información a donde o por donde no es debido; puede tratarse de mensajes entre personas, entre procesos o entre unos y otros. Un atacante puede forzar un mensaje para circular a través de un nodo determinado de la red donde puede ser interceptado. Es particularmente destacable el caso de que el ataque de encaminamiento lleve a una entrega fraudulenta, acabando la información en manos de quien no debe.</t>
        </is>
      </c>
      <c r="D29" s="34" t="inlineStr">
        <is>
          <t>[C] confidencialidad</t>
        </is>
      </c>
      <c r="E29" s="34" t="n"/>
      <c r="F29" s="34" t="n"/>
      <c r="G29" s="34" t="inlineStr">
        <is>
          <t>X</t>
        </is>
      </c>
      <c r="H29" s="34" t="inlineStr">
        <is>
          <t>X</t>
        </is>
      </c>
      <c r="I29" s="34" t="n"/>
      <c r="J29" s="34" t="inlineStr">
        <is>
          <t>X</t>
        </is>
      </c>
      <c r="K29" s="34" t="n"/>
      <c r="L29" s="34" t="n"/>
      <c r="M29" s="34" t="n"/>
      <c r="N29" s="34" t="n"/>
    </row>
    <row r="30" hidden="1" ht="20.45" customHeight="1" s="106">
      <c r="A30" s="49" t="inlineStr">
        <is>
          <t>[A] Ataques intencionados</t>
        </is>
      </c>
      <c r="B30" s="34" t="inlineStr">
        <is>
          <t>[A.10] Alteración de secuencia</t>
        </is>
      </c>
      <c r="C30" s="17" t="inlineStr">
        <is>
          <t>alteración del orden de los mensajes transmitidos. Con ánimo de que el nuevo orden altere el significado del conjunto de mensajes, perjudicando a la integridad de los datos afectados.</t>
        </is>
      </c>
      <c r="D30" s="34" t="inlineStr">
        <is>
          <t>[I] integridad (trazabilidad)</t>
        </is>
      </c>
      <c r="E30" s="34" t="n"/>
      <c r="F30" s="34" t="n"/>
      <c r="G30" s="34" t="inlineStr">
        <is>
          <t>X</t>
        </is>
      </c>
      <c r="H30" s="34" t="inlineStr">
        <is>
          <t>X</t>
        </is>
      </c>
      <c r="I30" s="34" t="n"/>
      <c r="J30" s="34" t="inlineStr">
        <is>
          <t>X</t>
        </is>
      </c>
      <c r="K30" s="34" t="n"/>
      <c r="L30" s="34" t="n"/>
      <c r="M30" s="34" t="n"/>
      <c r="N30" s="34" t="n"/>
    </row>
    <row r="31" ht="20.45" customHeight="1" s="106">
      <c r="A31" s="49" t="inlineStr">
        <is>
          <t>[A] Ataques intencionados</t>
        </is>
      </c>
      <c r="B31" s="34" t="inlineStr">
        <is>
          <t>[A.11] Acceso no autorizado</t>
        </is>
      </c>
      <c r="C31" s="17" t="inlineStr">
        <is>
          <t>el atacante consigue acceder a los recursos del sistema sin tener autorización para ello, típicamente aprovechando un fallo del sistema de identificación y autorización.</t>
        </is>
      </c>
      <c r="D31" s="34" t="inlineStr">
        <is>
          <t>[I] integridad 
[C] confidencialidad</t>
        </is>
      </c>
      <c r="E31" s="34" t="inlineStr">
        <is>
          <t>X</t>
        </is>
      </c>
      <c r="F31" s="34" t="inlineStr">
        <is>
          <t>X</t>
        </is>
      </c>
      <c r="G31" s="34" t="inlineStr">
        <is>
          <t>X</t>
        </is>
      </c>
      <c r="H31" s="34" t="inlineStr">
        <is>
          <t>X</t>
        </is>
      </c>
      <c r="I31" s="34" t="inlineStr">
        <is>
          <t>X</t>
        </is>
      </c>
      <c r="J31" s="34" t="inlineStr">
        <is>
          <t>X</t>
        </is>
      </c>
      <c r="K31" s="34" t="inlineStr">
        <is>
          <t>X</t>
        </is>
      </c>
      <c r="L31" s="34" t="inlineStr">
        <is>
          <t>X</t>
        </is>
      </c>
      <c r="M31" s="34" t="inlineStr">
        <is>
          <t>X</t>
        </is>
      </c>
      <c r="N31" s="34" t="n"/>
    </row>
    <row r="32" hidden="1" ht="30.6" customHeight="1" s="106">
      <c r="A32" s="49" t="inlineStr">
        <is>
          <t>[A] Ataques intencionados</t>
        </is>
      </c>
      <c r="B32" s="34" t="inlineStr">
        <is>
          <t>[A.12] Análisis de tráfico</t>
        </is>
      </c>
      <c r="C32" s="17" t="inlineStr">
        <is>
          <t>el atacante, sin necesidad de entrar a analizar el contenido de las comunicaciones, es capaz de extraer conclusiones a partir del análisis del origen, destino, volumen y frecuencia de los intercambios. A veces se denomina “monitorización de tráfico”.</t>
        </is>
      </c>
      <c r="D32" s="34" t="inlineStr">
        <is>
          <t>[C] confidencialidad</t>
        </is>
      </c>
      <c r="E32" s="34" t="n"/>
      <c r="F32" s="34" t="n"/>
      <c r="G32" s="34" t="n"/>
      <c r="H32" s="34" t="n"/>
      <c r="I32" s="34" t="n"/>
      <c r="J32" s="34" t="inlineStr">
        <is>
          <t>X</t>
        </is>
      </c>
      <c r="K32" s="34" t="n"/>
      <c r="L32" s="34" t="n"/>
      <c r="M32" s="34" t="n"/>
      <c r="N32" s="34" t="n"/>
    </row>
    <row r="33" hidden="1" ht="30.6" customHeight="1" s="106">
      <c r="A33" s="49" t="inlineStr">
        <is>
          <t>[A] Ataques intencionados</t>
        </is>
      </c>
      <c r="B33" s="34" t="inlineStr">
        <is>
          <t>[A.13] Repudio</t>
        </is>
      </c>
      <c r="C33" s="17" t="inlineStr">
        <is>
          <t>negación a posteriori de actuaciones o compromisos adquiridos en el pasado. Repudio de origen: negación de ser el remitente u origen de un mensaje o comunicación. Repudio de recepción: negación de haber recibido un mensaje o comunicación. Repudio de entrega: negación de haber recibido un mensaje para su entrega a otro.</t>
        </is>
      </c>
      <c r="D33" s="34" t="inlineStr">
        <is>
          <t>[I] integridad (trazabilidad)</t>
        </is>
      </c>
      <c r="E33" s="34" t="inlineStr">
        <is>
          <t>X</t>
        </is>
      </c>
      <c r="F33" s="34" t="n"/>
      <c r="G33" s="34" t="inlineStr">
        <is>
          <t>X</t>
        </is>
      </c>
      <c r="H33" s="34" t="n"/>
      <c r="I33" s="34" t="n"/>
      <c r="J33" s="34" t="n"/>
      <c r="K33" s="34" t="n"/>
      <c r="L33" s="34" t="n"/>
      <c r="M33" s="34" t="n"/>
      <c r="N33" s="34" t="n"/>
    </row>
    <row r="34" hidden="1" ht="20.45" customHeight="1" s="106">
      <c r="A34" s="49" t="inlineStr">
        <is>
          <t>[A] Ataques intencionados</t>
        </is>
      </c>
      <c r="B34" s="34" t="inlineStr">
        <is>
          <t>[A.14] Interceptación de información (escucha)</t>
        </is>
      </c>
      <c r="C34" s="17" t="inlineStr">
        <is>
          <t>el atacante llega a tener acceso a información que no le corresponde, sin que la información en sí misma se vea alterada.</t>
        </is>
      </c>
      <c r="D34" s="34" t="inlineStr">
        <is>
          <t>[C] confidencialidad</t>
        </is>
      </c>
      <c r="E34" s="34" t="n"/>
      <c r="F34" s="34" t="n"/>
      <c r="G34" s="34" t="n"/>
      <c r="H34" s="34" t="n"/>
      <c r="I34" s="34" t="n"/>
      <c r="J34" s="34" t="inlineStr">
        <is>
          <t>X</t>
        </is>
      </c>
      <c r="K34" s="34" t="n"/>
      <c r="L34" s="34" t="n"/>
      <c r="M34" s="34" t="n"/>
      <c r="N34" s="34" t="n"/>
    </row>
    <row r="35" hidden="1" ht="20.45" customHeight="1" s="106">
      <c r="A35" s="49" t="inlineStr">
        <is>
          <t>[A] Ataques intencionados</t>
        </is>
      </c>
      <c r="B35" s="34" t="inlineStr">
        <is>
          <t>[A.15] Modificación deliberada de la información</t>
        </is>
      </c>
      <c r="C35" s="17" t="inlineStr">
        <is>
          <t>alteración intencional de la información, con ánimo de obtener un beneficio o causar un perjuicio.</t>
        </is>
      </c>
      <c r="D35" s="34" t="inlineStr">
        <is>
          <t>[I] integridad</t>
        </is>
      </c>
      <c r="E35" s="34" t="inlineStr">
        <is>
          <t>X</t>
        </is>
      </c>
      <c r="F35" s="34" t="inlineStr">
        <is>
          <t>X</t>
        </is>
      </c>
      <c r="G35" s="34" t="inlineStr">
        <is>
          <t>X</t>
        </is>
      </c>
      <c r="H35" s="34" t="inlineStr">
        <is>
          <t>X</t>
        </is>
      </c>
      <c r="I35" s="34" t="n"/>
      <c r="J35" s="34" t="inlineStr">
        <is>
          <t>X</t>
        </is>
      </c>
      <c r="K35" s="34" t="inlineStr">
        <is>
          <t>X</t>
        </is>
      </c>
      <c r="L35" s="34" t="n"/>
      <c r="M35" s="34" t="inlineStr">
        <is>
          <t>X</t>
        </is>
      </c>
      <c r="N35" s="34" t="n"/>
    </row>
    <row r="36" hidden="1" ht="20.45" customHeight="1" s="106">
      <c r="A36" s="49" t="inlineStr">
        <is>
          <t>[A] Ataques intencionados</t>
        </is>
      </c>
      <c r="B36" s="34" t="inlineStr">
        <is>
          <t>[A.18] Destrucción de información</t>
        </is>
      </c>
      <c r="C36" s="17" t="inlineStr">
        <is>
          <t>eliminación intencional de información, con ánimo de obtener un beneficio o causar un perjuicio.</t>
        </is>
      </c>
      <c r="D36" s="34" t="inlineStr">
        <is>
          <t>[D] disponibilidad</t>
        </is>
      </c>
      <c r="E36" s="34" t="inlineStr">
        <is>
          <t>X</t>
        </is>
      </c>
      <c r="F36" s="34" t="inlineStr">
        <is>
          <t>X</t>
        </is>
      </c>
      <c r="G36" s="34" t="inlineStr">
        <is>
          <t>X</t>
        </is>
      </c>
      <c r="H36" s="34" t="inlineStr">
        <is>
          <t>X</t>
        </is>
      </c>
      <c r="I36" s="34" t="n"/>
      <c r="J36" s="34" t="n"/>
      <c r="K36" s="34" t="inlineStr">
        <is>
          <t>X</t>
        </is>
      </c>
      <c r="L36" s="34" t="n"/>
      <c r="M36" s="34" t="inlineStr">
        <is>
          <t>X</t>
        </is>
      </c>
      <c r="N36" s="34" t="n"/>
    </row>
    <row r="37" hidden="1" ht="20.45" customHeight="1" s="106">
      <c r="A37" s="49" t="inlineStr">
        <is>
          <t>[A] Ataques intencionados</t>
        </is>
      </c>
      <c r="B37" s="34" t="inlineStr">
        <is>
          <t>[A.19] Divulgación de información</t>
        </is>
      </c>
      <c r="C37" s="17" t="inlineStr">
        <is>
          <t>revelación de información.</t>
        </is>
      </c>
      <c r="D37" s="34" t="inlineStr">
        <is>
          <t>[C] confidencialidad</t>
        </is>
      </c>
      <c r="E37" s="34" t="inlineStr">
        <is>
          <t>X</t>
        </is>
      </c>
      <c r="F37" s="34" t="inlineStr">
        <is>
          <t>X</t>
        </is>
      </c>
      <c r="G37" s="34" t="inlineStr">
        <is>
          <t>X</t>
        </is>
      </c>
      <c r="H37" s="34" t="inlineStr">
        <is>
          <t>X</t>
        </is>
      </c>
      <c r="I37" s="34" t="n"/>
      <c r="J37" s="34" t="inlineStr">
        <is>
          <t>X</t>
        </is>
      </c>
      <c r="K37" s="34" t="inlineStr">
        <is>
          <t>X</t>
        </is>
      </c>
      <c r="L37" s="34" t="n"/>
      <c r="M37" s="34" t="inlineStr">
        <is>
          <t>X</t>
        </is>
      </c>
      <c r="N37" s="34" t="n"/>
    </row>
    <row r="38" hidden="1" ht="30.6" customHeight="1" s="106">
      <c r="A38" s="49" t="inlineStr">
        <is>
          <t>[A] Ataques intencionados</t>
        </is>
      </c>
      <c r="B38" s="34" t="inlineStr">
        <is>
          <t>[A.22] Manipulación de programas</t>
        </is>
      </c>
      <c r="C38" s="17" t="inlineStr">
        <is>
          <t>alteración intencionada del funcionamiento de los programas, persiguiendo un beneficio indirecto cuando una persona autorizada lo utiliza.</t>
        </is>
      </c>
      <c r="D38" s="34" t="inlineStr">
        <is>
          <t>[I] integridad 
[C] confidencialidad 
[D] disponibilidad</t>
        </is>
      </c>
      <c r="E38" s="34" t="n"/>
      <c r="F38" s="34" t="n"/>
      <c r="G38" s="34" t="n"/>
      <c r="H38" s="34" t="inlineStr">
        <is>
          <t>X</t>
        </is>
      </c>
      <c r="I38" s="34" t="n"/>
      <c r="J38" s="34" t="n"/>
      <c r="K38" s="34" t="n"/>
      <c r="L38" s="34" t="n"/>
      <c r="M38" s="34" t="n"/>
      <c r="N38" s="34" t="n"/>
    </row>
    <row r="39" ht="20.45" customHeight="1" s="106">
      <c r="A39" s="49" t="inlineStr">
        <is>
          <t>[A] Ataques intencionados</t>
        </is>
      </c>
      <c r="B39" s="34" t="inlineStr">
        <is>
          <t>[A.23] Manipulación de los equipos</t>
        </is>
      </c>
      <c r="C39" s="17" t="inlineStr">
        <is>
          <t>alteración intencionada del funcionamiento de los programas, persiguiendo un beneficio indirecto cuando una persona autorizada lo utiliza.</t>
        </is>
      </c>
      <c r="D39" s="34" t="inlineStr">
        <is>
          <t>[C] confidencialidad 
[D] disponibilidad</t>
        </is>
      </c>
      <c r="E39" s="34" t="n"/>
      <c r="F39" s="34" t="n"/>
      <c r="G39" s="34" t="n"/>
      <c r="H39" s="34" t="n"/>
      <c r="I39" s="34" t="inlineStr">
        <is>
          <t>X</t>
        </is>
      </c>
      <c r="J39" s="34" t="n"/>
      <c r="K39" s="34" t="inlineStr">
        <is>
          <t>X</t>
        </is>
      </c>
      <c r="L39" s="34" t="inlineStr">
        <is>
          <t>X</t>
        </is>
      </c>
      <c r="M39" s="34" t="n"/>
      <c r="N39" s="34" t="n"/>
    </row>
    <row r="40" ht="20.45" customHeight="1" s="106">
      <c r="A40" s="49" t="inlineStr">
        <is>
          <t>[A] Ataques intencionados</t>
        </is>
      </c>
      <c r="B40" s="34" t="inlineStr">
        <is>
          <t>[A.24] Denegación de servicio</t>
        </is>
      </c>
      <c r="C40" s="17" t="inlineStr">
        <is>
          <t>la carencia de recursos suficientes provoca la caída del sistema cuando la carga de trabajo es desmesurada.</t>
        </is>
      </c>
      <c r="D40" s="34" t="inlineStr">
        <is>
          <t>[D] disponibilidad</t>
        </is>
      </c>
      <c r="E40" s="34" t="n"/>
      <c r="F40" s="34" t="n"/>
      <c r="G40" s="34" t="inlineStr">
        <is>
          <t>X</t>
        </is>
      </c>
      <c r="H40" s="34" t="n"/>
      <c r="I40" s="34" t="inlineStr">
        <is>
          <t>X</t>
        </is>
      </c>
      <c r="J40" s="34" t="inlineStr">
        <is>
          <t>X</t>
        </is>
      </c>
      <c r="K40" s="34" t="n"/>
      <c r="L40" s="34" t="n"/>
      <c r="M40" s="34" t="n"/>
      <c r="N40" s="34" t="n"/>
    </row>
    <row r="41" hidden="1" ht="51" customHeight="1" s="106">
      <c r="A41" s="49" t="inlineStr">
        <is>
          <t>[A] Ataques intencionados</t>
        </is>
      </c>
      <c r="B41" s="34" t="inlineStr">
        <is>
          <t>[A.25] Robo</t>
        </is>
      </c>
      <c r="C41" s="17" t="inlineStr">
        <is>
          <t>la sustracción de equipamiento provoca directamente la carencia de un medio para prestar los servicios, es decir una indisponibilidad. El robo puede afectar a todo tipo de equipamiento, siendo el robo de equipos y el robo de soportes de información los más habituales. El robo puede realizarlo personal interno, personas ajenas a la Organización o personas contratadas de forma temporal, lo que establece diferentes grados de facilidad para acceder al objeto sustraído y diferentes consecuencias. En el caso de equipos que hospedan datos, además se puede sufrir una fuga de información.</t>
        </is>
      </c>
      <c r="D41" s="34" t="inlineStr">
        <is>
          <t>[C] confidencialidad 
[D] disponibilidad</t>
        </is>
      </c>
      <c r="E41" s="34" t="n"/>
      <c r="F41" s="34" t="n"/>
      <c r="G41" s="34" t="n"/>
      <c r="H41" s="34" t="inlineStr">
        <is>
          <t>X</t>
        </is>
      </c>
      <c r="I41" s="34" t="n"/>
      <c r="J41" s="34" t="n"/>
      <c r="K41" s="34" t="inlineStr">
        <is>
          <t>X</t>
        </is>
      </c>
      <c r="L41" s="34" t="inlineStr">
        <is>
          <t>X</t>
        </is>
      </c>
      <c r="M41" s="34" t="n"/>
      <c r="N41" s="34" t="n"/>
    </row>
    <row r="42" ht="20.45" customHeight="1" s="106">
      <c r="A42" s="49" t="inlineStr">
        <is>
          <t>[A] Ataques intencionados</t>
        </is>
      </c>
      <c r="B42" s="34" t="inlineStr">
        <is>
          <t>[A.26] Ataque destructivo</t>
        </is>
      </c>
      <c r="C42" s="17" t="inlineStr">
        <is>
          <t>vandalismo, terrorismo, acción militar, ... Esta amenaza puede ser perpetrada por personal interno, por personas ajenas a la Organización o por personas contratadas de forma temporal.</t>
        </is>
      </c>
      <c r="D42" s="34" t="inlineStr">
        <is>
          <t>[D] disponibilidad</t>
        </is>
      </c>
      <c r="E42" s="34" t="n"/>
      <c r="F42" s="34" t="n"/>
      <c r="G42" s="34" t="n"/>
      <c r="H42" s="34" t="n"/>
      <c r="I42" s="34" t="inlineStr">
        <is>
          <t>X</t>
        </is>
      </c>
      <c r="J42" s="34" t="n"/>
      <c r="K42" s="34" t="inlineStr">
        <is>
          <t>X</t>
        </is>
      </c>
      <c r="L42" s="34" t="inlineStr">
        <is>
          <t>X</t>
        </is>
      </c>
      <c r="M42" s="34" t="inlineStr">
        <is>
          <t>X</t>
        </is>
      </c>
      <c r="N42" s="34" t="n"/>
    </row>
    <row r="43" hidden="1" ht="20.45" customHeight="1" s="106">
      <c r="A43" s="49" t="inlineStr">
        <is>
          <t>[A] Ataques intencionados</t>
        </is>
      </c>
      <c r="B43" s="34" t="inlineStr">
        <is>
          <t>[A.27] Ocupación enemiga</t>
        </is>
      </c>
      <c r="C43" s="17" t="inlineStr">
        <is>
          <t>cuando los locales han sido invadidos y se carece de control sobre los propios medios de trabajo.</t>
        </is>
      </c>
      <c r="D43" s="34" t="inlineStr">
        <is>
          <t>[C] confidencialidad 
[D] disponibilidad</t>
        </is>
      </c>
      <c r="E43" s="34" t="n"/>
      <c r="F43" s="34" t="n"/>
      <c r="G43" s="34" t="n"/>
      <c r="H43" s="34" t="n"/>
      <c r="I43" s="34" t="n"/>
      <c r="J43" s="34" t="n"/>
      <c r="K43" s="34" t="n"/>
      <c r="L43" s="34" t="n"/>
      <c r="M43" s="34" t="inlineStr">
        <is>
          <t>X</t>
        </is>
      </c>
      <c r="N43" s="34" t="n"/>
    </row>
    <row r="44" hidden="1" ht="20.45" customHeight="1" s="106">
      <c r="A44" s="49" t="inlineStr">
        <is>
          <t>[A] Ataques intencionados</t>
        </is>
      </c>
      <c r="B44" s="34" t="inlineStr">
        <is>
          <t>[A.28] Indisponibilidad del personal</t>
        </is>
      </c>
      <c r="C44" s="17" t="inlineStr">
        <is>
          <t>ausencia deliberada del puesto de trabajo: como huelgas, absentismo laboral, bajas no justificadas, bloqueo de los accesos, …</t>
        </is>
      </c>
      <c r="D44" s="34" t="inlineStr">
        <is>
          <t>[D] disponibilidad</t>
        </is>
      </c>
      <c r="E44" s="34" t="n"/>
      <c r="F44" s="34" t="n"/>
      <c r="G44" s="34" t="n"/>
      <c r="H44" s="34" t="n"/>
      <c r="I44" s="34" t="n"/>
      <c r="J44" s="34" t="n"/>
      <c r="K44" s="34" t="n"/>
      <c r="L44" s="34" t="n"/>
      <c r="M44" s="34" t="n"/>
      <c r="N44" s="34" t="inlineStr">
        <is>
          <t>X</t>
        </is>
      </c>
    </row>
    <row r="45" hidden="1" ht="30.6" customHeight="1" s="106">
      <c r="A45" s="49" t="inlineStr">
        <is>
          <t>[A] Ataques intencionados</t>
        </is>
      </c>
      <c r="B45" s="34" t="inlineStr">
        <is>
          <t>[A.29] Extorsión</t>
        </is>
      </c>
      <c r="C45" s="17" t="inlineStr">
        <is>
          <t>presión que, mediante amenazas, se ejerce sobre alguien para obligarle a obrar en determinado sentido.</t>
        </is>
      </c>
      <c r="D45" s="34" t="inlineStr">
        <is>
          <t>[I] integridad 
[C] confidencialidad 
[D] disponibilidad</t>
        </is>
      </c>
      <c r="E45" s="34" t="n"/>
      <c r="F45" s="34" t="n"/>
      <c r="G45" s="34" t="n"/>
      <c r="H45" s="34" t="n"/>
      <c r="I45" s="34" t="n"/>
      <c r="J45" s="34" t="n"/>
      <c r="K45" s="34" t="n"/>
      <c r="L45" s="34" t="n"/>
      <c r="M45" s="34" t="n"/>
      <c r="N45" s="34" t="inlineStr">
        <is>
          <t>X</t>
        </is>
      </c>
    </row>
    <row r="46" hidden="1" ht="30.6" customHeight="1" s="106">
      <c r="A46" s="49" t="inlineStr">
        <is>
          <t>[A] Ataques intencionados</t>
        </is>
      </c>
      <c r="B46" s="34" t="inlineStr">
        <is>
          <t>[A.30] Ingeniería social (picaresca)</t>
        </is>
      </c>
      <c r="C46" s="17" t="inlineStr">
        <is>
          <t>abuso de la buena fe de las personas para que realicen actividades que interesan a un tercero.</t>
        </is>
      </c>
      <c r="D46" s="34" t="inlineStr">
        <is>
          <t>[I] integridad 
[C] confidencialidad 
[D] disponibilidad</t>
        </is>
      </c>
      <c r="E46" s="34" t="n"/>
      <c r="F46" s="34" t="n"/>
      <c r="G46" s="34" t="n"/>
      <c r="H46" s="34" t="n"/>
      <c r="I46" s="34" t="n"/>
      <c r="J46" s="34" t="n"/>
      <c r="K46" s="34" t="n"/>
      <c r="L46" s="34" t="n"/>
      <c r="M46" s="34" t="n"/>
      <c r="N46" s="34" t="inlineStr">
        <is>
          <t>X</t>
        </is>
      </c>
    </row>
  </sheetData>
  <autoFilter ref="A2:N46">
    <filterColumn colId="8" hiddenButton="0" showButton="1">
      <customFilters>
        <customFilter val=" " operator="notEqual"/>
      </customFilters>
    </filterColumn>
  </autoFilter>
  <mergeCells count="1">
    <mergeCell ref="E1:N1"/>
  </mergeCells>
  <conditionalFormatting sqref="E3:N46">
    <cfRule type="cellIs" priority="1" operator="equal" dxfId="3">
      <formula>"X"</formula>
    </cfRule>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B11"/>
  <sheetViews>
    <sheetView zoomScale="130" zoomScaleNormal="130" workbookViewId="0">
      <selection activeCell="A2" sqref="A2"/>
    </sheetView>
  </sheetViews>
  <sheetFormatPr baseColWidth="10" defaultRowHeight="11.25"/>
  <cols>
    <col width="48" customWidth="1" style="106" min="1" max="1"/>
    <col width="79.5" customWidth="1" style="106" min="2" max="2"/>
  </cols>
  <sheetData>
    <row r="1">
      <c r="A1" t="inlineStr">
        <is>
          <t>TIPO DE ACTIVO</t>
        </is>
      </c>
      <c r="B1" t="inlineStr">
        <is>
          <t>DESCRIPCION</t>
        </is>
      </c>
    </row>
    <row r="2" ht="41.1" customHeight="1" s="106">
      <c r="A2" s="41" t="inlineStr">
        <is>
          <t>[D] Datos / Información / datos de configuración</t>
        </is>
      </c>
      <c r="B2" s="17" t="inlineStr">
        <is>
          <t>Los datos son el corazón que permite a una organización prestar sus servicios. La información es un activo abstracto que será almacenado en equipos o soportes de información (normalmente agrupado como ficheros o bases de datos) o será transferido de un lugar a otro por los medios de transmisión de datos.</t>
        </is>
      </c>
    </row>
    <row r="3" ht="30.6" customHeight="1" s="106">
      <c r="A3" s="41" t="inlineStr">
        <is>
          <t>[K] Claves criptográficas</t>
        </is>
      </c>
      <c r="B3" s="17" t="inlineStr">
        <is>
          <t>Las criptografía se emplea para proteger el secreto o autenticar a las partes. Las claves criptográficas, combinando secretos e información pública, son esenciales para garantizar el funcionamiento de los mecanismos criptográficos.</t>
        </is>
      </c>
    </row>
    <row r="4" ht="20.45" customHeight="1" s="106">
      <c r="A4" s="41" t="inlineStr">
        <is>
          <t>[S] Servicios</t>
        </is>
      </c>
      <c r="B4" s="17" t="inlineStr">
        <is>
          <t>Función que satisface una necesidad de los usuarios (del servicio). Esta sección contempla servicios prestados por el sistema.</t>
        </is>
      </c>
    </row>
    <row r="5" ht="41.1" customHeight="1" s="106">
      <c r="A5" s="41" t="inlineStr">
        <is>
          <t>[SW] Software - Aplicaciones informáticas</t>
        </is>
      </c>
      <c r="B5" s="17" t="inlineStr">
        <is>
          <t>Con múltiples denominaciones (programas, aplicativos, desarrollos, etc.) este epígrafe se refiere a tareas que han sido automatizadas para su desempeño por un equipo informático. Las aplicaciones gestionan, analizan y transforman los datos permitiendo la explotación de la información para la prestación de los servicios.</t>
        </is>
      </c>
    </row>
    <row r="6" ht="41.1" customHeight="1" s="106">
      <c r="A6" s="41" t="inlineStr">
        <is>
          <t>[HW] Equipamiento informático (hardware)</t>
        </is>
      </c>
      <c r="B6" s="17" t="inlineStr">
        <is>
          <t>Dícese de los medios materiales, físicos, destinados a soportar directa o indirectamente los servicios que presta la organización, siendo pues depositarios temporales o permanentes de los datos, soporte de ejecución de las aplicaciones informáticas o responsables del procesado o la transmisión de datos.</t>
        </is>
      </c>
    </row>
    <row r="7" ht="30.6" customHeight="1" s="106">
      <c r="A7" s="41" t="inlineStr">
        <is>
          <t>[COM] Redes de comunicaciones</t>
        </is>
      </c>
      <c r="B7" s="17" t="inlineStr">
        <is>
          <t>Incluyendo tanto instalaciones dedicadas como servicios de comunicaciones contratados a terceros; pero siempre centrándose en que son medios de transporte que llevan datos de un sitio a otro.</t>
        </is>
      </c>
    </row>
    <row r="8" ht="20.45" customHeight="1" s="106">
      <c r="A8" s="41" t="inlineStr">
        <is>
          <t>[Media] Soportes de información</t>
        </is>
      </c>
      <c r="B8" s="17" t="inlineStr">
        <is>
          <t>En este epígrafe se consideran dispositivos físicos que permiten almacenar información de forma permanente o, al menos, durante largos periodos de tiempo.</t>
        </is>
      </c>
    </row>
    <row r="9" ht="20.45" customHeight="1" s="106">
      <c r="A9" s="41" t="inlineStr">
        <is>
          <t>[AUX] equipamiento auxiliar</t>
        </is>
      </c>
      <c r="B9" s="17" t="inlineStr">
        <is>
          <t>En este epígrafe se consideran otros equipos que sirven de soporte a los sistemas de información, sin estar directamente relacionados con datos.</t>
        </is>
      </c>
    </row>
    <row r="10" ht="20.45" customHeight="1" s="106">
      <c r="A10" s="41" t="inlineStr">
        <is>
          <t>[L] Instalaciones</t>
        </is>
      </c>
      <c r="B10" s="17" t="inlineStr">
        <is>
          <t>En este epígrafe entran los lugares donde se hospedan los sistemas de información y comunicaciones.</t>
        </is>
      </c>
    </row>
    <row r="11" ht="12" customHeight="1" s="106">
      <c r="A11" s="46" t="inlineStr">
        <is>
          <t>[P] Personal</t>
        </is>
      </c>
      <c r="B11" s="45" t="inlineStr">
        <is>
          <t>En este epígrafe aparecen las personas relacionadas con los sistemas de información.</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C59"/>
  <sheetViews>
    <sheetView workbookViewId="0">
      <selection activeCell="B33" sqref="B33"/>
    </sheetView>
  </sheetViews>
  <sheetFormatPr baseColWidth="10" defaultRowHeight="11.25"/>
  <cols>
    <col width="6.5" customWidth="1" style="106" min="1" max="1"/>
    <col width="82" bestFit="1" customWidth="1" style="106" min="2" max="2"/>
    <col width="86" bestFit="1" customWidth="1" style="106" min="3" max="3"/>
  </cols>
  <sheetData>
    <row r="1">
      <c r="A1" s="102" t="inlineStr">
        <is>
          <t>CONTROLES IMPLEMENTADOS</t>
        </is>
      </c>
      <c r="B1" s="99" t="n"/>
    </row>
    <row r="2">
      <c r="A2" s="102" t="inlineStr">
        <is>
          <t>Código</t>
        </is>
      </c>
      <c r="B2" s="102" t="inlineStr">
        <is>
          <t>Descripción</t>
        </is>
      </c>
    </row>
    <row r="3">
      <c r="A3" s="102" t="inlineStr">
        <is>
          <t>1. Política de Seguridad de la Información</t>
        </is>
      </c>
      <c r="B3" s="99" t="n"/>
      <c r="C3" t="inlineStr">
        <is>
          <t>1. Política de Seguridad de la Información-</t>
        </is>
      </c>
    </row>
    <row r="4">
      <c r="A4" s="10" t="inlineStr">
        <is>
          <t>C1</t>
        </is>
      </c>
      <c r="B4" s="10" t="inlineStr">
        <is>
          <t xml:space="preserve"> Revisión periódica de las políticas y procedimientos TI</t>
        </is>
      </c>
      <c r="C4" t="inlineStr">
        <is>
          <t>C1- Revisión periódica de las políticas y procedimientos TI</t>
        </is>
      </c>
    </row>
    <row r="5">
      <c r="A5" s="10" t="inlineStr">
        <is>
          <t>C2</t>
        </is>
      </c>
      <c r="B5" s="10" t="inlineStr">
        <is>
          <t xml:space="preserve"> Evaluación de riesgos de seguridad de la información documentada y actualizada</t>
        </is>
      </c>
      <c r="C5" t="inlineStr">
        <is>
          <t>C2- Evaluación de riesgos de seguridad de la información documentada y actualizada</t>
        </is>
      </c>
    </row>
    <row r="6">
      <c r="A6" s="10" t="inlineStr">
        <is>
          <t>C3</t>
        </is>
      </c>
      <c r="B6" s="10" t="inlineStr">
        <is>
          <t xml:space="preserve"> Auditorías internas y externas de seguridad de la información</t>
        </is>
      </c>
      <c r="C6" t="inlineStr">
        <is>
          <t>C3- Auditorías internas y externas de seguridad de la información</t>
        </is>
      </c>
    </row>
    <row r="7">
      <c r="A7" s="10" t="inlineStr">
        <is>
          <t>C4</t>
        </is>
      </c>
      <c r="B7" s="10" t="inlineStr">
        <is>
          <t xml:space="preserve"> Control de acceso basado en roles (RBAC) y necesidad funcional</t>
        </is>
      </c>
      <c r="C7" t="inlineStr">
        <is>
          <t>C4- Control de acceso basado en roles (RBAC) y necesidad funcional</t>
        </is>
      </c>
    </row>
    <row r="8">
      <c r="A8" s="102" t="inlineStr">
        <is>
          <t>2. Organización de la Seguridad de la Información</t>
        </is>
      </c>
      <c r="B8" s="99" t="n"/>
      <c r="C8" t="inlineStr">
        <is>
          <t>2. Organización de la Seguridad de la Información-</t>
        </is>
      </c>
    </row>
    <row r="9">
      <c r="A9" s="10" t="inlineStr">
        <is>
          <t>C5</t>
        </is>
      </c>
      <c r="B9" s="10" t="inlineStr">
        <is>
          <t xml:space="preserve"> Acuerdos de confidencialidad</t>
        </is>
      </c>
      <c r="C9" t="inlineStr">
        <is>
          <t>C5- Acuerdos de confidencialidad</t>
        </is>
      </c>
    </row>
    <row r="10">
      <c r="A10" s="10" t="inlineStr">
        <is>
          <t>C6</t>
        </is>
      </c>
      <c r="B10" s="10" t="inlineStr">
        <is>
          <t xml:space="preserve"> Clasificación de la información (público, uso interno, restringido)</t>
        </is>
      </c>
      <c r="C10" t="inlineStr">
        <is>
          <t>C6- Clasificación de la información (público, uso interno, restringido)</t>
        </is>
      </c>
    </row>
    <row r="11">
      <c r="A11" s="10" t="inlineStr">
        <is>
          <t>C7</t>
        </is>
      </c>
      <c r="B11" s="10" t="inlineStr">
        <is>
          <t xml:space="preserve"> Control de cambios en sistemas, aplicaciones y configuraciones</t>
        </is>
      </c>
      <c r="C11" t="inlineStr">
        <is>
          <t>C7- Control de cambios en sistemas, aplicaciones y configuraciones</t>
        </is>
      </c>
    </row>
    <row r="12">
      <c r="A12" s="102" t="inlineStr">
        <is>
          <t>3. Gestión de Activos</t>
        </is>
      </c>
      <c r="B12" s="99" t="n"/>
      <c r="C12" t="inlineStr">
        <is>
          <t>3. Gestión de Activos-</t>
        </is>
      </c>
    </row>
    <row r="13">
      <c r="A13" s="10" t="inlineStr">
        <is>
          <t>C8</t>
        </is>
      </c>
      <c r="B13" s="10" t="inlineStr">
        <is>
          <t xml:space="preserve"> Mantenimiento periódico de activos físicos</t>
        </is>
      </c>
      <c r="C13" t="inlineStr">
        <is>
          <t>C8- Mantenimiento periódico de activos físicos</t>
        </is>
      </c>
    </row>
    <row r="14">
      <c r="A14" s="10" t="inlineStr">
        <is>
          <t>C9</t>
        </is>
      </c>
      <c r="B14" s="10" t="inlineStr">
        <is>
          <t xml:space="preserve"> Gestión segura del ciclo de vida de los activos</t>
        </is>
      </c>
      <c r="C14" t="inlineStr">
        <is>
          <t>C9- Gestión segura del ciclo de vida de los activos</t>
        </is>
      </c>
    </row>
    <row r="15">
      <c r="A15" s="10" t="inlineStr">
        <is>
          <t>C10</t>
        </is>
      </c>
      <c r="B15" s="10" t="inlineStr">
        <is>
          <t xml:space="preserve"> Registro de actividades críticas de usuarios con privilegios</t>
        </is>
      </c>
      <c r="C15" t="inlineStr">
        <is>
          <t>C10- Registro de actividades críticas de usuarios con privilegios</t>
        </is>
      </c>
    </row>
    <row r="16">
      <c r="A16" s="102" t="inlineStr">
        <is>
          <t>4. Seguridad de los Recursos Humanos</t>
        </is>
      </c>
      <c r="B16" s="99" t="n"/>
      <c r="C16" t="inlineStr">
        <is>
          <t>4. Seguridad de los Recursos Humanos-</t>
        </is>
      </c>
    </row>
    <row r="17">
      <c r="A17" s="10" t="inlineStr">
        <is>
          <t>C11</t>
        </is>
      </c>
      <c r="B17" s="10" t="inlineStr">
        <is>
          <t xml:space="preserve"> Programas de concienciación, educación y capacitación en seguridad de la información y otros</t>
        </is>
      </c>
      <c r="C17" t="inlineStr">
        <is>
          <t>C11- Programas de concienciación, educación y capacitación en seguridad de la información y otros</t>
        </is>
      </c>
    </row>
    <row r="18">
      <c r="A18" s="10" t="inlineStr">
        <is>
          <t>C12</t>
        </is>
      </c>
      <c r="B18" s="10" t="inlineStr">
        <is>
          <t xml:space="preserve"> Evaluación de seguridad a proveedores y contratos con cláusulas de seguridad</t>
        </is>
      </c>
      <c r="C18" t="inlineStr">
        <is>
          <t>C12- Evaluación de seguridad a proveedores y contratos con cláusulas de seguridad</t>
        </is>
      </c>
    </row>
    <row r="19">
      <c r="A19" s="102" t="inlineStr">
        <is>
          <t>5. Control de Acceso</t>
        </is>
      </c>
      <c r="B19" s="99" t="n"/>
      <c r="C19" t="inlineStr">
        <is>
          <t>5. Control de Acceso-</t>
        </is>
      </c>
    </row>
    <row r="20">
      <c r="A20" s="10" t="inlineStr">
        <is>
          <t>C13</t>
        </is>
      </c>
      <c r="B20" s="10" t="inlineStr">
        <is>
          <t xml:space="preserve"> Restricción del control de acceso</t>
        </is>
      </c>
      <c r="C20" t="inlineStr">
        <is>
          <t>C13- Restricción del control de acceso</t>
        </is>
      </c>
    </row>
    <row r="21">
      <c r="A21" s="10" t="inlineStr">
        <is>
          <t>C14</t>
        </is>
      </c>
      <c r="B21" s="10" t="inlineStr">
        <is>
          <t xml:space="preserve"> Revisión periódica de los derechos de acceso</t>
        </is>
      </c>
      <c r="C21" t="inlineStr">
        <is>
          <t>C14- Revisión periódica de los derechos de acceso</t>
        </is>
      </c>
    </row>
    <row r="22">
      <c r="A22" s="10" t="inlineStr">
        <is>
          <t>C15</t>
        </is>
      </c>
      <c r="B22" s="10" t="inlineStr">
        <is>
          <t xml:space="preserve"> Uso de contraseñas fuertes de acuerdo con las recomendaciones de buenas prácticas</t>
        </is>
      </c>
      <c r="C22" t="inlineStr">
        <is>
          <t>C15- Uso de contraseñas fuertes de acuerdo con las recomendaciones de buenas prácticas</t>
        </is>
      </c>
    </row>
    <row r="23">
      <c r="A23" s="10" t="inlineStr">
        <is>
          <t>C16</t>
        </is>
      </c>
      <c r="B23" s="10" t="inlineStr">
        <is>
          <t xml:space="preserve"> Implementación del principio de mínimos privilegios</t>
        </is>
      </c>
      <c r="C23" t="inlineStr">
        <is>
          <t>C16- Implementación del principio de mínimos privilegios</t>
        </is>
      </c>
    </row>
    <row r="24">
      <c r="A24" s="10" t="inlineStr">
        <is>
          <t>C17</t>
        </is>
      </c>
      <c r="B24" s="10" t="inlineStr">
        <is>
          <t xml:space="preserve"> Registro de fallos en el control de acceso</t>
        </is>
      </c>
      <c r="C24" t="inlineStr">
        <is>
          <t>C17- Registro de fallos en el control de acceso</t>
        </is>
      </c>
    </row>
    <row r="25">
      <c r="A25" s="10" t="inlineStr">
        <is>
          <t>C18</t>
        </is>
      </c>
      <c r="B25" s="10" t="inlineStr">
        <is>
          <t xml:space="preserve"> Control de acceso basado en roles (RBAC) y necesidad funcional</t>
        </is>
      </c>
      <c r="C25" t="inlineStr">
        <is>
          <t>C18- Control de acceso basado en roles (RBAC) y necesidad funcional</t>
        </is>
      </c>
    </row>
    <row r="26">
      <c r="A26" s="102" t="inlineStr">
        <is>
          <t>6. Criptografía</t>
        </is>
      </c>
      <c r="B26" s="99" t="n"/>
      <c r="C26" t="inlineStr">
        <is>
          <t>6. Criptografía-</t>
        </is>
      </c>
    </row>
    <row r="27">
      <c r="A27" s="10" t="inlineStr">
        <is>
          <t>C19</t>
        </is>
      </c>
      <c r="B27" s="10" t="inlineStr">
        <is>
          <t xml:space="preserve"> Cifrado de datos sensibles en tránsito y en reposo</t>
        </is>
      </c>
      <c r="C27" t="inlineStr">
        <is>
          <t>C19- Cifrado de datos sensibles en tránsito y en reposo</t>
        </is>
      </c>
    </row>
    <row r="28">
      <c r="A28" s="10" t="inlineStr">
        <is>
          <t>C20</t>
        </is>
      </c>
      <c r="B28" s="10" t="inlineStr">
        <is>
          <t xml:space="preserve"> Aseguramiento de canales de comunicación (uso de VPN, cifrado TLS)</t>
        </is>
      </c>
      <c r="C28" t="inlineStr">
        <is>
          <t>C20- Aseguramiento de canales de comunicación (uso de VPN, cifrado TLS)</t>
        </is>
      </c>
    </row>
    <row r="29">
      <c r="A29" s="102" t="inlineStr">
        <is>
          <t>7. Seguridad Física y del Entorno</t>
        </is>
      </c>
      <c r="B29" s="99" t="n"/>
      <c r="C29" t="inlineStr">
        <is>
          <t>7. Seguridad Física y del Entorno-</t>
        </is>
      </c>
    </row>
    <row r="30">
      <c r="A30" s="10" t="inlineStr">
        <is>
          <t>C21</t>
        </is>
      </c>
      <c r="B30" s="10" t="inlineStr">
        <is>
          <t xml:space="preserve"> Mantenimiento periódico de activos físicos</t>
        </is>
      </c>
      <c r="C30" t="inlineStr">
        <is>
          <t>C21- Mantenimiento periódico de activos físicos</t>
        </is>
      </c>
    </row>
    <row r="31">
      <c r="A31" s="10" t="inlineStr">
        <is>
          <t>C22</t>
        </is>
      </c>
      <c r="B31" s="10" t="inlineStr">
        <is>
          <t xml:space="preserve"> Aplicación de actualizaciones de firmware en hardware y dispositivos de red</t>
        </is>
      </c>
      <c r="C31" t="inlineStr">
        <is>
          <t>C22- Aplicación de actualizaciones de firmware en hardware y dispositivos de red</t>
        </is>
      </c>
    </row>
    <row r="32">
      <c r="A32" s="102" t="inlineStr">
        <is>
          <t>8. Seguridad de las Operaciones</t>
        </is>
      </c>
      <c r="B32" s="99" t="n"/>
      <c r="C32" t="inlineStr">
        <is>
          <t>8. Seguridad de las Operaciones-</t>
        </is>
      </c>
    </row>
    <row r="33">
      <c r="A33" s="10" t="inlineStr">
        <is>
          <t>C23</t>
        </is>
      </c>
      <c r="B33" s="10" t="inlineStr">
        <is>
          <t xml:space="preserve"> Procedimientos de reversión (rollback)</t>
        </is>
      </c>
      <c r="C33" t="inlineStr">
        <is>
          <t>C23- Procedimientos de reversión (rollback)</t>
        </is>
      </c>
    </row>
    <row r="34">
      <c r="A34" s="10" t="inlineStr">
        <is>
          <t>C24</t>
        </is>
      </c>
      <c r="B34" s="10" t="inlineStr">
        <is>
          <t xml:space="preserve"> Monitoreo y control</t>
        </is>
      </c>
      <c r="C34" t="inlineStr">
        <is>
          <t>C24- Monitoreo y control</t>
        </is>
      </c>
    </row>
    <row r="35">
      <c r="A35" s="10" t="inlineStr">
        <is>
          <t>C25</t>
        </is>
      </c>
      <c r="B35" s="10" t="inlineStr">
        <is>
          <t xml:space="preserve"> Respaldo periódico de información crítica y verificación de restauración</t>
        </is>
      </c>
      <c r="C35" t="inlineStr">
        <is>
          <t>C25- Respaldo periódico de información crítica y verificación de restauración</t>
        </is>
      </c>
    </row>
    <row r="36">
      <c r="A36" s="10" t="inlineStr">
        <is>
          <t>C26</t>
        </is>
      </c>
      <c r="B36" s="10" t="inlineStr">
        <is>
          <t xml:space="preserve"> Uso de soluciones antivirus y antimalware actualizadas</t>
        </is>
      </c>
      <c r="C36" t="inlineStr">
        <is>
          <t>C26- Uso de soluciones antivirus y antimalware actualizadas</t>
        </is>
      </c>
    </row>
    <row r="37">
      <c r="A37" s="10" t="inlineStr">
        <is>
          <t>C27</t>
        </is>
      </c>
      <c r="B37" s="10" t="inlineStr">
        <is>
          <t xml:space="preserve"> Gestión de vulnerabilidades (escaneo periódico y remediación)</t>
        </is>
      </c>
      <c r="C37" t="inlineStr">
        <is>
          <t>C27- Gestión de vulnerabilidades (escaneo periódico y remediación)</t>
        </is>
      </c>
    </row>
    <row r="38">
      <c r="A38" s="10" t="inlineStr">
        <is>
          <t>C28</t>
        </is>
      </c>
      <c r="B38" s="10" t="inlineStr">
        <is>
          <t xml:space="preserve"> Control de dispositivos externos (USB, almacenamiento removible)</t>
        </is>
      </c>
      <c r="C38" t="inlineStr">
        <is>
          <t>C28- Control de dispositivos externos (USB, almacenamiento removible)</t>
        </is>
      </c>
    </row>
    <row r="39">
      <c r="A39" s="10" t="inlineStr">
        <is>
          <t>C29</t>
        </is>
      </c>
      <c r="B39" s="10" t="inlineStr">
        <is>
          <t xml:space="preserve"> Revisión de logs y alertas de seguridad periódicamente</t>
        </is>
      </c>
      <c r="C39" t="inlineStr">
        <is>
          <t>C29- Revisión de logs y alertas de seguridad periódicamente</t>
        </is>
      </c>
    </row>
    <row r="40">
      <c r="A40" s="102" t="inlineStr">
        <is>
          <t>9. Seguridad en las Comunicaciones</t>
        </is>
      </c>
      <c r="B40" s="99" t="n"/>
      <c r="C40" t="inlineStr">
        <is>
          <t>9. Seguridad en las Comunicaciones-</t>
        </is>
      </c>
    </row>
    <row r="41">
      <c r="A41" s="10" t="inlineStr">
        <is>
          <t>C30</t>
        </is>
      </c>
      <c r="B41" s="10" t="inlineStr">
        <is>
          <t xml:space="preserve"> Aseguramiento de canales de comunicación (uso de VPN, cifrado TLS)</t>
        </is>
      </c>
      <c r="C41" t="inlineStr">
        <is>
          <t>C30- Aseguramiento de canales de comunicación (uso de VPN, cifrado TLS)</t>
        </is>
      </c>
    </row>
    <row r="42">
      <c r="A42" s="10" t="inlineStr">
        <is>
          <t>C31</t>
        </is>
      </c>
      <c r="B42" s="10" t="inlineStr">
        <is>
          <t xml:space="preserve"> Monitoreo y control</t>
        </is>
      </c>
      <c r="C42" t="inlineStr">
        <is>
          <t>C31- Monitoreo y control</t>
        </is>
      </c>
    </row>
    <row r="43">
      <c r="A43" s="102" t="inlineStr">
        <is>
          <t>10. Adquisición, desarrollo y mantenimiento</t>
        </is>
      </c>
      <c r="B43" s="99" t="n"/>
      <c r="C43" t="inlineStr">
        <is>
          <t>10. Adquisición, desarrollo y mantenimiento-</t>
        </is>
      </c>
    </row>
    <row r="44">
      <c r="A44" s="10" t="inlineStr">
        <is>
          <t>C32</t>
        </is>
      </c>
      <c r="B44" s="10" t="inlineStr">
        <is>
          <t xml:space="preserve"> Aplicación de actualizaciones o firmware periódicos</t>
        </is>
      </c>
      <c r="C44" t="inlineStr">
        <is>
          <t>C32- Aplicación de actualizaciones o firmware periódicos</t>
        </is>
      </c>
    </row>
    <row r="45">
      <c r="A45" s="10" t="inlineStr">
        <is>
          <t>C33</t>
        </is>
      </c>
      <c r="B45" s="10" t="inlineStr">
        <is>
          <t xml:space="preserve"> Detección y respuesta ante incidentes de seguridad (plan de respuesta)</t>
        </is>
      </c>
      <c r="C45" t="inlineStr">
        <is>
          <t>C33- Detección y respuesta ante incidentes de seguridad (plan de respuesta)</t>
        </is>
      </c>
    </row>
    <row r="46">
      <c r="A46" s="10" t="inlineStr">
        <is>
          <t>C34</t>
        </is>
      </c>
      <c r="B46" s="10" t="inlineStr">
        <is>
          <t xml:space="preserve"> Control de cambios en sistemas, aplicaciones y configuraciones</t>
        </is>
      </c>
      <c r="C46" t="inlineStr">
        <is>
          <t>C34- Control de cambios en sistemas, aplicaciones y configuraciones</t>
        </is>
      </c>
    </row>
    <row r="47">
      <c r="A47" s="10" t="inlineStr">
        <is>
          <t>C35</t>
        </is>
      </c>
      <c r="B47" s="10" t="inlineStr">
        <is>
          <t xml:space="preserve"> Revisión y pruebas de continuidad del negocio y recuperación ante desastres</t>
        </is>
      </c>
      <c r="C47" t="inlineStr">
        <is>
          <t>C35- Revisión y pruebas de continuidad del negocio y recuperación ante desastres</t>
        </is>
      </c>
    </row>
    <row r="48">
      <c r="A48" s="102" t="inlineStr">
        <is>
          <t>11. Relaciones con Proveedores</t>
        </is>
      </c>
      <c r="B48" s="99" t="n"/>
      <c r="C48" t="inlineStr">
        <is>
          <t>11. Relaciones con Proveedores-</t>
        </is>
      </c>
    </row>
    <row r="49">
      <c r="A49" s="10" t="inlineStr">
        <is>
          <t>C36</t>
        </is>
      </c>
      <c r="B49" s="10" t="inlineStr">
        <is>
          <t xml:space="preserve"> Evaluación de seguridad a proveedores y contratos con cláusulas de seguridad</t>
        </is>
      </c>
      <c r="C49" t="inlineStr">
        <is>
          <t>C36- Evaluación de seguridad a proveedores y contratos con cláusulas de seguridad</t>
        </is>
      </c>
    </row>
    <row r="50">
      <c r="A50" s="10" t="inlineStr">
        <is>
          <t>C37</t>
        </is>
      </c>
      <c r="B50" s="10" t="inlineStr">
        <is>
          <t xml:space="preserve"> Principio de mínimo privilegio (en contratos de tercerización de servicios)</t>
        </is>
      </c>
      <c r="C50" t="inlineStr">
        <is>
          <t>C37- Principio de mínimo privilegio (en contratos de tercerización de servicios)</t>
        </is>
      </c>
    </row>
    <row r="51">
      <c r="A51" s="102" t="inlineStr">
        <is>
          <t>12. Gestión de Incidentes de Seguridad</t>
        </is>
      </c>
      <c r="B51" s="99" t="n"/>
      <c r="C51" t="inlineStr">
        <is>
          <t>12. Gestión de Incidentes de Seguridad-</t>
        </is>
      </c>
    </row>
    <row r="52">
      <c r="A52" s="10" t="inlineStr">
        <is>
          <t>C38</t>
        </is>
      </c>
      <c r="B52" s="10" t="inlineStr">
        <is>
          <t xml:space="preserve"> Detección y respuesta ante incidentes de seguridad</t>
        </is>
      </c>
      <c r="C52" t="inlineStr">
        <is>
          <t>C38- Detección y respuesta ante incidentes de seguridad</t>
        </is>
      </c>
    </row>
    <row r="53">
      <c r="A53" s="10" t="inlineStr">
        <is>
          <t>C39</t>
        </is>
      </c>
      <c r="B53" s="10" t="inlineStr">
        <is>
          <t xml:space="preserve"> Revisión de logs y alertas de seguridad</t>
        </is>
      </c>
      <c r="C53" t="inlineStr">
        <is>
          <t>C39- Revisión de logs y alertas de seguridad</t>
        </is>
      </c>
    </row>
    <row r="54">
      <c r="A54" s="102" t="inlineStr">
        <is>
          <t>13. Gestión de Continuidad del Negocio</t>
        </is>
      </c>
      <c r="B54" s="99" t="n"/>
      <c r="C54" t="inlineStr">
        <is>
          <t>13. Gestión de Continuidad del Negocio-</t>
        </is>
      </c>
    </row>
    <row r="55">
      <c r="A55" s="10" t="inlineStr">
        <is>
          <t>C40</t>
        </is>
      </c>
      <c r="B55" s="10" t="inlineStr">
        <is>
          <t xml:space="preserve"> Respaldo y restauración</t>
        </is>
      </c>
      <c r="C55" t="inlineStr">
        <is>
          <t>C40- Respaldo y restauración</t>
        </is>
      </c>
    </row>
    <row r="56">
      <c r="A56" s="10" t="inlineStr">
        <is>
          <t>C41</t>
        </is>
      </c>
      <c r="B56" s="10" t="inlineStr">
        <is>
          <t xml:space="preserve"> Revisión y pruebas de continuidad del negocio</t>
        </is>
      </c>
      <c r="C56" t="inlineStr">
        <is>
          <t>C41- Revisión y pruebas de continuidad del negocio</t>
        </is>
      </c>
    </row>
    <row r="57">
      <c r="A57" s="102" t="inlineStr">
        <is>
          <t>14. Cumplimiento</t>
        </is>
      </c>
      <c r="B57" s="99" t="n"/>
      <c r="C57" t="inlineStr">
        <is>
          <t>14. Cumplimiento-</t>
        </is>
      </c>
    </row>
    <row r="58">
      <c r="A58" s="10" t="inlineStr">
        <is>
          <t>C42</t>
        </is>
      </c>
      <c r="B58" s="10" t="inlineStr">
        <is>
          <t xml:space="preserve"> Auditorías internas y externas</t>
        </is>
      </c>
      <c r="C58" t="inlineStr">
        <is>
          <t>C42- Auditorías internas y externas</t>
        </is>
      </c>
    </row>
    <row r="59">
      <c r="A59" s="10" t="inlineStr">
        <is>
          <t>C43</t>
        </is>
      </c>
      <c r="B59" s="10" t="inlineStr">
        <is>
          <t xml:space="preserve"> Evaluación de cumplimiento legal y regulatorio</t>
        </is>
      </c>
      <c r="C59" t="inlineStr">
        <is>
          <t>C43- Evaluación de cumplimiento legal y regulatorio</t>
        </is>
      </c>
    </row>
  </sheetData>
  <mergeCells count="15">
    <mergeCell ref="A48:B48"/>
    <mergeCell ref="A26:B26"/>
    <mergeCell ref="A16:B16"/>
    <mergeCell ref="A54:B54"/>
    <mergeCell ref="A29:B29"/>
    <mergeCell ref="A57:B57"/>
    <mergeCell ref="A43:B43"/>
    <mergeCell ref="A19:B19"/>
    <mergeCell ref="A51:B51"/>
    <mergeCell ref="A32:B32"/>
    <mergeCell ref="A1:B1"/>
    <mergeCell ref="A40:B40"/>
    <mergeCell ref="A8:B8"/>
    <mergeCell ref="A3:B3"/>
    <mergeCell ref="A12:B12"/>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L94"/>
  <sheetViews>
    <sheetView zoomScale="90" zoomScaleNormal="90" workbookViewId="0">
      <selection activeCell="J24" sqref="J24"/>
    </sheetView>
  </sheetViews>
  <sheetFormatPr baseColWidth="10" defaultColWidth="9.1640625" defaultRowHeight="11.25"/>
  <cols>
    <col width="11.83203125" customWidth="1" style="38" min="1" max="1"/>
    <col width="19.5" customWidth="1" style="112" min="2" max="2"/>
    <col width="12.6640625" customWidth="1" style="112" min="3" max="3"/>
    <col width="17.6640625" customWidth="1" style="112" min="4" max="4"/>
    <col width="14" customWidth="1" style="112" min="5" max="5"/>
    <col width="39.1640625" customWidth="1" style="38" min="6" max="6"/>
    <col width="25" customWidth="1" style="112" min="7" max="7"/>
    <col width="29.6640625" customWidth="1" style="112" min="8" max="8"/>
    <col width="18.6640625" customWidth="1" style="112" min="9" max="9"/>
    <col width="16.1640625" customWidth="1" style="112" min="10" max="10"/>
    <col width="13.1640625" customWidth="1" style="112" min="11" max="11"/>
    <col width="19.6640625" customWidth="1" style="112" min="12" max="12"/>
    <col width="9.1640625" customWidth="1" style="112" min="13" max="15"/>
    <col width="9.1640625" customWidth="1" style="112" min="16" max="16384"/>
  </cols>
  <sheetData>
    <row r="1" ht="60" customHeight="1" s="106">
      <c r="A1" s="88" t="inlineStr">
        <is>
          <t>Identificador de control IEC 27002</t>
        </is>
      </c>
      <c r="B1" s="88" t="inlineStr">
        <is>
          <t>Nombre del control</t>
        </is>
      </c>
      <c r="C1" s="88" t="inlineStr">
        <is>
          <t>Tipo de control</t>
        </is>
      </c>
      <c r="D1" s="88" t="inlineStr">
        <is>
          <t>Propiedades de seguridad de la información</t>
        </is>
      </c>
      <c r="E1" s="88" t="inlineStr">
        <is>
          <t>Conceptos de ciberseguridad</t>
        </is>
      </c>
      <c r="F1" s="88" t="inlineStr">
        <is>
          <t>Capacidades operativas</t>
        </is>
      </c>
      <c r="G1" s="88" t="inlineStr">
        <is>
          <t>Dominios de seguridad</t>
        </is>
      </c>
      <c r="H1" s="88" t="inlineStr">
        <is>
          <t>Obligatoriedad Regulatoria SEPS 002-2022</t>
        </is>
      </c>
      <c r="I1" s="88" t="inlineStr">
        <is>
          <t>Control Metodología GSO-GSI (Secc. 10.2.2)</t>
        </is>
      </c>
      <c r="J1" s="88" t="inlineStr">
        <is>
          <t>Origen de Aplicabilidad</t>
        </is>
      </c>
      <c r="K1" s="88" t="inlineStr">
        <is>
          <t>¿Aplica?</t>
        </is>
      </c>
      <c r="L1" s="88" t="inlineStr">
        <is>
          <t>Criterio / Justificación Técnica</t>
        </is>
      </c>
    </row>
    <row r="2" ht="48" customHeight="1" s="106">
      <c r="A2" s="38" t="inlineStr">
        <is>
          <t>5.1</t>
        </is>
      </c>
      <c r="B2" s="112" t="inlineStr">
        <is>
          <t>Políticas para la seguridad de la información</t>
        </is>
      </c>
      <c r="C2" s="112" t="inlineStr">
        <is>
          <t>#Preventivo</t>
        </is>
      </c>
      <c r="D2" s="112" t="inlineStr">
        <is>
          <t>#Confidencialidad, #Integridad, #Disponibilidad</t>
        </is>
      </c>
      <c r="E2" s="112" t="inlineStr">
        <is>
          <t>#Identificar</t>
        </is>
      </c>
      <c r="F2" s="38" t="inlineStr">
        <is>
          <t>#Gobernanza</t>
        </is>
      </c>
      <c r="G2" s="112" t="inlineStr">
        <is>
          <t>#Gobernanza_y_Ecosistema</t>
        </is>
      </c>
      <c r="H2" s="112" t="inlineStr">
        <is>
          <t>Obligatorio SEPS (Régimen General)</t>
        </is>
      </c>
      <c r="I2" s="112" t="inlineStr">
        <is>
          <t>C1: Revisión periódica de políticas y procedimientos</t>
        </is>
      </c>
      <c r="J2" s="112" t="inlineStr">
        <is>
          <t>2. Metodología Interna GSO-GSI + ISO 27001</t>
        </is>
      </c>
      <c r="K2" s="112" t="inlineStr">
        <is>
          <t>Aplica</t>
        </is>
      </c>
      <c r="L2" s="112" t="inlineStr">
        <is>
          <t>Requisito interno GSO-GSI</t>
        </is>
      </c>
    </row>
    <row r="3" ht="48" customHeight="1" s="106">
      <c r="A3" s="38" t="inlineStr">
        <is>
          <t>5.2</t>
        </is>
      </c>
      <c r="B3" s="112" t="inlineStr">
        <is>
          <t>Funciones y responsabilidades de seguridad de la información</t>
        </is>
      </c>
      <c r="C3" s="112" t="inlineStr">
        <is>
          <t>#Preventivo</t>
        </is>
      </c>
      <c r="D3" s="112" t="inlineStr">
        <is>
          <t>#Confidencialidad, #Integridad, #Disponibilidad</t>
        </is>
      </c>
      <c r="E3" s="112" t="inlineStr">
        <is>
          <t>#Identificar</t>
        </is>
      </c>
      <c r="F3" s="38" t="inlineStr">
        <is>
          <t>#Gobernanza</t>
        </is>
      </c>
      <c r="G3" s="112" t="inlineStr">
        <is>
          <t>#Gobernanza_y_Ecosistema</t>
        </is>
      </c>
      <c r="H3" s="112" t="inlineStr">
        <is>
          <t>Obligatorio SEPS (Régimen General)</t>
        </is>
      </c>
      <c r="I3" s="112" t="inlineStr">
        <is>
          <t>-</t>
        </is>
      </c>
      <c r="J3" s="112" t="inlineStr">
        <is>
          <t>1. Regulatorio SEPS 002-2022 + ISO 27001</t>
        </is>
      </c>
      <c r="K3" s="112" t="inlineStr">
        <is>
          <t>Aplica</t>
        </is>
      </c>
      <c r="L3" s="112" t="inlineStr">
        <is>
          <t>Requerido por ente regulador SEPS</t>
        </is>
      </c>
    </row>
    <row r="4" ht="36" customHeight="1" s="106">
      <c r="A4" s="38" t="inlineStr">
        <is>
          <t>5.3</t>
        </is>
      </c>
      <c r="B4" s="112" t="inlineStr">
        <is>
          <t>Segregación de funciones</t>
        </is>
      </c>
      <c r="C4" s="112" t="inlineStr">
        <is>
          <t>#Preventivo</t>
        </is>
      </c>
      <c r="D4" s="112" t="inlineStr">
        <is>
          <t>#Confidencialidad, #Integridad</t>
        </is>
      </c>
      <c r="E4" s="112" t="inlineStr">
        <is>
          <t>#Proteger</t>
        </is>
      </c>
      <c r="F4" s="38" t="inlineStr">
        <is>
          <t>#Gobernanza</t>
        </is>
      </c>
      <c r="G4" s="112" t="inlineStr">
        <is>
          <t>#Gobernanza_y_Ecosistema</t>
        </is>
      </c>
      <c r="H4" s="112" t="inlineStr">
        <is>
          <t>Obligatorio SEPS (Régimen General)</t>
        </is>
      </c>
      <c r="I4" s="112" t="inlineStr">
        <is>
          <t>-</t>
        </is>
      </c>
      <c r="J4" s="112" t="inlineStr">
        <is>
          <t>1. Regulatorio SEPS 002-2022 + ISO 27001</t>
        </is>
      </c>
      <c r="K4" s="112" t="inlineStr">
        <is>
          <t>Aplica</t>
        </is>
      </c>
      <c r="L4" s="112" t="inlineStr">
        <is>
          <t>Requerido por ente regulador SEPS</t>
        </is>
      </c>
    </row>
    <row r="5" ht="36" customHeight="1" s="106">
      <c r="A5" s="38" t="inlineStr">
        <is>
          <t>5.4</t>
        </is>
      </c>
      <c r="B5" s="112" t="inlineStr">
        <is>
          <t>Responsabilidades de la dirección</t>
        </is>
      </c>
      <c r="C5" s="112" t="inlineStr">
        <is>
          <t>#Preventivo</t>
        </is>
      </c>
      <c r="D5" s="112" t="inlineStr">
        <is>
          <t>#Confidencialidad, #Integridad, #Disponibilidad</t>
        </is>
      </c>
      <c r="E5" s="112" t="inlineStr">
        <is>
          <t>#Identificar</t>
        </is>
      </c>
      <c r="F5" s="38" t="inlineStr">
        <is>
          <t>#Gobernanza</t>
        </is>
      </c>
      <c r="G5" s="112" t="inlineStr">
        <is>
          <t>#Gobernanza_y_Ecosistema</t>
        </is>
      </c>
      <c r="H5" s="112" t="inlineStr">
        <is>
          <t>Obligatorio SEPS (Régimen General)</t>
        </is>
      </c>
      <c r="I5" s="112" t="inlineStr">
        <is>
          <t>-</t>
        </is>
      </c>
      <c r="J5" s="112" t="inlineStr">
        <is>
          <t>1. Regulatorio SEPS 002-2022 + ISO 27001</t>
        </is>
      </c>
      <c r="K5" s="112" t="inlineStr">
        <is>
          <t>Aplica</t>
        </is>
      </c>
      <c r="L5" s="112" t="inlineStr">
        <is>
          <t>Requerido por ente regulador SEPS</t>
        </is>
      </c>
    </row>
    <row r="6" ht="36" customHeight="1" s="106">
      <c r="A6" s="38" t="inlineStr">
        <is>
          <t>5.5</t>
        </is>
      </c>
      <c r="B6" s="112" t="inlineStr">
        <is>
          <t>Contacto con las autoridades</t>
        </is>
      </c>
      <c r="C6" s="112" t="inlineStr">
        <is>
          <t>#Preventivo</t>
        </is>
      </c>
      <c r="D6" s="112" t="inlineStr">
        <is>
          <t>#Disponibilidad</t>
        </is>
      </c>
      <c r="E6" s="112" t="inlineStr">
        <is>
          <t>#Responder</t>
        </is>
      </c>
      <c r="F6" s="38" t="inlineStr">
        <is>
          <t>#Gobernanza</t>
        </is>
      </c>
      <c r="G6" s="112" t="inlineStr">
        <is>
          <t>#Gobernanza_y_Ecosistema</t>
        </is>
      </c>
      <c r="H6" s="112" t="inlineStr">
        <is>
          <t>Obligatorio SEPS (Régimen General)</t>
        </is>
      </c>
      <c r="I6" s="112" t="inlineStr">
        <is>
          <t>-</t>
        </is>
      </c>
      <c r="J6" s="112" t="inlineStr">
        <is>
          <t>1. Regulatorio SEPS 002-2022 + ISO 27001</t>
        </is>
      </c>
      <c r="K6" s="112" t="inlineStr">
        <is>
          <t>Aplica</t>
        </is>
      </c>
      <c r="L6" s="112" t="inlineStr">
        <is>
          <t>Requerido por ente regulador SEPS</t>
        </is>
      </c>
    </row>
    <row r="7" ht="60" customHeight="1" s="106">
      <c r="A7" s="38" t="inlineStr">
        <is>
          <t>5.6</t>
        </is>
      </c>
      <c r="B7" s="112" t="inlineStr">
        <is>
          <t>Contacto con grupos de interés especial</t>
        </is>
      </c>
      <c r="C7" s="112" t="inlineStr">
        <is>
          <t>#Preventivo</t>
        </is>
      </c>
      <c r="D7" s="112" t="inlineStr">
        <is>
          <t>#Disponibilidad</t>
        </is>
      </c>
      <c r="E7" s="112" t="inlineStr">
        <is>
          <t>#Identificar</t>
        </is>
      </c>
      <c r="F7" s="38" t="inlineStr">
        <is>
          <t>#Gobernanza</t>
        </is>
      </c>
      <c r="G7" s="112" t="inlineStr">
        <is>
          <t>#Gobernanza_y_Ecosistema</t>
        </is>
      </c>
      <c r="H7" s="112" t="inlineStr">
        <is>
          <t>Mejor Práctica (No obligatorio SEPS)</t>
        </is>
      </c>
      <c r="I7" s="112" t="inlineStr">
        <is>
          <t>-</t>
        </is>
      </c>
      <c r="J7" s="112" t="inlineStr">
        <is>
          <t>3. Tratamiento de Riesgos Específico (ISO 27002 / MAGERIT)</t>
        </is>
      </c>
      <c r="K7" s="112" t="inlineStr">
        <is>
          <t>Aplica</t>
        </is>
      </c>
      <c r="L7" s="112" t="inlineStr">
        <is>
          <t>Requisito de control complementario y mejor práctica de seguridad</t>
        </is>
      </c>
    </row>
    <row r="8" ht="60" customHeight="1" s="106">
      <c r="A8" s="38" t="inlineStr">
        <is>
          <t>5.7</t>
        </is>
      </c>
      <c r="B8" s="112" t="inlineStr">
        <is>
          <t>Inteligencia de amenazas</t>
        </is>
      </c>
      <c r="C8" s="112" t="inlineStr">
        <is>
          <t>#Detectivo, #Preventivo</t>
        </is>
      </c>
      <c r="D8" s="112" t="inlineStr">
        <is>
          <t>#Confidencialidad, #Integridad, #Disponibilidad</t>
        </is>
      </c>
      <c r="E8" s="112" t="inlineStr">
        <is>
          <t>#Identificar</t>
        </is>
      </c>
      <c r="F8" s="38" t="inlineStr">
        <is>
          <t>#Gestión_de_amenazas_y_vulnerabilidades</t>
        </is>
      </c>
      <c r="G8" s="112" t="inlineStr">
        <is>
          <t>#Gobernanza_y_Ecosistema</t>
        </is>
      </c>
      <c r="H8" s="112" t="inlineStr">
        <is>
          <t>Mejor Práctica (No obligatorio SEPS)</t>
        </is>
      </c>
      <c r="I8" s="112" t="inlineStr">
        <is>
          <t>-</t>
        </is>
      </c>
      <c r="J8" s="112" t="inlineStr">
        <is>
          <t>3. Tratamiento de Riesgos Específico (ISO 27002 / MAGERIT)</t>
        </is>
      </c>
      <c r="K8" s="112" t="inlineStr">
        <is>
          <t>Aplica</t>
        </is>
      </c>
      <c r="L8" s="112" t="inlineStr">
        <is>
          <t>Requisito de control complementario y mejor práctica de seguridad</t>
        </is>
      </c>
    </row>
    <row r="9" ht="36" customHeight="1" s="106">
      <c r="A9" s="38" t="inlineStr">
        <is>
          <t>5.8</t>
        </is>
      </c>
      <c r="B9" s="112" t="inlineStr">
        <is>
          <t>Seguridad de la información en la gestión de proyectos</t>
        </is>
      </c>
      <c r="C9" s="112" t="inlineStr">
        <is>
          <t>#Preventivo</t>
        </is>
      </c>
      <c r="D9" s="112" t="inlineStr">
        <is>
          <t>#Confidencialidad, #Integridad, #Disponibilidad</t>
        </is>
      </c>
      <c r="E9" s="112" t="inlineStr">
        <is>
          <t>#Proteger</t>
        </is>
      </c>
      <c r="F9" s="38" t="inlineStr">
        <is>
          <t>#Gobernanza</t>
        </is>
      </c>
      <c r="G9" s="112" t="inlineStr">
        <is>
          <t>#Gobernanza_y_Ecosistema</t>
        </is>
      </c>
      <c r="H9" s="112" t="inlineStr">
        <is>
          <t>Obligatorio SEPS (Régimen General)</t>
        </is>
      </c>
      <c r="I9" s="112" t="inlineStr">
        <is>
          <t>-</t>
        </is>
      </c>
      <c r="J9" s="112" t="inlineStr">
        <is>
          <t>1. Regulatorio SEPS 002-2022 + ISO 27001</t>
        </is>
      </c>
      <c r="K9" s="112" t="inlineStr">
        <is>
          <t>Aplica</t>
        </is>
      </c>
      <c r="L9" s="112" t="inlineStr">
        <is>
          <t>Requerido por ente regulador SEPS</t>
        </is>
      </c>
    </row>
    <row r="10" ht="36" customHeight="1" s="106">
      <c r="A10" s="38" t="inlineStr">
        <is>
          <t>5.9</t>
        </is>
      </c>
      <c r="B10" s="112" t="inlineStr">
        <is>
          <t>Inventario de información y otros activos asociados</t>
        </is>
      </c>
      <c r="C10" s="112" t="inlineStr">
        <is>
          <t>#Preventivo</t>
        </is>
      </c>
      <c r="D10" s="112" t="inlineStr">
        <is>
          <t>#Confidencialidad, #Integridad, #Disponibilidad</t>
        </is>
      </c>
      <c r="E10" s="112" t="inlineStr">
        <is>
          <t>#Identificar</t>
        </is>
      </c>
      <c r="F10" s="38" t="inlineStr">
        <is>
          <t>#Gestión_de_activos</t>
        </is>
      </c>
      <c r="G10" s="112" t="inlineStr">
        <is>
          <t>#Gobernanza_y_Ecosistema</t>
        </is>
      </c>
      <c r="H10" s="112" t="inlineStr">
        <is>
          <t>Obligatorio SEPS (Régimen General)</t>
        </is>
      </c>
      <c r="I10" s="112" t="inlineStr">
        <is>
          <t>-</t>
        </is>
      </c>
      <c r="J10" s="112" t="inlineStr">
        <is>
          <t>1. Regulatorio SEPS 002-2022 + ISO 27001</t>
        </is>
      </c>
      <c r="K10" s="112" t="inlineStr">
        <is>
          <t>Aplica</t>
        </is>
      </c>
      <c r="L10" s="112" t="inlineStr">
        <is>
          <t>Requerido por ente regulador SEPS</t>
        </is>
      </c>
    </row>
    <row r="11" ht="36" customHeight="1" s="106">
      <c r="A11" s="38" t="inlineStr">
        <is>
          <t>5.10</t>
        </is>
      </c>
      <c r="B11" s="112" t="inlineStr">
        <is>
          <t>Uso aceptable de la información y otros activos asociados</t>
        </is>
      </c>
      <c r="C11" s="112" t="inlineStr">
        <is>
          <t>#Preventivo</t>
        </is>
      </c>
      <c r="D11" s="112" t="inlineStr">
        <is>
          <t>#Confidencialidad, #Integridad, #Disponibilidad</t>
        </is>
      </c>
      <c r="E11" s="112" t="inlineStr">
        <is>
          <t>#Proteger</t>
        </is>
      </c>
      <c r="F11" s="38" t="inlineStr">
        <is>
          <t>#Protección_de_la_información</t>
        </is>
      </c>
      <c r="G11" s="112" t="inlineStr">
        <is>
          <t>#Gobernanza_y_Ecosistema</t>
        </is>
      </c>
      <c r="H11" s="112" t="inlineStr">
        <is>
          <t>Obligatorio SEPS (Régimen General)</t>
        </is>
      </c>
      <c r="I11" s="112" t="inlineStr">
        <is>
          <t>-</t>
        </is>
      </c>
      <c r="J11" s="112" t="inlineStr">
        <is>
          <t>1. Regulatorio SEPS 002-2022 + ISO 27001</t>
        </is>
      </c>
      <c r="K11" s="112" t="inlineStr">
        <is>
          <t>Aplica</t>
        </is>
      </c>
      <c r="L11" s="112" t="inlineStr">
        <is>
          <t>Requerido por ente regulador SEPS</t>
        </is>
      </c>
    </row>
    <row r="12" ht="36" customHeight="1" s="106">
      <c r="A12" s="38" t="inlineStr">
        <is>
          <t>5.11</t>
        </is>
      </c>
      <c r="B12" s="112" t="inlineStr">
        <is>
          <t>Devolución de activos</t>
        </is>
      </c>
      <c r="C12" s="112" t="inlineStr">
        <is>
          <t>#Preventivo</t>
        </is>
      </c>
      <c r="D12" s="112" t="inlineStr">
        <is>
          <t>#Confidencialidad, #Integridad, #Disponibilidad</t>
        </is>
      </c>
      <c r="E12" s="112" t="inlineStr">
        <is>
          <t>#Proteger</t>
        </is>
      </c>
      <c r="F12" s="38" t="inlineStr">
        <is>
          <t>#Gestión_de_activos</t>
        </is>
      </c>
      <c r="G12" s="112" t="inlineStr">
        <is>
          <t>#Gobernanza_y_Ecosistema</t>
        </is>
      </c>
      <c r="H12" s="112" t="inlineStr">
        <is>
          <t>Obligatorio SEPS (Régimen General)</t>
        </is>
      </c>
      <c r="I12" s="112" t="inlineStr">
        <is>
          <t>-</t>
        </is>
      </c>
      <c r="J12" s="112" t="inlineStr">
        <is>
          <t>1. Regulatorio SEPS 002-2022 + ISO 27001</t>
        </is>
      </c>
      <c r="K12" s="112" t="inlineStr">
        <is>
          <t>Aplica</t>
        </is>
      </c>
      <c r="L12" s="112" t="inlineStr">
        <is>
          <t>Requerido por ente regulador SEPS</t>
        </is>
      </c>
    </row>
    <row r="13" ht="36" customHeight="1" s="106">
      <c r="A13" s="38" t="inlineStr">
        <is>
          <t>5.12</t>
        </is>
      </c>
      <c r="B13" s="112" t="inlineStr">
        <is>
          <t>Clasificación de la información</t>
        </is>
      </c>
      <c r="C13" s="112" t="inlineStr">
        <is>
          <t>#Preventivo</t>
        </is>
      </c>
      <c r="D13" s="112" t="inlineStr">
        <is>
          <t>#Confidencialidad, #Integridad, #Disponibilidad</t>
        </is>
      </c>
      <c r="E13" s="112" t="inlineStr">
        <is>
          <t>#Identificar</t>
        </is>
      </c>
      <c r="F13" s="38" t="inlineStr">
        <is>
          <t>#Protección_de_la_información</t>
        </is>
      </c>
      <c r="G13" s="112" t="inlineStr">
        <is>
          <t>#Gobernanza_y_Ecosistema</t>
        </is>
      </c>
      <c r="H13" s="112" t="inlineStr">
        <is>
          <t>Obligatorio SEPS (Régimen General)</t>
        </is>
      </c>
      <c r="I13" s="112" t="inlineStr">
        <is>
          <t>C2: Clasificación de la información</t>
        </is>
      </c>
      <c r="J13" s="112" t="inlineStr">
        <is>
          <t>2. Metodología Interna GSO-GSI + ISO 27001</t>
        </is>
      </c>
      <c r="K13" s="112" t="inlineStr">
        <is>
          <t>Aplica</t>
        </is>
      </c>
      <c r="L13" s="112" t="inlineStr">
        <is>
          <t>Requisito interno GSO-GSI</t>
        </is>
      </c>
    </row>
    <row r="14" ht="36" customHeight="1" s="106">
      <c r="A14" s="38" t="inlineStr">
        <is>
          <t>5.13</t>
        </is>
      </c>
      <c r="B14" s="112" t="inlineStr">
        <is>
          <t>Etiquetado de la información</t>
        </is>
      </c>
      <c r="C14" s="112" t="inlineStr">
        <is>
          <t>#Preventivo</t>
        </is>
      </c>
      <c r="D14" s="112" t="inlineStr">
        <is>
          <t>#Confidencialidad, #Integridad, #Disponibilidad</t>
        </is>
      </c>
      <c r="E14" s="112" t="inlineStr">
        <is>
          <t>#Proteger</t>
        </is>
      </c>
      <c r="F14" s="38" t="inlineStr">
        <is>
          <t>#Protección_de_la_información</t>
        </is>
      </c>
      <c r="G14" s="112" t="inlineStr">
        <is>
          <t>#Gobernanza_y_Ecosistema</t>
        </is>
      </c>
      <c r="H14" s="112" t="inlineStr">
        <is>
          <t>Obligatorio SEPS (Régimen General)</t>
        </is>
      </c>
      <c r="I14" s="112" t="inlineStr">
        <is>
          <t>C2: Clasificación de la información</t>
        </is>
      </c>
      <c r="J14" s="112" t="inlineStr">
        <is>
          <t>2. Metodología Interna GSO-GSI + ISO 27001</t>
        </is>
      </c>
      <c r="K14" s="112" t="inlineStr">
        <is>
          <t>Aplica</t>
        </is>
      </c>
      <c r="L14" s="112" t="inlineStr">
        <is>
          <t>Requisito interno GSO-GSI</t>
        </is>
      </c>
    </row>
    <row r="15" ht="36" customHeight="1" s="106">
      <c r="A15" s="38" t="inlineStr">
        <is>
          <t>5.14</t>
        </is>
      </c>
      <c r="B15" s="112" t="inlineStr">
        <is>
          <t>Transferencia de información</t>
        </is>
      </c>
      <c r="C15" s="112" t="inlineStr">
        <is>
          <t>#Preventivo</t>
        </is>
      </c>
      <c r="D15" s="112" t="inlineStr">
        <is>
          <t>#Confidencialidad, #Integridad, #Disponibilidad</t>
        </is>
      </c>
      <c r="E15" s="112" t="inlineStr">
        <is>
          <t>#Proteger</t>
        </is>
      </c>
      <c r="F15" s="38" t="inlineStr">
        <is>
          <t>#Protección_de_la_información</t>
        </is>
      </c>
      <c r="G15" s="112" t="inlineStr">
        <is>
          <t>#Gobernanza_y_Ecosistema</t>
        </is>
      </c>
      <c r="H15" s="112" t="inlineStr">
        <is>
          <t>Obligatorio SEPS (Régimen General)</t>
        </is>
      </c>
      <c r="I15" s="112" t="inlineStr">
        <is>
          <t>-</t>
        </is>
      </c>
      <c r="J15" s="112" t="inlineStr">
        <is>
          <t>1. Regulatorio SEPS 002-2022 + ISO 27001</t>
        </is>
      </c>
      <c r="K15" s="112" t="inlineStr">
        <is>
          <t>Aplica</t>
        </is>
      </c>
      <c r="L15" s="112" t="inlineStr">
        <is>
          <t>Requerido por ente regulador SEPS</t>
        </is>
      </c>
    </row>
    <row r="16" ht="36" customHeight="1" s="106">
      <c r="A16" s="38" t="inlineStr">
        <is>
          <t>5.15</t>
        </is>
      </c>
      <c r="B16" s="112" t="inlineStr">
        <is>
          <t>Control de acceso</t>
        </is>
      </c>
      <c r="C16" s="112" t="inlineStr">
        <is>
          <t>#Preventivo</t>
        </is>
      </c>
      <c r="D16" s="112" t="inlineStr">
        <is>
          <t>#Confidencialidad, #Integridad, #Disponibilidad</t>
        </is>
      </c>
      <c r="E16" s="112" t="inlineStr">
        <is>
          <t>#Proteger</t>
        </is>
      </c>
      <c r="F16" s="38" t="inlineStr">
        <is>
          <t>#Administración_de_identidad_y_acceso</t>
        </is>
      </c>
      <c r="G16" s="112" t="inlineStr">
        <is>
          <t>#Gobernanza_y_Ecosistema</t>
        </is>
      </c>
      <c r="H16" s="112" t="inlineStr">
        <is>
          <t>Obligatorio SEPS (Régimen General)</t>
        </is>
      </c>
      <c r="I16" s="112" t="inlineStr">
        <is>
          <t>C4: Restricción del control de acceso</t>
        </is>
      </c>
      <c r="J16" s="112" t="inlineStr">
        <is>
          <t>2. Metodología Interna GSO-GSI + ISO 27001</t>
        </is>
      </c>
      <c r="K16" s="112" t="inlineStr">
        <is>
          <t>Aplica</t>
        </is>
      </c>
      <c r="L16" s="112" t="inlineStr">
        <is>
          <t>Requisito interno GSO-GSI</t>
        </is>
      </c>
    </row>
    <row r="17" ht="36" customHeight="1" s="106">
      <c r="A17" s="38" t="inlineStr">
        <is>
          <t>5.16</t>
        </is>
      </c>
      <c r="B17" s="112" t="inlineStr">
        <is>
          <t>Gestión de identidades</t>
        </is>
      </c>
      <c r="C17" s="112" t="inlineStr">
        <is>
          <t>#Preventivo</t>
        </is>
      </c>
      <c r="D17" s="112" t="inlineStr">
        <is>
          <t>#Confidencialidad, #Integridad, #Disponibilidad</t>
        </is>
      </c>
      <c r="E17" s="112" t="inlineStr">
        <is>
          <t>#Proteger</t>
        </is>
      </c>
      <c r="F17" s="38" t="inlineStr">
        <is>
          <t>#Administración_de_identidad_y_acceso</t>
        </is>
      </c>
      <c r="G17" s="112" t="inlineStr">
        <is>
          <t>#Gobernanza_y_Ecosistema</t>
        </is>
      </c>
      <c r="H17" s="112" t="inlineStr">
        <is>
          <t>Obligatorio SEPS (Régimen General)</t>
        </is>
      </c>
      <c r="I17" s="112" t="inlineStr">
        <is>
          <t>-</t>
        </is>
      </c>
      <c r="J17" s="112" t="inlineStr">
        <is>
          <t>1. Regulatorio SEPS 002-2022 + ISO 27001</t>
        </is>
      </c>
      <c r="K17" s="112" t="inlineStr">
        <is>
          <t>Aplica</t>
        </is>
      </c>
      <c r="L17" s="112" t="inlineStr">
        <is>
          <t>Requerido por ente regulador SEPS</t>
        </is>
      </c>
    </row>
    <row r="18" ht="36" customHeight="1" s="106">
      <c r="A18" s="38" t="inlineStr">
        <is>
          <t>5.17</t>
        </is>
      </c>
      <c r="B18" s="112" t="inlineStr">
        <is>
          <t>Información de autenticación</t>
        </is>
      </c>
      <c r="C18" s="112" t="inlineStr">
        <is>
          <t>#Preventivo</t>
        </is>
      </c>
      <c r="D18" s="112" t="inlineStr">
        <is>
          <t>#Confidencialidad, #Integridad, #Disponibilidad</t>
        </is>
      </c>
      <c r="E18" s="112" t="inlineStr">
        <is>
          <t>#Proteger</t>
        </is>
      </c>
      <c r="F18" s="38" t="inlineStr">
        <is>
          <t>#Administración_de_identidad_y_acceso</t>
        </is>
      </c>
      <c r="G18" s="112" t="inlineStr">
        <is>
          <t>#Gobernanza_y_Ecosistema</t>
        </is>
      </c>
      <c r="H18" s="112" t="inlineStr">
        <is>
          <t>Obligatorio SEPS (Régimen General)</t>
        </is>
      </c>
      <c r="I18" s="112" t="inlineStr">
        <is>
          <t>C8: Uso de contraseñas fuertes</t>
        </is>
      </c>
      <c r="J18" s="112" t="inlineStr">
        <is>
          <t>2. Metodología Interna GSO-GSI + ISO 27001</t>
        </is>
      </c>
      <c r="K18" s="112" t="inlineStr">
        <is>
          <t>Aplica</t>
        </is>
      </c>
      <c r="L18" s="112" t="inlineStr">
        <is>
          <t>Requisito interno GSO-GSI</t>
        </is>
      </c>
    </row>
    <row r="19" ht="36" customHeight="1" s="106">
      <c r="A19" s="38" t="inlineStr">
        <is>
          <t>5.18</t>
        </is>
      </c>
      <c r="B19" s="112" t="inlineStr">
        <is>
          <t>Derechos de acceso</t>
        </is>
      </c>
      <c r="C19" s="112" t="inlineStr">
        <is>
          <t>#Preventivo</t>
        </is>
      </c>
      <c r="D19" s="112" t="inlineStr">
        <is>
          <t>#Confidencialidad, #Integridad, #Disponibilidad</t>
        </is>
      </c>
      <c r="E19" s="112" t="inlineStr">
        <is>
          <t>#Proteger</t>
        </is>
      </c>
      <c r="F19" s="38" t="inlineStr">
        <is>
          <t>#Administración_de_identidad_y_acceso</t>
        </is>
      </c>
      <c r="G19" s="112" t="inlineStr">
        <is>
          <t>#Gobernanza_y_Ecosistema</t>
        </is>
      </c>
      <c r="H19" s="112" t="inlineStr">
        <is>
          <t>Obligatorio SEPS (Régimen General)</t>
        </is>
      </c>
      <c r="I19" s="112" t="inlineStr">
        <is>
          <t>C7: Revisión periódica de los derechos de acceso</t>
        </is>
      </c>
      <c r="J19" s="112" t="inlineStr">
        <is>
          <t>2. Metodología Interna GSO-GSI + ISO 27001</t>
        </is>
      </c>
      <c r="K19" s="112" t="inlineStr">
        <is>
          <t>Aplica</t>
        </is>
      </c>
      <c r="L19" s="112" t="inlineStr">
        <is>
          <t>Requisito interno GSO-GSI</t>
        </is>
      </c>
    </row>
    <row r="20" ht="48" customHeight="1" s="106">
      <c r="A20" s="38" t="inlineStr">
        <is>
          <t>5.19</t>
        </is>
      </c>
      <c r="B20" s="112" t="inlineStr">
        <is>
          <t>Seguridad de la información en las relaciones con los proveedores</t>
        </is>
      </c>
      <c r="C20" s="112" t="inlineStr">
        <is>
          <t>#Preventivo</t>
        </is>
      </c>
      <c r="D20" s="112" t="inlineStr">
        <is>
          <t>#Confidencialidad, #Integridad, #Disponibilidad</t>
        </is>
      </c>
      <c r="E20" s="112" t="inlineStr">
        <is>
          <t>#Proteger</t>
        </is>
      </c>
      <c r="F20" s="38" t="inlineStr">
        <is>
          <t>#Seguridad_en_relaciones_con_proveedores</t>
        </is>
      </c>
      <c r="G20" s="112" t="inlineStr">
        <is>
          <t>#Gobernanza_y_Ecosistema</t>
        </is>
      </c>
      <c r="H20" s="112" t="inlineStr">
        <is>
          <t>Obligatorio SEPS (Régimen General)</t>
        </is>
      </c>
      <c r="I20" s="112" t="inlineStr">
        <is>
          <t>-</t>
        </is>
      </c>
      <c r="J20" s="112" t="inlineStr">
        <is>
          <t>1. Regulatorio SEPS 002-2022 + ISO 27001</t>
        </is>
      </c>
      <c r="K20" s="112" t="inlineStr">
        <is>
          <t>Aplica</t>
        </is>
      </c>
      <c r="L20" s="112" t="inlineStr">
        <is>
          <t>Requerido por ente regulador SEPS</t>
        </is>
      </c>
    </row>
    <row r="21" ht="60" customHeight="1" s="106">
      <c r="A21" s="38" t="inlineStr">
        <is>
          <t>5.20</t>
        </is>
      </c>
      <c r="B21" s="112" t="inlineStr">
        <is>
          <t>Tratamiento de la seguridad de la información en los acuerdos con los proveedores</t>
        </is>
      </c>
      <c r="C21" s="112" t="inlineStr">
        <is>
          <t>#Preventivo</t>
        </is>
      </c>
      <c r="D21" s="112" t="inlineStr">
        <is>
          <t>#Confidencialidad, #Integridad, #Disponibilidad</t>
        </is>
      </c>
      <c r="E21" s="112" t="inlineStr">
        <is>
          <t>#Proteger</t>
        </is>
      </c>
      <c r="F21" s="38" t="inlineStr">
        <is>
          <t>#Seguridad_en_relaciones_con_proveedores</t>
        </is>
      </c>
      <c r="G21" s="112" t="inlineStr">
        <is>
          <t>#Gobernanza_y_Ecosistema</t>
        </is>
      </c>
      <c r="H21" s="112" t="inlineStr">
        <is>
          <t>Obligatorio SEPS (Régimen General)</t>
        </is>
      </c>
      <c r="I21" s="112" t="inlineStr">
        <is>
          <t>-</t>
        </is>
      </c>
      <c r="J21" s="112" t="inlineStr">
        <is>
          <t>1. Regulatorio SEPS 002-2022 + ISO 27001</t>
        </is>
      </c>
      <c r="K21" s="112" t="inlineStr">
        <is>
          <t>Aplica</t>
        </is>
      </c>
      <c r="L21" s="112" t="inlineStr">
        <is>
          <t>Requerido por ente regulador SEPS</t>
        </is>
      </c>
    </row>
    <row r="22" ht="60" customHeight="1" s="106">
      <c r="A22" s="38" t="inlineStr">
        <is>
          <t>5.21</t>
        </is>
      </c>
      <c r="B22" s="112" t="inlineStr">
        <is>
          <t>Gestión de la seguridad de la información en la cadena de suministro de TIC</t>
        </is>
      </c>
      <c r="C22" s="112" t="inlineStr">
        <is>
          <t>#Preventivo</t>
        </is>
      </c>
      <c r="D22" s="112" t="inlineStr">
        <is>
          <t>#Confidencialidad, #Integridad, #Disponibilidad</t>
        </is>
      </c>
      <c r="E22" s="112" t="inlineStr">
        <is>
          <t>#Proteger</t>
        </is>
      </c>
      <c r="F22" s="38" t="inlineStr">
        <is>
          <t>#Seguridad_en_relaciones_con_proveedores</t>
        </is>
      </c>
      <c r="G22" s="112" t="inlineStr">
        <is>
          <t>#Gobernanza_y_Ecosistema</t>
        </is>
      </c>
      <c r="H22" s="112" t="inlineStr">
        <is>
          <t>Obligatorio SEPS (Régimen General)</t>
        </is>
      </c>
      <c r="I22" s="112" t="inlineStr">
        <is>
          <t>-</t>
        </is>
      </c>
      <c r="J22" s="112" t="inlineStr">
        <is>
          <t>1. Regulatorio SEPS 002-2022 + ISO 27001</t>
        </is>
      </c>
      <c r="K22" s="112" t="inlineStr">
        <is>
          <t>Aplica</t>
        </is>
      </c>
      <c r="L22" s="112" t="inlineStr">
        <is>
          <t>Requerido por ente regulador SEPS</t>
        </is>
      </c>
    </row>
    <row r="23" ht="60" customHeight="1" s="106">
      <c r="A23" s="38" t="inlineStr">
        <is>
          <t>5.22</t>
        </is>
      </c>
      <c r="B23" s="112" t="inlineStr">
        <is>
          <t>Seguimiento, revisión y gestión de cambios en los servicios de los proveedores</t>
        </is>
      </c>
      <c r="C23" s="112" t="inlineStr">
        <is>
          <t>#Preventivo</t>
        </is>
      </c>
      <c r="D23" s="112" t="inlineStr">
        <is>
          <t>#Confidencialidad, #Integridad, #Disponibilidad</t>
        </is>
      </c>
      <c r="E23" s="112" t="inlineStr">
        <is>
          <t>#Proteger</t>
        </is>
      </c>
      <c r="F23" s="38" t="inlineStr">
        <is>
          <t>#Seguridad_en_relaciones_con_proveedores</t>
        </is>
      </c>
      <c r="G23" s="112" t="inlineStr">
        <is>
          <t>#Gobernanza_y_Ecosistema</t>
        </is>
      </c>
      <c r="H23" s="112" t="inlineStr">
        <is>
          <t>Obligatorio SEPS (Régimen General)</t>
        </is>
      </c>
      <c r="I23" s="112" t="inlineStr">
        <is>
          <t>-</t>
        </is>
      </c>
      <c r="J23" s="112" t="inlineStr">
        <is>
          <t>1. Regulatorio SEPS 002-2022 + ISO 27001</t>
        </is>
      </c>
      <c r="K23" s="112" t="inlineStr">
        <is>
          <t>Aplica</t>
        </is>
      </c>
      <c r="L23" s="112" t="inlineStr">
        <is>
          <t>Requerido por ente regulador SEPS</t>
        </is>
      </c>
    </row>
    <row r="24" ht="48" customHeight="1" s="106">
      <c r="A24" s="38" t="inlineStr">
        <is>
          <t>5.23</t>
        </is>
      </c>
      <c r="B24" s="112" t="inlineStr">
        <is>
          <t>Seguridad de la información en el uso de servicios en la nube</t>
        </is>
      </c>
      <c r="C24" s="112" t="inlineStr">
        <is>
          <t>#Preventivo</t>
        </is>
      </c>
      <c r="D24" s="112" t="inlineStr">
        <is>
          <t>#Confidencialidad, #Integridad, #Disponibilidad</t>
        </is>
      </c>
      <c r="E24" s="112" t="inlineStr">
        <is>
          <t>#Proteger</t>
        </is>
      </c>
      <c r="F24" s="38" t="inlineStr">
        <is>
          <t>#Seguridad_en_relaciones_con_proveedores</t>
        </is>
      </c>
      <c r="G24" s="112" t="inlineStr">
        <is>
          <t>#Gobernanza_y_Ecosistema</t>
        </is>
      </c>
      <c r="H24" s="112" t="inlineStr">
        <is>
          <t>Obligatorio SEPS (Régimen General)</t>
        </is>
      </c>
      <c r="I24" s="112" t="inlineStr">
        <is>
          <t>-</t>
        </is>
      </c>
      <c r="J24" s="112" t="inlineStr">
        <is>
          <t>4. No Aplica</t>
        </is>
      </c>
      <c r="K24" s="112" t="inlineStr">
        <is>
          <t>No Aplica</t>
        </is>
      </c>
      <c r="L24" s="112" t="inlineStr">
        <is>
          <t>Control 5.23 no es pertinente a los procesos actuales de la entidad</t>
        </is>
      </c>
    </row>
    <row r="25" ht="36" customHeight="1" s="106">
      <c r="A25" s="38" t="inlineStr">
        <is>
          <t>5.24</t>
        </is>
      </c>
      <c r="B25" s="112" t="inlineStr">
        <is>
          <t>Planificación y preparación de la gestión de incidentes</t>
        </is>
      </c>
      <c r="C25" s="112" t="inlineStr">
        <is>
          <t>#Preventivo</t>
        </is>
      </c>
      <c r="D25" s="112" t="inlineStr">
        <is>
          <t>#Confidencialidad, #Integridad, #Disponibilidad</t>
        </is>
      </c>
      <c r="E25" s="112" t="inlineStr">
        <is>
          <t>#Responder</t>
        </is>
      </c>
      <c r="F25" s="38" t="inlineStr">
        <is>
          <t>#Seguridad_de_la_información_gestión_de_eventos</t>
        </is>
      </c>
      <c r="G25" s="112" t="inlineStr">
        <is>
          <t>#Gobernanza_y_Ecosistema</t>
        </is>
      </c>
      <c r="H25" s="112" t="inlineStr">
        <is>
          <t>Obligatorio SEPS (Régimen General)</t>
        </is>
      </c>
      <c r="I25" s="112" t="inlineStr">
        <is>
          <t>-</t>
        </is>
      </c>
      <c r="J25" s="112" t="inlineStr">
        <is>
          <t>1. Regulatorio SEPS 002-2022 + ISO 27001</t>
        </is>
      </c>
      <c r="K25" s="112" t="inlineStr">
        <is>
          <t>Aplica</t>
        </is>
      </c>
      <c r="L25" s="112" t="inlineStr">
        <is>
          <t>Requerido por ente regulador SEPS</t>
        </is>
      </c>
    </row>
    <row r="26" ht="36" customHeight="1" s="106">
      <c r="A26" s="38" t="inlineStr">
        <is>
          <t>5.25</t>
        </is>
      </c>
      <c r="B26" s="112" t="inlineStr">
        <is>
          <t>Evaluación y decisión sobre los eventos de seguridad</t>
        </is>
      </c>
      <c r="C26" s="112" t="inlineStr">
        <is>
          <t>#Detectivo</t>
        </is>
      </c>
      <c r="D26" s="112" t="inlineStr">
        <is>
          <t>#Confidencialidad, #Integridad, #Disponibilidad</t>
        </is>
      </c>
      <c r="E26" s="112" t="inlineStr">
        <is>
          <t>#Detectar</t>
        </is>
      </c>
      <c r="F26" s="38" t="inlineStr">
        <is>
          <t>#Seguridad_de_la_información_gestión_de_eventos</t>
        </is>
      </c>
      <c r="G26" s="112" t="inlineStr">
        <is>
          <t>#Gobernanza_y_Ecosistema</t>
        </is>
      </c>
      <c r="H26" s="112" t="inlineStr">
        <is>
          <t>Obligatorio SEPS (Régimen General)</t>
        </is>
      </c>
      <c r="I26" s="112" t="inlineStr">
        <is>
          <t>-</t>
        </is>
      </c>
      <c r="J26" s="112" t="inlineStr">
        <is>
          <t>1. Regulatorio SEPS 002-2022 + ISO 27001</t>
        </is>
      </c>
      <c r="K26" s="112" t="inlineStr">
        <is>
          <t>Aplica</t>
        </is>
      </c>
      <c r="L26" s="112" t="inlineStr">
        <is>
          <t>Requerido por ente regulador SEPS</t>
        </is>
      </c>
    </row>
    <row r="27" ht="48" customHeight="1" s="106">
      <c r="A27" s="38" t="inlineStr">
        <is>
          <t>5.26</t>
        </is>
      </c>
      <c r="B27" s="112" t="inlineStr">
        <is>
          <t>Respuesta a los incidentes de seguridad de la información</t>
        </is>
      </c>
      <c r="C27" s="112" t="inlineStr">
        <is>
          <t>#Correctivo</t>
        </is>
      </c>
      <c r="D27" s="112" t="inlineStr">
        <is>
          <t>#Confidencialidad, #Integridad, #Disponibilidad</t>
        </is>
      </c>
      <c r="E27" s="112" t="inlineStr">
        <is>
          <t>#Responder</t>
        </is>
      </c>
      <c r="F27" s="38" t="inlineStr">
        <is>
          <t>#Seguridad_de_la_información_gestión_de_eventos</t>
        </is>
      </c>
      <c r="G27" s="112" t="inlineStr">
        <is>
          <t>#Gobernanza_y_Ecosistema</t>
        </is>
      </c>
      <c r="H27" s="112" t="inlineStr">
        <is>
          <t>Obligatorio SEPS (Régimen General)</t>
        </is>
      </c>
      <c r="I27" s="112" t="inlineStr">
        <is>
          <t>-</t>
        </is>
      </c>
      <c r="J27" s="112" t="inlineStr">
        <is>
          <t>1. Regulatorio SEPS 002-2022 + ISO 27001</t>
        </is>
      </c>
      <c r="K27" s="112" t="inlineStr">
        <is>
          <t>Aplica</t>
        </is>
      </c>
      <c r="L27" s="112" t="inlineStr">
        <is>
          <t>Requerido por ente regulador SEPS</t>
        </is>
      </c>
    </row>
    <row r="28" ht="48" customHeight="1" s="106">
      <c r="A28" s="38" t="inlineStr">
        <is>
          <t>5.27</t>
        </is>
      </c>
      <c r="B28" s="112" t="inlineStr">
        <is>
          <t>Aprendizaje de los incidentes de seguridad de la información</t>
        </is>
      </c>
      <c r="C28" s="112" t="inlineStr">
        <is>
          <t>#Preventivo</t>
        </is>
      </c>
      <c r="D28" s="112" t="inlineStr">
        <is>
          <t>#Confidencialidad, #Integridad, #Disponibilidad</t>
        </is>
      </c>
      <c r="E28" s="112" t="inlineStr">
        <is>
          <t>#Identificar</t>
        </is>
      </c>
      <c r="F28" s="38" t="inlineStr">
        <is>
          <t>#Seguridad_de_la_información_gestión_de_eventos</t>
        </is>
      </c>
      <c r="G28" s="112" t="inlineStr">
        <is>
          <t>#Gobernanza_y_Ecosistema</t>
        </is>
      </c>
      <c r="H28" s="112" t="inlineStr">
        <is>
          <t>Obligatorio SEPS (Régimen General)</t>
        </is>
      </c>
      <c r="I28" s="112" t="inlineStr">
        <is>
          <t>-</t>
        </is>
      </c>
      <c r="J28" s="112" t="inlineStr">
        <is>
          <t>1. Regulatorio SEPS 002-2022 + ISO 27001</t>
        </is>
      </c>
      <c r="K28" s="112" t="inlineStr">
        <is>
          <t>Aplica</t>
        </is>
      </c>
      <c r="L28" s="112" t="inlineStr">
        <is>
          <t>Requerido por ente regulador SEPS</t>
        </is>
      </c>
    </row>
    <row r="29" ht="36" customHeight="1" s="106">
      <c r="A29" s="38" t="inlineStr">
        <is>
          <t>5.28</t>
        </is>
      </c>
      <c r="B29" s="112" t="inlineStr">
        <is>
          <t>Recolección de evidencias</t>
        </is>
      </c>
      <c r="C29" s="112" t="inlineStr">
        <is>
          <t>#Preventivo, #Correctivo</t>
        </is>
      </c>
      <c r="D29" s="112" t="inlineStr">
        <is>
          <t>#Confidencialidad, #Integridad, #Disponibilidad</t>
        </is>
      </c>
      <c r="E29" s="112" t="inlineStr">
        <is>
          <t>#Responder</t>
        </is>
      </c>
      <c r="F29" s="38" t="inlineStr">
        <is>
          <t>#Seguridad_de_la_información_gestión_de_eventos</t>
        </is>
      </c>
      <c r="G29" s="112" t="inlineStr">
        <is>
          <t>#Gobernanza_y_Ecosistema</t>
        </is>
      </c>
      <c r="H29" s="112" t="inlineStr">
        <is>
          <t>Obligatorio SEPS (Régimen General)</t>
        </is>
      </c>
      <c r="I29" s="112" t="inlineStr">
        <is>
          <t>-</t>
        </is>
      </c>
      <c r="J29" s="112" t="inlineStr">
        <is>
          <t>1. Regulatorio SEPS 002-2022 + ISO 27001</t>
        </is>
      </c>
      <c r="K29" s="112" t="inlineStr">
        <is>
          <t>Aplica</t>
        </is>
      </c>
      <c r="L29" s="112" t="inlineStr">
        <is>
          <t>Requerido por ente regulador SEPS</t>
        </is>
      </c>
    </row>
    <row r="30" ht="48" customHeight="1" s="106">
      <c r="A30" s="38" t="inlineStr">
        <is>
          <t>5.29</t>
        </is>
      </c>
      <c r="B30" s="112" t="inlineStr">
        <is>
          <t>Seguridad de la información durante la interrupción</t>
        </is>
      </c>
      <c r="C30" s="112" t="inlineStr">
        <is>
          <t>#Preventivo</t>
        </is>
      </c>
      <c r="D30" s="112" t="inlineStr">
        <is>
          <t>#Confidencialidad, #Integridad, #Disponibilidad</t>
        </is>
      </c>
      <c r="E30" s="112" t="inlineStr">
        <is>
          <t>#Recuperar</t>
        </is>
      </c>
      <c r="F30" s="38" t="inlineStr">
        <is>
          <t>#Continuidad</t>
        </is>
      </c>
      <c r="G30" s="112" t="inlineStr">
        <is>
          <t>#Resiliencia</t>
        </is>
      </c>
      <c r="H30" s="112" t="inlineStr">
        <is>
          <t>Obligatorio SEPS (Régimen General)</t>
        </is>
      </c>
      <c r="I30" s="112" t="inlineStr">
        <is>
          <t>C6: Procedimientos de reversión (rollback) / Respaldo</t>
        </is>
      </c>
      <c r="J30" s="112" t="inlineStr">
        <is>
          <t>2. Metodología Interna GSO-GSI + ISO 27001</t>
        </is>
      </c>
      <c r="K30" s="112" t="inlineStr">
        <is>
          <t>Aplica</t>
        </is>
      </c>
      <c r="L30" s="112" t="inlineStr">
        <is>
          <t>Requisito interno GSO-GSI</t>
        </is>
      </c>
    </row>
    <row r="31" ht="48" customHeight="1" s="106">
      <c r="A31" s="38" t="inlineStr">
        <is>
          <t>5.30</t>
        </is>
      </c>
      <c r="B31" s="112" t="inlineStr">
        <is>
          <t>Preparación de las TIC para la continuidad del negocio</t>
        </is>
      </c>
      <c r="C31" s="112" t="inlineStr">
        <is>
          <t>#Preventivo</t>
        </is>
      </c>
      <c r="D31" s="112" t="inlineStr">
        <is>
          <t>#Confidencialidad, #Integridad, #Disponibilidad</t>
        </is>
      </c>
      <c r="E31" s="112" t="inlineStr">
        <is>
          <t>#Recuperar</t>
        </is>
      </c>
      <c r="F31" s="38" t="inlineStr">
        <is>
          <t>#Continuidad</t>
        </is>
      </c>
      <c r="G31" s="112" t="inlineStr">
        <is>
          <t>#Resiliencia</t>
        </is>
      </c>
      <c r="H31" s="112" t="inlineStr">
        <is>
          <t>Obligatorio SEPS (Régimen General)</t>
        </is>
      </c>
      <c r="I31" s="112" t="inlineStr">
        <is>
          <t>-</t>
        </is>
      </c>
      <c r="J31" s="112" t="inlineStr">
        <is>
          <t>1. Regulatorio SEPS 002-2022 + ISO 27001</t>
        </is>
      </c>
      <c r="K31" s="112" t="inlineStr">
        <is>
          <t>Aplica</t>
        </is>
      </c>
      <c r="L31" s="112" t="inlineStr">
        <is>
          <t>Requerido por ente regulador SEPS</t>
        </is>
      </c>
    </row>
    <row r="32" ht="48" customHeight="1" s="106">
      <c r="A32" s="38" t="inlineStr">
        <is>
          <t>5.31</t>
        </is>
      </c>
      <c r="B32" s="112" t="inlineStr">
        <is>
          <t>Requisitos legales, estatutarios, reglamentarios y contractuales</t>
        </is>
      </c>
      <c r="C32" s="112" t="inlineStr">
        <is>
          <t>#Preventivo</t>
        </is>
      </c>
      <c r="D32" s="112" t="inlineStr">
        <is>
          <t>#Confidencialidad, #Integridad, #Disponibilidad</t>
        </is>
      </c>
      <c r="E32" s="112" t="inlineStr">
        <is>
          <t>#Identificar</t>
        </is>
      </c>
      <c r="F32" s="38" t="inlineStr">
        <is>
          <t>#Gobernanza</t>
        </is>
      </c>
      <c r="G32" s="112" t="inlineStr">
        <is>
          <t>#Gobernanza_y_Ecosistema</t>
        </is>
      </c>
      <c r="H32" s="112" t="inlineStr">
        <is>
          <t>Obligatorio SEPS (Régimen General)</t>
        </is>
      </c>
      <c r="I32" s="112" t="inlineStr">
        <is>
          <t>-</t>
        </is>
      </c>
      <c r="J32" s="112" t="inlineStr">
        <is>
          <t>1. Regulatorio SEPS 002-2022 + ISO 27001</t>
        </is>
      </c>
      <c r="K32" s="112" t="inlineStr">
        <is>
          <t>Aplica</t>
        </is>
      </c>
      <c r="L32" s="112" t="inlineStr">
        <is>
          <t>Requerido por ente regulador SEPS</t>
        </is>
      </c>
    </row>
    <row r="33" ht="60" customHeight="1" s="106">
      <c r="A33" s="38" t="inlineStr">
        <is>
          <t>5.32</t>
        </is>
      </c>
      <c r="B33" s="112" t="inlineStr">
        <is>
          <t>Derechos de propiedad intelectual</t>
        </is>
      </c>
      <c r="C33" s="112" t="inlineStr">
        <is>
          <t>#Preventivo</t>
        </is>
      </c>
      <c r="D33" s="112" t="inlineStr">
        <is>
          <t>#Confidencialidad, #Integridad, #Disponibilidad</t>
        </is>
      </c>
      <c r="E33" s="112" t="inlineStr">
        <is>
          <t>#Proteger</t>
        </is>
      </c>
      <c r="F33" s="38" t="inlineStr">
        <is>
          <t>#Gobernanza</t>
        </is>
      </c>
      <c r="G33" s="112" t="inlineStr">
        <is>
          <t>#Gobernanza_y_Ecosistema</t>
        </is>
      </c>
      <c r="H33" s="112" t="inlineStr">
        <is>
          <t>Mejor Práctica (No obligatorio SEPS)</t>
        </is>
      </c>
      <c r="I33" s="112" t="inlineStr">
        <is>
          <t>-</t>
        </is>
      </c>
      <c r="J33" s="112" t="inlineStr">
        <is>
          <t>3. Tratamiento de Riesgos Específico (ISO 27002 / MAGERIT)</t>
        </is>
      </c>
      <c r="K33" s="112" t="inlineStr">
        <is>
          <t>No Aplica</t>
        </is>
      </c>
      <c r="L33" s="112" t="inlineStr">
        <is>
          <t>No aplicable a la arquitectura/infraestructura actual</t>
        </is>
      </c>
    </row>
    <row r="34" ht="36" customHeight="1" s="106">
      <c r="A34" s="38" t="inlineStr">
        <is>
          <t>5.33</t>
        </is>
      </c>
      <c r="B34" s="112" t="inlineStr">
        <is>
          <t>Protección de los registros</t>
        </is>
      </c>
      <c r="C34" s="112" t="inlineStr">
        <is>
          <t>#Preventivo</t>
        </is>
      </c>
      <c r="D34" s="112" t="inlineStr">
        <is>
          <t>#Confidencialidad, #Integridad, #Disponibilidad</t>
        </is>
      </c>
      <c r="E34" s="112" t="inlineStr">
        <is>
          <t>#Proteger</t>
        </is>
      </c>
      <c r="F34" s="38" t="inlineStr">
        <is>
          <t>#Protección_de_la_información</t>
        </is>
      </c>
      <c r="G34" s="112" t="inlineStr">
        <is>
          <t>#Gobernanza_y_Ecosistema</t>
        </is>
      </c>
      <c r="H34" s="112" t="inlineStr">
        <is>
          <t>Obligatorio SEPS (Régimen General)</t>
        </is>
      </c>
      <c r="I34" s="112" t="inlineStr">
        <is>
          <t>-</t>
        </is>
      </c>
      <c r="J34" s="112" t="inlineStr">
        <is>
          <t>1. Regulatorio SEPS 002-2022 + ISO 27001</t>
        </is>
      </c>
      <c r="K34" s="112" t="inlineStr">
        <is>
          <t>Aplica</t>
        </is>
      </c>
      <c r="L34" s="112" t="inlineStr">
        <is>
          <t>Requerido por ente regulador SEPS</t>
        </is>
      </c>
    </row>
    <row r="35" ht="60" customHeight="1" s="106">
      <c r="A35" s="38" t="inlineStr">
        <is>
          <t>5.34</t>
        </is>
      </c>
      <c r="B35" s="112" t="inlineStr">
        <is>
          <t>Privacidad y protección de la información de identificación personal (PII)</t>
        </is>
      </c>
      <c r="C35" s="112" t="inlineStr">
        <is>
          <t>#Preventivo</t>
        </is>
      </c>
      <c r="D35" s="112" t="inlineStr">
        <is>
          <t>#Confidencialidad, #Integridad</t>
        </is>
      </c>
      <c r="E35" s="112" t="inlineStr">
        <is>
          <t>#Proteger</t>
        </is>
      </c>
      <c r="F35" s="38" t="inlineStr">
        <is>
          <t>#Gobernanza</t>
        </is>
      </c>
      <c r="G35" s="112" t="inlineStr">
        <is>
          <t>#Gobernanza_y_Ecosistema</t>
        </is>
      </c>
      <c r="H35" s="112" t="inlineStr">
        <is>
          <t>Obligatorio SEPS (Régimen General)</t>
        </is>
      </c>
      <c r="I35" s="112" t="inlineStr">
        <is>
          <t>-</t>
        </is>
      </c>
      <c r="J35" s="112" t="inlineStr">
        <is>
          <t>1. Regulatorio SEPS 002-2022 + ISO 27001</t>
        </is>
      </c>
      <c r="K35" s="112" t="inlineStr">
        <is>
          <t>Aplica</t>
        </is>
      </c>
      <c r="L35" s="112" t="inlineStr">
        <is>
          <t>Requerido por ente regulador SEPS</t>
        </is>
      </c>
    </row>
    <row r="36" ht="48" customHeight="1" s="106">
      <c r="A36" s="38" t="inlineStr">
        <is>
          <t>5.35</t>
        </is>
      </c>
      <c r="B36" s="112" t="inlineStr">
        <is>
          <t>Revisión independiente de la seguridad de la información</t>
        </is>
      </c>
      <c r="C36" s="112" t="inlineStr">
        <is>
          <t>#Preventivo</t>
        </is>
      </c>
      <c r="D36" s="112" t="inlineStr">
        <is>
          <t>#Confidencialidad, #Integridad, #Disponibilidad</t>
        </is>
      </c>
      <c r="E36" s="112" t="inlineStr">
        <is>
          <t>#Identificar</t>
        </is>
      </c>
      <c r="F36" s="38" t="inlineStr">
        <is>
          <t>#Información_seguridad_garantía</t>
        </is>
      </c>
      <c r="G36" s="112" t="inlineStr">
        <is>
          <t>#Gobernanza_y_Ecosistema</t>
        </is>
      </c>
      <c r="H36" s="112" t="inlineStr">
        <is>
          <t>Obligatorio SEPS (Régimen General)</t>
        </is>
      </c>
      <c r="I36" s="112" t="inlineStr">
        <is>
          <t>-</t>
        </is>
      </c>
      <c r="J36" s="112" t="inlineStr">
        <is>
          <t>1. Regulatorio SEPS 002-2022 + ISO 27001</t>
        </is>
      </c>
      <c r="K36" s="112" t="inlineStr">
        <is>
          <t>Aplica</t>
        </is>
      </c>
      <c r="L36" s="112" t="inlineStr">
        <is>
          <t>Requerido por ente regulador SEPS</t>
        </is>
      </c>
    </row>
    <row r="37" ht="48" customHeight="1" s="106">
      <c r="A37" s="38" t="inlineStr">
        <is>
          <t>5.36</t>
        </is>
      </c>
      <c r="B37" s="112" t="inlineStr">
        <is>
          <t>Cumplimiento de las políticas, normas y estándares de seguridad</t>
        </is>
      </c>
      <c r="C37" s="112" t="inlineStr">
        <is>
          <t>#Preventivo</t>
        </is>
      </c>
      <c r="D37" s="112" t="inlineStr">
        <is>
          <t>#Confidencialidad, #Integridad, #Disponibilidad</t>
        </is>
      </c>
      <c r="E37" s="112" t="inlineStr">
        <is>
          <t>#Identificar</t>
        </is>
      </c>
      <c r="F37" s="38" t="inlineStr">
        <is>
          <t>#Gobernanza</t>
        </is>
      </c>
      <c r="G37" s="112" t="inlineStr">
        <is>
          <t>#Gobernanza_y_Ecosistema</t>
        </is>
      </c>
      <c r="H37" s="112" t="inlineStr">
        <is>
          <t>Obligatorio SEPS (Régimen General)</t>
        </is>
      </c>
      <c r="I37" s="112" t="inlineStr">
        <is>
          <t>-</t>
        </is>
      </c>
      <c r="J37" s="112" t="inlineStr">
        <is>
          <t>1. Regulatorio SEPS 002-2022 + ISO 27001</t>
        </is>
      </c>
      <c r="K37" s="112" t="inlineStr">
        <is>
          <t>Aplica</t>
        </is>
      </c>
      <c r="L37" s="112" t="inlineStr">
        <is>
          <t>Requerido por ente regulador SEPS</t>
        </is>
      </c>
    </row>
    <row r="38" ht="36" customHeight="1" s="106">
      <c r="A38" s="38" t="inlineStr">
        <is>
          <t>5.37</t>
        </is>
      </c>
      <c r="B38" s="112" t="inlineStr">
        <is>
          <t>Procedimientos operativos documentados</t>
        </is>
      </c>
      <c r="C38" s="112" t="inlineStr">
        <is>
          <t>#Preventivo</t>
        </is>
      </c>
      <c r="D38" s="112" t="inlineStr">
        <is>
          <t>#Confidencialidad, #Integridad, #Disponibilidad</t>
        </is>
      </c>
      <c r="E38" s="112" t="inlineStr">
        <is>
          <t>#Proteger</t>
        </is>
      </c>
      <c r="F38" s="38" t="inlineStr">
        <is>
          <t>#Gobernanza</t>
        </is>
      </c>
      <c r="G38" s="112" t="inlineStr">
        <is>
          <t>#Gobernanza_y_Ecosistema</t>
        </is>
      </c>
      <c r="H38" s="112" t="inlineStr">
        <is>
          <t>Obligatorio SEPS (Régimen General)</t>
        </is>
      </c>
      <c r="I38" s="112" t="inlineStr">
        <is>
          <t>-</t>
        </is>
      </c>
      <c r="J38" s="112" t="inlineStr">
        <is>
          <t>1. Regulatorio SEPS 002-2022 + ISO 27001</t>
        </is>
      </c>
      <c r="K38" s="112" t="inlineStr">
        <is>
          <t>Aplica</t>
        </is>
      </c>
      <c r="L38" s="112" t="inlineStr">
        <is>
          <t>Requerido por ente regulador SEPS</t>
        </is>
      </c>
    </row>
    <row r="39" ht="36" customHeight="1" s="106">
      <c r="A39" s="38" t="inlineStr">
        <is>
          <t>6.1</t>
        </is>
      </c>
      <c r="B39" s="112" t="inlineStr">
        <is>
          <t>Investigación de antecedentes</t>
        </is>
      </c>
      <c r="C39" s="112" t="inlineStr">
        <is>
          <t>#Preventivo</t>
        </is>
      </c>
      <c r="D39" s="112" t="inlineStr">
        <is>
          <t>#Confidencialidad, #Integridad, #Disponibilidad</t>
        </is>
      </c>
      <c r="E39" s="112" t="inlineStr">
        <is>
          <t>#Proteger</t>
        </is>
      </c>
      <c r="F39" s="38" t="inlineStr">
        <is>
          <t>#Seguridad_de_recursos_humanos</t>
        </is>
      </c>
      <c r="G39" s="112" t="inlineStr">
        <is>
          <t>#Proteccion</t>
        </is>
      </c>
      <c r="H39" s="112" t="inlineStr">
        <is>
          <t>Obligatorio SEPS (Régimen General)</t>
        </is>
      </c>
      <c r="I39" s="112" t="inlineStr">
        <is>
          <t>-</t>
        </is>
      </c>
      <c r="J39" s="112" t="inlineStr">
        <is>
          <t>1. Regulatorio SEPS 002-2022 + ISO 27001</t>
        </is>
      </c>
      <c r="K39" s="112" t="inlineStr">
        <is>
          <t>Aplica</t>
        </is>
      </c>
      <c r="L39" s="112" t="inlineStr">
        <is>
          <t>Requerido por ente regulador SEPS</t>
        </is>
      </c>
    </row>
    <row r="40" ht="36" customHeight="1" s="106">
      <c r="A40" s="38" t="inlineStr">
        <is>
          <t>6.2</t>
        </is>
      </c>
      <c r="B40" s="112" t="inlineStr">
        <is>
          <t>Términos y condiciones de empleo</t>
        </is>
      </c>
      <c r="C40" s="112" t="inlineStr">
        <is>
          <t>#Preventivo</t>
        </is>
      </c>
      <c r="D40" s="112" t="inlineStr">
        <is>
          <t>#Confidencialidad, #Integridad, #Disponibilidad</t>
        </is>
      </c>
      <c r="E40" s="112" t="inlineStr">
        <is>
          <t>#Proteger</t>
        </is>
      </c>
      <c r="F40" s="38" t="inlineStr">
        <is>
          <t>#Seguridad_de_recursos_humanos</t>
        </is>
      </c>
      <c r="G40" s="112" t="inlineStr">
        <is>
          <t>#Proteccion</t>
        </is>
      </c>
      <c r="H40" s="112" t="inlineStr">
        <is>
          <t>Obligatorio SEPS (Régimen General)</t>
        </is>
      </c>
      <c r="I40" s="112" t="inlineStr">
        <is>
          <t>-</t>
        </is>
      </c>
      <c r="J40" s="112" t="inlineStr">
        <is>
          <t>1. Regulatorio SEPS 002-2022 + ISO 27001</t>
        </is>
      </c>
      <c r="K40" s="112" t="inlineStr">
        <is>
          <t>Aplica</t>
        </is>
      </c>
      <c r="L40" s="112" t="inlineStr">
        <is>
          <t>Requerido por ente regulador SEPS</t>
        </is>
      </c>
    </row>
    <row r="41" ht="36" customHeight="1" s="106">
      <c r="A41" s="38" t="inlineStr">
        <is>
          <t>6.3</t>
        </is>
      </c>
      <c r="B41" s="112" t="inlineStr">
        <is>
          <t>Concienciación, educación y capacitación</t>
        </is>
      </c>
      <c r="C41" s="112" t="inlineStr">
        <is>
          <t>#Preventivo</t>
        </is>
      </c>
      <c r="D41" s="112" t="inlineStr">
        <is>
          <t>#Confidencialidad, #Integridad, #Disponibilidad</t>
        </is>
      </c>
      <c r="E41" s="112" t="inlineStr">
        <is>
          <t>#Proteger</t>
        </is>
      </c>
      <c r="F41" s="38" t="inlineStr">
        <is>
          <t>#Seguridad_de_recursos_humanos</t>
        </is>
      </c>
      <c r="G41" s="112" t="inlineStr">
        <is>
          <t>#Proteccion</t>
        </is>
      </c>
      <c r="H41" s="112" t="inlineStr">
        <is>
          <t>Obligatorio SEPS (Régimen General)</t>
        </is>
      </c>
      <c r="I41" s="112" t="inlineStr">
        <is>
          <t>C5: Programas de concienciación y capacitación</t>
        </is>
      </c>
      <c r="J41" s="112" t="inlineStr">
        <is>
          <t>2. Metodología Interna GSO-GSI + ISO 27001</t>
        </is>
      </c>
      <c r="K41" s="112" t="inlineStr">
        <is>
          <t>Aplica</t>
        </is>
      </c>
      <c r="L41" s="112" t="inlineStr">
        <is>
          <t>Requisito interno GSO-GSI</t>
        </is>
      </c>
    </row>
    <row r="42" ht="36" customHeight="1" s="106">
      <c r="A42" s="38" t="inlineStr">
        <is>
          <t>6.4</t>
        </is>
      </c>
      <c r="B42" s="112" t="inlineStr">
        <is>
          <t>Proceso disciplinario</t>
        </is>
      </c>
      <c r="C42" s="112" t="inlineStr">
        <is>
          <t>#Correctivo, #Preventivo</t>
        </is>
      </c>
      <c r="D42" s="112" t="inlineStr">
        <is>
          <t>#Confidencialidad, #Integridad, #Disponibilidad</t>
        </is>
      </c>
      <c r="E42" s="112" t="inlineStr">
        <is>
          <t>#Responder</t>
        </is>
      </c>
      <c r="F42" s="38" t="inlineStr">
        <is>
          <t>#Seguridad_de_recursos_humanos</t>
        </is>
      </c>
      <c r="G42" s="112" t="inlineStr">
        <is>
          <t>#Defensa</t>
        </is>
      </c>
      <c r="H42" s="112" t="inlineStr">
        <is>
          <t>Obligatorio SEPS (Régimen General)</t>
        </is>
      </c>
      <c r="I42" s="112" t="inlineStr">
        <is>
          <t>-</t>
        </is>
      </c>
      <c r="J42" s="112" t="inlineStr">
        <is>
          <t>1. Regulatorio SEPS 002-2022 + ISO 27001</t>
        </is>
      </c>
      <c r="K42" s="112" t="inlineStr">
        <is>
          <t>Aplica</t>
        </is>
      </c>
      <c r="L42" s="112" t="inlineStr">
        <is>
          <t>Requerido por ente regulador SEPS</t>
        </is>
      </c>
    </row>
    <row r="43" ht="48" customHeight="1" s="106">
      <c r="A43" s="38" t="inlineStr">
        <is>
          <t>6.5</t>
        </is>
      </c>
      <c r="B43" s="112" t="inlineStr">
        <is>
          <t>Responsabilidades después de la terminación o cambio de empleo</t>
        </is>
      </c>
      <c r="C43" s="112" t="inlineStr">
        <is>
          <t>#Preventivo</t>
        </is>
      </c>
      <c r="D43" s="112" t="inlineStr">
        <is>
          <t>#Confidencialidad, #Integridad, #Disponibilidad</t>
        </is>
      </c>
      <c r="E43" s="112" t="inlineStr">
        <is>
          <t>#Proteger</t>
        </is>
      </c>
      <c r="F43" s="38" t="inlineStr">
        <is>
          <t>#Seguridad_de_recursos_humanos</t>
        </is>
      </c>
      <c r="G43" s="112" t="inlineStr">
        <is>
          <t>#Proteccion</t>
        </is>
      </c>
      <c r="H43" s="112" t="inlineStr">
        <is>
          <t>Obligatorio SEPS (Régimen General)</t>
        </is>
      </c>
      <c r="I43" s="112" t="inlineStr">
        <is>
          <t>-</t>
        </is>
      </c>
      <c r="J43" s="112" t="inlineStr">
        <is>
          <t>1. Regulatorio SEPS 002-2022 + ISO 27001</t>
        </is>
      </c>
      <c r="K43" s="112" t="inlineStr">
        <is>
          <t>Aplica</t>
        </is>
      </c>
      <c r="L43" s="112" t="inlineStr">
        <is>
          <t>Requerido por ente regulador SEPS</t>
        </is>
      </c>
    </row>
    <row r="44" ht="36" customHeight="1" s="106">
      <c r="A44" s="38" t="inlineStr">
        <is>
          <t>6.6</t>
        </is>
      </c>
      <c r="B44" s="112" t="inlineStr">
        <is>
          <t>Acuerdos de confidencialidad o no divulgación</t>
        </is>
      </c>
      <c r="C44" s="112" t="inlineStr">
        <is>
          <t>#Preventivo</t>
        </is>
      </c>
      <c r="D44" s="112" t="inlineStr">
        <is>
          <t>#Confidencialidad, #Integridad, #Disponibilidad</t>
        </is>
      </c>
      <c r="E44" s="112" t="inlineStr">
        <is>
          <t>#Proteger</t>
        </is>
      </c>
      <c r="F44" s="38" t="inlineStr">
        <is>
          <t>#Seguridad_de_recursos_humanos</t>
        </is>
      </c>
      <c r="G44" s="112" t="inlineStr">
        <is>
          <t>#Proteccion</t>
        </is>
      </c>
      <c r="H44" s="112" t="inlineStr">
        <is>
          <t>Obligatorio SEPS (Régimen General)</t>
        </is>
      </c>
      <c r="I44" s="112" t="inlineStr">
        <is>
          <t>C3: Acuerdos de confidencialidad</t>
        </is>
      </c>
      <c r="J44" s="112" t="inlineStr">
        <is>
          <t>2. Metodología Interna GSO-GSI + ISO 27001</t>
        </is>
      </c>
      <c r="K44" s="112" t="inlineStr">
        <is>
          <t>Aplica</t>
        </is>
      </c>
      <c r="L44" s="112" t="inlineStr">
        <is>
          <t>Requisito interno GSO-GSI</t>
        </is>
      </c>
    </row>
    <row r="45" ht="48" customHeight="1" s="106">
      <c r="A45" s="38" t="inlineStr">
        <is>
          <t>6.7</t>
        </is>
      </c>
      <c r="B45" s="112" t="inlineStr">
        <is>
          <t>Trabajo a distancia</t>
        </is>
      </c>
      <c r="C45" s="112" t="inlineStr">
        <is>
          <t>#Preventivo</t>
        </is>
      </c>
      <c r="D45" s="112" t="inlineStr">
        <is>
          <t>#Confidencialidad, #Integridad, #Disponibilidad</t>
        </is>
      </c>
      <c r="E45" s="112" t="inlineStr">
        <is>
          <t>#Proteger</t>
        </is>
      </c>
      <c r="F45" s="38" t="inlineStr">
        <is>
          <t>#Seguridad_de_recursos_humanos</t>
        </is>
      </c>
      <c r="G45" s="112" t="inlineStr">
        <is>
          <t>#Proteccion</t>
        </is>
      </c>
      <c r="H45" s="112" t="inlineStr">
        <is>
          <t>Obligatorio SEPS (Régimen General)</t>
        </is>
      </c>
      <c r="I45" s="112" t="inlineStr">
        <is>
          <t>-</t>
        </is>
      </c>
      <c r="J45" s="112" t="inlineStr">
        <is>
          <t>4. No Aplica</t>
        </is>
      </c>
      <c r="K45" s="112" t="inlineStr">
        <is>
          <t>No Aplica</t>
        </is>
      </c>
      <c r="L45" s="112" t="inlineStr">
        <is>
          <t>Control 6.7 no es pertinente a los procesos actuales de la entidad</t>
        </is>
      </c>
    </row>
    <row r="46" ht="36" customHeight="1" s="106">
      <c r="A46" s="38" t="inlineStr">
        <is>
          <t>6.8</t>
        </is>
      </c>
      <c r="B46" s="112" t="inlineStr">
        <is>
          <t>Notificación de eventos de seguridad de la información</t>
        </is>
      </c>
      <c r="C46" s="112" t="inlineStr">
        <is>
          <t>#Preventivo, #Detectivo</t>
        </is>
      </c>
      <c r="D46" s="112" t="inlineStr">
        <is>
          <t>#Confidencialidad, #Integridad, #Disponibilidad</t>
        </is>
      </c>
      <c r="E46" s="112" t="inlineStr">
        <is>
          <t>#Detectar</t>
        </is>
      </c>
      <c r="F46" s="38" t="inlineStr">
        <is>
          <t>#Seguridad_de_recursos_humanos</t>
        </is>
      </c>
      <c r="G46" s="112" t="inlineStr">
        <is>
          <t>#Defensa</t>
        </is>
      </c>
      <c r="H46" s="112" t="inlineStr">
        <is>
          <t>Obligatorio SEPS (Régimen General)</t>
        </is>
      </c>
      <c r="I46" s="112" t="inlineStr">
        <is>
          <t>-</t>
        </is>
      </c>
      <c r="J46" s="112" t="inlineStr">
        <is>
          <t>1. Regulatorio SEPS 002-2022 + ISO 27001</t>
        </is>
      </c>
      <c r="K46" s="112" t="inlineStr">
        <is>
          <t>Aplica</t>
        </is>
      </c>
      <c r="L46" s="112" t="inlineStr">
        <is>
          <t>Requerido por ente regulador SEPS</t>
        </is>
      </c>
    </row>
    <row r="47" ht="36" customHeight="1" s="106">
      <c r="A47" s="38" t="inlineStr">
        <is>
          <t>7.1</t>
        </is>
      </c>
      <c r="B47" s="112" t="inlineStr">
        <is>
          <t>Perímetros de seguridad física</t>
        </is>
      </c>
      <c r="C47" s="112" t="inlineStr">
        <is>
          <t>#Preventivo</t>
        </is>
      </c>
      <c r="D47" s="112" t="inlineStr">
        <is>
          <t>#Confidencialidad, #Integridad, #Disponibilidad</t>
        </is>
      </c>
      <c r="E47" s="112" t="inlineStr">
        <is>
          <t>#Proteger</t>
        </is>
      </c>
      <c r="F47" s="38" t="inlineStr">
        <is>
          <t>#Seguridad_física</t>
        </is>
      </c>
      <c r="G47" s="112" t="inlineStr">
        <is>
          <t>#Proteccion</t>
        </is>
      </c>
      <c r="H47" s="112" t="inlineStr">
        <is>
          <t>Obligatorio SEPS (Régimen General)</t>
        </is>
      </c>
      <c r="I47" s="112" t="inlineStr">
        <is>
          <t>-</t>
        </is>
      </c>
      <c r="J47" s="112" t="inlineStr">
        <is>
          <t>1. Regulatorio SEPS 002-2022 + ISO 27001</t>
        </is>
      </c>
      <c r="K47" s="112" t="inlineStr">
        <is>
          <t>Aplica</t>
        </is>
      </c>
      <c r="L47" s="112" t="inlineStr">
        <is>
          <t>Requerido por ente regulador SEPS</t>
        </is>
      </c>
    </row>
    <row r="48" ht="36" customHeight="1" s="106">
      <c r="A48" s="38" t="inlineStr">
        <is>
          <t>7.2</t>
        </is>
      </c>
      <c r="B48" s="112" t="inlineStr">
        <is>
          <t>Controles de entrada física</t>
        </is>
      </c>
      <c r="C48" s="112" t="inlineStr">
        <is>
          <t>#Preventivo</t>
        </is>
      </c>
      <c r="D48" s="112" t="inlineStr">
        <is>
          <t>#Confidencialidad, #Integridad, #Disponibilidad</t>
        </is>
      </c>
      <c r="E48" s="112" t="inlineStr">
        <is>
          <t>#Proteger</t>
        </is>
      </c>
      <c r="F48" s="38" t="inlineStr">
        <is>
          <t>#Seguridad_física</t>
        </is>
      </c>
      <c r="G48" s="112" t="inlineStr">
        <is>
          <t>#Proteccion</t>
        </is>
      </c>
      <c r="H48" s="112" t="inlineStr">
        <is>
          <t>Obligatorio SEPS (Régimen General)</t>
        </is>
      </c>
      <c r="I48" s="112" t="inlineStr">
        <is>
          <t>-</t>
        </is>
      </c>
      <c r="J48" s="112" t="inlineStr">
        <is>
          <t>1. Regulatorio SEPS 002-2022 + ISO 27001</t>
        </is>
      </c>
      <c r="K48" s="112" t="inlineStr">
        <is>
          <t>Aplica</t>
        </is>
      </c>
      <c r="L48" s="112" t="inlineStr">
        <is>
          <t>Requerido por ente regulador SEPS</t>
        </is>
      </c>
    </row>
    <row r="49" ht="36" customHeight="1" s="106">
      <c r="A49" s="38" t="inlineStr">
        <is>
          <t>7.3</t>
        </is>
      </c>
      <c r="B49" s="112" t="inlineStr">
        <is>
          <t>Seguridad de oficinas, despachos e instalaciones</t>
        </is>
      </c>
      <c r="C49" s="112" t="inlineStr">
        <is>
          <t>#Preventivo</t>
        </is>
      </c>
      <c r="D49" s="112" t="inlineStr">
        <is>
          <t>#Confidencialidad, #Integridad, #Disponibilidad</t>
        </is>
      </c>
      <c r="E49" s="112" t="inlineStr">
        <is>
          <t>#Proteger</t>
        </is>
      </c>
      <c r="F49" s="38" t="inlineStr">
        <is>
          <t>#Seguridad_física</t>
        </is>
      </c>
      <c r="G49" s="112" t="inlineStr">
        <is>
          <t>#Proteccion</t>
        </is>
      </c>
      <c r="H49" s="112" t="inlineStr">
        <is>
          <t>Obligatorio SEPS (Régimen General)</t>
        </is>
      </c>
      <c r="I49" s="112" t="inlineStr">
        <is>
          <t>-</t>
        </is>
      </c>
      <c r="J49" s="112" t="inlineStr">
        <is>
          <t>1. Regulatorio SEPS 002-2022 + ISO 27001</t>
        </is>
      </c>
      <c r="K49" s="112" t="inlineStr">
        <is>
          <t>Aplica</t>
        </is>
      </c>
      <c r="L49" s="112" t="inlineStr">
        <is>
          <t>Requerido por ente regulador SEPS</t>
        </is>
      </c>
    </row>
    <row r="50" ht="36" customHeight="1" s="106">
      <c r="A50" s="38" t="inlineStr">
        <is>
          <t>7.4</t>
        </is>
      </c>
      <c r="B50" s="112" t="inlineStr">
        <is>
          <t>Supervisión de la seguridad física</t>
        </is>
      </c>
      <c r="C50" s="112" t="inlineStr">
        <is>
          <t>#Detectivo</t>
        </is>
      </c>
      <c r="D50" s="112" t="inlineStr">
        <is>
          <t>#Confidencialidad, #Integridad, #Disponibilidad</t>
        </is>
      </c>
      <c r="E50" s="112" t="inlineStr">
        <is>
          <t>#Detectar</t>
        </is>
      </c>
      <c r="F50" s="38" t="inlineStr">
        <is>
          <t>#Seguridad_física</t>
        </is>
      </c>
      <c r="G50" s="112" t="inlineStr">
        <is>
          <t>#Proteccion</t>
        </is>
      </c>
      <c r="H50" s="112" t="inlineStr">
        <is>
          <t>Obligatorio SEPS (Régimen General)</t>
        </is>
      </c>
      <c r="I50" s="112" t="inlineStr">
        <is>
          <t>-</t>
        </is>
      </c>
      <c r="J50" s="112" t="inlineStr">
        <is>
          <t>1. Regulatorio SEPS 002-2022 + ISO 27001</t>
        </is>
      </c>
      <c r="K50" s="112" t="inlineStr">
        <is>
          <t>Aplica</t>
        </is>
      </c>
      <c r="L50" s="112" t="inlineStr">
        <is>
          <t>Requerido por ente regulador SEPS</t>
        </is>
      </c>
    </row>
    <row r="51" ht="36" customHeight="1" s="106">
      <c r="A51" s="38" t="inlineStr">
        <is>
          <t>7.5</t>
        </is>
      </c>
      <c r="B51" s="112" t="inlineStr">
        <is>
          <t>Protección contra amenazas físicas y ambientales</t>
        </is>
      </c>
      <c r="C51" s="112" t="inlineStr">
        <is>
          <t>#Preventivo</t>
        </is>
      </c>
      <c r="D51" s="112" t="inlineStr">
        <is>
          <t>#Confidencialidad, #Integridad, #Disponibilidad</t>
        </is>
      </c>
      <c r="E51" s="112" t="inlineStr">
        <is>
          <t>#Proteger</t>
        </is>
      </c>
      <c r="F51" s="38" t="inlineStr">
        <is>
          <t>#Seguridad_física</t>
        </is>
      </c>
      <c r="G51" s="112" t="inlineStr">
        <is>
          <t>#Resiliencia</t>
        </is>
      </c>
      <c r="H51" s="112" t="inlineStr">
        <is>
          <t>Obligatorio SEPS (Régimen General)</t>
        </is>
      </c>
      <c r="I51" s="112" t="inlineStr">
        <is>
          <t>-</t>
        </is>
      </c>
      <c r="J51" s="112" t="inlineStr">
        <is>
          <t>1. Regulatorio SEPS 002-2022 + ISO 27001</t>
        </is>
      </c>
      <c r="K51" s="112" t="inlineStr">
        <is>
          <t>Aplica</t>
        </is>
      </c>
      <c r="L51" s="112" t="inlineStr">
        <is>
          <t>Requerido por ente regulador SEPS</t>
        </is>
      </c>
    </row>
    <row r="52" ht="36" customHeight="1" s="106">
      <c r="A52" s="38" t="inlineStr">
        <is>
          <t>7.6</t>
        </is>
      </c>
      <c r="B52" s="112" t="inlineStr">
        <is>
          <t>Trabajo en áreas seguras</t>
        </is>
      </c>
      <c r="C52" s="112" t="inlineStr">
        <is>
          <t>#Preventivo</t>
        </is>
      </c>
      <c r="D52" s="112" t="inlineStr">
        <is>
          <t>#Confidencialidad, #Integridad, #Disponibilidad</t>
        </is>
      </c>
      <c r="E52" s="112" t="inlineStr">
        <is>
          <t>#Proteger</t>
        </is>
      </c>
      <c r="F52" s="38" t="inlineStr">
        <is>
          <t>#Seguridad_física</t>
        </is>
      </c>
      <c r="G52" s="112" t="inlineStr">
        <is>
          <t>#Proteccion</t>
        </is>
      </c>
      <c r="H52" s="112" t="inlineStr">
        <is>
          <t>Obligatorio SEPS (Régimen General)</t>
        </is>
      </c>
      <c r="I52" s="112" t="inlineStr">
        <is>
          <t>-</t>
        </is>
      </c>
      <c r="J52" s="112" t="inlineStr">
        <is>
          <t>1. Regulatorio SEPS 002-2022 + ISO 27001</t>
        </is>
      </c>
      <c r="K52" s="112" t="inlineStr">
        <is>
          <t>Aplica</t>
        </is>
      </c>
      <c r="L52" s="112" t="inlineStr">
        <is>
          <t>Requerido por ente regulador SEPS</t>
        </is>
      </c>
    </row>
    <row r="53" ht="36" customHeight="1" s="106">
      <c r="A53" s="38" t="inlineStr">
        <is>
          <t>7.7</t>
        </is>
      </c>
      <c r="B53" s="112" t="inlineStr">
        <is>
          <t>Política de escritorio despejado y pantalla despejada</t>
        </is>
      </c>
      <c r="C53" s="112" t="inlineStr">
        <is>
          <t>#Preventivo</t>
        </is>
      </c>
      <c r="D53" s="112" t="inlineStr">
        <is>
          <t>#Confidencialidad, #Integridad, #Disponibilidad</t>
        </is>
      </c>
      <c r="E53" s="112" t="inlineStr">
        <is>
          <t>#Proteger</t>
        </is>
      </c>
      <c r="F53" s="38" t="inlineStr">
        <is>
          <t>#Seguridad_física</t>
        </is>
      </c>
      <c r="G53" s="112" t="inlineStr">
        <is>
          <t>#Proteccion</t>
        </is>
      </c>
      <c r="H53" s="112" t="inlineStr">
        <is>
          <t>Obligatorio SEPS (Régimen General)</t>
        </is>
      </c>
      <c r="I53" s="112" t="inlineStr">
        <is>
          <t>-</t>
        </is>
      </c>
      <c r="J53" s="112" t="inlineStr">
        <is>
          <t>1. Regulatorio SEPS 002-2022 + ISO 27001</t>
        </is>
      </c>
      <c r="K53" s="112" t="inlineStr">
        <is>
          <t>Aplica</t>
        </is>
      </c>
      <c r="L53" s="112" t="inlineStr">
        <is>
          <t>Requerido por ente regulador SEPS</t>
        </is>
      </c>
    </row>
    <row r="54" ht="36" customHeight="1" s="106">
      <c r="A54" s="38" t="inlineStr">
        <is>
          <t>7.8</t>
        </is>
      </c>
      <c r="B54" s="112" t="inlineStr">
        <is>
          <t>Emplazamiento y protección de equipos</t>
        </is>
      </c>
      <c r="C54" s="112" t="inlineStr">
        <is>
          <t>#Preventivo</t>
        </is>
      </c>
      <c r="D54" s="112" t="inlineStr">
        <is>
          <t>#Confidencialidad, #Integridad, #Disponibilidad</t>
        </is>
      </c>
      <c r="E54" s="112" t="inlineStr">
        <is>
          <t>#Proteger</t>
        </is>
      </c>
      <c r="F54" s="38" t="inlineStr">
        <is>
          <t>#Seguridad_física</t>
        </is>
      </c>
      <c r="G54" s="112" t="inlineStr">
        <is>
          <t>#Proteccion</t>
        </is>
      </c>
      <c r="H54" s="112" t="inlineStr">
        <is>
          <t>Obligatorio SEPS (Régimen General)</t>
        </is>
      </c>
      <c r="I54" s="112" t="inlineStr">
        <is>
          <t>-</t>
        </is>
      </c>
      <c r="J54" s="112" t="inlineStr">
        <is>
          <t>1. Regulatorio SEPS 002-2022 + ISO 27001</t>
        </is>
      </c>
      <c r="K54" s="112" t="inlineStr">
        <is>
          <t>Aplica</t>
        </is>
      </c>
      <c r="L54" s="112" t="inlineStr">
        <is>
          <t>Requerido por ente regulador SEPS</t>
        </is>
      </c>
    </row>
    <row r="55" ht="36" customHeight="1" s="106">
      <c r="A55" s="38" t="inlineStr">
        <is>
          <t>7.9</t>
        </is>
      </c>
      <c r="B55" s="112" t="inlineStr">
        <is>
          <t>Seguridad de los activos fuera de las instalaciones</t>
        </is>
      </c>
      <c r="C55" s="112" t="inlineStr">
        <is>
          <t>#Preventivo</t>
        </is>
      </c>
      <c r="D55" s="112" t="inlineStr">
        <is>
          <t>#Confidencialidad, #Integridad, #Disponibilidad</t>
        </is>
      </c>
      <c r="E55" s="112" t="inlineStr">
        <is>
          <t>#Proteger</t>
        </is>
      </c>
      <c r="F55" s="38" t="inlineStr">
        <is>
          <t>#Gestión_de_activos</t>
        </is>
      </c>
      <c r="G55" s="112" t="inlineStr">
        <is>
          <t>#Proteccion</t>
        </is>
      </c>
      <c r="H55" s="112" t="inlineStr">
        <is>
          <t>Obligatorio SEPS (Régimen General)</t>
        </is>
      </c>
      <c r="I55" s="112" t="inlineStr">
        <is>
          <t>-</t>
        </is>
      </c>
      <c r="J55" s="112" t="inlineStr">
        <is>
          <t>1. Regulatorio SEPS 002-2022 + ISO 27001</t>
        </is>
      </c>
      <c r="K55" s="112" t="inlineStr">
        <is>
          <t>Aplica</t>
        </is>
      </c>
      <c r="L55" s="112" t="inlineStr">
        <is>
          <t>Requerido por ente regulador SEPS</t>
        </is>
      </c>
    </row>
    <row r="56" ht="36" customHeight="1" s="106">
      <c r="A56" s="38" t="inlineStr">
        <is>
          <t>7.10</t>
        </is>
      </c>
      <c r="B56" s="112" t="inlineStr">
        <is>
          <t>Soportes de almacenamiento</t>
        </is>
      </c>
      <c r="C56" s="112" t="inlineStr">
        <is>
          <t>#Preventivo</t>
        </is>
      </c>
      <c r="D56" s="112" t="inlineStr">
        <is>
          <t>#Confidencialidad, #Integridad, #Disponibilidad</t>
        </is>
      </c>
      <c r="E56" s="112" t="inlineStr">
        <is>
          <t>#Proteger</t>
        </is>
      </c>
      <c r="F56" s="38" t="inlineStr">
        <is>
          <t>#Gestión_de_activos</t>
        </is>
      </c>
      <c r="G56" s="112" t="inlineStr">
        <is>
          <t>#Proteccion</t>
        </is>
      </c>
      <c r="H56" s="112" t="inlineStr">
        <is>
          <t>Obligatorio SEPS (Régimen General)</t>
        </is>
      </c>
      <c r="I56" s="112" t="inlineStr">
        <is>
          <t>-</t>
        </is>
      </c>
      <c r="J56" s="112" t="inlineStr">
        <is>
          <t>1. Regulatorio SEPS 002-2022 + ISO 27001</t>
        </is>
      </c>
      <c r="K56" s="112" t="inlineStr">
        <is>
          <t>Aplica</t>
        </is>
      </c>
      <c r="L56" s="112" t="inlineStr">
        <is>
          <t>Requerido por ente regulador SEPS</t>
        </is>
      </c>
    </row>
    <row r="57" ht="36" customHeight="1" s="106">
      <c r="A57" s="38" t="inlineStr">
        <is>
          <t>7.11</t>
        </is>
      </c>
      <c r="B57" s="112" t="inlineStr">
        <is>
          <t>Servicios públicos</t>
        </is>
      </c>
      <c r="C57" s="112" t="inlineStr">
        <is>
          <t>#Preventivo</t>
        </is>
      </c>
      <c r="D57" s="112" t="inlineStr">
        <is>
          <t>#Confidencialidad, #Integridad, #Disponibilidad</t>
        </is>
      </c>
      <c r="E57" s="112" t="inlineStr">
        <is>
          <t>#Proteger</t>
        </is>
      </c>
      <c r="F57" s="38" t="inlineStr">
        <is>
          <t>#Seguridad_física</t>
        </is>
      </c>
      <c r="G57" s="112" t="inlineStr">
        <is>
          <t>#Resiliencia</t>
        </is>
      </c>
      <c r="H57" s="112" t="inlineStr">
        <is>
          <t>Obligatorio SEPS (Régimen General)</t>
        </is>
      </c>
      <c r="I57" s="112" t="inlineStr">
        <is>
          <t>-</t>
        </is>
      </c>
      <c r="J57" s="112" t="inlineStr">
        <is>
          <t>1. Regulatorio SEPS 002-2022 + ISO 27001</t>
        </is>
      </c>
      <c r="K57" s="112" t="inlineStr">
        <is>
          <t>Aplica</t>
        </is>
      </c>
      <c r="L57" s="112" t="inlineStr">
        <is>
          <t>Requerido por ente regulador SEPS</t>
        </is>
      </c>
    </row>
    <row r="58" ht="36" customHeight="1" s="106">
      <c r="A58" s="38" t="inlineStr">
        <is>
          <t>7.12</t>
        </is>
      </c>
      <c r="B58" s="112" t="inlineStr">
        <is>
          <t>Seguridad del cableado</t>
        </is>
      </c>
      <c r="C58" s="112" t="inlineStr">
        <is>
          <t>#Preventivo</t>
        </is>
      </c>
      <c r="D58" s="112" t="inlineStr">
        <is>
          <t>#Confidencialidad, #Integridad, #Disponibilidad</t>
        </is>
      </c>
      <c r="E58" s="112" t="inlineStr">
        <is>
          <t>#Proteger</t>
        </is>
      </c>
      <c r="F58" s="38" t="inlineStr">
        <is>
          <t>#Seguridad_física</t>
        </is>
      </c>
      <c r="G58" s="112" t="inlineStr">
        <is>
          <t>#Proteccion</t>
        </is>
      </c>
      <c r="H58" s="112" t="inlineStr">
        <is>
          <t>Obligatorio SEPS (Régimen General)</t>
        </is>
      </c>
      <c r="I58" s="112" t="inlineStr">
        <is>
          <t>-</t>
        </is>
      </c>
      <c r="J58" s="112" t="inlineStr">
        <is>
          <t>1. Regulatorio SEPS 002-2022 + ISO 27001</t>
        </is>
      </c>
      <c r="K58" s="112" t="inlineStr">
        <is>
          <t>Aplica</t>
        </is>
      </c>
      <c r="L58" s="112" t="inlineStr">
        <is>
          <t>Requerido por ente regulador SEPS</t>
        </is>
      </c>
    </row>
    <row r="59" ht="36" customHeight="1" s="106">
      <c r="A59" s="38" t="inlineStr">
        <is>
          <t>7.13</t>
        </is>
      </c>
      <c r="B59" s="112" t="inlineStr">
        <is>
          <t>Mantenimiento de equipos</t>
        </is>
      </c>
      <c r="C59" s="112" t="inlineStr">
        <is>
          <t>#Preventivo</t>
        </is>
      </c>
      <c r="D59" s="112" t="inlineStr">
        <is>
          <t>#Confidencialidad, #Integridad, #Disponibilidad</t>
        </is>
      </c>
      <c r="E59" s="112" t="inlineStr">
        <is>
          <t>#Proteger</t>
        </is>
      </c>
      <c r="F59" s="38" t="inlineStr">
        <is>
          <t>#Seguridad_física</t>
        </is>
      </c>
      <c r="G59" s="112" t="inlineStr">
        <is>
          <t>#Proteccion</t>
        </is>
      </c>
      <c r="H59" s="112" t="inlineStr">
        <is>
          <t>Obligatorio SEPS (Régimen General)</t>
        </is>
      </c>
      <c r="I59" s="112" t="inlineStr">
        <is>
          <t>C11: Mantenimiento periódico de activos físicos</t>
        </is>
      </c>
      <c r="J59" s="112" t="inlineStr">
        <is>
          <t>2. Metodología Interna GSO-GSI + ISO 27001</t>
        </is>
      </c>
      <c r="K59" s="112" t="inlineStr">
        <is>
          <t>Aplica</t>
        </is>
      </c>
      <c r="L59" s="112" t="inlineStr">
        <is>
          <t>Requisito interno GSO-GSI</t>
        </is>
      </c>
    </row>
    <row r="60" ht="36" customHeight="1" s="106">
      <c r="A60" s="38" t="inlineStr">
        <is>
          <t>7.14</t>
        </is>
      </c>
      <c r="B60" s="112" t="inlineStr">
        <is>
          <t>Eliminación segura o reutilización de equipos</t>
        </is>
      </c>
      <c r="C60" s="112" t="inlineStr">
        <is>
          <t>#Preventivo</t>
        </is>
      </c>
      <c r="D60" s="112" t="inlineStr">
        <is>
          <t>#Confidencialidad, #Integridad, #Disponibilidad</t>
        </is>
      </c>
      <c r="E60" s="112" t="inlineStr">
        <is>
          <t>#Proteger</t>
        </is>
      </c>
      <c r="F60" s="38" t="inlineStr">
        <is>
          <t>#Seguridad_física</t>
        </is>
      </c>
      <c r="G60" s="112" t="inlineStr">
        <is>
          <t>#Proteccion</t>
        </is>
      </c>
      <c r="H60" s="112" t="inlineStr">
        <is>
          <t>Obligatorio SEPS (Régimen General)</t>
        </is>
      </c>
      <c r="I60" s="112" t="inlineStr">
        <is>
          <t>-</t>
        </is>
      </c>
      <c r="J60" s="112" t="inlineStr">
        <is>
          <t>1. Regulatorio SEPS 002-2022 + ISO 27001</t>
        </is>
      </c>
      <c r="K60" s="112" t="inlineStr">
        <is>
          <t>Aplica</t>
        </is>
      </c>
      <c r="L60" s="112" t="inlineStr">
        <is>
          <t>Requerido por ente regulador SEPS</t>
        </is>
      </c>
    </row>
    <row r="61" ht="36" customHeight="1" s="106">
      <c r="A61" s="38" t="inlineStr">
        <is>
          <t>8.1</t>
        </is>
      </c>
      <c r="B61" s="112" t="inlineStr">
        <is>
          <t>Dispositivos de punto final de usuario</t>
        </is>
      </c>
      <c r="C61" s="112" t="inlineStr">
        <is>
          <t>#Preventivo</t>
        </is>
      </c>
      <c r="D61" s="112" t="inlineStr">
        <is>
          <t>#Confidencialidad, #Integridad, #Disponibilidad</t>
        </is>
      </c>
      <c r="E61" s="112" t="inlineStr">
        <is>
          <t>#Proteger</t>
        </is>
      </c>
      <c r="F61" s="38" t="inlineStr">
        <is>
          <t>#Gestión_de_activos</t>
        </is>
      </c>
      <c r="G61" s="112" t="inlineStr">
        <is>
          <t>#Proteccion</t>
        </is>
      </c>
      <c r="H61" s="112" t="inlineStr">
        <is>
          <t>Obligatorio SEPS (Régimen General)</t>
        </is>
      </c>
      <c r="I61" s="112" t="inlineStr">
        <is>
          <t>-</t>
        </is>
      </c>
      <c r="J61" s="112" t="inlineStr">
        <is>
          <t>1. Regulatorio SEPS 002-2022 + ISO 27001</t>
        </is>
      </c>
      <c r="K61" s="112" t="inlineStr">
        <is>
          <t>Aplica</t>
        </is>
      </c>
      <c r="L61" s="112" t="inlineStr">
        <is>
          <t>Requerido por ente regulador SEPS</t>
        </is>
      </c>
    </row>
    <row r="62" ht="36" customHeight="1" s="106">
      <c r="A62" s="38" t="inlineStr">
        <is>
          <t>8.2</t>
        </is>
      </c>
      <c r="B62" s="112" t="inlineStr">
        <is>
          <t>Derechos de acceso privilegiado</t>
        </is>
      </c>
      <c r="C62" s="112" t="inlineStr">
        <is>
          <t>#Preventivo</t>
        </is>
      </c>
      <c r="D62" s="112" t="inlineStr">
        <is>
          <t>#Confidencialidad, #Integridad, #Disponibilidad</t>
        </is>
      </c>
      <c r="E62" s="112" t="inlineStr">
        <is>
          <t>#Proteger</t>
        </is>
      </c>
      <c r="F62" s="38" t="inlineStr">
        <is>
          <t>#Administración_de_identidad_y_acceso</t>
        </is>
      </c>
      <c r="G62" s="112" t="inlineStr">
        <is>
          <t>#Proteccion</t>
        </is>
      </c>
      <c r="H62" s="112" t="inlineStr">
        <is>
          <t>Obligatorio SEPS (Régimen General)</t>
        </is>
      </c>
      <c r="I62" s="112" t="inlineStr">
        <is>
          <t>C9: Principio de mínimos privilegios</t>
        </is>
      </c>
      <c r="J62" s="112" t="inlineStr">
        <is>
          <t>2. Metodología Interna GSO-GSI + ISO 27001</t>
        </is>
      </c>
      <c r="K62" s="112" t="inlineStr">
        <is>
          <t>Aplica</t>
        </is>
      </c>
      <c r="L62" s="112" t="inlineStr">
        <is>
          <t>Requisito interno GSO-GSI</t>
        </is>
      </c>
    </row>
    <row r="63" ht="36" customHeight="1" s="106">
      <c r="A63" s="38" t="inlineStr">
        <is>
          <t>8.3</t>
        </is>
      </c>
      <c r="B63" s="112" t="inlineStr">
        <is>
          <t>Restricción del acceso a la información</t>
        </is>
      </c>
      <c r="C63" s="112" t="inlineStr">
        <is>
          <t>#Preventivo</t>
        </is>
      </c>
      <c r="D63" s="112" t="inlineStr">
        <is>
          <t>#Confidencialidad, #Integridad, #Disponibilidad</t>
        </is>
      </c>
      <c r="E63" s="112" t="inlineStr">
        <is>
          <t>#Proteger</t>
        </is>
      </c>
      <c r="F63" s="38" t="inlineStr">
        <is>
          <t>#Administración_de_identidad_y_acceso</t>
        </is>
      </c>
      <c r="G63" s="112" t="inlineStr">
        <is>
          <t>#Proteccion</t>
        </is>
      </c>
      <c r="H63" s="112" t="inlineStr">
        <is>
          <t>Obligatorio SEPS (Régimen General)</t>
        </is>
      </c>
      <c r="I63" s="112" t="inlineStr">
        <is>
          <t>C4: Restricción del control de acceso</t>
        </is>
      </c>
      <c r="J63" s="112" t="inlineStr">
        <is>
          <t>2. Metodología Interna GSO-GSI + ISO 27001</t>
        </is>
      </c>
      <c r="K63" s="112" t="inlineStr">
        <is>
          <t>Aplica</t>
        </is>
      </c>
      <c r="L63" s="112" t="inlineStr">
        <is>
          <t>Requisito interno GSO-GSI</t>
        </is>
      </c>
    </row>
    <row r="64" ht="36" customHeight="1" s="106">
      <c r="A64" s="38" t="inlineStr">
        <is>
          <t>8.4</t>
        </is>
      </c>
      <c r="B64" s="112" t="inlineStr">
        <is>
          <t>Acceso al código fuente</t>
        </is>
      </c>
      <c r="C64" s="112" t="inlineStr">
        <is>
          <t>#Preventivo</t>
        </is>
      </c>
      <c r="D64" s="112" t="inlineStr">
        <is>
          <t>#Confidencialidad, #Integridad, #Disponibilidad</t>
        </is>
      </c>
      <c r="E64" s="112" t="inlineStr">
        <is>
          <t>#Proteger</t>
        </is>
      </c>
      <c r="F64" s="38" t="inlineStr">
        <is>
          <t>#Seguridad_de_aplicaciones</t>
        </is>
      </c>
      <c r="G64" s="112" t="inlineStr">
        <is>
          <t>#Proteccion</t>
        </is>
      </c>
      <c r="H64" s="112" t="inlineStr">
        <is>
          <t>Obligatorio SEPS (Régimen General)</t>
        </is>
      </c>
      <c r="I64" s="112" t="inlineStr">
        <is>
          <t>-</t>
        </is>
      </c>
      <c r="J64" s="112" t="inlineStr">
        <is>
          <t>1. Regulatorio SEPS 002-2022 + ISO 27001</t>
        </is>
      </c>
      <c r="K64" s="112" t="inlineStr">
        <is>
          <t>Aplica</t>
        </is>
      </c>
      <c r="L64" s="112" t="inlineStr">
        <is>
          <t>Requerido por ente regulador SEPS</t>
        </is>
      </c>
    </row>
    <row r="65" ht="36" customHeight="1" s="106">
      <c r="A65" s="38" t="inlineStr">
        <is>
          <t>8.5</t>
        </is>
      </c>
      <c r="B65" s="112" t="inlineStr">
        <is>
          <t>Autenticación segura</t>
        </is>
      </c>
      <c r="C65" s="112" t="inlineStr">
        <is>
          <t>#Preventivo</t>
        </is>
      </c>
      <c r="D65" s="112" t="inlineStr">
        <is>
          <t>#Confidencialidad, #Integridad, #Disponibilidad</t>
        </is>
      </c>
      <c r="E65" s="112" t="inlineStr">
        <is>
          <t>#Proteger</t>
        </is>
      </c>
      <c r="F65" s="38" t="inlineStr">
        <is>
          <t>#Administración_de_identidad_y_acceso</t>
        </is>
      </c>
      <c r="G65" s="112" t="inlineStr">
        <is>
          <t>#Proteccion</t>
        </is>
      </c>
      <c r="H65" s="112" t="inlineStr">
        <is>
          <t>Obligatorio SEPS (Régimen General)</t>
        </is>
      </c>
      <c r="I65" s="112" t="inlineStr">
        <is>
          <t>-</t>
        </is>
      </c>
      <c r="J65" s="112" t="inlineStr">
        <is>
          <t>1. Regulatorio SEPS 002-2022 + ISO 27001</t>
        </is>
      </c>
      <c r="K65" s="112" t="inlineStr">
        <is>
          <t>Aplica</t>
        </is>
      </c>
      <c r="L65" s="112" t="inlineStr">
        <is>
          <t>Requerido por ente regulador SEPS</t>
        </is>
      </c>
    </row>
    <row r="66" ht="36" customHeight="1" s="106">
      <c r="A66" s="38" t="inlineStr">
        <is>
          <t>8.6</t>
        </is>
      </c>
      <c r="B66" s="112" t="inlineStr">
        <is>
          <t>Gestión de capacidad</t>
        </is>
      </c>
      <c r="C66" s="112" t="inlineStr">
        <is>
          <t>#Preventivo</t>
        </is>
      </c>
      <c r="D66" s="112" t="inlineStr">
        <is>
          <t>#Confidencialidad, #Integridad, #Disponibilidad</t>
        </is>
      </c>
      <c r="E66" s="112" t="inlineStr">
        <is>
          <t>#Proteger</t>
        </is>
      </c>
      <c r="F66" s="38" t="inlineStr">
        <is>
          <t>#Seguridad_de_sistemas_y_redes</t>
        </is>
      </c>
      <c r="G66" s="112" t="inlineStr">
        <is>
          <t>#Resiliencia</t>
        </is>
      </c>
      <c r="H66" s="112" t="inlineStr">
        <is>
          <t>Obligatorio SEPS (Régimen General)</t>
        </is>
      </c>
      <c r="I66" s="112" t="inlineStr">
        <is>
          <t>-</t>
        </is>
      </c>
      <c r="J66" s="112" t="inlineStr">
        <is>
          <t>1. Regulatorio SEPS 002-2022 + ISO 27001</t>
        </is>
      </c>
      <c r="K66" s="112" t="inlineStr">
        <is>
          <t>Aplica</t>
        </is>
      </c>
      <c r="L66" s="112" t="inlineStr">
        <is>
          <t>Requerido por ente regulador SEPS</t>
        </is>
      </c>
    </row>
    <row r="67" ht="36" customHeight="1" s="106">
      <c r="A67" s="38" t="inlineStr">
        <is>
          <t>8.7</t>
        </is>
      </c>
      <c r="B67" s="112" t="inlineStr">
        <is>
          <t>Protección contra malware</t>
        </is>
      </c>
      <c r="C67" s="112" t="inlineStr">
        <is>
          <t>#Preventivo, #Detectivo, #Correctivo</t>
        </is>
      </c>
      <c r="D67" s="112" t="inlineStr">
        <is>
          <t>#Confidencialidad, #Integridad, #Disponibilidad</t>
        </is>
      </c>
      <c r="E67" s="112" t="inlineStr">
        <is>
          <t>#Proteger</t>
        </is>
      </c>
      <c r="F67" s="38" t="inlineStr">
        <is>
          <t>#Seguridad_de_sistemas_y_redes</t>
        </is>
      </c>
      <c r="G67" s="112" t="inlineStr">
        <is>
          <t>#Defensa</t>
        </is>
      </c>
      <c r="H67" s="112" t="inlineStr">
        <is>
          <t>Obligatorio SEPS (Régimen General)</t>
        </is>
      </c>
      <c r="I67" s="112" t="inlineStr">
        <is>
          <t>-</t>
        </is>
      </c>
      <c r="J67" s="112" t="inlineStr">
        <is>
          <t>1. Regulatorio SEPS 002-2022 + ISO 27001</t>
        </is>
      </c>
      <c r="K67" s="112" t="inlineStr">
        <is>
          <t>Aplica</t>
        </is>
      </c>
      <c r="L67" s="112" t="inlineStr">
        <is>
          <t>Requerido por ente regulador SEPS</t>
        </is>
      </c>
    </row>
    <row r="68" ht="48" customHeight="1" s="106">
      <c r="A68" s="38" t="inlineStr">
        <is>
          <t>8.8</t>
        </is>
      </c>
      <c r="B68" s="112" t="inlineStr">
        <is>
          <t>Gestión de vulnerabilidades técnicas</t>
        </is>
      </c>
      <c r="C68" s="112" t="inlineStr">
        <is>
          <t>#Preventivo, #Correctivo</t>
        </is>
      </c>
      <c r="D68" s="112" t="inlineStr">
        <is>
          <t>#Confidencialidad, #Integridad, #Disponibilidad</t>
        </is>
      </c>
      <c r="E68" s="112" t="inlineStr">
        <is>
          <t>#Proteger</t>
        </is>
      </c>
      <c r="F68" s="38" t="inlineStr">
        <is>
          <t>#Gestión_de_amenazas_y_vulnerabilidades</t>
        </is>
      </c>
      <c r="G68" s="112" t="inlineStr">
        <is>
          <t>#Defensa</t>
        </is>
      </c>
      <c r="H68" s="112" t="inlineStr">
        <is>
          <t>Obligatorio SEPS (Régimen General)</t>
        </is>
      </c>
      <c r="I68" s="112" t="inlineStr">
        <is>
          <t>C12: Actualizaciones periódicas firmware/software</t>
        </is>
      </c>
      <c r="J68" s="112" t="inlineStr">
        <is>
          <t>2. Metodología Interna GSO-GSI + ISO 27001</t>
        </is>
      </c>
      <c r="K68" s="112" t="inlineStr">
        <is>
          <t>Aplica</t>
        </is>
      </c>
      <c r="L68" s="112" t="inlineStr">
        <is>
          <t>Requisito interno GSO-GSI</t>
        </is>
      </c>
    </row>
    <row r="69" ht="48" customHeight="1" s="106">
      <c r="A69" s="38" t="inlineStr">
        <is>
          <t>8.9</t>
        </is>
      </c>
      <c r="B69" s="112" t="inlineStr">
        <is>
          <t>Gestión de la configuración</t>
        </is>
      </c>
      <c r="C69" s="112" t="inlineStr">
        <is>
          <t>#Preventivo</t>
        </is>
      </c>
      <c r="D69" s="112" t="inlineStr">
        <is>
          <t>#Confidencialidad, #Integridad, #Disponibilidad</t>
        </is>
      </c>
      <c r="E69" s="112" t="inlineStr">
        <is>
          <t>#Proteger</t>
        </is>
      </c>
      <c r="F69" s="38" t="inlineStr">
        <is>
          <t>#Configuración_segura</t>
        </is>
      </c>
      <c r="G69" s="112" t="inlineStr">
        <is>
          <t>#Proteccion</t>
        </is>
      </c>
      <c r="H69" s="112" t="inlineStr">
        <is>
          <t>Obligatorio SEPS (Régimen General)</t>
        </is>
      </c>
      <c r="I69" s="112" t="inlineStr">
        <is>
          <t>C52: Mantenimiento preventivo / Configuración segura</t>
        </is>
      </c>
      <c r="J69" s="112" t="inlineStr">
        <is>
          <t>2. Metodología Interna GSO-GSI + ISO 27001</t>
        </is>
      </c>
      <c r="K69" s="112" t="inlineStr">
        <is>
          <t>Aplica</t>
        </is>
      </c>
      <c r="L69" s="112" t="inlineStr">
        <is>
          <t>Requisito interno GSO-GSI</t>
        </is>
      </c>
    </row>
    <row r="70" ht="36" customHeight="1" s="106">
      <c r="A70" s="38" t="inlineStr">
        <is>
          <t>8.10</t>
        </is>
      </c>
      <c r="B70" s="112" t="inlineStr">
        <is>
          <t>Eliminación de información</t>
        </is>
      </c>
      <c r="C70" s="112" t="inlineStr">
        <is>
          <t>#Preventivo</t>
        </is>
      </c>
      <c r="D70" s="112" t="inlineStr">
        <is>
          <t>#Confidencialidad, #Integridad, #Disponibilidad</t>
        </is>
      </c>
      <c r="E70" s="112" t="inlineStr">
        <is>
          <t>#Proteger</t>
        </is>
      </c>
      <c r="F70" s="38" t="inlineStr">
        <is>
          <t>#Protección_de_la_información</t>
        </is>
      </c>
      <c r="G70" s="112" t="inlineStr">
        <is>
          <t>#Proteccion</t>
        </is>
      </c>
      <c r="H70" s="112" t="inlineStr">
        <is>
          <t>Obligatorio SEPS (Régimen General)</t>
        </is>
      </c>
      <c r="I70" s="112" t="inlineStr">
        <is>
          <t>-</t>
        </is>
      </c>
      <c r="J70" s="112" t="inlineStr">
        <is>
          <t>1. Regulatorio SEPS 002-2022 + ISO 27001</t>
        </is>
      </c>
      <c r="K70" s="112" t="inlineStr">
        <is>
          <t>Aplica</t>
        </is>
      </c>
      <c r="L70" s="112" t="inlineStr">
        <is>
          <t>Requerido por ente regulador SEPS</t>
        </is>
      </c>
    </row>
    <row r="71" ht="60" customHeight="1" s="106">
      <c r="A71" s="38" t="inlineStr">
        <is>
          <t>8.11</t>
        </is>
      </c>
      <c r="B71" s="112" t="inlineStr">
        <is>
          <t>Enmascaramiento de datos</t>
        </is>
      </c>
      <c r="C71" s="112" t="inlineStr">
        <is>
          <t>#Preventivo</t>
        </is>
      </c>
      <c r="D71" s="112" t="inlineStr">
        <is>
          <t>#Confidencialidad, #Integridad, #Disponibilidad</t>
        </is>
      </c>
      <c r="E71" s="112" t="inlineStr">
        <is>
          <t>#Proteger</t>
        </is>
      </c>
      <c r="F71" s="38" t="inlineStr">
        <is>
          <t>#Protección_de_la_información</t>
        </is>
      </c>
      <c r="G71" s="112" t="inlineStr">
        <is>
          <t>#Proteccion</t>
        </is>
      </c>
      <c r="H71" s="112" t="inlineStr">
        <is>
          <t>Mejor Práctica (No obligatorio SEPS)</t>
        </is>
      </c>
      <c r="I71" s="112" t="inlineStr">
        <is>
          <t>-</t>
        </is>
      </c>
      <c r="J71" s="112" t="inlineStr">
        <is>
          <t>3. Tratamiento de Riesgos Específico (ISO 27002 / MAGERIT)</t>
        </is>
      </c>
      <c r="K71" s="112" t="inlineStr">
        <is>
          <t>Aplica</t>
        </is>
      </c>
      <c r="L71" s="112" t="inlineStr">
        <is>
          <t>Requisito de control complementario y mejor práctica de seguridad</t>
        </is>
      </c>
    </row>
    <row r="72" ht="36" customHeight="1" s="106">
      <c r="A72" s="38" t="inlineStr">
        <is>
          <t>8.12</t>
        </is>
      </c>
      <c r="B72" s="112" t="inlineStr">
        <is>
          <t>Prevención de fuga de datos</t>
        </is>
      </c>
      <c r="C72" s="112" t="inlineStr">
        <is>
          <t>#Preventivo, #Detectivo</t>
        </is>
      </c>
      <c r="D72" s="112" t="inlineStr">
        <is>
          <t>#Confidencialidad, #Integridad, #Disponibilidad</t>
        </is>
      </c>
      <c r="E72" s="112" t="inlineStr">
        <is>
          <t>#Proteger</t>
        </is>
      </c>
      <c r="F72" s="38" t="inlineStr">
        <is>
          <t>#Protección_de_la_información</t>
        </is>
      </c>
      <c r="G72" s="112" t="inlineStr">
        <is>
          <t>#Proteccion</t>
        </is>
      </c>
      <c r="H72" s="112" t="inlineStr">
        <is>
          <t>Obligatorio SEPS (Régimen General)</t>
        </is>
      </c>
      <c r="I72" s="112" t="inlineStr">
        <is>
          <t>-</t>
        </is>
      </c>
      <c r="J72" s="112" t="inlineStr">
        <is>
          <t>1. Regulatorio SEPS 002-2022 + ISO 27001</t>
        </is>
      </c>
      <c r="K72" s="112" t="inlineStr">
        <is>
          <t>Aplica</t>
        </is>
      </c>
      <c r="L72" s="112" t="inlineStr">
        <is>
          <t>Requerido por ente regulador SEPS</t>
        </is>
      </c>
    </row>
    <row r="73" ht="48" customHeight="1" s="106">
      <c r="A73" s="38" t="inlineStr">
        <is>
          <t>8.13</t>
        </is>
      </c>
      <c r="B73" s="112" t="inlineStr">
        <is>
          <t>Copias de seguridad de la información</t>
        </is>
      </c>
      <c r="C73" s="112" t="inlineStr">
        <is>
          <t>#Preventivo, #Correctivo</t>
        </is>
      </c>
      <c r="D73" s="112" t="inlineStr">
        <is>
          <t>#Confidencialidad, #Integridad, #Disponibilidad</t>
        </is>
      </c>
      <c r="E73" s="112" t="inlineStr">
        <is>
          <t>#Recuperar</t>
        </is>
      </c>
      <c r="F73" s="38" t="inlineStr">
        <is>
          <t>#Continuidad</t>
        </is>
      </c>
      <c r="G73" s="112" t="inlineStr">
        <is>
          <t>#Resiliencia</t>
        </is>
      </c>
      <c r="H73" s="112" t="inlineStr">
        <is>
          <t>Obligatorio SEPS (Régimen General)</t>
        </is>
      </c>
      <c r="I73" s="112" t="inlineStr">
        <is>
          <t>C6: Procedimientos de reversión (rollback) / Respaldo</t>
        </is>
      </c>
      <c r="J73" s="112" t="inlineStr">
        <is>
          <t>2. Metodología Interna GSO-GSI + ISO 27001</t>
        </is>
      </c>
      <c r="K73" s="112" t="inlineStr">
        <is>
          <t>Aplica</t>
        </is>
      </c>
      <c r="L73" s="112" t="inlineStr">
        <is>
          <t>Requisito interno GSO-GSI</t>
        </is>
      </c>
    </row>
    <row r="74" ht="48" customHeight="1" s="106">
      <c r="A74" s="38" t="inlineStr">
        <is>
          <t>8.14</t>
        </is>
      </c>
      <c r="B74" s="112" t="inlineStr">
        <is>
          <t>Redundancia de las instalaciones de procesamiento de información</t>
        </is>
      </c>
      <c r="C74" s="112" t="inlineStr">
        <is>
          <t>#Preventivo</t>
        </is>
      </c>
      <c r="D74" s="112" t="inlineStr">
        <is>
          <t>#Confidencialidad, #Integridad, #Disponibilidad</t>
        </is>
      </c>
      <c r="E74" s="112" t="inlineStr">
        <is>
          <t>#Recuperar</t>
        </is>
      </c>
      <c r="F74" s="38" t="inlineStr">
        <is>
          <t>#Continuidad</t>
        </is>
      </c>
      <c r="G74" s="112" t="inlineStr">
        <is>
          <t>#Resiliencia</t>
        </is>
      </c>
      <c r="H74" s="112" t="inlineStr">
        <is>
          <t>Obligatorio SEPS (Régimen General)</t>
        </is>
      </c>
      <c r="I74" s="112" t="inlineStr">
        <is>
          <t>-</t>
        </is>
      </c>
      <c r="J74" s="112" t="inlineStr">
        <is>
          <t>1. Regulatorio SEPS 002-2022 + ISO 27001</t>
        </is>
      </c>
      <c r="K74" s="112" t="inlineStr">
        <is>
          <t>Aplica</t>
        </is>
      </c>
      <c r="L74" s="112" t="inlineStr">
        <is>
          <t>Requerido por ente regulador SEPS</t>
        </is>
      </c>
    </row>
    <row r="75" ht="36" customHeight="1" s="106">
      <c r="A75" s="38" t="inlineStr">
        <is>
          <t>8.15</t>
        </is>
      </c>
      <c r="B75" s="112" t="inlineStr">
        <is>
          <t>Registro de eventos (Logging)</t>
        </is>
      </c>
      <c r="C75" s="112" t="inlineStr">
        <is>
          <t>#Detectivo</t>
        </is>
      </c>
      <c r="D75" s="112" t="inlineStr">
        <is>
          <t>#Confidencialidad, #Integridad, #Disponibilidad</t>
        </is>
      </c>
      <c r="E75" s="112" t="inlineStr">
        <is>
          <t>#Detectar</t>
        </is>
      </c>
      <c r="F75" s="38" t="inlineStr">
        <is>
          <t>#Seguridad_de_la_información_gestión_de_eventos</t>
        </is>
      </c>
      <c r="G75" s="112" t="inlineStr">
        <is>
          <t>#Defensa</t>
        </is>
      </c>
      <c r="H75" s="112" t="inlineStr">
        <is>
          <t>Obligatorio SEPS (Régimen General)</t>
        </is>
      </c>
      <c r="I75" s="112" t="inlineStr">
        <is>
          <t>C10: Registro de fallos en el control de acceso</t>
        </is>
      </c>
      <c r="J75" s="112" t="inlineStr">
        <is>
          <t>2. Metodología Interna GSO-GSI + ISO 27001</t>
        </is>
      </c>
      <c r="K75" s="112" t="inlineStr">
        <is>
          <t>Aplica</t>
        </is>
      </c>
      <c r="L75" s="112" t="inlineStr">
        <is>
          <t>Requisito interno GSO-GSI</t>
        </is>
      </c>
    </row>
    <row r="76" ht="36" customHeight="1" s="106">
      <c r="A76" s="38" t="inlineStr">
        <is>
          <t>8.16</t>
        </is>
      </c>
      <c r="B76" s="112" t="inlineStr">
        <is>
          <t>Actividades de seguimiento (Monitoring)</t>
        </is>
      </c>
      <c r="C76" s="112" t="inlineStr">
        <is>
          <t>#Detectivo</t>
        </is>
      </c>
      <c r="D76" s="112" t="inlineStr">
        <is>
          <t>#Confidencialidad, #Integridad, #Disponibilidad</t>
        </is>
      </c>
      <c r="E76" s="112" t="inlineStr">
        <is>
          <t>#Detectar</t>
        </is>
      </c>
      <c r="F76" s="38" t="inlineStr">
        <is>
          <t>#Seguridad_de_la_información_gestión_de_eventos</t>
        </is>
      </c>
      <c r="G76" s="112" t="inlineStr">
        <is>
          <t>#Defensa</t>
        </is>
      </c>
      <c r="H76" s="112" t="inlineStr">
        <is>
          <t>Obligatorio SEPS (Régimen General)</t>
        </is>
      </c>
      <c r="I76" s="112" t="inlineStr">
        <is>
          <t>C13: Monitoreo y control</t>
        </is>
      </c>
      <c r="J76" s="112" t="inlineStr">
        <is>
          <t>2. Metodología Interna GSO-GSI + ISO 27001</t>
        </is>
      </c>
      <c r="K76" s="112" t="inlineStr">
        <is>
          <t>Aplica</t>
        </is>
      </c>
      <c r="L76" s="112" t="inlineStr">
        <is>
          <t>Requisito interno GSO-GSI</t>
        </is>
      </c>
    </row>
    <row r="77" ht="36" customHeight="1" s="106">
      <c r="A77" s="38" t="inlineStr">
        <is>
          <t>8.17</t>
        </is>
      </c>
      <c r="B77" s="112" t="inlineStr">
        <is>
          <t>Sincronización de relojes</t>
        </is>
      </c>
      <c r="C77" s="112" t="inlineStr">
        <is>
          <t>#Preventivo</t>
        </is>
      </c>
      <c r="D77" s="112" t="inlineStr">
        <is>
          <t>#Confidencialidad, #Integridad, #Disponibilidad</t>
        </is>
      </c>
      <c r="E77" s="112" t="inlineStr">
        <is>
          <t>#Proteger</t>
        </is>
      </c>
      <c r="F77" s="38" t="inlineStr">
        <is>
          <t>#Seguridad_de_sistemas_y_redes</t>
        </is>
      </c>
      <c r="G77" s="112" t="inlineStr">
        <is>
          <t>#Proteccion</t>
        </is>
      </c>
      <c r="H77" s="112" t="inlineStr">
        <is>
          <t>Obligatorio SEPS (Régimen General)</t>
        </is>
      </c>
      <c r="I77" s="112" t="inlineStr">
        <is>
          <t>-</t>
        </is>
      </c>
      <c r="J77" s="112" t="inlineStr">
        <is>
          <t>1. Regulatorio SEPS 002-2022 + ISO 27001</t>
        </is>
      </c>
      <c r="K77" s="112" t="inlineStr">
        <is>
          <t>Aplica</t>
        </is>
      </c>
      <c r="L77" s="112" t="inlineStr">
        <is>
          <t>Requerido por ente regulador SEPS</t>
        </is>
      </c>
    </row>
    <row r="78" ht="36" customHeight="1" s="106">
      <c r="A78" s="38" t="inlineStr">
        <is>
          <t>8.18</t>
        </is>
      </c>
      <c r="B78" s="112" t="inlineStr">
        <is>
          <t>Uso de programas de utilidad privilegiados</t>
        </is>
      </c>
      <c r="C78" s="112" t="inlineStr">
        <is>
          <t>#Preventivo</t>
        </is>
      </c>
      <c r="D78" s="112" t="inlineStr">
        <is>
          <t>#Confidencialidad, #Integridad, #Disponibilidad</t>
        </is>
      </c>
      <c r="E78" s="112" t="inlineStr">
        <is>
          <t>#Proteger</t>
        </is>
      </c>
      <c r="F78" s="38" t="inlineStr">
        <is>
          <t>#Administración_de_identidad_y_acceso</t>
        </is>
      </c>
      <c r="G78" s="112" t="inlineStr">
        <is>
          <t>#Proteccion</t>
        </is>
      </c>
      <c r="H78" s="112" t="inlineStr">
        <is>
          <t>Obligatorio SEPS (Régimen General)</t>
        </is>
      </c>
      <c r="I78" s="112" t="inlineStr">
        <is>
          <t>-</t>
        </is>
      </c>
      <c r="J78" s="112" t="inlineStr">
        <is>
          <t>1. Regulatorio SEPS 002-2022 + ISO 27001</t>
        </is>
      </c>
      <c r="K78" s="112" t="inlineStr">
        <is>
          <t>Aplica</t>
        </is>
      </c>
      <c r="L78" s="112" t="inlineStr">
        <is>
          <t>Requerido por ente regulador SEPS</t>
        </is>
      </c>
    </row>
    <row r="79" ht="48" customHeight="1" s="106">
      <c r="A79" s="38" t="inlineStr">
        <is>
          <t>8.19</t>
        </is>
      </c>
      <c r="B79" s="112" t="inlineStr">
        <is>
          <t>Instalación de software en sistemas operativos</t>
        </is>
      </c>
      <c r="C79" s="112" t="inlineStr">
        <is>
          <t>#Preventivo</t>
        </is>
      </c>
      <c r="D79" s="112" t="inlineStr">
        <is>
          <t>#Confidencialidad, #Integridad, #Disponibilidad</t>
        </is>
      </c>
      <c r="E79" s="112" t="inlineStr">
        <is>
          <t>#Proteger</t>
        </is>
      </c>
      <c r="F79" s="38" t="inlineStr">
        <is>
          <t>#Configuración_segura</t>
        </is>
      </c>
      <c r="G79" s="112" t="inlineStr">
        <is>
          <t>#Proteccion</t>
        </is>
      </c>
      <c r="H79" s="112" t="inlineStr">
        <is>
          <t>Obligatorio SEPS (Régimen General)</t>
        </is>
      </c>
      <c r="I79" s="112" t="inlineStr">
        <is>
          <t>C12: Actualizaciones periódicas firmware/software</t>
        </is>
      </c>
      <c r="J79" s="112" t="inlineStr">
        <is>
          <t>2. Metodología Interna GSO-GSI + ISO 27001</t>
        </is>
      </c>
      <c r="K79" s="112" t="inlineStr">
        <is>
          <t>Aplica</t>
        </is>
      </c>
      <c r="L79" s="112" t="inlineStr">
        <is>
          <t>Requisito interno GSO-GSI</t>
        </is>
      </c>
    </row>
    <row r="80" ht="48" customHeight="1" s="106">
      <c r="A80" s="38" t="inlineStr">
        <is>
          <t>8.20</t>
        </is>
      </c>
      <c r="B80" s="112" t="inlineStr">
        <is>
          <t>Seguridad de las redes</t>
        </is>
      </c>
      <c r="C80" s="112" t="inlineStr">
        <is>
          <t>#Preventivo</t>
        </is>
      </c>
      <c r="D80" s="112" t="inlineStr">
        <is>
          <t>#Confidencialidad, #Integridad, #Disponibilidad</t>
        </is>
      </c>
      <c r="E80" s="112" t="inlineStr">
        <is>
          <t>#Proteger</t>
        </is>
      </c>
      <c r="F80" s="38" t="inlineStr">
        <is>
          <t>#Seguridad_de_sistemas_y_redes</t>
        </is>
      </c>
      <c r="G80" s="112" t="inlineStr">
        <is>
          <t>#Proteccion</t>
        </is>
      </c>
      <c r="H80" s="112" t="inlineStr">
        <is>
          <t>Obligatorio SEPS (Régimen General)</t>
        </is>
      </c>
      <c r="I80" s="112" t="inlineStr">
        <is>
          <t>C52: Mantenimiento preventivo / Configuración segura</t>
        </is>
      </c>
      <c r="J80" s="112" t="inlineStr">
        <is>
          <t>2. Metodología Interna GSO-GSI + ISO 27001</t>
        </is>
      </c>
      <c r="K80" s="112" t="inlineStr">
        <is>
          <t>Aplica</t>
        </is>
      </c>
      <c r="L80" s="112" t="inlineStr">
        <is>
          <t>Requisito interno GSO-GSI</t>
        </is>
      </c>
    </row>
    <row r="81" ht="36" customHeight="1" s="106">
      <c r="A81" s="38" t="inlineStr">
        <is>
          <t>8.21</t>
        </is>
      </c>
      <c r="B81" s="112" t="inlineStr">
        <is>
          <t>Seguridad de los servicios de red</t>
        </is>
      </c>
      <c r="C81" s="112" t="inlineStr">
        <is>
          <t>#Preventivo</t>
        </is>
      </c>
      <c r="D81" s="112" t="inlineStr">
        <is>
          <t>#Confidencialidad, #Integridad, #Disponibilidad</t>
        </is>
      </c>
      <c r="E81" s="112" t="inlineStr">
        <is>
          <t>#Proteger</t>
        </is>
      </c>
      <c r="F81" s="38" t="inlineStr">
        <is>
          <t>#Seguridad_de_sistemas_y_redes</t>
        </is>
      </c>
      <c r="G81" s="112" t="inlineStr">
        <is>
          <t>#Proteccion</t>
        </is>
      </c>
      <c r="H81" s="112" t="inlineStr">
        <is>
          <t>Obligatorio SEPS (Régimen General)</t>
        </is>
      </c>
      <c r="I81" s="112" t="inlineStr">
        <is>
          <t>-</t>
        </is>
      </c>
      <c r="J81" s="112" t="inlineStr">
        <is>
          <t>1. Regulatorio SEPS 002-2022 + ISO 27001</t>
        </is>
      </c>
      <c r="K81" s="112" t="inlineStr">
        <is>
          <t>Aplica</t>
        </is>
      </c>
      <c r="L81" s="112" t="inlineStr">
        <is>
          <t>Requerido por ente regulador SEPS</t>
        </is>
      </c>
    </row>
    <row r="82" ht="36" customHeight="1" s="106">
      <c r="A82" s="38" t="inlineStr">
        <is>
          <t>8.22</t>
        </is>
      </c>
      <c r="B82" s="112" t="inlineStr">
        <is>
          <t>Segregación de redes</t>
        </is>
      </c>
      <c r="C82" s="112" t="inlineStr">
        <is>
          <t>#Preventivo</t>
        </is>
      </c>
      <c r="D82" s="112" t="inlineStr">
        <is>
          <t>#Confidencialidad, #Integridad, #Disponibilidad</t>
        </is>
      </c>
      <c r="E82" s="112" t="inlineStr">
        <is>
          <t>#Proteger</t>
        </is>
      </c>
      <c r="F82" s="38" t="inlineStr">
        <is>
          <t>#Seguridad_de_sistemas_y_redes</t>
        </is>
      </c>
      <c r="G82" s="112" t="inlineStr">
        <is>
          <t>#Proteccion</t>
        </is>
      </c>
      <c r="H82" s="112" t="inlineStr">
        <is>
          <t>Obligatorio SEPS (Régimen General)</t>
        </is>
      </c>
      <c r="I82" s="112" t="inlineStr">
        <is>
          <t>-</t>
        </is>
      </c>
      <c r="J82" s="112" t="inlineStr">
        <is>
          <t>1. Regulatorio SEPS 002-2022 + ISO 27001</t>
        </is>
      </c>
      <c r="K82" s="112" t="inlineStr">
        <is>
          <t>Aplica</t>
        </is>
      </c>
      <c r="L82" s="112" t="inlineStr">
        <is>
          <t>Requerido por ente regulador SEPS</t>
        </is>
      </c>
    </row>
    <row r="83" ht="60" customHeight="1" s="106">
      <c r="A83" s="38" t="inlineStr">
        <is>
          <t>8.23</t>
        </is>
      </c>
      <c r="B83" s="112" t="inlineStr">
        <is>
          <t>Filtrado web</t>
        </is>
      </c>
      <c r="C83" s="112" t="inlineStr">
        <is>
          <t>#Preventivo</t>
        </is>
      </c>
      <c r="D83" s="112" t="inlineStr">
        <is>
          <t>#Confidencialidad, #Integridad, #Disponibilidad</t>
        </is>
      </c>
      <c r="E83" s="112" t="inlineStr">
        <is>
          <t>#Proteger</t>
        </is>
      </c>
      <c r="F83" s="38" t="inlineStr">
        <is>
          <t>#Seguridad_de_sistemas_y_redes</t>
        </is>
      </c>
      <c r="G83" s="112" t="inlineStr">
        <is>
          <t>#Proteccion</t>
        </is>
      </c>
      <c r="H83" s="112" t="inlineStr">
        <is>
          <t>Mejor Práctica (No obligatorio SEPS)</t>
        </is>
      </c>
      <c r="I83" s="112" t="inlineStr">
        <is>
          <t>-</t>
        </is>
      </c>
      <c r="J83" s="112" t="inlineStr">
        <is>
          <t>3. Tratamiento de Riesgos Específico (ISO 27002 / MAGERIT)</t>
        </is>
      </c>
      <c r="K83" s="112" t="inlineStr">
        <is>
          <t>Aplica</t>
        </is>
      </c>
      <c r="L83" s="112" t="inlineStr">
        <is>
          <t>Requisito de control complementario y mejor práctica de seguridad</t>
        </is>
      </c>
    </row>
    <row r="84" ht="36" customHeight="1" s="106">
      <c r="A84" s="38" t="inlineStr">
        <is>
          <t>8.24</t>
        </is>
      </c>
      <c r="B84" s="112" t="inlineStr">
        <is>
          <t>Uso de criptografía</t>
        </is>
      </c>
      <c r="C84" s="112" t="inlineStr">
        <is>
          <t>#Preventivo</t>
        </is>
      </c>
      <c r="D84" s="112" t="inlineStr">
        <is>
          <t>#Confidencialidad, #Integridad, #Disponibilidad</t>
        </is>
      </c>
      <c r="E84" s="112" t="inlineStr">
        <is>
          <t>#Proteger</t>
        </is>
      </c>
      <c r="F84" s="38" t="inlineStr">
        <is>
          <t>#Protección_de_la_información</t>
        </is>
      </c>
      <c r="G84" s="112" t="inlineStr">
        <is>
          <t>#Proteccion</t>
        </is>
      </c>
      <c r="H84" s="112" t="inlineStr">
        <is>
          <t>Obligatorio SEPS (Régimen General)</t>
        </is>
      </c>
      <c r="I84" s="112" t="inlineStr">
        <is>
          <t>-</t>
        </is>
      </c>
      <c r="J84" s="112" t="inlineStr">
        <is>
          <t>1. Regulatorio SEPS 002-2022 + ISO 27001</t>
        </is>
      </c>
      <c r="K84" s="112" t="inlineStr">
        <is>
          <t>Aplica</t>
        </is>
      </c>
      <c r="L84" s="112" t="inlineStr">
        <is>
          <t>Requerido por ente regulador SEPS</t>
        </is>
      </c>
    </row>
    <row r="85" ht="36" customHeight="1" s="106">
      <c r="A85" s="38" t="inlineStr">
        <is>
          <t>8.25</t>
        </is>
      </c>
      <c r="B85" s="112" t="inlineStr">
        <is>
          <t>Ciclo de vida del desarrollo seguro</t>
        </is>
      </c>
      <c r="C85" s="112" t="inlineStr">
        <is>
          <t>#Preventivo</t>
        </is>
      </c>
      <c r="D85" s="112" t="inlineStr">
        <is>
          <t>#Confidencialidad, #Integridad, #Disponibilidad</t>
        </is>
      </c>
      <c r="E85" s="112" t="inlineStr">
        <is>
          <t>#Proteger</t>
        </is>
      </c>
      <c r="F85" s="38" t="inlineStr">
        <is>
          <t>#Seguridad_de_aplicaciones</t>
        </is>
      </c>
      <c r="G85" s="112" t="inlineStr">
        <is>
          <t>#Proteccion</t>
        </is>
      </c>
      <c r="H85" s="112" t="inlineStr">
        <is>
          <t>Obligatorio SEPS (Régimen General)</t>
        </is>
      </c>
      <c r="I85" s="112" t="inlineStr">
        <is>
          <t>-</t>
        </is>
      </c>
      <c r="J85" s="112" t="inlineStr">
        <is>
          <t>1. Regulatorio SEPS 002-2022 + ISO 27001</t>
        </is>
      </c>
      <c r="K85" s="112" t="inlineStr">
        <is>
          <t>Aplica</t>
        </is>
      </c>
      <c r="L85" s="112" t="inlineStr">
        <is>
          <t>Requerido por ente regulador SEPS</t>
        </is>
      </c>
    </row>
    <row r="86" ht="36" customHeight="1" s="106">
      <c r="A86" s="38" t="inlineStr">
        <is>
          <t>8.26</t>
        </is>
      </c>
      <c r="B86" s="112" t="inlineStr">
        <is>
          <t>Requisitos de seguridad de las aplicaciones</t>
        </is>
      </c>
      <c r="C86" s="112" t="inlineStr">
        <is>
          <t>#Preventivo</t>
        </is>
      </c>
      <c r="D86" s="112" t="inlineStr">
        <is>
          <t>#Confidencialidad, #Integridad, #Disponibilidad</t>
        </is>
      </c>
      <c r="E86" s="112" t="inlineStr">
        <is>
          <t>#Proteger</t>
        </is>
      </c>
      <c r="F86" s="38" t="inlineStr">
        <is>
          <t>#Seguridad_de_aplicaciones</t>
        </is>
      </c>
      <c r="G86" s="112" t="inlineStr">
        <is>
          <t>#Proteccion</t>
        </is>
      </c>
      <c r="H86" s="112" t="inlineStr">
        <is>
          <t>Obligatorio SEPS (Régimen General)</t>
        </is>
      </c>
      <c r="I86" s="112" t="inlineStr">
        <is>
          <t>-</t>
        </is>
      </c>
      <c r="J86" s="112" t="inlineStr">
        <is>
          <t>1. Regulatorio SEPS 002-2022 + ISO 27001</t>
        </is>
      </c>
      <c r="K86" s="112" t="inlineStr">
        <is>
          <t>Aplica</t>
        </is>
      </c>
      <c r="L86" s="112" t="inlineStr">
        <is>
          <t>Requerido por ente regulador SEPS</t>
        </is>
      </c>
    </row>
    <row r="87" ht="48" customHeight="1" s="106">
      <c r="A87" s="38" t="inlineStr">
        <is>
          <t>8.27</t>
        </is>
      </c>
      <c r="B87" s="112" t="inlineStr">
        <is>
          <t>Arquitectura de sistemas seguros y principios de ingeniería</t>
        </is>
      </c>
      <c r="C87" s="112" t="inlineStr">
        <is>
          <t>#Preventivo</t>
        </is>
      </c>
      <c r="D87" s="112" t="inlineStr">
        <is>
          <t>#Confidencialidad, #Integridad, #Disponibilidad</t>
        </is>
      </c>
      <c r="E87" s="112" t="inlineStr">
        <is>
          <t>#Proteger</t>
        </is>
      </c>
      <c r="F87" s="38" t="inlineStr">
        <is>
          <t>#Seguridad_de_aplicaciones</t>
        </is>
      </c>
      <c r="G87" s="112" t="inlineStr">
        <is>
          <t>#Proteccion</t>
        </is>
      </c>
      <c r="H87" s="112" t="inlineStr">
        <is>
          <t>Obligatorio SEPS (Régimen General)</t>
        </is>
      </c>
      <c r="I87" s="112" t="inlineStr">
        <is>
          <t>-</t>
        </is>
      </c>
      <c r="J87" s="112" t="inlineStr">
        <is>
          <t>1. Regulatorio SEPS 002-2022 + ISO 27001</t>
        </is>
      </c>
      <c r="K87" s="112" t="inlineStr">
        <is>
          <t>Aplica</t>
        </is>
      </c>
      <c r="L87" s="112" t="inlineStr">
        <is>
          <t>Requerido por ente regulador SEPS</t>
        </is>
      </c>
    </row>
    <row r="88" ht="36" customHeight="1" s="106">
      <c r="A88" s="38" t="inlineStr">
        <is>
          <t>8.28</t>
        </is>
      </c>
      <c r="B88" s="112" t="inlineStr">
        <is>
          <t>Codificación segura</t>
        </is>
      </c>
      <c r="C88" s="112" t="inlineStr">
        <is>
          <t>#Preventivo</t>
        </is>
      </c>
      <c r="D88" s="112" t="inlineStr">
        <is>
          <t>#Confidencialidad, #Integridad, #Disponibilidad</t>
        </is>
      </c>
      <c r="E88" s="112" t="inlineStr">
        <is>
          <t>#Proteger</t>
        </is>
      </c>
      <c r="F88" s="38" t="inlineStr">
        <is>
          <t>#Seguridad_de_aplicaciones</t>
        </is>
      </c>
      <c r="G88" s="112" t="inlineStr">
        <is>
          <t>#Proteccion</t>
        </is>
      </c>
      <c r="H88" s="112" t="inlineStr">
        <is>
          <t>Obligatorio SEPS (Régimen General)</t>
        </is>
      </c>
      <c r="I88" s="112" t="inlineStr">
        <is>
          <t>-</t>
        </is>
      </c>
      <c r="J88" s="112" t="inlineStr">
        <is>
          <t>1. Regulatorio SEPS 002-2022 + ISO 27001</t>
        </is>
      </c>
      <c r="K88" s="112" t="inlineStr">
        <is>
          <t>Aplica</t>
        </is>
      </c>
      <c r="L88" s="112" t="inlineStr">
        <is>
          <t>Requerido por ente regulador SEPS</t>
        </is>
      </c>
    </row>
    <row r="89" ht="48" customHeight="1" s="106">
      <c r="A89" s="38" t="inlineStr">
        <is>
          <t>8.29</t>
        </is>
      </c>
      <c r="B89" s="112" t="inlineStr">
        <is>
          <t>Pruebas de seguridad en el desarrollo y la aceptación</t>
        </is>
      </c>
      <c r="C89" s="112" t="inlineStr">
        <is>
          <t>#Preventivo, #Detectivo</t>
        </is>
      </c>
      <c r="D89" s="112" t="inlineStr">
        <is>
          <t>#Confidencialidad, #Integridad, #Disponibilidad</t>
        </is>
      </c>
      <c r="E89" s="112" t="inlineStr">
        <is>
          <t>#Proteger</t>
        </is>
      </c>
      <c r="F89" s="38" t="inlineStr">
        <is>
          <t>#Seguridad_de_aplicaciones</t>
        </is>
      </c>
      <c r="G89" s="112" t="inlineStr">
        <is>
          <t>#Proteccion</t>
        </is>
      </c>
      <c r="H89" s="112" t="inlineStr">
        <is>
          <t>Obligatorio SEPS (Régimen General)</t>
        </is>
      </c>
      <c r="I89" s="112" t="inlineStr">
        <is>
          <t>-</t>
        </is>
      </c>
      <c r="J89" s="112" t="inlineStr">
        <is>
          <t>1. Regulatorio SEPS 002-2022 + ISO 27001</t>
        </is>
      </c>
      <c r="K89" s="112" t="inlineStr">
        <is>
          <t>Aplica</t>
        </is>
      </c>
      <c r="L89" s="112" t="inlineStr">
        <is>
          <t>Requerido por ente regulador SEPS</t>
        </is>
      </c>
    </row>
    <row r="90" ht="48" customHeight="1" s="106">
      <c r="A90" s="38" t="inlineStr">
        <is>
          <t>8.30</t>
        </is>
      </c>
      <c r="B90" s="112" t="inlineStr">
        <is>
          <t>Desarrollo externalizado</t>
        </is>
      </c>
      <c r="C90" s="112" t="inlineStr">
        <is>
          <t>#Preventivo</t>
        </is>
      </c>
      <c r="D90" s="112" t="inlineStr">
        <is>
          <t>#Confidencialidad, #Integridad, #Disponibilidad</t>
        </is>
      </c>
      <c r="E90" s="112" t="inlineStr">
        <is>
          <t>#Proteger</t>
        </is>
      </c>
      <c r="F90" s="38" t="inlineStr">
        <is>
          <t>#Seguridad_de_aplicaciones</t>
        </is>
      </c>
      <c r="G90" s="112" t="inlineStr">
        <is>
          <t>#Proteccion</t>
        </is>
      </c>
      <c r="H90" s="112" t="inlineStr">
        <is>
          <t>Mejor Práctica (No obligatorio SEPS)</t>
        </is>
      </c>
      <c r="I90" s="112" t="inlineStr">
        <is>
          <t>-</t>
        </is>
      </c>
      <c r="J90" s="112" t="inlineStr">
        <is>
          <t>4. No Aplica</t>
        </is>
      </c>
      <c r="K90" s="112" t="inlineStr">
        <is>
          <t>No Aplica</t>
        </is>
      </c>
      <c r="L90" s="112" t="inlineStr">
        <is>
          <t>Control 8.30 no es pertinente a los procesos actuales de la entidad</t>
        </is>
      </c>
    </row>
    <row r="91" ht="48" customHeight="1" s="106">
      <c r="A91" s="38" t="inlineStr">
        <is>
          <t>8.31</t>
        </is>
      </c>
      <c r="B91" s="112" t="inlineStr">
        <is>
          <t>Separación de entornos de desarrollo, pruebas y producción</t>
        </is>
      </c>
      <c r="C91" s="112" t="inlineStr">
        <is>
          <t>#Preventivo</t>
        </is>
      </c>
      <c r="D91" s="112" t="inlineStr">
        <is>
          <t>#Confidencialidad, #Integridad, #Disponibilidad</t>
        </is>
      </c>
      <c r="E91" s="112" t="inlineStr">
        <is>
          <t>#Proteger</t>
        </is>
      </c>
      <c r="F91" s="38" t="inlineStr">
        <is>
          <t>#Seguridad_de_sistemas_y_redes</t>
        </is>
      </c>
      <c r="G91" s="112" t="inlineStr">
        <is>
          <t>#Proteccion</t>
        </is>
      </c>
      <c r="H91" s="112" t="inlineStr">
        <is>
          <t>Obligatorio SEPS (Régimen General)</t>
        </is>
      </c>
      <c r="I91" s="112" t="inlineStr">
        <is>
          <t>-</t>
        </is>
      </c>
      <c r="J91" s="112" t="inlineStr">
        <is>
          <t>1. Regulatorio SEPS 002-2022 + ISO 27001</t>
        </is>
      </c>
      <c r="K91" s="112" t="inlineStr">
        <is>
          <t>Aplica</t>
        </is>
      </c>
      <c r="L91" s="112" t="inlineStr">
        <is>
          <t>Requerido por ente regulador SEPS</t>
        </is>
      </c>
    </row>
    <row r="92" ht="36" customHeight="1" s="106">
      <c r="A92" s="38" t="inlineStr">
        <is>
          <t>8.32</t>
        </is>
      </c>
      <c r="B92" s="112" t="inlineStr">
        <is>
          <t>Gestión de cambios</t>
        </is>
      </c>
      <c r="C92" s="112" t="inlineStr">
        <is>
          <t>#Preventivo</t>
        </is>
      </c>
      <c r="D92" s="112" t="inlineStr">
        <is>
          <t>#Confidencialidad, #Integridad, #Disponibilidad</t>
        </is>
      </c>
      <c r="E92" s="112" t="inlineStr">
        <is>
          <t>#Proteger</t>
        </is>
      </c>
      <c r="F92" s="38" t="inlineStr">
        <is>
          <t>#Seguridad_de_sistemas_y_redes</t>
        </is>
      </c>
      <c r="G92" s="112" t="inlineStr">
        <is>
          <t>#Proteccion</t>
        </is>
      </c>
      <c r="H92" s="112" t="inlineStr">
        <is>
          <t>Obligatorio SEPS (Régimen General)</t>
        </is>
      </c>
      <c r="I92" s="112" t="inlineStr">
        <is>
          <t>-</t>
        </is>
      </c>
      <c r="J92" s="112" t="inlineStr">
        <is>
          <t>1. Regulatorio SEPS 002-2022 + ISO 27001</t>
        </is>
      </c>
      <c r="K92" s="112" t="inlineStr">
        <is>
          <t>Aplica</t>
        </is>
      </c>
      <c r="L92" s="112" t="inlineStr">
        <is>
          <t>Requerido por ente regulador SEPS</t>
        </is>
      </c>
    </row>
    <row r="93" ht="36" customHeight="1" s="106">
      <c r="A93" s="38" t="inlineStr">
        <is>
          <t>8.33</t>
        </is>
      </c>
      <c r="B93" s="112" t="inlineStr">
        <is>
          <t>Información de prueba</t>
        </is>
      </c>
      <c r="C93" s="112" t="inlineStr">
        <is>
          <t>#Preventivo</t>
        </is>
      </c>
      <c r="D93" s="112" t="inlineStr">
        <is>
          <t>#Confidencialidad, #Integridad, #Disponibilidad</t>
        </is>
      </c>
      <c r="E93" s="112" t="inlineStr">
        <is>
          <t>#Proteger</t>
        </is>
      </c>
      <c r="F93" s="38" t="inlineStr">
        <is>
          <t>#Seguridad_de_aplicaciones</t>
        </is>
      </c>
      <c r="G93" s="112" t="inlineStr">
        <is>
          <t>#Proteccion</t>
        </is>
      </c>
      <c r="H93" s="112" t="inlineStr">
        <is>
          <t>Obligatorio SEPS (Régimen General)</t>
        </is>
      </c>
      <c r="I93" s="112" t="inlineStr">
        <is>
          <t>-</t>
        </is>
      </c>
      <c r="J93" s="112" t="inlineStr">
        <is>
          <t>1. Regulatorio SEPS 002-2022 + ISO 27001</t>
        </is>
      </c>
      <c r="K93" s="112" t="inlineStr">
        <is>
          <t>Aplica</t>
        </is>
      </c>
      <c r="L93" s="112" t="inlineStr">
        <is>
          <t>Requerido por ente regulador SEPS</t>
        </is>
      </c>
    </row>
    <row r="94" ht="60" customHeight="1" s="106">
      <c r="A94" s="38" t="inlineStr">
        <is>
          <t>8.34</t>
        </is>
      </c>
      <c r="B94" s="112" t="inlineStr">
        <is>
          <t>Protección de los sistemas de información durante las pruebas de auditoría</t>
        </is>
      </c>
      <c r="C94" s="112" t="inlineStr">
        <is>
          <t>#Preventivo</t>
        </is>
      </c>
      <c r="D94" s="112" t="inlineStr">
        <is>
          <t>#Confidencialidad, #Integridad, #Disponibilidad</t>
        </is>
      </c>
      <c r="E94" s="112" t="inlineStr">
        <is>
          <t>#Proteger</t>
        </is>
      </c>
      <c r="F94" s="38" t="inlineStr">
        <is>
          <t>#Seguridad_de_sistemas_y_redes</t>
        </is>
      </c>
      <c r="G94" s="112" t="inlineStr">
        <is>
          <t>#Proteccion</t>
        </is>
      </c>
      <c r="H94" s="112" t="inlineStr">
        <is>
          <t>Mejor Práctica (No obligatorio SEPS)</t>
        </is>
      </c>
      <c r="I94" s="112" t="inlineStr">
        <is>
          <t>-</t>
        </is>
      </c>
      <c r="J94" s="112" t="inlineStr">
        <is>
          <t>3. Tratamiento de Riesgos Específico (ISO 27002 / MAGERIT)</t>
        </is>
      </c>
      <c r="K94" s="112" t="inlineStr">
        <is>
          <t>No Aplica</t>
        </is>
      </c>
      <c r="L94" s="112" t="inlineStr">
        <is>
          <t>No aplicable a la arquitectura/infraestructura actual</t>
        </is>
      </c>
    </row>
  </sheetData>
  <autoFilter ref="A1:L94"/>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94"/>
  <sheetViews>
    <sheetView topLeftCell="D1" zoomScale="93" zoomScaleNormal="93" workbookViewId="0">
      <selection activeCell="I90" sqref="I90"/>
    </sheetView>
  </sheetViews>
  <sheetFormatPr baseColWidth="10" defaultColWidth="8.6640625" defaultRowHeight="11.25"/>
  <cols>
    <col width="9.6640625" customWidth="1" style="33" min="1" max="1"/>
    <col width="35.1640625" customWidth="1" style="112" min="2" max="2"/>
    <col width="22.5" customWidth="1" style="33" min="3" max="3"/>
    <col width="11.1640625" customWidth="1" style="33" min="4" max="4"/>
    <col width="24.83203125" customWidth="1" style="38" min="5" max="5"/>
    <col width="17.6640625" customWidth="1" style="90" min="6" max="6"/>
    <col width="27" customWidth="1" style="38" min="7" max="7"/>
    <col width="24.33203125" customWidth="1" style="38" min="8" max="8"/>
    <col width="51.1640625" customWidth="1" style="91" min="9" max="9"/>
    <col width="17.5" customWidth="1" style="106" min="10" max="10"/>
    <col width="19.1640625" customWidth="1" style="106" min="11" max="11"/>
    <col width="18" customWidth="1" style="106" min="12" max="12"/>
    <col width="13.83203125" customWidth="1" style="106" min="13" max="13"/>
    <col width="14.6640625" customWidth="1" style="106" min="14" max="14"/>
  </cols>
  <sheetData>
    <row r="1" ht="33.75" customHeight="1" s="106">
      <c r="A1" s="89" t="inlineStr">
        <is>
          <t>ID Control</t>
        </is>
      </c>
      <c r="B1" s="89" t="inlineStr">
        <is>
          <t>Nombre del Control</t>
        </is>
      </c>
      <c r="C1" s="89" t="inlineStr">
        <is>
          <t>Dominio ISO 27001</t>
        </is>
      </c>
      <c r="D1" s="89" t="inlineStr">
        <is>
          <t>¿Aplica?</t>
        </is>
      </c>
      <c r="E1" s="89" t="inlineStr">
        <is>
          <t>Obligatoriedad Regulatoria SEPS</t>
        </is>
      </c>
      <c r="F1" s="89" t="inlineStr">
        <is>
          <t>Control Metodología GSO-GSI</t>
        </is>
      </c>
      <c r="G1" s="89" t="inlineStr">
        <is>
          <t>Origen de Aplicabilidad</t>
        </is>
      </c>
      <c r="H1" s="92" t="inlineStr">
        <is>
          <t>Justificación Inclusión / Exclusión</t>
        </is>
      </c>
      <c r="I1" s="89" t="inlineStr">
        <is>
          <t>Acción</t>
        </is>
      </c>
      <c r="J1" s="89" t="inlineStr">
        <is>
          <t>Estado de Implementación</t>
        </is>
      </c>
      <c r="K1" s="89" t="inlineStr">
        <is>
          <t>Tipo de Protección MAGERIT</t>
        </is>
      </c>
      <c r="L1" s="89" t="inlineStr">
        <is>
          <t>Nivel de Madurez / Efectividad</t>
        </is>
      </c>
      <c r="M1" s="89" t="inlineStr">
        <is>
          <t>Riesgos / Amenazas que Mitiga</t>
        </is>
      </c>
      <c r="N1" s="89" t="inlineStr">
        <is>
          <t>Evidencia / Documentación Asociada</t>
        </is>
      </c>
    </row>
    <row r="2" ht="45" customHeight="1" s="106">
      <c r="A2" s="33">
        <f>'ANEXO A'!A2</f>
        <v/>
      </c>
      <c r="B2" s="112">
        <f>IFERROR(VLOOKUP(A2, 'ANEXO A'!$A$2:$L$94, 2, FALSE), "")</f>
        <v/>
      </c>
      <c r="C2" s="33">
        <f>IF(LEFT(A2,1)="5", "5. Organizacionales", IF(LEFT(A2,1)="6", "6. Personas", IF(LEFT(A2,1)="7", "7. Físicos", "8. Tecnológicos")))</f>
        <v/>
      </c>
      <c r="D2" s="33">
        <f>IFERROR(VLOOKUP(A2, 'ANEXO A'!$A$2:$L$94, 11, FALSE), "")</f>
        <v/>
      </c>
      <c r="E2" s="38">
        <f>IFERROR(VLOOKUP(A2, 'ANEXO A'!$A$2:$L$94, 8, FALSE), "")</f>
        <v/>
      </c>
      <c r="F2" s="90">
        <f>IFERROR(VLOOKUP(A2, 'ANEXO A'!$A$2:$L$94, 9, FALSE), "")</f>
        <v/>
      </c>
      <c r="G2" s="38">
        <f>IFERROR(VLOOKUP(A2, 'ANEXO A'!$A$2:$L$94, 10, FALSE), "")</f>
        <v/>
      </c>
      <c r="H2" s="38">
        <f>IFERROR(VLOOKUP(A2, 'ANEXO A'!$A$2:$L$94, 12, FALSE), "")</f>
        <v/>
      </c>
      <c r="I2" s="91" t="inlineStr">
        <is>
          <t>6.1. Políticas Generales - Establecer directrices de seguridad (GSO-GSI-MP-GSI)</t>
        </is>
      </c>
    </row>
    <row r="3" ht="33.75" customHeight="1" s="106">
      <c r="A3" s="33">
        <f>'ANEXO A'!A3</f>
        <v/>
      </c>
      <c r="B3" s="112">
        <f>IFERROR(VLOOKUP(A3, 'ANEXO A'!$A$2:$L$94, 2, FALSE), "")</f>
        <v/>
      </c>
      <c r="C3" s="33">
        <f>IF(LEFT(A3,1)="5", "5. Organizacionales", IF(LEFT(A3,1)="6", "6. Personas", IF(LEFT(A3,1)="7", "7. Físicos", "8. Tecnológicos")))</f>
        <v/>
      </c>
      <c r="D3" s="33">
        <f>IFERROR(VLOOKUP(A3, 'ANEXO A'!$A$2:$L$94, 11, FALSE), "")</f>
        <v/>
      </c>
      <c r="E3" s="38">
        <f>IFERROR(VLOOKUP(A3, 'ANEXO A'!$A$2:$L$94, 8, FALSE), "")</f>
        <v/>
      </c>
      <c r="F3" s="90">
        <f>IFERROR(VLOOKUP(A3, 'ANEXO A'!$A$2:$L$94, 9, FALSE), "")</f>
        <v/>
      </c>
      <c r="G3" s="38">
        <f>IFERROR(VLOOKUP(A3, 'ANEXO A'!$A$2:$L$94, 10, FALSE), "")</f>
        <v/>
      </c>
      <c r="H3" s="38">
        <f>IFERROR(VLOOKUP(A3, 'ANEXO A'!$A$2:$L$94, 12, FALSE), "")</f>
        <v/>
      </c>
      <c r="I3" s="91" t="inlineStr">
        <is>
          <t>6.1 Políticas Generales / Sec. 12 SEPS 002: Definir, asignar y comunicar formalmente las funciones del Oficial/Jefe de SI, custodios y comités (GSO-GSI-MP-GSI / SEPS-2022-002).</t>
        </is>
      </c>
    </row>
    <row r="4" ht="33.75" customHeight="1" s="106">
      <c r="A4" s="33">
        <f>'ANEXO A'!A4</f>
        <v/>
      </c>
      <c r="B4" s="112">
        <f>IFERROR(VLOOKUP(A4, 'ANEXO A'!$A$2:$L$94, 2, FALSE), "")</f>
        <v/>
      </c>
      <c r="C4" s="33">
        <f>IF(LEFT(A4,1)="5", "5. Organizacionales", IF(LEFT(A4,1)="6", "6. Personas", IF(LEFT(A4,1)="7", "7. Físicos", "8. Tecnológicos")))</f>
        <v/>
      </c>
      <c r="D4" s="33">
        <f>IFERROR(VLOOKUP(A4, 'ANEXO A'!$A$2:$L$94, 11, FALSE), "")</f>
        <v/>
      </c>
      <c r="E4" s="38">
        <f>IFERROR(VLOOKUP(A4, 'ANEXO A'!$A$2:$L$94, 8, FALSE), "")</f>
        <v/>
      </c>
      <c r="F4" s="90">
        <f>IFERROR(VLOOKUP(A4, 'ANEXO A'!$A$2:$L$94, 9, FALSE), "")</f>
        <v/>
      </c>
      <c r="G4" s="38">
        <f>IFERROR(VLOOKUP(A4, 'ANEXO A'!$A$2:$L$94, 10, FALSE), "")</f>
        <v/>
      </c>
      <c r="H4" s="38">
        <f>IFERROR(VLOOKUP(A4, 'ANEXO A'!$A$2:$L$94, 12, FALSE), "")</f>
        <v/>
      </c>
      <c r="I4" s="91" t="inlineStr">
        <is>
          <t>6.7 Administración de roles y perfiles: Parametrizar y validar incompatibilidad de funciones y accesos mediante matrices SoD y workflows (GSO-GSI-MP-GSI).</t>
        </is>
      </c>
    </row>
    <row r="5" ht="33.75" customHeight="1" s="106">
      <c r="A5" s="33">
        <f>'ANEXO A'!A5</f>
        <v/>
      </c>
      <c r="B5" s="112">
        <f>IFERROR(VLOOKUP(A5, 'ANEXO A'!$A$2:$L$94, 2, FALSE), "")</f>
        <v/>
      </c>
      <c r="C5" s="33">
        <f>IF(LEFT(A5,1)="5", "5. Organizacionales", IF(LEFT(A5,1)="6", "6. Personas", IF(LEFT(A5,1)="7", "7. Físicos", "8. Tecnológicos")))</f>
        <v/>
      </c>
      <c r="D5" s="33">
        <f>IFERROR(VLOOKUP(A5, 'ANEXO A'!$A$2:$L$94, 11, FALSE), "")</f>
        <v/>
      </c>
      <c r="E5" s="38">
        <f>IFERROR(VLOOKUP(A5, 'ANEXO A'!$A$2:$L$94, 8, FALSE), "")</f>
        <v/>
      </c>
      <c r="F5" s="90">
        <f>IFERROR(VLOOKUP(A5, 'ANEXO A'!$A$2:$L$94, 9, FALSE), "")</f>
        <v/>
      </c>
      <c r="G5" s="38">
        <f>IFERROR(VLOOKUP(A5, 'ANEXO A'!$A$2:$L$94, 10, FALSE), "")</f>
        <v/>
      </c>
      <c r="H5" s="38">
        <f>IFERROR(VLOOKUP(A5, 'ANEXO A'!$A$2:$L$94, 12, FALSE), "")</f>
        <v/>
      </c>
      <c r="I5" s="91" t="inlineStr">
        <is>
          <t>6.1 Políticas Generales / Sec. 12 SEPS 002: Compromiso de la Alta Dirección y jefaturas en la exigencia y cumplimiento de políticas de SI (GSO-GSI-MP-GSI / SEPS-2022-002).</t>
        </is>
      </c>
    </row>
    <row r="6" ht="45" customHeight="1" s="106">
      <c r="A6" s="33">
        <f>'ANEXO A'!A6</f>
        <v/>
      </c>
      <c r="B6" s="112">
        <f>IFERROR(VLOOKUP(A6, 'ANEXO A'!$A$2:$L$94, 2, FALSE), "")</f>
        <v/>
      </c>
      <c r="C6" s="33">
        <f>IF(LEFT(A6,1)="5", "5. Organizacionales", IF(LEFT(A6,1)="6", "6. Personas", IF(LEFT(A6,1)="7", "7. Físicos", "8. Tecnológicos")))</f>
        <v/>
      </c>
      <c r="D6" s="33">
        <f>IFERROR(VLOOKUP(A6, 'ANEXO A'!$A$2:$L$94, 11, FALSE), "")</f>
        <v/>
      </c>
      <c r="E6" s="38">
        <f>IFERROR(VLOOKUP(A6, 'ANEXO A'!$A$2:$L$94, 8, FALSE), "")</f>
        <v/>
      </c>
      <c r="F6" s="90">
        <f>IFERROR(VLOOKUP(A6, 'ANEXO A'!$A$2:$L$94, 9, FALSE), "")</f>
        <v/>
      </c>
      <c r="G6" s="38">
        <f>IFERROR(VLOOKUP(A6, 'ANEXO A'!$A$2:$L$94, 10, FALSE), "")</f>
        <v/>
      </c>
      <c r="H6" s="38">
        <f>IFERROR(VLOOKUP(A6, 'ANEXO A'!$A$2:$L$94, 12, FALSE), "")</f>
        <v/>
      </c>
      <c r="I6" s="91" t="inlineStr">
        <is>
          <t>Disposición General 1era SEPS 002 / 6.15 Gestión de Incidentes: Notificación obligatoria e inmediata a la SEPS, Fiscalía y entes de control ante eventos críticos (SEPS-2022-002 / GSO-GSI-MP-GSI).</t>
        </is>
      </c>
    </row>
    <row r="7" ht="45" customHeight="1" s="106">
      <c r="A7" s="33">
        <f>'ANEXO A'!A7</f>
        <v/>
      </c>
      <c r="B7" s="112">
        <f>IFERROR(VLOOKUP(A7, 'ANEXO A'!$A$2:$L$94, 2, FALSE), "")</f>
        <v/>
      </c>
      <c r="C7" s="33">
        <f>IF(LEFT(A7,1)="5", "5. Organizacionales", IF(LEFT(A7,1)="6", "6. Personas", IF(LEFT(A7,1)="7", "7. Físicos", "8. Tecnológicos")))</f>
        <v/>
      </c>
      <c r="D7" s="33">
        <f>IFERROR(VLOOKUP(A7, 'ANEXO A'!$A$2:$L$94, 11, FALSE), "")</f>
        <v/>
      </c>
      <c r="E7" s="38">
        <f>IFERROR(VLOOKUP(A7, 'ANEXO A'!$A$2:$L$94, 8, FALSE), "")</f>
        <v/>
      </c>
      <c r="F7" s="90">
        <f>IFERROR(VLOOKUP(A7, 'ANEXO A'!$A$2:$L$94, 9, FALSE), "")</f>
        <v/>
      </c>
      <c r="G7" s="38">
        <f>IFERROR(VLOOKUP(A7, 'ANEXO A'!$A$2:$L$94, 10, FALSE), "")</f>
        <v/>
      </c>
      <c r="H7" s="38">
        <f>IFERROR(VLOOKUP(A7, 'ANEXO A'!$A$2:$L$94, 12, FALSE), "")</f>
        <v/>
      </c>
      <c r="I7" s="91" t="inlineStr">
        <is>
          <t>Marco Normativo y Alianzas: Mantener membresías, foros y canales de comunicación técnica con asociaciones del sector financiero popular y solidario (ISO 27002 / GSO-GSI-MP-GSI).</t>
        </is>
      </c>
    </row>
    <row r="8" ht="33.75" customHeight="1" s="106">
      <c r="A8" s="33">
        <f>'ANEXO A'!A8</f>
        <v/>
      </c>
      <c r="B8" s="112">
        <f>IFERROR(VLOOKUP(A8, 'ANEXO A'!$A$2:$L$94, 2, FALSE), "")</f>
        <v/>
      </c>
      <c r="C8" s="33">
        <f>IF(LEFT(A8,1)="5", "5. Organizacionales", IF(LEFT(A8,1)="6", "6. Personas", IF(LEFT(A8,1)="7", "7. Físicos", "8. Tecnológicos")))</f>
        <v/>
      </c>
      <c r="D8" s="33">
        <f>IFERROR(VLOOKUP(A8, 'ANEXO A'!$A$2:$L$94, 11, FALSE), "")</f>
        <v/>
      </c>
      <c r="E8" s="38">
        <f>IFERROR(VLOOKUP(A8, 'ANEXO A'!$A$2:$L$94, 8, FALSE), "")</f>
        <v/>
      </c>
      <c r="F8" s="90">
        <f>IFERROR(VLOOKUP(A8, 'ANEXO A'!$A$2:$L$94, 9, FALSE), "")</f>
        <v/>
      </c>
      <c r="G8" s="38">
        <f>IFERROR(VLOOKUP(A8, 'ANEXO A'!$A$2:$L$94, 10, FALSE), "")</f>
        <v/>
      </c>
      <c r="H8" s="38">
        <f>IFERROR(VLOOKUP(A8, 'ANEXO A'!$A$2:$L$94, 12, FALSE), "")</f>
        <v/>
      </c>
      <c r="I8" s="91" t="inlineStr">
        <is>
          <t>10.2 Metodología GAI / 6.19 Escaneo: Recopilación y análisis de fuentes de amenazas adversarias y no adversarias (S1-S40) (GSO-GSI-ME-GAI / GSO-GSI-MP-GSI).</t>
        </is>
      </c>
    </row>
    <row r="9" ht="45" customHeight="1" s="106">
      <c r="A9" s="33">
        <f>'ANEXO A'!A9</f>
        <v/>
      </c>
      <c r="B9" s="112">
        <f>IFERROR(VLOOKUP(A9, 'ANEXO A'!$A$2:$L$94, 2, FALSE), "")</f>
        <v/>
      </c>
      <c r="C9" s="33">
        <f>IF(LEFT(A9,1)="5", "5. Organizacionales", IF(LEFT(A9,1)="6", "6. Personas", IF(LEFT(A9,1)="7", "7. Físicos", "8. Tecnológicos")))</f>
        <v/>
      </c>
      <c r="D9" s="33">
        <f>IFERROR(VLOOKUP(A9, 'ANEXO A'!$A$2:$L$94, 11, FALSE), "")</f>
        <v/>
      </c>
      <c r="E9" s="38">
        <f>IFERROR(VLOOKUP(A9, 'ANEXO A'!$A$2:$L$94, 8, FALSE), "")</f>
        <v/>
      </c>
      <c r="F9" s="90">
        <f>IFERROR(VLOOKUP(A9, 'ANEXO A'!$A$2:$L$94, 9, FALSE), "")</f>
        <v/>
      </c>
      <c r="G9" s="38">
        <f>IFERROR(VLOOKUP(A9, 'ANEXO A'!$A$2:$L$94, 10, FALSE), "")</f>
        <v/>
      </c>
      <c r="H9" s="38">
        <f>IFERROR(VLOOKUP(A9, 'ANEXO A'!$A$2:$L$94, 12, FALSE), "")</f>
        <v/>
      </c>
      <c r="I9" s="91" t="inlineStr">
        <is>
          <t>6.13 Gestión de activos / Anexo 1 SEPS: Inclusión de directrices y análisis de riesgos de SI desde las fases iniciales de nuevos proyectos y servicios (GSO-GSI-ME-GAI / SEPS-2022-002).</t>
        </is>
      </c>
    </row>
    <row r="10" ht="22.5" customHeight="1" s="106">
      <c r="A10" s="33">
        <f>'ANEXO A'!A10</f>
        <v/>
      </c>
      <c r="B10" s="112">
        <f>IFERROR(VLOOKUP(A10, 'ANEXO A'!$A$2:$L$94, 2, FALSE), "")</f>
        <v/>
      </c>
      <c r="C10" s="33">
        <f>IF(LEFT(A10,1)="5", "5. Organizacionales", IF(LEFT(A10,1)="6", "6. Personas", IF(LEFT(A10,1)="7", "7. Físicos", "8. Tecnológicos")))</f>
        <v/>
      </c>
      <c r="D10" s="33">
        <f>IFERROR(VLOOKUP(A10, 'ANEXO A'!$A$2:$L$94, 11, FALSE), "")</f>
        <v/>
      </c>
      <c r="E10" s="38">
        <f>IFERROR(VLOOKUP(A10, 'ANEXO A'!$A$2:$L$94, 8, FALSE), "")</f>
        <v/>
      </c>
      <c r="F10" s="90">
        <f>IFERROR(VLOOKUP(A10, 'ANEXO A'!$A$2:$L$94, 9, FALSE), "")</f>
        <v/>
      </c>
      <c r="G10" s="38">
        <f>IFERROR(VLOOKUP(A10, 'ANEXO A'!$A$2:$L$94, 10, FALSE), "")</f>
        <v/>
      </c>
      <c r="H10" s="38">
        <f>IFERROR(VLOOKUP(A10, 'ANEXO A'!$A$2:$L$94, 12, FALSE), "")</f>
        <v/>
      </c>
      <c r="I10" s="91" t="inlineStr">
        <is>
          <t>6.13. Gestión de activos de información - Mantener un inventario actualizado (GSO-GSI-MP-GSI)</t>
        </is>
      </c>
    </row>
    <row r="11" ht="33.75" customHeight="1" s="106">
      <c r="A11" s="33">
        <f>'ANEXO A'!A11</f>
        <v/>
      </c>
      <c r="B11" s="112">
        <f>IFERROR(VLOOKUP(A11, 'ANEXO A'!$A$2:$L$94, 2, FALSE), "")</f>
        <v/>
      </c>
      <c r="C11" s="33">
        <f>IF(LEFT(A11,1)="5", "5. Organizacionales", IF(LEFT(A11,1)="6", "6. Personas", IF(LEFT(A11,1)="7", "7. Físicos", "8. Tecnológicos")))</f>
        <v/>
      </c>
      <c r="D11" s="33">
        <f>IFERROR(VLOOKUP(A11, 'ANEXO A'!$A$2:$L$94, 11, FALSE), "")</f>
        <v/>
      </c>
      <c r="E11" s="38">
        <f>IFERROR(VLOOKUP(A11, 'ANEXO A'!$A$2:$L$94, 8, FALSE), "")</f>
        <v/>
      </c>
      <c r="F11" s="90">
        <f>IFERROR(VLOOKUP(A11, 'ANEXO A'!$A$2:$L$94, 9, FALSE), "")</f>
        <v/>
      </c>
      <c r="G11" s="38">
        <f>IFERROR(VLOOKUP(A11, 'ANEXO A'!$A$2:$L$94, 10, FALSE), "")</f>
        <v/>
      </c>
      <c r="H11" s="38">
        <f>IFERROR(VLOOKUP(A11, 'ANEXO A'!$A$2:$L$94, 12, FALSE), "")</f>
        <v/>
      </c>
      <c r="I11" s="91" t="inlineStr">
        <is>
          <t>6.16 Revisión y monitoreo de políticas: Difundir y fiscalizar el uso legítimo de estaciones, correo y recursos corporativos (GSO-GSI-MP-GSI).</t>
        </is>
      </c>
    </row>
    <row r="12" ht="33.75" customHeight="1" s="106">
      <c r="A12" s="33">
        <f>'ANEXO A'!A12</f>
        <v/>
      </c>
      <c r="B12" s="112">
        <f>IFERROR(VLOOKUP(A12, 'ANEXO A'!$A$2:$L$94, 2, FALSE), "")</f>
        <v/>
      </c>
      <c r="C12" s="33">
        <f>IF(LEFT(A12,1)="5", "5. Organizacionales", IF(LEFT(A12,1)="6", "6. Personas", IF(LEFT(A12,1)="7", "7. Físicos", "8. Tecnológicos")))</f>
        <v/>
      </c>
      <c r="D12" s="33">
        <f>IFERROR(VLOOKUP(A12, 'ANEXO A'!$A$2:$L$94, 11, FALSE), "")</f>
        <v/>
      </c>
      <c r="E12" s="38">
        <f>IFERROR(VLOOKUP(A12, 'ANEXO A'!$A$2:$L$94, 8, FALSE), "")</f>
        <v/>
      </c>
      <c r="F12" s="90">
        <f>IFERROR(VLOOKUP(A12, 'ANEXO A'!$A$2:$L$94, 9, FALSE), "")</f>
        <v/>
      </c>
      <c r="G12" s="38">
        <f>IFERROR(VLOOKUP(A12, 'ANEXO A'!$A$2:$L$94, 10, FALSE), "")</f>
        <v/>
      </c>
      <c r="H12" s="38">
        <f>IFERROR(VLOOKUP(A12, 'ANEXO A'!$A$2:$L$94, 12, FALSE), "")</f>
        <v/>
      </c>
      <c r="I12" s="91" t="inlineStr">
        <is>
          <t>6.5 Eliminación de usuarios: Recepción formal y descargo de equipos, accesos y credenciales ante terminación o rotación laboral (GSO-GSI-MP-GSI / GSO-GSI-ME-GAI Sec. 1).</t>
        </is>
      </c>
    </row>
    <row r="13" ht="33.75" customHeight="1" s="106">
      <c r="A13" s="33">
        <f>'ANEXO A'!A13</f>
        <v/>
      </c>
      <c r="B13" s="112">
        <f>IFERROR(VLOOKUP(A13, 'ANEXO A'!$A$2:$L$94, 2, FALSE), "")</f>
        <v/>
      </c>
      <c r="C13" s="33">
        <f>IF(LEFT(A13,1)="5", "5. Organizacionales", IF(LEFT(A13,1)="6", "6. Personas", IF(LEFT(A13,1)="7", "7. Físicos", "8. Tecnológicos")))</f>
        <v/>
      </c>
      <c r="D13" s="33">
        <f>IFERROR(VLOOKUP(A13, 'ANEXO A'!$A$2:$L$94, 11, FALSE), "")</f>
        <v/>
      </c>
      <c r="E13" s="38">
        <f>IFERROR(VLOOKUP(A13, 'ANEXO A'!$A$2:$L$94, 8, FALSE), "")</f>
        <v/>
      </c>
      <c r="F13" s="90">
        <f>IFERROR(VLOOKUP(A13, 'ANEXO A'!$A$2:$L$94, 9, FALSE), "")</f>
        <v/>
      </c>
      <c r="G13" s="38">
        <f>IFERROR(VLOOKUP(A13, 'ANEXO A'!$A$2:$L$94, 10, FALSE), "")</f>
        <v/>
      </c>
      <c r="H13" s="38">
        <f>IFERROR(VLOOKUP(A13, 'ANEXO A'!$A$2:$L$94, 12, FALSE), "")</f>
        <v/>
      </c>
      <c r="I13" s="91" t="inlineStr">
        <is>
          <t>Sec. 7 y 8 Metodología GAI: Clasificación y valoración de activos en Confidencialidad, Integridad y Disponibilidad (Pública, Uso Interno, Restringida) (GSO-GSI-ME-GAI).</t>
        </is>
      </c>
    </row>
    <row r="14" ht="33.75" customHeight="1" s="106">
      <c r="A14" s="33">
        <f>'ANEXO A'!A14</f>
        <v/>
      </c>
      <c r="B14" s="112">
        <f>IFERROR(VLOOKUP(A14, 'ANEXO A'!$A$2:$L$94, 2, FALSE), "")</f>
        <v/>
      </c>
      <c r="C14" s="33">
        <f>IF(LEFT(A14,1)="5", "5. Organizacionales", IF(LEFT(A14,1)="6", "6. Personas", IF(LEFT(A14,1)="7", "7. Físicos", "8. Tecnológicos")))</f>
        <v/>
      </c>
      <c r="D14" s="33">
        <f>IFERROR(VLOOKUP(A14, 'ANEXO A'!$A$2:$L$94, 11, FALSE), "")</f>
        <v/>
      </c>
      <c r="E14" s="38">
        <f>IFERROR(VLOOKUP(A14, 'ANEXO A'!$A$2:$L$94, 8, FALSE), "")</f>
        <v/>
      </c>
      <c r="F14" s="90">
        <f>IFERROR(VLOOKUP(A14, 'ANEXO A'!$A$2:$L$94, 9, FALSE), "")</f>
        <v/>
      </c>
      <c r="G14" s="38">
        <f>IFERROR(VLOOKUP(A14, 'ANEXO A'!$A$2:$L$94, 10, FALSE), "")</f>
        <v/>
      </c>
      <c r="H14" s="38">
        <f>IFERROR(VLOOKUP(A14, 'ANEXO A'!$A$2:$L$94, 12, FALSE), "")</f>
        <v/>
      </c>
      <c r="I14" s="91" t="inlineStr">
        <is>
          <t>Sec. 5 y 7 Metodología GAI: Aplicación de lineamientos para marcado y rotulado de información física y digital según su confidencialidad (GSO-GSI-ME-GAI).</t>
        </is>
      </c>
    </row>
    <row r="15" ht="33.75" customHeight="1" s="106">
      <c r="A15" s="33">
        <f>'ANEXO A'!A15</f>
        <v/>
      </c>
      <c r="B15" s="112">
        <f>IFERROR(VLOOKUP(A15, 'ANEXO A'!$A$2:$L$94, 2, FALSE), "")</f>
        <v/>
      </c>
      <c r="C15" s="33">
        <f>IF(LEFT(A15,1)="5", "5. Organizacionales", IF(LEFT(A15,1)="6", "6. Personas", IF(LEFT(A15,1)="7", "7. Físicos", "8. Tecnológicos")))</f>
        <v/>
      </c>
      <c r="D15" s="33">
        <f>IFERROR(VLOOKUP(A15, 'ANEXO A'!$A$2:$L$94, 11, FALSE), "")</f>
        <v/>
      </c>
      <c r="E15" s="38">
        <f>IFERROR(VLOOKUP(A15, 'ANEXO A'!$A$2:$L$94, 8, FALSE), "")</f>
        <v/>
      </c>
      <c r="F15" s="90">
        <f>IFERROR(VLOOKUP(A15, 'ANEXO A'!$A$2:$L$94, 9, FALSE), "")</f>
        <v/>
      </c>
      <c r="G15" s="38">
        <f>IFERROR(VLOOKUP(A15, 'ANEXO A'!$A$2:$L$94, 10, FALSE), "")</f>
        <v/>
      </c>
      <c r="H15" s="38">
        <f>IFERROR(VLOOKUP(A15, 'ANEXO A'!$A$2:$L$94, 12, FALSE), "")</f>
        <v/>
      </c>
      <c r="I15" s="91" t="inlineStr">
        <is>
          <t>6.9 Control de acceso FTP / Acuerdos: Procedimientos seguros de transmisión de datos cifrados interna y externamente vía canales autorizados (GSO-GSI-MP-GSI).</t>
        </is>
      </c>
    </row>
    <row r="16" ht="22.5" customHeight="1" s="106">
      <c r="A16" s="33">
        <f>'ANEXO A'!A16</f>
        <v/>
      </c>
      <c r="B16" s="112">
        <f>IFERROR(VLOOKUP(A16, 'ANEXO A'!$A$2:$L$94, 2, FALSE), "")</f>
        <v/>
      </c>
      <c r="C16" s="33">
        <f>IF(LEFT(A16,1)="5", "5. Organizacionales", IF(LEFT(A16,1)="6", "6. Personas", IF(LEFT(A16,1)="7", "7. Físicos", "8. Tecnológicos")))</f>
        <v/>
      </c>
      <c r="D16" s="33">
        <f>IFERROR(VLOOKUP(A16, 'ANEXO A'!$A$2:$L$94, 11, FALSE), "")</f>
        <v/>
      </c>
      <c r="E16" s="38">
        <f>IFERROR(VLOOKUP(A16, 'ANEXO A'!$A$2:$L$94, 8, FALSE), "")</f>
        <v/>
      </c>
      <c r="F16" s="90">
        <f>IFERROR(VLOOKUP(A16, 'ANEXO A'!$A$2:$L$94, 9, FALSE), "")</f>
        <v/>
      </c>
      <c r="G16" s="38">
        <f>IFERROR(VLOOKUP(A16, 'ANEXO A'!$A$2:$L$94, 10, FALSE), "")</f>
        <v/>
      </c>
      <c r="H16" s="38">
        <f>IFERROR(VLOOKUP(A16, 'ANEXO A'!$A$2:$L$94, 12, FALSE), "")</f>
        <v/>
      </c>
      <c r="I16" s="91" t="inlineStr">
        <is>
          <t>6.2. Creación de nuevos usuarios - Asignación de usuarios y roles según GSO-GSI-MP-GSI</t>
        </is>
      </c>
    </row>
    <row r="17" ht="22.5" customHeight="1" s="106">
      <c r="A17" s="33">
        <f>'ANEXO A'!A17</f>
        <v/>
      </c>
      <c r="B17" s="112">
        <f>IFERROR(VLOOKUP(A17, 'ANEXO A'!$A$2:$L$94, 2, FALSE), "")</f>
        <v/>
      </c>
      <c r="C17" s="33">
        <f>IF(LEFT(A17,1)="5", "5. Organizacionales", IF(LEFT(A17,1)="6", "6. Personas", IF(LEFT(A17,1)="7", "7. Físicos", "8. Tecnológicos")))</f>
        <v/>
      </c>
      <c r="D17" s="33">
        <f>IFERROR(VLOOKUP(A17, 'ANEXO A'!$A$2:$L$94, 11, FALSE), "")</f>
        <v/>
      </c>
      <c r="E17" s="38">
        <f>IFERROR(VLOOKUP(A17, 'ANEXO A'!$A$2:$L$94, 8, FALSE), "")</f>
        <v/>
      </c>
      <c r="F17" s="90">
        <f>IFERROR(VLOOKUP(A17, 'ANEXO A'!$A$2:$L$94, 9, FALSE), "")</f>
        <v/>
      </c>
      <c r="G17" s="38">
        <f>IFERROR(VLOOKUP(A17, 'ANEXO A'!$A$2:$L$94, 10, FALSE), "")</f>
        <v/>
      </c>
      <c r="H17" s="38">
        <f>IFERROR(VLOOKUP(A17, 'ANEXO A'!$A$2:$L$94, 12, FALSE), "")</f>
        <v/>
      </c>
      <c r="I17" s="91" t="inlineStr">
        <is>
          <t>6.2. Creación de nuevos usuarios - Asignación de usuarios y roles según GSO-GSI-MP-GSI</t>
        </is>
      </c>
    </row>
    <row r="18" ht="33.75" customHeight="1" s="106">
      <c r="A18" s="33">
        <f>'ANEXO A'!A18</f>
        <v/>
      </c>
      <c r="B18" s="112">
        <f>IFERROR(VLOOKUP(A18, 'ANEXO A'!$A$2:$L$94, 2, FALSE), "")</f>
        <v/>
      </c>
      <c r="C18" s="33">
        <f>IF(LEFT(A18,1)="5", "5. Organizacionales", IF(LEFT(A18,1)="6", "6. Personas", IF(LEFT(A18,1)="7", "7. Físicos", "8. Tecnológicos")))</f>
        <v/>
      </c>
      <c r="D18" s="33">
        <f>IFERROR(VLOOKUP(A18, 'ANEXO A'!$A$2:$L$94, 11, FALSE), "")</f>
        <v/>
      </c>
      <c r="E18" s="38">
        <f>IFERROR(VLOOKUP(A18, 'ANEXO A'!$A$2:$L$94, 8, FALSE), "")</f>
        <v/>
      </c>
      <c r="F18" s="90">
        <f>IFERROR(VLOOKUP(A18, 'ANEXO A'!$A$2:$L$94, 9, FALSE), "")</f>
        <v/>
      </c>
      <c r="G18" s="38">
        <f>IFERROR(VLOOKUP(A18, 'ANEXO A'!$A$2:$L$94, 10, FALSE), "")</f>
        <v/>
      </c>
      <c r="H18" s="38">
        <f>IFERROR(VLOOKUP(A18, 'ANEXO A'!$A$2:$L$94, 12, FALSE), "")</f>
        <v/>
      </c>
      <c r="I18" s="91" t="inlineStr">
        <is>
          <t>6.11. Cambio de claves de cuentas críticas - Renovar periódicamente las contraseñas (GSO-GSI-MP-GSI)</t>
        </is>
      </c>
    </row>
    <row r="19" ht="45" customHeight="1" s="106">
      <c r="A19" s="33">
        <f>'ANEXO A'!A19</f>
        <v/>
      </c>
      <c r="B19" s="112">
        <f>IFERROR(VLOOKUP(A19, 'ANEXO A'!$A$2:$L$94, 2, FALSE), "")</f>
        <v/>
      </c>
      <c r="C19" s="33">
        <f>IF(LEFT(A19,1)="5", "5. Organizacionales", IF(LEFT(A19,1)="6", "6. Personas", IF(LEFT(A19,1)="7", "7. Físicos", "8. Tecnológicos")))</f>
        <v/>
      </c>
      <c r="D19" s="33">
        <f>IFERROR(VLOOKUP(A19, 'ANEXO A'!$A$2:$L$94, 11, FALSE), "")</f>
        <v/>
      </c>
      <c r="E19" s="38">
        <f>IFERROR(VLOOKUP(A19, 'ANEXO A'!$A$2:$L$94, 8, FALSE), "")</f>
        <v/>
      </c>
      <c r="F19" s="90">
        <f>IFERROR(VLOOKUP(A19, 'ANEXO A'!$A$2:$L$94, 9, FALSE), "")</f>
        <v/>
      </c>
      <c r="G19" s="38">
        <f>IFERROR(VLOOKUP(A19, 'ANEXO A'!$A$2:$L$94, 10, FALSE), "")</f>
        <v/>
      </c>
      <c r="H19" s="38">
        <f>IFERROR(VLOOKUP(A19, 'ANEXO A'!$A$2:$L$94, 12, FALSE), "")</f>
        <v/>
      </c>
      <c r="I19" s="91" t="inlineStr">
        <is>
          <t>6.10. Revisión periódica de roles y usuarios - Control y auditoría de accesos (GSO-GSI-MP-GSI)</t>
        </is>
      </c>
    </row>
    <row r="20" ht="45" customHeight="1" s="106">
      <c r="A20" s="33">
        <f>'ANEXO A'!A20</f>
        <v/>
      </c>
      <c r="B20" s="112">
        <f>IFERROR(VLOOKUP(A20, 'ANEXO A'!$A$2:$L$94, 2, FALSE), "")</f>
        <v/>
      </c>
      <c r="C20" s="33">
        <f>IF(LEFT(A20,1)="5", "5. Organizacionales", IF(LEFT(A20,1)="6", "6. Personas", IF(LEFT(A20,1)="7", "7. Físicos", "8. Tecnológicos")))</f>
        <v/>
      </c>
      <c r="D20" s="33">
        <f>IFERROR(VLOOKUP(A20, 'ANEXO A'!$A$2:$L$94, 11, FALSE), "")</f>
        <v/>
      </c>
      <c r="E20" s="38">
        <f>IFERROR(VLOOKUP(A20, 'ANEXO A'!$A$2:$L$94, 8, FALSE), "")</f>
        <v/>
      </c>
      <c r="F20" s="90">
        <f>IFERROR(VLOOKUP(A20, 'ANEXO A'!$A$2:$L$94, 9, FALSE), "")</f>
        <v/>
      </c>
      <c r="G20" s="38">
        <f>IFERROR(VLOOKUP(A20, 'ANEXO A'!$A$2:$L$94, 10, FALSE), "")</f>
        <v/>
      </c>
      <c r="H20" s="38">
        <f>IFERROR(VLOOKUP(A20, 'ANEXO A'!$A$2:$L$94, 12, FALSE), "")</f>
        <v/>
      </c>
      <c r="I20" s="91" t="inlineStr">
        <is>
          <t>6.19 Escaneo / Disp. General 2da SEPS 002: Evaluación periódica de riesgos de seguridad y solicitud de auditorías a prestadores de servicios (SEPS-2022-002 / GSO-GSI-MP-GSI).</t>
        </is>
      </c>
    </row>
    <row r="21" ht="33.75" customHeight="1" s="106">
      <c r="A21" s="33">
        <f>'ANEXO A'!A21</f>
        <v/>
      </c>
      <c r="B21" s="112">
        <f>IFERROR(VLOOKUP(A21, 'ANEXO A'!$A$2:$L$94, 2, FALSE), "")</f>
        <v/>
      </c>
      <c r="C21" s="33">
        <f>IF(LEFT(A21,1)="5", "5. Organizacionales", IF(LEFT(A21,1)="6", "6. Personas", IF(LEFT(A21,1)="7", "7. Físicos", "8. Tecnológicos")))</f>
        <v/>
      </c>
      <c r="D21" s="33">
        <f>IFERROR(VLOOKUP(A21, 'ANEXO A'!$A$2:$L$94, 11, FALSE), "")</f>
        <v/>
      </c>
      <c r="E21" s="38">
        <f>IFERROR(VLOOKUP(A21, 'ANEXO A'!$A$2:$L$94, 8, FALSE), "")</f>
        <v/>
      </c>
      <c r="F21" s="90">
        <f>IFERROR(VLOOKUP(A21, 'ANEXO A'!$A$2:$L$94, 9, FALSE), "")</f>
        <v/>
      </c>
      <c r="G21" s="38">
        <f>IFERROR(VLOOKUP(A21, 'ANEXO A'!$A$2:$L$94, 10, FALSE), "")</f>
        <v/>
      </c>
      <c r="H21" s="38">
        <f>IFERROR(VLOOKUP(A21, 'ANEXO A'!$A$2:$L$94, 12, FALSE), "")</f>
        <v/>
      </c>
      <c r="I21" s="91" t="inlineStr">
        <is>
          <t>Disp. General 3era SEPS 002: Incorporación obligatoria de cláusulas de seguridad de la información, protección de datos y confidencialidad en contratos (SEPS-2022-002).</t>
        </is>
      </c>
    </row>
    <row r="22" ht="33.75" customHeight="1" s="106">
      <c r="A22" s="33">
        <f>'ANEXO A'!A22</f>
        <v/>
      </c>
      <c r="B22" s="112">
        <f>IFERROR(VLOOKUP(A22, 'ANEXO A'!$A$2:$L$94, 2, FALSE), "")</f>
        <v/>
      </c>
      <c r="C22" s="33">
        <f>IF(LEFT(A22,1)="5", "5. Organizacionales", IF(LEFT(A22,1)="6", "6. Personas", IF(LEFT(A22,1)="7", "7. Físicos", "8. Tecnológicos")))</f>
        <v/>
      </c>
      <c r="D22" s="33">
        <f>IFERROR(VLOOKUP(A22, 'ANEXO A'!$A$2:$L$94, 11, FALSE), "")</f>
        <v/>
      </c>
      <c r="E22" s="38">
        <f>IFERROR(VLOOKUP(A22, 'ANEXO A'!$A$2:$L$94, 8, FALSE), "")</f>
        <v/>
      </c>
      <c r="F22" s="90">
        <f>IFERROR(VLOOKUP(A22, 'ANEXO A'!$A$2:$L$94, 9, FALSE), "")</f>
        <v/>
      </c>
      <c r="G22" s="38">
        <f>IFERROR(VLOOKUP(A22, 'ANEXO A'!$A$2:$L$94, 10, FALSE), "")</f>
        <v/>
      </c>
      <c r="H22" s="38">
        <f>IFERROR(VLOOKUP(A22, 'ANEXO A'!$A$2:$L$94, 12, FALSE), "")</f>
        <v/>
      </c>
      <c r="I22" s="91" t="inlineStr">
        <is>
          <t>Anexo 1 SEPS 002: Evaluación de procedencia, confiabilidad y riesgos en la adquisición de hardware, software y suministros de TIC (SEPS-2022-002).</t>
        </is>
      </c>
    </row>
    <row r="23" ht="33.75" customHeight="1" s="106">
      <c r="A23" s="33">
        <f>'ANEXO A'!A23</f>
        <v/>
      </c>
      <c r="B23" s="112">
        <f>IFERROR(VLOOKUP(A23, 'ANEXO A'!$A$2:$L$94, 2, FALSE), "")</f>
        <v/>
      </c>
      <c r="C23" s="33">
        <f>IF(LEFT(A23,1)="5", "5. Organizacionales", IF(LEFT(A23,1)="6", "6. Personas", IF(LEFT(A23,1)="7", "7. Físicos", "8. Tecnológicos")))</f>
        <v/>
      </c>
      <c r="D23" s="33">
        <f>IFERROR(VLOOKUP(A23, 'ANEXO A'!$A$2:$L$94, 11, FALSE), "")</f>
        <v/>
      </c>
      <c r="E23" s="38">
        <f>IFERROR(VLOOKUP(A23, 'ANEXO A'!$A$2:$L$94, 8, FALSE), "")</f>
        <v/>
      </c>
      <c r="F23" s="90">
        <f>IFERROR(VLOOKUP(A23, 'ANEXO A'!$A$2:$L$94, 9, FALSE), "")</f>
        <v/>
      </c>
      <c r="G23" s="38">
        <f>IFERROR(VLOOKUP(A23, 'ANEXO A'!$A$2:$L$94, 10, FALSE), "")</f>
        <v/>
      </c>
      <c r="H23" s="38">
        <f>IFERROR(VLOOKUP(A23, 'ANEXO A'!$A$2:$L$94, 12, FALSE), "")</f>
        <v/>
      </c>
      <c r="I23" s="91" t="inlineStr">
        <is>
          <t>Anexo 1 SEPS 002 / Disp. General 2da: Supervisión continua de ANS (SLA) y auditoría a cambios técnicos en plataformas provistas por terceros (SEPS-2022-002).</t>
        </is>
      </c>
    </row>
    <row r="24" ht="33.75" customHeight="1" s="106">
      <c r="A24" s="33">
        <f>'ANEXO A'!A24</f>
        <v/>
      </c>
      <c r="B24" s="112">
        <f>IFERROR(VLOOKUP(A24, 'ANEXO A'!$A$2:$L$94, 2, FALSE), "")</f>
        <v/>
      </c>
      <c r="C24" s="33">
        <f>IF(LEFT(A24,1)="5", "5. Organizacionales", IF(LEFT(A24,1)="6", "6. Personas", IF(LEFT(A24,1)="7", "7. Físicos", "8. Tecnológicos")))</f>
        <v/>
      </c>
      <c r="D24" s="33">
        <f>IFERROR(VLOOKUP(A24, 'ANEXO A'!$A$2:$L$94, 11, FALSE), "")</f>
        <v/>
      </c>
      <c r="E24" s="38">
        <f>IFERROR(VLOOKUP(A24, 'ANEXO A'!$A$2:$L$94, 8, FALSE), "")</f>
        <v/>
      </c>
      <c r="F24" s="90">
        <f>IFERROR(VLOOKUP(A24, 'ANEXO A'!$A$2:$L$94, 9, FALSE), "")</f>
        <v/>
      </c>
      <c r="G24" s="38">
        <f>IFERROR(VLOOKUP(A24, 'ANEXO A'!$A$2:$L$94, 10, FALSE), "")</f>
        <v/>
      </c>
      <c r="H24" s="38">
        <f>IFERROR(VLOOKUP(A24, 'ANEXO A'!$A$2:$L$94, 12, FALSE), "")</f>
        <v/>
      </c>
      <c r="I24" s="91" t="inlineStr">
        <is>
          <t>6.2 Azure / 6.12 MyHSM: Gestión de configuraciones, segregación y control de llaves y servicios en esquemas SaaS/PaaS (GSO-GSI-MP-GSI).</t>
        </is>
      </c>
    </row>
    <row r="25" ht="22.5" customHeight="1" s="106">
      <c r="A25" s="33">
        <f>'ANEXO A'!A25</f>
        <v/>
      </c>
      <c r="B25" s="112">
        <f>IFERROR(VLOOKUP(A25, 'ANEXO A'!$A$2:$L$94, 2, FALSE), "")</f>
        <v/>
      </c>
      <c r="C25" s="33">
        <f>IF(LEFT(A25,1)="5", "5. Organizacionales", IF(LEFT(A25,1)="6", "6. Personas", IF(LEFT(A25,1)="7", "7. Físicos", "8. Tecnológicos")))</f>
        <v/>
      </c>
      <c r="D25" s="33">
        <f>IFERROR(VLOOKUP(A25, 'ANEXO A'!$A$2:$L$94, 11, FALSE), "")</f>
        <v/>
      </c>
      <c r="E25" s="38">
        <f>IFERROR(VLOOKUP(A25, 'ANEXO A'!$A$2:$L$94, 8, FALSE), "")</f>
        <v/>
      </c>
      <c r="F25" s="90">
        <f>IFERROR(VLOOKUP(A25, 'ANEXO A'!$A$2:$L$94, 9, FALSE), "")</f>
        <v/>
      </c>
      <c r="G25" s="38">
        <f>IFERROR(VLOOKUP(A25, 'ANEXO A'!$A$2:$L$94, 10, FALSE), "")</f>
        <v/>
      </c>
      <c r="H25" s="38">
        <f>IFERROR(VLOOKUP(A25, 'ANEXO A'!$A$2:$L$94, 12, FALSE), "")</f>
        <v/>
      </c>
      <c r="I25" s="91" t="inlineStr">
        <is>
          <t>6.15. Gestión de incidentes de seguridad de la información - Planificación de respuesta (GSO-GSI-MP-GSI)</t>
        </is>
      </c>
    </row>
    <row r="26" ht="33.75" customHeight="1" s="106">
      <c r="A26" s="33">
        <f>'ANEXO A'!A26</f>
        <v/>
      </c>
      <c r="B26" s="112">
        <f>IFERROR(VLOOKUP(A26, 'ANEXO A'!$A$2:$L$94, 2, FALSE), "")</f>
        <v/>
      </c>
      <c r="C26" s="33">
        <f>IF(LEFT(A26,1)="5", "5. Organizacionales", IF(LEFT(A26,1)="6", "6. Personas", IF(LEFT(A26,1)="7", "7. Físicos", "8. Tecnológicos")))</f>
        <v/>
      </c>
      <c r="D26" s="33">
        <f>IFERROR(VLOOKUP(A26, 'ANEXO A'!$A$2:$L$94, 11, FALSE), "")</f>
        <v/>
      </c>
      <c r="E26" s="38">
        <f>IFERROR(VLOOKUP(A26, 'ANEXO A'!$A$2:$L$94, 8, FALSE), "")</f>
        <v/>
      </c>
      <c r="F26" s="90">
        <f>IFERROR(VLOOKUP(A26, 'ANEXO A'!$A$2:$L$94, 9, FALSE), "")</f>
        <v/>
      </c>
      <c r="G26" s="38">
        <f>IFERROR(VLOOKUP(A26, 'ANEXO A'!$A$2:$L$94, 10, FALSE), "")</f>
        <v/>
      </c>
      <c r="H26" s="38">
        <f>IFERROR(VLOOKUP(A26, 'ANEXO A'!$A$2:$L$94, 12, FALSE), "")</f>
        <v/>
      </c>
      <c r="I26" s="91" t="inlineStr">
        <is>
          <t>6.15 Gestión de incidentes (Act. 2 y 3): Análisis, categorización, clasificación y registro de eventos y riesgos en el sistema RDS (GSO-GSI-MP-GSI).</t>
        </is>
      </c>
    </row>
    <row r="27" ht="33.75" customHeight="1" s="106">
      <c r="A27" s="33">
        <f>'ANEXO A'!A27</f>
        <v/>
      </c>
      <c r="B27" s="112">
        <f>IFERROR(VLOOKUP(A27, 'ANEXO A'!$A$2:$L$94, 2, FALSE), "")</f>
        <v/>
      </c>
      <c r="C27" s="33">
        <f>IF(LEFT(A27,1)="5", "5. Organizacionales", IF(LEFT(A27,1)="6", "6. Personas", IF(LEFT(A27,1)="7", "7. Físicos", "8. Tecnológicos")))</f>
        <v/>
      </c>
      <c r="D27" s="33">
        <f>IFERROR(VLOOKUP(A27, 'ANEXO A'!$A$2:$L$94, 11, FALSE), "")</f>
        <v/>
      </c>
      <c r="E27" s="38">
        <f>IFERROR(VLOOKUP(A27, 'ANEXO A'!$A$2:$L$94, 8, FALSE), "")</f>
        <v/>
      </c>
      <c r="F27" s="90">
        <f>IFERROR(VLOOKUP(A27, 'ANEXO A'!$A$2:$L$94, 9, FALSE), "")</f>
        <v/>
      </c>
      <c r="G27" s="38">
        <f>IFERROR(VLOOKUP(A27, 'ANEXO A'!$A$2:$L$94, 10, FALSE), "")</f>
        <v/>
      </c>
      <c r="H27" s="38">
        <f>IFERROR(VLOOKUP(A27, 'ANEXO A'!$A$2:$L$94, 12, FALSE), "")</f>
        <v/>
      </c>
      <c r="I27" s="91" t="inlineStr">
        <is>
          <t>6.15 Gestión de incidentes (Act. 3, 4 y 5): Ejecución de acciones de contención, mitigación y escalamiento a Gerencia y Comité de Seguridad (GSO-GSI-MP-GSI).</t>
        </is>
      </c>
    </row>
    <row r="28" ht="33.75" customHeight="1" s="106">
      <c r="A28" s="33">
        <f>'ANEXO A'!A28</f>
        <v/>
      </c>
      <c r="B28" s="112">
        <f>IFERROR(VLOOKUP(A28, 'ANEXO A'!$A$2:$L$94, 2, FALSE), "")</f>
        <v/>
      </c>
      <c r="C28" s="33">
        <f>IF(LEFT(A28,1)="5", "5. Organizacionales", IF(LEFT(A28,1)="6", "6. Personas", IF(LEFT(A28,1)="7", "7. Físicos", "8. Tecnológicos")))</f>
        <v/>
      </c>
      <c r="D28" s="33">
        <f>IFERROR(VLOOKUP(A28, 'ANEXO A'!$A$2:$L$94, 11, FALSE), "")</f>
        <v/>
      </c>
      <c r="E28" s="38">
        <f>IFERROR(VLOOKUP(A28, 'ANEXO A'!$A$2:$L$94, 8, FALSE), "")</f>
        <v/>
      </c>
      <c r="F28" s="90">
        <f>IFERROR(VLOOKUP(A28, 'ANEXO A'!$A$2:$L$94, 9, FALSE), "")</f>
        <v/>
      </c>
      <c r="G28" s="38">
        <f>IFERROR(VLOOKUP(A28, 'ANEXO A'!$A$2:$L$94, 10, FALSE), "")</f>
        <v/>
      </c>
      <c r="H28" s="38">
        <f>IFERROR(VLOOKUP(A28, 'ANEXO A'!$A$2:$L$94, 12, FALSE), "")</f>
        <v/>
      </c>
      <c r="I28" s="91" t="inlineStr">
        <is>
          <t>6.15 Gestión de incidentes (Act. 7 y 8): Análisis de causa raíz, actualización de controles y enriquecimiento del Plan Anual de SI (GSO-GSI-MP-GSI).</t>
        </is>
      </c>
    </row>
    <row r="29" ht="33.75" customHeight="1" s="106">
      <c r="A29" s="33">
        <f>'ANEXO A'!A29</f>
        <v/>
      </c>
      <c r="B29" s="112">
        <f>IFERROR(VLOOKUP(A29, 'ANEXO A'!$A$2:$L$94, 2, FALSE), "")</f>
        <v/>
      </c>
      <c r="C29" s="33">
        <f>IF(LEFT(A29,1)="5", "5. Organizacionales", IF(LEFT(A29,1)="6", "6. Personas", IF(LEFT(A29,1)="7", "7. Físicos", "8. Tecnológicos")))</f>
        <v/>
      </c>
      <c r="D29" s="33">
        <f>IFERROR(VLOOKUP(A29, 'ANEXO A'!$A$2:$L$94, 11, FALSE), "")</f>
        <v/>
      </c>
      <c r="E29" s="38">
        <f>IFERROR(VLOOKUP(A29, 'ANEXO A'!$A$2:$L$94, 8, FALSE), "")</f>
        <v/>
      </c>
      <c r="F29" s="90">
        <f>IFERROR(VLOOKUP(A29, 'ANEXO A'!$A$2:$L$94, 9, FALSE), "")</f>
        <v/>
      </c>
      <c r="G29" s="38">
        <f>IFERROR(VLOOKUP(A29, 'ANEXO A'!$A$2:$L$94, 10, FALSE), "")</f>
        <v/>
      </c>
      <c r="H29" s="38">
        <f>IFERROR(VLOOKUP(A29, 'ANEXO A'!$A$2:$L$94, 12, FALSE), "")</f>
        <v/>
      </c>
      <c r="I29" s="91" t="inlineStr">
        <is>
          <t>6.14 Auditoría BD / 6.15 Incidentes: Preservación de logs, pistas de auditoría y cadena de custodia técnica (GSO-GSI-MP-GSI / ISO 27002).</t>
        </is>
      </c>
    </row>
    <row r="30" ht="45" customHeight="1" s="106">
      <c r="A30" s="33">
        <f>'ANEXO A'!A30</f>
        <v/>
      </c>
      <c r="B30" s="112">
        <f>IFERROR(VLOOKUP(A30, 'ANEXO A'!$A$2:$L$94, 2, FALSE), "")</f>
        <v/>
      </c>
      <c r="C30" s="33">
        <f>IF(LEFT(A30,1)="5", "5. Organizacionales", IF(LEFT(A30,1)="6", "6. Personas", IF(LEFT(A30,1)="7", "7. Físicos", "8. Tecnológicos")))</f>
        <v/>
      </c>
      <c r="D30" s="33">
        <f>IFERROR(VLOOKUP(A30, 'ANEXO A'!$A$2:$L$94, 11, FALSE), "")</f>
        <v/>
      </c>
      <c r="E30" s="38">
        <f>IFERROR(VLOOKUP(A30, 'ANEXO A'!$A$2:$L$94, 8, FALSE), "")</f>
        <v/>
      </c>
      <c r="F30" s="90">
        <f>IFERROR(VLOOKUP(A30, 'ANEXO A'!$A$2:$L$94, 9, FALSE), "")</f>
        <v/>
      </c>
      <c r="G30" s="38">
        <f>IFERROR(VLOOKUP(A30, 'ANEXO A'!$A$2:$L$94, 10, FALSE), "")</f>
        <v/>
      </c>
      <c r="H30" s="38">
        <f>IFERROR(VLOOKUP(A30, 'ANEXO A'!$A$2:$L$94, 12, FALSE), "")</f>
        <v/>
      </c>
      <c r="I30" s="91" t="inlineStr">
        <is>
          <t>Anexo 1 SEPS / DRP: Mantenimiento de las salvaguardas de confidencialidad e integridad durante la activación de contingencias (SEPS-2022-002 / ISO 27001).</t>
        </is>
      </c>
    </row>
    <row r="31" ht="33.75" customHeight="1" s="106">
      <c r="A31" s="33">
        <f>'ANEXO A'!A31</f>
        <v/>
      </c>
      <c r="B31" s="112">
        <f>IFERROR(VLOOKUP(A31, 'ANEXO A'!$A$2:$L$94, 2, FALSE), "")</f>
        <v/>
      </c>
      <c r="C31" s="33">
        <f>IF(LEFT(A31,1)="5", "5. Organizacionales", IF(LEFT(A31,1)="6", "6. Personas", IF(LEFT(A31,1)="7", "7. Físicos", "8. Tecnológicos")))</f>
        <v/>
      </c>
      <c r="D31" s="33">
        <f>IFERROR(VLOOKUP(A31, 'ANEXO A'!$A$2:$L$94, 11, FALSE), "")</f>
        <v/>
      </c>
      <c r="E31" s="38">
        <f>IFERROR(VLOOKUP(A31, 'ANEXO A'!$A$2:$L$94, 8, FALSE), "")</f>
        <v/>
      </c>
      <c r="F31" s="90">
        <f>IFERROR(VLOOKUP(A31, 'ANEXO A'!$A$2:$L$94, 9, FALSE), "")</f>
        <v/>
      </c>
      <c r="G31" s="38">
        <f>IFERROR(VLOOKUP(A31, 'ANEXO A'!$A$2:$L$94, 10, FALSE), "")</f>
        <v/>
      </c>
      <c r="H31" s="38">
        <f>IFERROR(VLOOKUP(A31, 'ANEXO A'!$A$2:$L$94, 12, FALSE), "")</f>
        <v/>
      </c>
      <c r="I31" s="91" t="inlineStr">
        <is>
          <t>Anexo 1 SEPS (Planes de Contingencia): Definición y pruebas periódicas de RTO/RPO y continuidad en infraestructura tecnológica (SEPS-2022-002).</t>
        </is>
      </c>
    </row>
    <row r="32" ht="33.75" customHeight="1" s="106">
      <c r="A32" s="33">
        <f>'ANEXO A'!A32</f>
        <v/>
      </c>
      <c r="B32" s="112">
        <f>IFERROR(VLOOKUP(A32, 'ANEXO A'!$A$2:$L$94, 2, FALSE), "")</f>
        <v/>
      </c>
      <c r="C32" s="33">
        <f>IF(LEFT(A32,1)="5", "5. Organizacionales", IF(LEFT(A32,1)="6", "6. Personas", IF(LEFT(A32,1)="7", "7. Físicos", "8. Tecnológicos")))</f>
        <v/>
      </c>
      <c r="D32" s="33">
        <f>IFERROR(VLOOKUP(A32, 'ANEXO A'!$A$2:$L$94, 11, FALSE), "")</f>
        <v/>
      </c>
      <c r="E32" s="38">
        <f>IFERROR(VLOOKUP(A32, 'ANEXO A'!$A$2:$L$94, 8, FALSE), "")</f>
        <v/>
      </c>
      <c r="F32" s="90">
        <f>IFERROR(VLOOKUP(A32, 'ANEXO A'!$A$2:$L$94, 9, FALSE), "")</f>
        <v/>
      </c>
      <c r="G32" s="38">
        <f>IFERROR(VLOOKUP(A32, 'ANEXO A'!$A$2:$L$94, 10, FALSE), "")</f>
        <v/>
      </c>
      <c r="H32" s="38">
        <f>IFERROR(VLOOKUP(A32, 'ANEXO A'!$A$2:$L$94, 12, FALSE), "")</f>
        <v/>
      </c>
      <c r="I32" s="91" t="inlineStr">
        <is>
          <t>Sec. 3 Marco Normativo SEPS 002: Mapeo y cumplimiento sistemático del marco legal (SEPS, LOPDP, ISO 27001) (GSO-GSI-MP-GSI / SEPS-2022-002).</t>
        </is>
      </c>
    </row>
    <row r="33" ht="33.75" customHeight="1" s="106">
      <c r="A33" s="33">
        <f>'ANEXO A'!A33</f>
        <v/>
      </c>
      <c r="B33" s="112">
        <f>IFERROR(VLOOKUP(A33, 'ANEXO A'!$A$2:$L$94, 2, FALSE), "")</f>
        <v/>
      </c>
      <c r="C33" s="33">
        <f>IF(LEFT(A33,1)="5", "5. Organizacionales", IF(LEFT(A33,1)="6", "6. Personas", IF(LEFT(A33,1)="7", "7. Físicos", "8. Tecnológicos")))</f>
        <v/>
      </c>
      <c r="D33" s="33">
        <f>IFERROR(VLOOKUP(A33, 'ANEXO A'!$A$2:$L$94, 11, FALSE), "")</f>
        <v/>
      </c>
      <c r="E33" s="38">
        <f>IFERROR(VLOOKUP(A33, 'ANEXO A'!$A$2:$L$94, 8, FALSE), "")</f>
        <v/>
      </c>
      <c r="F33" s="90">
        <f>IFERROR(VLOOKUP(A33, 'ANEXO A'!$A$2:$L$94, 9, FALSE), "")</f>
        <v/>
      </c>
      <c r="G33" s="38">
        <f>IFERROR(VLOOKUP(A33, 'ANEXO A'!$A$2:$L$94, 10, FALSE), "")</f>
        <v/>
      </c>
      <c r="H33" s="38">
        <f>IFERROR(VLOOKUP(A33, 'ANEXO A'!$A$2:$L$94, 12, FALSE), "")</f>
        <v/>
      </c>
      <c r="I33" s="91" t="inlineStr">
        <is>
          <t>6.13 Gestión de activos / Anexo 1 SEPS: Control y verificación de licenciamiento de software y restricción de uso no autorizado (GSO-GSI-ME-GAI / SEPS-2022-002).</t>
        </is>
      </c>
    </row>
    <row r="34" ht="33.75" customHeight="1" s="106">
      <c r="A34" s="33">
        <f>'ANEXO A'!A34</f>
        <v/>
      </c>
      <c r="B34" s="112">
        <f>IFERROR(VLOOKUP(A34, 'ANEXO A'!$A$2:$L$94, 2, FALSE), "")</f>
        <v/>
      </c>
      <c r="C34" s="33">
        <f>IF(LEFT(A34,1)="5", "5. Organizacionales", IF(LEFT(A34,1)="6", "6. Personas", IF(LEFT(A34,1)="7", "7. Físicos", "8. Tecnológicos")))</f>
        <v/>
      </c>
      <c r="D34" s="33">
        <f>IFERROR(VLOOKUP(A34, 'ANEXO A'!$A$2:$L$94, 11, FALSE), "")</f>
        <v/>
      </c>
      <c r="E34" s="38">
        <f>IFERROR(VLOOKUP(A34, 'ANEXO A'!$A$2:$L$94, 8, FALSE), "")</f>
        <v/>
      </c>
      <c r="F34" s="90">
        <f>IFERROR(VLOOKUP(A34, 'ANEXO A'!$A$2:$L$94, 9, FALSE), "")</f>
        <v/>
      </c>
      <c r="G34" s="38">
        <f>IFERROR(VLOOKUP(A34, 'ANEXO A'!$A$2:$L$94, 10, FALSE), "")</f>
        <v/>
      </c>
      <c r="H34" s="38">
        <f>IFERROR(VLOOKUP(A34, 'ANEXO A'!$A$2:$L$94, 12, FALSE), "")</f>
        <v/>
      </c>
      <c r="I34" s="91" t="inlineStr">
        <is>
          <t>6.1 Políticas / 6.14 Auditoría BD: Custodia, retención y protección física y lógica de bitácoras, actas y registros digitales (GSO-GSI-MP-GSI).</t>
        </is>
      </c>
    </row>
    <row r="35" ht="33.75" customHeight="1" s="106">
      <c r="A35" s="33">
        <f>'ANEXO A'!A35</f>
        <v/>
      </c>
      <c r="B35" s="112">
        <f>IFERROR(VLOOKUP(A35, 'ANEXO A'!$A$2:$L$94, 2, FALSE), "")</f>
        <v/>
      </c>
      <c r="C35" s="33">
        <f>IF(LEFT(A35,1)="5", "5. Organizacionales", IF(LEFT(A35,1)="6", "6. Personas", IF(LEFT(A35,1)="7", "7. Físicos", "8. Tecnológicos")))</f>
        <v/>
      </c>
      <c r="D35" s="33">
        <f>IFERROR(VLOOKUP(A35, 'ANEXO A'!$A$2:$L$94, 11, FALSE), "")</f>
        <v/>
      </c>
      <c r="E35" s="38">
        <f>IFERROR(VLOOKUP(A35, 'ANEXO A'!$A$2:$L$94, 8, FALSE), "")</f>
        <v/>
      </c>
      <c r="F35" s="90">
        <f>IFERROR(VLOOKUP(A35, 'ANEXO A'!$A$2:$L$94, 9, FALSE), "")</f>
        <v/>
      </c>
      <c r="G35" s="38">
        <f>IFERROR(VLOOKUP(A35, 'ANEXO A'!$A$2:$L$94, 10, FALSE), "")</f>
        <v/>
      </c>
      <c r="H35" s="38">
        <f>IFERROR(VLOOKUP(A35, 'ANEXO A'!$A$2:$L$94, 12, FALSE), "")</f>
        <v/>
      </c>
      <c r="I35" s="91" t="inlineStr">
        <is>
          <t>6.17 Escaneo PCI DSS / LOPDP: Tratamiento lícito, enmascaramiento y resguardo de datos personales y tarjetahabientes (GSO-GSI-MP-GSI / SEPS-2022-002).</t>
        </is>
      </c>
    </row>
    <row r="36" ht="33.75" customHeight="1" s="106">
      <c r="A36" s="33">
        <f>'ANEXO A'!A36</f>
        <v/>
      </c>
      <c r="B36" s="112">
        <f>IFERROR(VLOOKUP(A36, 'ANEXO A'!$A$2:$L$94, 2, FALSE), "")</f>
        <v/>
      </c>
      <c r="C36" s="33">
        <f>IF(LEFT(A36,1)="5", "5. Organizacionales", IF(LEFT(A36,1)="6", "6. Personas", IF(LEFT(A36,1)="7", "7. Físicos", "8. Tecnológicos")))</f>
        <v/>
      </c>
      <c r="D36" s="33">
        <f>IFERROR(VLOOKUP(A36, 'ANEXO A'!$A$2:$L$94, 11, FALSE), "")</f>
        <v/>
      </c>
      <c r="E36" s="38">
        <f>IFERROR(VLOOKUP(A36, 'ANEXO A'!$A$2:$L$94, 8, FALSE), "")</f>
        <v/>
      </c>
      <c r="F36" s="90">
        <f>IFERROR(VLOOKUP(A36, 'ANEXO A'!$A$2:$L$94, 9, FALSE), "")</f>
        <v/>
      </c>
      <c r="G36" s="38">
        <f>IFERROR(VLOOKUP(A36, 'ANEXO A'!$A$2:$L$94, 10, FALSE), "")</f>
        <v/>
      </c>
      <c r="H36" s="38">
        <f>IFERROR(VLOOKUP(A36, 'ANEXO A'!$A$2:$L$94, 12, FALSE), "")</f>
        <v/>
      </c>
      <c r="I36" s="91" t="inlineStr">
        <is>
          <t>6.2 Controles / Sec. 12 SEPS 002: Auditorías informáticas internas y externas anuales al SGSI (GSO-GSI-MP-GSI / SEPS-2022-002).</t>
        </is>
      </c>
    </row>
    <row r="37" ht="33.75" customHeight="1" s="106">
      <c r="A37" s="33">
        <f>'ANEXO A'!A37</f>
        <v/>
      </c>
      <c r="B37" s="112">
        <f>IFERROR(VLOOKUP(A37, 'ANEXO A'!$A$2:$L$94, 2, FALSE), "")</f>
        <v/>
      </c>
      <c r="C37" s="33">
        <f>IF(LEFT(A37,1)="5", "5. Organizacionales", IF(LEFT(A37,1)="6", "6. Personas", IF(LEFT(A37,1)="7", "7. Físicos", "8. Tecnológicos")))</f>
        <v/>
      </c>
      <c r="D37" s="33">
        <f>IFERROR(VLOOKUP(A37, 'ANEXO A'!$A$2:$L$94, 11, FALSE), "")</f>
        <v/>
      </c>
      <c r="E37" s="38">
        <f>IFERROR(VLOOKUP(A37, 'ANEXO A'!$A$2:$L$94, 8, FALSE), "")</f>
        <v/>
      </c>
      <c r="F37" s="90">
        <f>IFERROR(VLOOKUP(A37, 'ANEXO A'!$A$2:$L$94, 9, FALSE), "")</f>
        <v/>
      </c>
      <c r="G37" s="38">
        <f>IFERROR(VLOOKUP(A37, 'ANEXO A'!$A$2:$L$94, 10, FALSE), "")</f>
        <v/>
      </c>
      <c r="H37" s="38">
        <f>IFERROR(VLOOKUP(A37, 'ANEXO A'!$A$2:$L$94, 12, FALSE), "")</f>
        <v/>
      </c>
      <c r="I37" s="91" t="inlineStr">
        <is>
          <t>6.16 Revisión y monitoreo: Ejecución de checklist semestral y elaboración de informe de cumplimiento de políticas (GSO-GSI-MP-GSI).</t>
        </is>
      </c>
    </row>
    <row r="38" ht="33.75" customHeight="1" s="106">
      <c r="A38" s="33">
        <f>'ANEXO A'!A38</f>
        <v/>
      </c>
      <c r="B38" s="112">
        <f>IFERROR(VLOOKUP(A38, 'ANEXO A'!$A$2:$L$94, 2, FALSE), "")</f>
        <v/>
      </c>
      <c r="C38" s="33">
        <f>IF(LEFT(A38,1)="5", "5. Organizacionales", IF(LEFT(A38,1)="6", "6. Personas", IF(LEFT(A38,1)="7", "7. Físicos", "8. Tecnológicos")))</f>
        <v/>
      </c>
      <c r="D38" s="33">
        <f>IFERROR(VLOOKUP(A38, 'ANEXO A'!$A$2:$L$94, 11, FALSE), "")</f>
        <v/>
      </c>
      <c r="E38" s="38">
        <f>IFERROR(VLOOKUP(A38, 'ANEXO A'!$A$2:$L$94, 8, FALSE), "")</f>
        <v/>
      </c>
      <c r="F38" s="90">
        <f>IFERROR(VLOOKUP(A38, 'ANEXO A'!$A$2:$L$94, 9, FALSE), "")</f>
        <v/>
      </c>
      <c r="G38" s="38">
        <f>IFERROR(VLOOKUP(A38, 'ANEXO A'!$A$2:$L$94, 10, FALSE), "")</f>
        <v/>
      </c>
      <c r="H38" s="38">
        <f>IFERROR(VLOOKUP(A38, 'ANEXO A'!$A$2:$L$94, 12, FALSE), "")</f>
        <v/>
      </c>
      <c r="I38" s="91" t="inlineStr">
        <is>
          <t>Sec. 6 Procedimientos Operativos GSI: Elaboración, actualización y formalización de manuales e instructivos de seguridad (GSO-GSI-MP-GSI).</t>
        </is>
      </c>
    </row>
    <row r="39" ht="33.75" customHeight="1" s="106">
      <c r="A39" s="33">
        <f>'ANEXO A'!A39</f>
        <v/>
      </c>
      <c r="B39" s="112">
        <f>IFERROR(VLOOKUP(A39, 'ANEXO A'!$A$2:$L$94, 2, FALSE), "")</f>
        <v/>
      </c>
      <c r="C39" s="33">
        <f>IF(LEFT(A39,1)="5", "5. Organizacionales", IF(LEFT(A39,1)="6", "6. Personas", IF(LEFT(A39,1)="7", "7. Físicos", "8. Tecnológicos")))</f>
        <v/>
      </c>
      <c r="D39" s="33">
        <f>IFERROR(VLOOKUP(A39, 'ANEXO A'!$A$2:$L$94, 11, FALSE), "")</f>
        <v/>
      </c>
      <c r="E39" s="38">
        <f>IFERROR(VLOOKUP(A39, 'ANEXO A'!$A$2:$L$94, 8, FALSE), "")</f>
        <v/>
      </c>
      <c r="F39" s="90">
        <f>IFERROR(VLOOKUP(A39, 'ANEXO A'!$A$2:$L$94, 9, FALSE), "")</f>
        <v/>
      </c>
      <c r="G39" s="38">
        <f>IFERROR(VLOOKUP(A39, 'ANEXO A'!$A$2:$L$94, 10, FALSE), "")</f>
        <v/>
      </c>
      <c r="H39" s="38">
        <f>IFERROR(VLOOKUP(A39, 'ANEXO A'!$A$2:$L$94, 12, FALSE), "")</f>
        <v/>
      </c>
      <c r="I39" s="91" t="inlineStr">
        <is>
          <t>6.2 Creación de nuevos usuarios (GTH): Validación previa de antecedentes laborales, penales y académicos por Talento Humano (GSO-GSI-MP-GSI / GTH-IDP).</t>
        </is>
      </c>
    </row>
    <row r="40" ht="33.75" customHeight="1" s="106">
      <c r="A40" s="33">
        <f>'ANEXO A'!A40</f>
        <v/>
      </c>
      <c r="B40" s="112">
        <f>IFERROR(VLOOKUP(A40, 'ANEXO A'!$A$2:$L$94, 2, FALSE), "")</f>
        <v/>
      </c>
      <c r="C40" s="33">
        <f>IF(LEFT(A40,1)="5", "5. Organizacionales", IF(LEFT(A40,1)="6", "6. Personas", IF(LEFT(A40,1)="7", "7. Físicos", "8. Tecnológicos")))</f>
        <v/>
      </c>
      <c r="D40" s="33">
        <f>IFERROR(VLOOKUP(A40, 'ANEXO A'!$A$2:$L$94, 11, FALSE), "")</f>
        <v/>
      </c>
      <c r="E40" s="38">
        <f>IFERROR(VLOOKUP(A40, 'ANEXO A'!$A$2:$L$94, 8, FALSE), "")</f>
        <v/>
      </c>
      <c r="F40" s="90">
        <f>IFERROR(VLOOKUP(A40, 'ANEXO A'!$A$2:$L$94, 9, FALSE), "")</f>
        <v/>
      </c>
      <c r="G40" s="38">
        <f>IFERROR(VLOOKUP(A40, 'ANEXO A'!$A$2:$L$94, 10, FALSE), "")</f>
        <v/>
      </c>
      <c r="H40" s="38">
        <f>IFERROR(VLOOKUP(A40, 'ANEXO A'!$A$2:$L$94, 12, FALSE), "")</f>
        <v/>
      </c>
      <c r="I40" s="91" t="inlineStr">
        <is>
          <t>6.2 Políticas Específicas / GTH: Inclusión contractual de responsabilidades de seguridad y deber de sigilo institucional (GSO-GSI-MP-GSI / SEPS-2022-002).</t>
        </is>
      </c>
    </row>
    <row r="41" ht="33.75" customHeight="1" s="106">
      <c r="A41" s="33">
        <f>'ANEXO A'!A41</f>
        <v/>
      </c>
      <c r="B41" s="112">
        <f>IFERROR(VLOOKUP(A41, 'ANEXO A'!$A$2:$L$94, 2, FALSE), "")</f>
        <v/>
      </c>
      <c r="C41" s="33">
        <f>IF(LEFT(A41,1)="5", "5. Organizacionales", IF(LEFT(A41,1)="6", "6. Personas", IF(LEFT(A41,1)="7", "7. Físicos", "8. Tecnológicos")))</f>
        <v/>
      </c>
      <c r="D41" s="33">
        <f>IFERROR(VLOOKUP(A41, 'ANEXO A'!$A$2:$L$94, 11, FALSE), "")</f>
        <v/>
      </c>
      <c r="E41" s="38">
        <f>IFERROR(VLOOKUP(A41, 'ANEXO A'!$A$2:$L$94, 8, FALSE), "")</f>
        <v/>
      </c>
      <c r="F41" s="90">
        <f>IFERROR(VLOOKUP(A41, 'ANEXO A'!$A$2:$L$94, 9, FALSE), "")</f>
        <v/>
      </c>
      <c r="G41" s="38">
        <f>IFERROR(VLOOKUP(A41, 'ANEXO A'!$A$2:$L$94, 10, FALSE), "")</f>
        <v/>
      </c>
      <c r="H41" s="38">
        <f>IFERROR(VLOOKUP(A41, 'ANEXO A'!$A$2:$L$94, 12, FALSE), "")</f>
        <v/>
      </c>
      <c r="I41" s="91" t="inlineStr">
        <is>
          <t>Anexo 1 SEPS 002 (Cultura de SI): Ejecución del plan anual de capacitación y evaluación de efectividad/madurez en seguridad (SEPS-2022-002).</t>
        </is>
      </c>
    </row>
    <row r="42" ht="33.75" customHeight="1" s="106">
      <c r="A42" s="33">
        <f>'ANEXO A'!A42</f>
        <v/>
      </c>
      <c r="B42" s="112">
        <f>IFERROR(VLOOKUP(A42, 'ANEXO A'!$A$2:$L$94, 2, FALSE), "")</f>
        <v/>
      </c>
      <c r="C42" s="33">
        <f>IF(LEFT(A42,1)="5", "5. Organizacionales", IF(LEFT(A42,1)="6", "6. Personas", IF(LEFT(A42,1)="7", "7. Físicos", "8. Tecnológicos")))</f>
        <v/>
      </c>
      <c r="D42" s="33">
        <f>IFERROR(VLOOKUP(A42, 'ANEXO A'!$A$2:$L$94, 11, FALSE), "")</f>
        <v/>
      </c>
      <c r="E42" s="38">
        <f>IFERROR(VLOOKUP(A42, 'ANEXO A'!$A$2:$L$94, 8, FALSE), "")</f>
        <v/>
      </c>
      <c r="F42" s="90">
        <f>IFERROR(VLOOKUP(A42, 'ANEXO A'!$A$2:$L$94, 9, FALSE), "")</f>
        <v/>
      </c>
      <c r="G42" s="38">
        <f>IFERROR(VLOOKUP(A42, 'ANEXO A'!$A$2:$L$94, 10, FALSE), "")</f>
        <v/>
      </c>
      <c r="H42" s="38">
        <f>IFERROR(VLOOKUP(A42, 'ANEXO A'!$A$2:$L$94, 12, FALSE), "")</f>
        <v/>
      </c>
      <c r="I42" s="91" t="inlineStr">
        <is>
          <t>6.4 Políticas / Reglamento Interno: Aplicación de sanciones ante reincidencia en bloqueos, negligencia o vulneración de políticas de SI (GSO-GSI-MP-GSI).</t>
        </is>
      </c>
    </row>
    <row r="43" ht="33.75" customHeight="1" s="106">
      <c r="A43" s="33">
        <f>'ANEXO A'!A43</f>
        <v/>
      </c>
      <c r="B43" s="112">
        <f>IFERROR(VLOOKUP(A43, 'ANEXO A'!$A$2:$L$94, 2, FALSE), "")</f>
        <v/>
      </c>
      <c r="C43" s="33">
        <f>IF(LEFT(A43,1)="5", "5. Organizacionales", IF(LEFT(A43,1)="6", "6. Personas", IF(LEFT(A43,1)="7", "7. Físicos", "8. Tecnológicos")))</f>
        <v/>
      </c>
      <c r="D43" s="33">
        <f>IFERROR(VLOOKUP(A43, 'ANEXO A'!$A$2:$L$94, 11, FALSE), "")</f>
        <v/>
      </c>
      <c r="E43" s="38">
        <f>IFERROR(VLOOKUP(A43, 'ANEXO A'!$A$2:$L$94, 8, FALSE), "")</f>
        <v/>
      </c>
      <c r="F43" s="90">
        <f>IFERROR(VLOOKUP(A43, 'ANEXO A'!$A$2:$L$94, 9, FALSE), "")</f>
        <v/>
      </c>
      <c r="G43" s="38">
        <f>IFERROR(VLOOKUP(A43, 'ANEXO A'!$A$2:$L$94, 10, FALSE), "")</f>
        <v/>
      </c>
      <c r="H43" s="38">
        <f>IFERROR(VLOOKUP(A43, 'ANEXO A'!$A$2:$L$94, 12, FALSE), "")</f>
        <v/>
      </c>
      <c r="I43" s="91" t="inlineStr">
        <is>
          <t>6.3 Modificación / 6.5 Eliminación de usuarios: Suscripción de acuerdos de confidencialidad permanentes y revocación de accesos al cesar funciones (GSO-GSI-MP-GSI).</t>
        </is>
      </c>
    </row>
    <row r="44" ht="33.75" customHeight="1" s="106">
      <c r="A44" s="33">
        <f>'ANEXO A'!A44</f>
        <v/>
      </c>
      <c r="B44" s="112">
        <f>IFERROR(VLOOKUP(A44, 'ANEXO A'!$A$2:$L$94, 2, FALSE), "")</f>
        <v/>
      </c>
      <c r="C44" s="33">
        <f>IF(LEFT(A44,1)="5", "5. Organizacionales", IF(LEFT(A44,1)="6", "6. Personas", IF(LEFT(A44,1)="7", "7. Físicos", "8. Tecnológicos")))</f>
        <v/>
      </c>
      <c r="D44" s="33">
        <f>IFERROR(VLOOKUP(A44, 'ANEXO A'!$A$2:$L$94, 11, FALSE), "")</f>
        <v/>
      </c>
      <c r="E44" s="38">
        <f>IFERROR(VLOOKUP(A44, 'ANEXO A'!$A$2:$L$94, 8, FALSE), "")</f>
        <v/>
      </c>
      <c r="F44" s="90">
        <f>IFERROR(VLOOKUP(A44, 'ANEXO A'!$A$2:$L$94, 9, FALSE), "")</f>
        <v/>
      </c>
      <c r="G44" s="38">
        <f>IFERROR(VLOOKUP(A44, 'ANEXO A'!$A$2:$L$94, 10, FALSE), "")</f>
        <v/>
      </c>
      <c r="H44" s="38">
        <f>IFERROR(VLOOKUP(A44, 'ANEXO A'!$A$2:$L$94, 12, FALSE), "")</f>
        <v/>
      </c>
      <c r="I44" s="91" t="inlineStr">
        <is>
          <t>6.2 Creación (Equifax/Aval) / GTH: Firma obligatoria de convenios de confidencialidad por colaboradores y terceros (GSO-GSI-MP-GSI).</t>
        </is>
      </c>
    </row>
    <row r="45" ht="33.75" customHeight="1" s="106">
      <c r="A45" s="33">
        <f>'ANEXO A'!A45</f>
        <v/>
      </c>
      <c r="B45" s="112">
        <f>IFERROR(VLOOKUP(A45, 'ANEXO A'!$A$2:$L$94, 2, FALSE), "")</f>
        <v/>
      </c>
      <c r="C45" s="33">
        <f>IF(LEFT(A45,1)="5", "5. Organizacionales", IF(LEFT(A45,1)="6", "6. Personas", IF(LEFT(A45,1)="7", "7. Físicos", "8. Tecnológicos")))</f>
        <v/>
      </c>
      <c r="D45" s="33">
        <f>IFERROR(VLOOKUP(A45, 'ANEXO A'!$A$2:$L$94, 11, FALSE), "")</f>
        <v/>
      </c>
      <c r="E45" s="38">
        <f>IFERROR(VLOOKUP(A45, 'ANEXO A'!$A$2:$L$94, 8, FALSE), "")</f>
        <v/>
      </c>
      <c r="F45" s="90">
        <f>IFERROR(VLOOKUP(A45, 'ANEXO A'!$A$2:$L$94, 9, FALSE), "")</f>
        <v/>
      </c>
      <c r="G45" s="38">
        <f>IFERROR(VLOOKUP(A45, 'ANEXO A'!$A$2:$L$94, 10, FALSE), "")</f>
        <v/>
      </c>
      <c r="H45" s="38">
        <f>IFERROR(VLOOKUP(A45, 'ANEXO A'!$A$2:$L$94, 12, FALSE), "")</f>
        <v/>
      </c>
      <c r="I45" s="91" t="inlineStr">
        <is>
          <t>6.2 VPN Directorio Activo: Uso obligatorio de VPN corporativa y autenticación multifactor para accesos remotos autorizados (GSO-GSI-MP-GSI)</t>
        </is>
      </c>
    </row>
    <row r="46" ht="33.75" customHeight="1" s="106">
      <c r="A46" s="33">
        <f>'ANEXO A'!A46</f>
        <v/>
      </c>
      <c r="B46" s="112">
        <f>IFERROR(VLOOKUP(A46, 'ANEXO A'!$A$2:$L$94, 2, FALSE), "")</f>
        <v/>
      </c>
      <c r="C46" s="33">
        <f>IF(LEFT(A46,1)="5", "5. Organizacionales", IF(LEFT(A46,1)="6", "6. Personas", IF(LEFT(A46,1)="7", "7. Físicos", "8. Tecnológicos")))</f>
        <v/>
      </c>
      <c r="D46" s="33">
        <f>IFERROR(VLOOKUP(A46, 'ANEXO A'!$A$2:$L$94, 11, FALSE), "")</f>
        <v/>
      </c>
      <c r="E46" s="38">
        <f>IFERROR(VLOOKUP(A46, 'ANEXO A'!$A$2:$L$94, 8, FALSE), "")</f>
        <v/>
      </c>
      <c r="F46" s="90">
        <f>IFERROR(VLOOKUP(A46, 'ANEXO A'!$A$2:$L$94, 9, FALSE), "")</f>
        <v/>
      </c>
      <c r="G46" s="38">
        <f>IFERROR(VLOOKUP(A46, 'ANEXO A'!$A$2:$L$94, 10, FALSE), "")</f>
        <v/>
      </c>
      <c r="H46" s="38">
        <f>IFERROR(VLOOKUP(A46, 'ANEXO A'!$A$2:$L$94, 12, FALSE), "")</f>
        <v/>
      </c>
      <c r="I46" s="91" t="inlineStr">
        <is>
          <t>6.15 Gestión de incidentes (Act. 1): Canalización formal vía Service Desk y correo de cualquier evento o anomalía detectada (GSO-GSI-MP-GSI).</t>
        </is>
      </c>
    </row>
    <row r="47" ht="33.75" customHeight="1" s="106">
      <c r="A47" s="33">
        <f>'ANEXO A'!A47</f>
        <v/>
      </c>
      <c r="B47" s="112">
        <f>IFERROR(VLOOKUP(A47, 'ANEXO A'!$A$2:$L$94, 2, FALSE), "")</f>
        <v/>
      </c>
      <c r="C47" s="33">
        <f>IF(LEFT(A47,1)="5", "5. Organizacionales", IF(LEFT(A47,1)="6", "6. Personas", IF(LEFT(A47,1)="7", "7. Físicos", "8. Tecnológicos")))</f>
        <v/>
      </c>
      <c r="D47" s="33">
        <f>IFERROR(VLOOKUP(A47, 'ANEXO A'!$A$2:$L$94, 11, FALSE), "")</f>
        <v/>
      </c>
      <c r="E47" s="38">
        <f>IFERROR(VLOOKUP(A47, 'ANEXO A'!$A$2:$L$94, 8, FALSE), "")</f>
        <v/>
      </c>
      <c r="F47" s="90">
        <f>IFERROR(VLOOKUP(A47, 'ANEXO A'!$A$2:$L$94, 9, FALSE), "")</f>
        <v/>
      </c>
      <c r="G47" s="38">
        <f>IFERROR(VLOOKUP(A47, 'ANEXO A'!$A$2:$L$94, 10, FALSE), "")</f>
        <v/>
      </c>
      <c r="H47" s="38">
        <f>IFERROR(VLOOKUP(A47, 'ANEXO A'!$A$2:$L$94, 12, FALSE), "")</f>
        <v/>
      </c>
      <c r="I47" s="91" t="inlineStr">
        <is>
          <t>Anexo 1 SEPS 002 (Seguridad Física): Delimitación perimetral, puertas de seguridad y áreas de data center con acceso restringido (SEPS-2022-002).</t>
        </is>
      </c>
    </row>
    <row r="48" ht="33.75" customHeight="1" s="106">
      <c r="A48" s="33">
        <f>'ANEXO A'!A48</f>
        <v/>
      </c>
      <c r="B48" s="112">
        <f>IFERROR(VLOOKUP(A48, 'ANEXO A'!$A$2:$L$94, 2, FALSE), "")</f>
        <v/>
      </c>
      <c r="C48" s="33">
        <f>IF(LEFT(A48,1)="5", "5. Organizacionales", IF(LEFT(A48,1)="6", "6. Personas", IF(LEFT(A48,1)="7", "7. Físicos", "8. Tecnológicos")))</f>
        <v/>
      </c>
      <c r="D48" s="33">
        <f>IFERROR(VLOOKUP(A48, 'ANEXO A'!$A$2:$L$94, 11, FALSE), "")</f>
        <v/>
      </c>
      <c r="E48" s="38">
        <f>IFERROR(VLOOKUP(A48, 'ANEXO A'!$A$2:$L$94, 8, FALSE), "")</f>
        <v/>
      </c>
      <c r="F48" s="90">
        <f>IFERROR(VLOOKUP(A48, 'ANEXO A'!$A$2:$L$94, 9, FALSE), "")</f>
        <v/>
      </c>
      <c r="G48" s="38">
        <f>IFERROR(VLOOKUP(A48, 'ANEXO A'!$A$2:$L$94, 10, FALSE), "")</f>
        <v/>
      </c>
      <c r="H48" s="38">
        <f>IFERROR(VLOOKUP(A48, 'ANEXO A'!$A$2:$L$94, 12, FALSE), "")</f>
        <v/>
      </c>
      <c r="I48" s="91" t="inlineStr">
        <is>
          <t>Anexo 1 SEPS 002 / GAD: Control biométrico, tarjetas de proximidad y registro bitacorizado de visitantes (SEPS-2022-002).</t>
        </is>
      </c>
    </row>
    <row r="49" ht="33.75" customHeight="1" s="106">
      <c r="A49" s="33">
        <f>'ANEXO A'!A49</f>
        <v/>
      </c>
      <c r="B49" s="112">
        <f>IFERROR(VLOOKUP(A49, 'ANEXO A'!$A$2:$L$94, 2, FALSE), "")</f>
        <v/>
      </c>
      <c r="C49" s="33">
        <f>IF(LEFT(A49,1)="5", "5. Organizacionales", IF(LEFT(A49,1)="6", "6. Personas", IF(LEFT(A49,1)="7", "7. Físicos", "8. Tecnológicos")))</f>
        <v/>
      </c>
      <c r="D49" s="33">
        <f>IFERROR(VLOOKUP(A49, 'ANEXO A'!$A$2:$L$94, 11, FALSE), "")</f>
        <v/>
      </c>
      <c r="E49" s="38">
        <f>IFERROR(VLOOKUP(A49, 'ANEXO A'!$A$2:$L$94, 8, FALSE), "")</f>
        <v/>
      </c>
      <c r="F49" s="90">
        <f>IFERROR(VLOOKUP(A49, 'ANEXO A'!$A$2:$L$94, 9, FALSE), "")</f>
        <v/>
      </c>
      <c r="G49" s="38">
        <f>IFERROR(VLOOKUP(A49, 'ANEXO A'!$A$2:$L$94, 10, FALSE), "")</f>
        <v/>
      </c>
      <c r="H49" s="38">
        <f>IFERROR(VLOOKUP(A49, 'ANEXO A'!$A$2:$L$94, 12, FALSE), "")</f>
        <v/>
      </c>
      <c r="I49" s="91" t="inlineStr">
        <is>
          <t>Anexo 1 SEPS 002: Protección de zonas sensibles y aislamiento físico de áreas de procesamiento crítico (SEPS-2022-002).</t>
        </is>
      </c>
    </row>
    <row r="50" ht="33.75" customHeight="1" s="106">
      <c r="A50" s="33">
        <f>'ANEXO A'!A50</f>
        <v/>
      </c>
      <c r="B50" s="112">
        <f>IFERROR(VLOOKUP(A50, 'ANEXO A'!$A$2:$L$94, 2, FALSE), "")</f>
        <v/>
      </c>
      <c r="C50" s="33">
        <f>IF(LEFT(A50,1)="5", "5. Organizacionales", IF(LEFT(A50,1)="6", "6. Personas", IF(LEFT(A50,1)="7", "7. Físicos", "8. Tecnológicos")))</f>
        <v/>
      </c>
      <c r="D50" s="33">
        <f>IFERROR(VLOOKUP(A50, 'ANEXO A'!$A$2:$L$94, 11, FALSE), "")</f>
        <v/>
      </c>
      <c r="E50" s="38">
        <f>IFERROR(VLOOKUP(A50, 'ANEXO A'!$A$2:$L$94, 8, FALSE), "")</f>
        <v/>
      </c>
      <c r="F50" s="90">
        <f>IFERROR(VLOOKUP(A50, 'ANEXO A'!$A$2:$L$94, 9, FALSE), "")</f>
        <v/>
      </c>
      <c r="G50" s="38">
        <f>IFERROR(VLOOKUP(A50, 'ANEXO A'!$A$2:$L$94, 10, FALSE), "")</f>
        <v/>
      </c>
      <c r="H50" s="38">
        <f>IFERROR(VLOOKUP(A50, 'ANEXO A'!$A$2:$L$94, 12, FALSE), "")</f>
        <v/>
      </c>
      <c r="I50" s="91" t="inlineStr">
        <is>
          <t>Anexo 1 SEPS 002 / CCTV: Monitoreo y grabación permanente mediante Circuito Cerrado de Televisión y sensores de alarma (SEPS-2022-002).</t>
        </is>
      </c>
    </row>
    <row r="51" ht="45" customHeight="1" s="106">
      <c r="A51" s="33">
        <f>'ANEXO A'!A51</f>
        <v/>
      </c>
      <c r="B51" s="112">
        <f>IFERROR(VLOOKUP(A51, 'ANEXO A'!$A$2:$L$94, 2, FALSE), "")</f>
        <v/>
      </c>
      <c r="C51" s="33">
        <f>IF(LEFT(A51,1)="5", "5. Organizacionales", IF(LEFT(A51,1)="6", "6. Personas", IF(LEFT(A51,1)="7", "7. Físicos", "8. Tecnológicos")))</f>
        <v/>
      </c>
      <c r="D51" s="33">
        <f>IFERROR(VLOOKUP(A51, 'ANEXO A'!$A$2:$L$94, 11, FALSE), "")</f>
        <v/>
      </c>
      <c r="E51" s="38">
        <f>IFERROR(VLOOKUP(A51, 'ANEXO A'!$A$2:$L$94, 8, FALSE), "")</f>
        <v/>
      </c>
      <c r="F51" s="90">
        <f>IFERROR(VLOOKUP(A51, 'ANEXO A'!$A$2:$L$94, 9, FALSE), "")</f>
        <v/>
      </c>
      <c r="G51" s="38">
        <f>IFERROR(VLOOKUP(A51, 'ANEXO A'!$A$2:$L$94, 10, FALSE), "")</f>
        <v/>
      </c>
      <c r="H51" s="38">
        <f>IFERROR(VLOOKUP(A51, 'ANEXO A'!$A$2:$L$94, 12, FALSE), "")</f>
        <v/>
      </c>
      <c r="I51" s="91" t="inlineStr">
        <is>
          <t>Sec. 10.2.1 Metodología GAI (S31-S40): Sistemas de detección y extinción de incendios (FM200/gas), sensores de inundación y pararrayos (GSO-GSI-ME-GAI / SEPS-2022-002).</t>
        </is>
      </c>
    </row>
    <row r="52" ht="33.75" customHeight="1" s="106">
      <c r="A52" s="33">
        <f>'ANEXO A'!A52</f>
        <v/>
      </c>
      <c r="B52" s="112">
        <f>IFERROR(VLOOKUP(A52, 'ANEXO A'!$A$2:$L$94, 2, FALSE), "")</f>
        <v/>
      </c>
      <c r="C52" s="33">
        <f>IF(LEFT(A52,1)="5", "5. Organizacionales", IF(LEFT(A52,1)="6", "6. Personas", IF(LEFT(A52,1)="7", "7. Físicos", "8. Tecnológicos")))</f>
        <v/>
      </c>
      <c r="D52" s="33">
        <f>IFERROR(VLOOKUP(A52, 'ANEXO A'!$A$2:$L$94, 11, FALSE), "")</f>
        <v/>
      </c>
      <c r="E52" s="38">
        <f>IFERROR(VLOOKUP(A52, 'ANEXO A'!$A$2:$L$94, 8, FALSE), "")</f>
        <v/>
      </c>
      <c r="F52" s="90">
        <f>IFERROR(VLOOKUP(A52, 'ANEXO A'!$A$2:$L$94, 9, FALSE), "")</f>
        <v/>
      </c>
      <c r="G52" s="38">
        <f>IFERROR(VLOOKUP(A52, 'ANEXO A'!$A$2:$L$94, 10, FALSE), "")</f>
        <v/>
      </c>
      <c r="H52" s="38">
        <f>IFERROR(VLOOKUP(A52, 'ANEXO A'!$A$2:$L$94, 12, FALSE), "")</f>
        <v/>
      </c>
      <c r="I52" s="91" t="inlineStr">
        <is>
          <t>6.11 Claves críticas / 6.12 Llaves: Procedimientos restringidos para custodia de cajas fuertes y zonas de cifrado bajo estricto control (GSO-GSI-MP-GSI).</t>
        </is>
      </c>
    </row>
    <row r="53" ht="33.75" customHeight="1" s="106">
      <c r="A53" s="33">
        <f>'ANEXO A'!A53</f>
        <v/>
      </c>
      <c r="B53" s="112">
        <f>IFERROR(VLOOKUP(A53, 'ANEXO A'!$A$2:$L$94, 2, FALSE), "")</f>
        <v/>
      </c>
      <c r="C53" s="33">
        <f>IF(LEFT(A53,1)="5", "5. Organizacionales", IF(LEFT(A53,1)="6", "6. Personas", IF(LEFT(A53,1)="7", "7. Físicos", "8. Tecnológicos")))</f>
        <v/>
      </c>
      <c r="D53" s="33">
        <f>IFERROR(VLOOKUP(A53, 'ANEXO A'!$A$2:$L$94, 11, FALSE), "")</f>
        <v/>
      </c>
      <c r="E53" s="38">
        <f>IFERROR(VLOOKUP(A53, 'ANEXO A'!$A$2:$L$94, 8, FALSE), "")</f>
        <v/>
      </c>
      <c r="F53" s="90">
        <f>IFERROR(VLOOKUP(A53, 'ANEXO A'!$A$2:$L$94, 9, FALSE), "")</f>
        <v/>
      </c>
      <c r="G53" s="38">
        <f>IFERROR(VLOOKUP(A53, 'ANEXO A'!$A$2:$L$94, 10, FALSE), "")</f>
        <v/>
      </c>
      <c r="H53" s="38">
        <f>IFERROR(VLOOKUP(A53, 'ANEXO A'!$A$2:$L$94, 12, FALSE), "")</f>
        <v/>
      </c>
      <c r="I53" s="91" t="inlineStr">
        <is>
          <t>6.16 Revisión y monitoreo de políticas: Bloqueo automático de estación por inactividad y resguardo bajo llave de documentos físicos (GSO-GSI-MP-GSI).</t>
        </is>
      </c>
    </row>
    <row r="54" ht="33.75" customHeight="1" s="106">
      <c r="A54" s="33">
        <f>'ANEXO A'!A54</f>
        <v/>
      </c>
      <c r="B54" s="112">
        <f>IFERROR(VLOOKUP(A54, 'ANEXO A'!$A$2:$L$94, 2, FALSE), "")</f>
        <v/>
      </c>
      <c r="C54" s="33">
        <f>IF(LEFT(A54,1)="5", "5. Organizacionales", IF(LEFT(A54,1)="6", "6. Personas", IF(LEFT(A54,1)="7", "7. Físicos", "8. Tecnológicos")))</f>
        <v/>
      </c>
      <c r="D54" s="33">
        <f>IFERROR(VLOOKUP(A54, 'ANEXO A'!$A$2:$L$94, 11, FALSE), "")</f>
        <v/>
      </c>
      <c r="E54" s="38">
        <f>IFERROR(VLOOKUP(A54, 'ANEXO A'!$A$2:$L$94, 8, FALSE), "")</f>
        <v/>
      </c>
      <c r="F54" s="90">
        <f>IFERROR(VLOOKUP(A54, 'ANEXO A'!$A$2:$L$94, 9, FALSE), "")</f>
        <v/>
      </c>
      <c r="G54" s="38">
        <f>IFERROR(VLOOKUP(A54, 'ANEXO A'!$A$2:$L$94, 10, FALSE), "")</f>
        <v/>
      </c>
      <c r="H54" s="38">
        <f>IFERROR(VLOOKUP(A54, 'ANEXO A'!$A$2:$L$94, 12, FALSE), "")</f>
        <v/>
      </c>
      <c r="I54" s="91" t="inlineStr">
        <is>
          <t>6.13 Gestión de activos / TI: Ubicación de servidores y racks en centros de datos con control de clima y energía (GSO-GSI-ME-GAI / SEPS-2022-002).</t>
        </is>
      </c>
    </row>
    <row r="55" ht="33.75" customHeight="1" s="106">
      <c r="A55" s="33">
        <f>'ANEXO A'!A55</f>
        <v/>
      </c>
      <c r="B55" s="112">
        <f>IFERROR(VLOOKUP(A55, 'ANEXO A'!$A$2:$L$94, 2, FALSE), "")</f>
        <v/>
      </c>
      <c r="C55" s="33">
        <f>IF(LEFT(A55,1)="5", "5. Organizacionales", IF(LEFT(A55,1)="6", "6. Personas", IF(LEFT(A55,1)="7", "7. Físicos", "8. Tecnológicos")))</f>
        <v/>
      </c>
      <c r="D55" s="33">
        <f>IFERROR(VLOOKUP(A55, 'ANEXO A'!$A$2:$L$94, 11, FALSE), "")</f>
        <v/>
      </c>
      <c r="E55" s="38">
        <f>IFERROR(VLOOKUP(A55, 'ANEXO A'!$A$2:$L$94, 8, FALSE), "")</f>
        <v/>
      </c>
      <c r="F55" s="90">
        <f>IFERROR(VLOOKUP(A55, 'ANEXO A'!$A$2:$L$94, 9, FALSE), "")</f>
        <v/>
      </c>
      <c r="G55" s="38">
        <f>IFERROR(VLOOKUP(A55, 'ANEXO A'!$A$2:$L$94, 10, FALSE), "")</f>
        <v/>
      </c>
      <c r="H55" s="38">
        <f>IFERROR(VLOOKUP(A55, 'ANEXO A'!$A$2:$L$94, 12, FALSE), "")</f>
        <v/>
      </c>
      <c r="I55" s="91" t="inlineStr">
        <is>
          <t>6.1 Políticas Generales (Item 4): Equipos portátiles integrados al Directorio Activo, antivirus y cifrado de disco (GSO-GSI-MP-GSI).</t>
        </is>
      </c>
    </row>
    <row r="56" ht="33.75" customHeight="1" s="106">
      <c r="A56" s="33">
        <f>'ANEXO A'!A56</f>
        <v/>
      </c>
      <c r="B56" s="112">
        <f>IFERROR(VLOOKUP(A56, 'ANEXO A'!$A$2:$L$94, 2, FALSE), "")</f>
        <v/>
      </c>
      <c r="C56" s="33">
        <f>IF(LEFT(A56,1)="5", "5. Organizacionales", IF(LEFT(A56,1)="6", "6. Personas", IF(LEFT(A56,1)="7", "7. Físicos", "8. Tecnológicos")))</f>
        <v/>
      </c>
      <c r="D56" s="33">
        <f>IFERROR(VLOOKUP(A56, 'ANEXO A'!$A$2:$L$94, 11, FALSE), "")</f>
        <v/>
      </c>
      <c r="E56" s="38">
        <f>IFERROR(VLOOKUP(A56, 'ANEXO A'!$A$2:$L$94, 8, FALSE), "")</f>
        <v/>
      </c>
      <c r="F56" s="90">
        <f>IFERROR(VLOOKUP(A56, 'ANEXO A'!$A$2:$L$94, 9, FALSE), "")</f>
        <v/>
      </c>
      <c r="G56" s="38">
        <f>IFERROR(VLOOKUP(A56, 'ANEXO A'!$A$2:$L$94, 10, FALSE), "")</f>
        <v/>
      </c>
      <c r="H56" s="38">
        <f>IFERROR(VLOOKUP(A56, 'ANEXO A'!$A$2:$L$94, 12, FALSE), "")</f>
        <v/>
      </c>
      <c r="I56" s="91" t="inlineStr">
        <is>
          <t>6.9 FTP / 6.13 Activos: Control y restricción de medios extraíbles (USB/discos) y almacenamiento de backups (GSO-GSI-MP-GSI / GSO-GSI-ME-GAI).</t>
        </is>
      </c>
    </row>
    <row r="57" ht="33.75" customHeight="1" s="106">
      <c r="A57" s="33">
        <f>'ANEXO A'!A57</f>
        <v/>
      </c>
      <c r="B57" s="112">
        <f>IFERROR(VLOOKUP(A57, 'ANEXO A'!$A$2:$L$94, 2, FALSE), "")</f>
        <v/>
      </c>
      <c r="C57" s="33">
        <f>IF(LEFT(A57,1)="5", "5. Organizacionales", IF(LEFT(A57,1)="6", "6. Personas", IF(LEFT(A57,1)="7", "7. Físicos", "8. Tecnológicos")))</f>
        <v/>
      </c>
      <c r="D57" s="33">
        <f>IFERROR(VLOOKUP(A57, 'ANEXO A'!$A$2:$L$94, 11, FALSE), "")</f>
        <v/>
      </c>
      <c r="E57" s="38">
        <f>IFERROR(VLOOKUP(A57, 'ANEXO A'!$A$2:$L$94, 8, FALSE), "")</f>
        <v/>
      </c>
      <c r="F57" s="90">
        <f>IFERROR(VLOOKUP(A57, 'ANEXO A'!$A$2:$L$94, 9, FALSE), "")</f>
        <v/>
      </c>
      <c r="G57" s="38">
        <f>IFERROR(VLOOKUP(A57, 'ANEXO A'!$A$2:$L$94, 10, FALSE), "")</f>
        <v/>
      </c>
      <c r="H57" s="38">
        <f>IFERROR(VLOOKUP(A57, 'ANEXO A'!$A$2:$L$94, 12, FALSE), "")</f>
        <v/>
      </c>
      <c r="I57" s="91" t="inlineStr">
        <is>
          <t>Sec. 10.2.1 Metodología GAI (S32-S33): Respaldo eléctrico mediante UPS redundantes y generador eléctrico (GSO-GSI-ME-GAI / SEPS-2022-002).</t>
        </is>
      </c>
    </row>
    <row r="58" ht="33.75" customHeight="1" s="106">
      <c r="A58" s="33">
        <f>'ANEXO A'!A58</f>
        <v/>
      </c>
      <c r="B58" s="112">
        <f>IFERROR(VLOOKUP(A58, 'ANEXO A'!$A$2:$L$94, 2, FALSE), "")</f>
        <v/>
      </c>
      <c r="C58" s="33">
        <f>IF(LEFT(A58,1)="5", "5. Organizacionales", IF(LEFT(A58,1)="6", "6. Personas", IF(LEFT(A58,1)="7", "7. Físicos", "8. Tecnológicos")))</f>
        <v/>
      </c>
      <c r="D58" s="33">
        <f>IFERROR(VLOOKUP(A58, 'ANEXO A'!$A$2:$L$94, 11, FALSE), "")</f>
        <v/>
      </c>
      <c r="E58" s="38">
        <f>IFERROR(VLOOKUP(A58, 'ANEXO A'!$A$2:$L$94, 8, FALSE), "")</f>
        <v/>
      </c>
      <c r="F58" s="90">
        <f>IFERROR(VLOOKUP(A58, 'ANEXO A'!$A$2:$L$94, 9, FALSE), "")</f>
        <v/>
      </c>
      <c r="G58" s="38">
        <f>IFERROR(VLOOKUP(A58, 'ANEXO A'!$A$2:$L$94, 10, FALSE), "")</f>
        <v/>
      </c>
      <c r="H58" s="38">
        <f>IFERROR(VLOOKUP(A58, 'ANEXO A'!$A$2:$L$94, 12, FALSE), "")</f>
        <v/>
      </c>
      <c r="I58" s="91" t="inlineStr">
        <is>
          <t>Anexo 1 SEPS (Infraestructura): Cableado estructurado canalizado, ordenado y protegido en ductos cerrados (SEPS-2022-002).</t>
        </is>
      </c>
    </row>
    <row r="59" ht="33.75" customHeight="1" s="106">
      <c r="A59" s="33">
        <f>'ANEXO A'!A59</f>
        <v/>
      </c>
      <c r="B59" s="112">
        <f>IFERROR(VLOOKUP(A59, 'ANEXO A'!$A$2:$L$94, 2, FALSE), "")</f>
        <v/>
      </c>
      <c r="C59" s="33">
        <f>IF(LEFT(A59,1)="5", "5. Organizacionales", IF(LEFT(A59,1)="6", "6. Personas", IF(LEFT(A59,1)="7", "7. Físicos", "8. Tecnológicos")))</f>
        <v/>
      </c>
      <c r="D59" s="33">
        <f>IFERROR(VLOOKUP(A59, 'ANEXO A'!$A$2:$L$94, 11, FALSE), "")</f>
        <v/>
      </c>
      <c r="E59" s="38">
        <f>IFERROR(VLOOKUP(A59, 'ANEXO A'!$A$2:$L$94, 8, FALSE), "")</f>
        <v/>
      </c>
      <c r="F59" s="90">
        <f>IFERROR(VLOOKUP(A59, 'ANEXO A'!$A$2:$L$94, 9, FALSE), "")</f>
        <v/>
      </c>
      <c r="G59" s="38">
        <f>IFERROR(VLOOKUP(A59, 'ANEXO A'!$A$2:$L$94, 10, FALSE), "")</f>
        <v/>
      </c>
      <c r="H59" s="38">
        <f>IFERROR(VLOOKUP(A59, 'ANEXO A'!$A$2:$L$94, 12, FALSE), "")</f>
        <v/>
      </c>
      <c r="I59" s="91" t="inlineStr">
        <is>
          <t>6.19 Escaneo / Plan TI: Mantenimiento preventivo y correctivo periódico a infraestructura bajo bitácora y supervisión (GSO-GSI-MP-GSI / SEPS-2022-002).</t>
        </is>
      </c>
    </row>
    <row r="60" ht="33.75" customHeight="1" s="106">
      <c r="A60" s="33">
        <f>'ANEXO A'!A60</f>
        <v/>
      </c>
      <c r="B60" s="112">
        <f>IFERROR(VLOOKUP(A60, 'ANEXO A'!$A$2:$L$94, 2, FALSE), "")</f>
        <v/>
      </c>
      <c r="C60" s="33">
        <f>IF(LEFT(A60,1)="5", "5. Organizacionales", IF(LEFT(A60,1)="6", "6. Personas", IF(LEFT(A60,1)="7", "7. Físicos", "8. Tecnológicos")))</f>
        <v/>
      </c>
      <c r="D60" s="33">
        <f>IFERROR(VLOOKUP(A60, 'ANEXO A'!$A$2:$L$94, 11, FALSE), "")</f>
        <v/>
      </c>
      <c r="E60" s="38">
        <f>IFERROR(VLOOKUP(A60, 'ANEXO A'!$A$2:$L$94, 8, FALSE), "")</f>
        <v/>
      </c>
      <c r="F60" s="90">
        <f>IFERROR(VLOOKUP(A60, 'ANEXO A'!$A$2:$L$94, 9, FALSE), "")</f>
        <v/>
      </c>
      <c r="G60" s="38">
        <f>IFERROR(VLOOKUP(A60, 'ANEXO A'!$A$2:$L$94, 10, FALSE), "")</f>
        <v/>
      </c>
      <c r="H60" s="38">
        <f>IFERROR(VLOOKUP(A60, 'ANEXO A'!$A$2:$L$94, 12, FALSE), "")</f>
        <v/>
      </c>
      <c r="I60" s="91" t="inlineStr">
        <is>
          <t>Sec. 1 Metodología GAI / Bajas TI: Borrado seguro de medios de almacenamiento y desmagnetización/destrucción de discos dados de baja (GSO-GSI-ME-GAI / ISO 27002).</t>
        </is>
      </c>
    </row>
    <row r="61" ht="33.75" customHeight="1" s="106">
      <c r="A61" s="33">
        <f>'ANEXO A'!A61</f>
        <v/>
      </c>
      <c r="B61" s="112">
        <f>IFERROR(VLOOKUP(A61, 'ANEXO A'!$A$2:$L$94, 2, FALSE), "")</f>
        <v/>
      </c>
      <c r="C61" s="33">
        <f>IF(LEFT(A61,1)="5", "5. Organizacionales", IF(LEFT(A61,1)="6", "6. Personas", IF(LEFT(A61,1)="7", "7. Físicos", "8. Tecnológicos")))</f>
        <v/>
      </c>
      <c r="D61" s="33">
        <f>IFERROR(VLOOKUP(A61, 'ANEXO A'!$A$2:$L$94, 11, FALSE), "")</f>
        <v/>
      </c>
      <c r="E61" s="38">
        <f>IFERROR(VLOOKUP(A61, 'ANEXO A'!$A$2:$L$94, 8, FALSE), "")</f>
        <v/>
      </c>
      <c r="F61" s="90">
        <f>IFERROR(VLOOKUP(A61, 'ANEXO A'!$A$2:$L$94, 9, FALSE), "")</f>
        <v/>
      </c>
      <c r="G61" s="38">
        <f>IFERROR(VLOOKUP(A61, 'ANEXO A'!$A$2:$L$94, 10, FALSE), "")</f>
        <v/>
      </c>
      <c r="H61" s="38">
        <f>IFERROR(VLOOKUP(A61, 'ANEXO A'!$A$2:$L$94, 12, FALSE), "")</f>
        <v/>
      </c>
      <c r="I61" s="91" t="inlineStr">
        <is>
          <t>6.1 Políticas Generales (Item 4) / 6.16: Gestión unificada por Directorio Activo, políticas GPO y monitoreo de terminales (GSO-GSI-MP-GSI).</t>
        </is>
      </c>
    </row>
    <row r="62" ht="22.5" customHeight="1" s="106">
      <c r="A62" s="33">
        <f>'ANEXO A'!A62</f>
        <v/>
      </c>
      <c r="B62" s="112">
        <f>IFERROR(VLOOKUP(A62, 'ANEXO A'!$A$2:$L$94, 2, FALSE), "")</f>
        <v/>
      </c>
      <c r="C62" s="33">
        <f>IF(LEFT(A62,1)="5", "5. Organizacionales", IF(LEFT(A62,1)="6", "6. Personas", IF(LEFT(A62,1)="7", "7. Físicos", "8. Tecnológicos")))</f>
        <v/>
      </c>
      <c r="D62" s="33">
        <f>IFERROR(VLOOKUP(A62, 'ANEXO A'!$A$2:$L$94, 11, FALSE), "")</f>
        <v/>
      </c>
      <c r="E62" s="38">
        <f>IFERROR(VLOOKUP(A62, 'ANEXO A'!$A$2:$L$94, 8, FALSE), "")</f>
        <v/>
      </c>
      <c r="F62" s="90">
        <f>IFERROR(VLOOKUP(A62, 'ANEXO A'!$A$2:$L$94, 9, FALSE), "")</f>
        <v/>
      </c>
      <c r="G62" s="38">
        <f>IFERROR(VLOOKUP(A62, 'ANEXO A'!$A$2:$L$94, 10, FALSE), "")</f>
        <v/>
      </c>
      <c r="H62" s="38">
        <f>IFERROR(VLOOKUP(A62, 'ANEXO A'!$A$2:$L$94, 12, FALSE), "")</f>
        <v/>
      </c>
      <c r="I62" s="91" t="inlineStr">
        <is>
          <t>6.7. Administración de roles y perfiles - Control de acceso privilegiado (GSO-GSI-MP-GSI)</t>
        </is>
      </c>
    </row>
    <row r="63" ht="22.5" customHeight="1" s="106">
      <c r="A63" s="33">
        <f>'ANEXO A'!A63</f>
        <v/>
      </c>
      <c r="B63" s="112">
        <f>IFERROR(VLOOKUP(A63, 'ANEXO A'!$A$2:$L$94, 2, FALSE), "")</f>
        <v/>
      </c>
      <c r="C63" s="33">
        <f>IF(LEFT(A63,1)="5", "5. Organizacionales", IF(LEFT(A63,1)="6", "6. Personas", IF(LEFT(A63,1)="7", "7. Físicos", "8. Tecnológicos")))</f>
        <v/>
      </c>
      <c r="D63" s="33">
        <f>IFERROR(VLOOKUP(A63, 'ANEXO A'!$A$2:$L$94, 11, FALSE), "")</f>
        <v/>
      </c>
      <c r="E63" s="38">
        <f>IFERROR(VLOOKUP(A63, 'ANEXO A'!$A$2:$L$94, 8, FALSE), "")</f>
        <v/>
      </c>
      <c r="F63" s="90">
        <f>IFERROR(VLOOKUP(A63, 'ANEXO A'!$A$2:$L$94, 9, FALSE), "")</f>
        <v/>
      </c>
      <c r="G63" s="38">
        <f>IFERROR(VLOOKUP(A63, 'ANEXO A'!$A$2:$L$94, 10, FALSE), "")</f>
        <v/>
      </c>
      <c r="H63" s="38">
        <f>IFERROR(VLOOKUP(A63, 'ANEXO A'!$A$2:$L$94, 12, FALSE), "")</f>
        <v/>
      </c>
      <c r="I63" s="91" t="inlineStr">
        <is>
          <t>6.4. Bloqueo y Desbloqueo de usuarios / 6.5 Eliminación de usuarios (GSO-GSI-MP-GSI)</t>
        </is>
      </c>
    </row>
    <row r="64" ht="45" customHeight="1" s="106">
      <c r="A64" s="33">
        <f>'ANEXO A'!A64</f>
        <v/>
      </c>
      <c r="B64" s="112">
        <f>IFERROR(VLOOKUP(A64, 'ANEXO A'!$A$2:$L$94, 2, FALSE), "")</f>
        <v/>
      </c>
      <c r="C64" s="33">
        <f>IF(LEFT(A64,1)="5", "5. Organizacionales", IF(LEFT(A64,1)="6", "6. Personas", IF(LEFT(A64,1)="7", "7. Físicos", "8. Tecnológicos")))</f>
        <v/>
      </c>
      <c r="D64" s="33">
        <f>IFERROR(VLOOKUP(A64, 'ANEXO A'!$A$2:$L$94, 11, FALSE), "")</f>
        <v/>
      </c>
      <c r="E64" s="38">
        <f>IFERROR(VLOOKUP(A64, 'ANEXO A'!$A$2:$L$94, 8, FALSE), "")</f>
        <v/>
      </c>
      <c r="F64" s="90">
        <f>IFERROR(VLOOKUP(A64, 'ANEXO A'!$A$2:$L$94, 9, FALSE), "")</f>
        <v/>
      </c>
      <c r="G64" s="38">
        <f>IFERROR(VLOOKUP(A64, 'ANEXO A'!$A$2:$L$94, 10, FALSE), "")</f>
        <v/>
      </c>
      <c r="H64" s="38">
        <f>IFERROR(VLOOKUP(A64, 'ANEXO A'!$A$2:$L$94, 12, FALSE), "")</f>
        <v/>
      </c>
      <c r="I64" s="91" t="inlineStr">
        <is>
          <t>Anexo 1 SEPS (Desarrollo): Restricción y control de repositorios de software y herramientas de desarrollo bajo mínima asignación de privilegios (SEPS-2022-002 / ISO 27002).</t>
        </is>
      </c>
    </row>
    <row r="65" ht="33.75" customHeight="1" s="106">
      <c r="A65" s="33">
        <f>'ANEXO A'!A65</f>
        <v/>
      </c>
      <c r="B65" s="112">
        <f>IFERROR(VLOOKUP(A65, 'ANEXO A'!$A$2:$L$94, 2, FALSE), "")</f>
        <v/>
      </c>
      <c r="C65" s="33">
        <f>IF(LEFT(A65,1)="5", "5. Organizacionales", IF(LEFT(A65,1)="6", "6. Personas", IF(LEFT(A65,1)="7", "7. Físicos", "8. Tecnológicos")))</f>
        <v/>
      </c>
      <c r="D65" s="33">
        <f>IFERROR(VLOOKUP(A65, 'ANEXO A'!$A$2:$L$94, 11, FALSE), "")</f>
        <v/>
      </c>
      <c r="E65" s="38">
        <f>IFERROR(VLOOKUP(A65, 'ANEXO A'!$A$2:$L$94, 8, FALSE), "")</f>
        <v/>
      </c>
      <c r="F65" s="90">
        <f>IFERROR(VLOOKUP(A65, 'ANEXO A'!$A$2:$L$94, 9, FALSE), "")</f>
        <v/>
      </c>
      <c r="G65" s="38">
        <f>IFERROR(VLOOKUP(A65, 'ANEXO A'!$A$2:$L$94, 10, FALSE), "")</f>
        <v/>
      </c>
      <c r="H65" s="38">
        <f>IFERROR(VLOOKUP(A65, 'ANEXO A'!$A$2:$L$94, 12, FALSE), "")</f>
        <v/>
      </c>
      <c r="I65" s="91" t="inlineStr">
        <is>
          <t>6.4 Bloqueo / 6.2 MFA Azure: Implementación de contraseñas robustas, bloqueo por intentos fallidos y autenticación multifactor (GSO-GSI-MP-GSI).</t>
        </is>
      </c>
    </row>
    <row r="66" ht="33.75" customHeight="1" s="106">
      <c r="A66" s="33">
        <f>'ANEXO A'!A66</f>
        <v/>
      </c>
      <c r="B66" s="112">
        <f>IFERROR(VLOOKUP(A66, 'ANEXO A'!$A$2:$L$94, 2, FALSE), "")</f>
        <v/>
      </c>
      <c r="C66" s="33">
        <f>IF(LEFT(A66,1)="5", "5. Organizacionales", IF(LEFT(A66,1)="6", "6. Personas", IF(LEFT(A66,1)="7", "7. Físicos", "8. Tecnológicos")))</f>
        <v/>
      </c>
      <c r="D66" s="33">
        <f>IFERROR(VLOOKUP(A66, 'ANEXO A'!$A$2:$L$94, 11, FALSE), "")</f>
        <v/>
      </c>
      <c r="E66" s="38">
        <f>IFERROR(VLOOKUP(A66, 'ANEXO A'!$A$2:$L$94, 8, FALSE), "")</f>
        <v/>
      </c>
      <c r="F66" s="90">
        <f>IFERROR(VLOOKUP(A66, 'ANEXO A'!$A$2:$L$94, 9, FALSE), "")</f>
        <v/>
      </c>
      <c r="G66" s="38">
        <f>IFERROR(VLOOKUP(A66, 'ANEXO A'!$A$2:$L$94, 10, FALSE), "")</f>
        <v/>
      </c>
      <c r="H66" s="38">
        <f>IFERROR(VLOOKUP(A66, 'ANEXO A'!$A$2:$L$94, 12, FALSE), "")</f>
        <v/>
      </c>
      <c r="I66" s="91" t="inlineStr">
        <is>
          <t>6.14 Auditoría BD (Pol. 5): Monitoreo semestral del consumo de recursos, almacenamiento y rendimiento de base de datos y Core (GSO-GSI-MP-GSI).</t>
        </is>
      </c>
    </row>
    <row r="67" ht="33.75" customHeight="1" s="106">
      <c r="A67" s="33">
        <f>'ANEXO A'!A67</f>
        <v/>
      </c>
      <c r="B67" s="112">
        <f>IFERROR(VLOOKUP(A67, 'ANEXO A'!$A$2:$L$94, 2, FALSE), "")</f>
        <v/>
      </c>
      <c r="C67" s="33">
        <f>IF(LEFT(A67,1)="5", "5. Organizacionales", IF(LEFT(A67,1)="6", "6. Personas", IF(LEFT(A67,1)="7", "7. Físicos", "8. Tecnológicos")))</f>
        <v/>
      </c>
      <c r="D67" s="33">
        <f>IFERROR(VLOOKUP(A67, 'ANEXO A'!$A$2:$L$94, 11, FALSE), "")</f>
        <v/>
      </c>
      <c r="E67" s="38">
        <f>IFERROR(VLOOKUP(A67, 'ANEXO A'!$A$2:$L$94, 8, FALSE), "")</f>
        <v/>
      </c>
      <c r="F67" s="90">
        <f>IFERROR(VLOOKUP(A67, 'ANEXO A'!$A$2:$L$94, 9, FALSE), "")</f>
        <v/>
      </c>
      <c r="G67" s="38">
        <f>IFERROR(VLOOKUP(A67, 'ANEXO A'!$A$2:$L$94, 10, FALSE), "")</f>
        <v/>
      </c>
      <c r="H67" s="38">
        <f>IFERROR(VLOOKUP(A67, 'ANEXO A'!$A$2:$L$94, 12, FALSE), "")</f>
        <v/>
      </c>
      <c r="I67" s="91" t="inlineStr">
        <is>
          <t>6.11 Cuentas Críticas (Antivirus/AntiSpam): Administración centralizada de consola antivirus, filtros antispam y actualización de firmas (GSO-GSI-MP-GSI).</t>
        </is>
      </c>
    </row>
    <row r="68" ht="45" customHeight="1" s="106">
      <c r="A68" s="33">
        <f>'ANEXO A'!A68</f>
        <v/>
      </c>
      <c r="B68" s="112">
        <f>IFERROR(VLOOKUP(A68, 'ANEXO A'!$A$2:$L$94, 2, FALSE), "")</f>
        <v/>
      </c>
      <c r="C68" s="33">
        <f>IF(LEFT(A68,1)="5", "5. Organizacionales", IF(LEFT(A68,1)="6", "6. Personas", IF(LEFT(A68,1)="7", "7. Físicos", "8. Tecnológicos")))</f>
        <v/>
      </c>
      <c r="D68" s="33">
        <f>IFERROR(VLOOKUP(A68, 'ANEXO A'!$A$2:$L$94, 11, FALSE), "")</f>
        <v/>
      </c>
      <c r="E68" s="38">
        <f>IFERROR(VLOOKUP(A68, 'ANEXO A'!$A$2:$L$94, 8, FALSE), "")</f>
        <v/>
      </c>
      <c r="F68" s="90">
        <f>IFERROR(VLOOKUP(A68, 'ANEXO A'!$A$2:$L$94, 9, FALSE), "")</f>
        <v/>
      </c>
      <c r="G68" s="38">
        <f>IFERROR(VLOOKUP(A68, 'ANEXO A'!$A$2:$L$94, 10, FALSE), "")</f>
        <v/>
      </c>
      <c r="H68" s="38">
        <f>IFERROR(VLOOKUP(A68, 'ANEXO A'!$A$2:$L$94, 12, FALSE), "")</f>
        <v/>
      </c>
      <c r="I68" s="91" t="inlineStr">
        <is>
          <t>6.19. Escaneo de vulnerabilidades internas y externas - Mantenimiento de software (GSO-GSI-MP-GSI)</t>
        </is>
      </c>
    </row>
    <row r="69" ht="45" customHeight="1" s="106">
      <c r="A69" s="33">
        <f>'ANEXO A'!A69</f>
        <v/>
      </c>
      <c r="B69" s="112">
        <f>IFERROR(VLOOKUP(A69, 'ANEXO A'!$A$2:$L$94, 2, FALSE), "")</f>
        <v/>
      </c>
      <c r="C69" s="33">
        <f>IF(LEFT(A69,1)="5", "5. Organizacionales", IF(LEFT(A69,1)="6", "6. Personas", IF(LEFT(A69,1)="7", "7. Físicos", "8. Tecnológicos")))</f>
        <v/>
      </c>
      <c r="D69" s="33">
        <f>IFERROR(VLOOKUP(A69, 'ANEXO A'!$A$2:$L$94, 11, FALSE), "")</f>
        <v/>
      </c>
      <c r="E69" s="38">
        <f>IFERROR(VLOOKUP(A69, 'ANEXO A'!$A$2:$L$94, 8, FALSE), "")</f>
        <v/>
      </c>
      <c r="F69" s="90">
        <f>IFERROR(VLOOKUP(A69, 'ANEXO A'!$A$2:$L$94, 9, FALSE), "")</f>
        <v/>
      </c>
      <c r="G69" s="38">
        <f>IFERROR(VLOOKUP(A69, 'ANEXO A'!$A$2:$L$94, 10, FALSE), "")</f>
        <v/>
      </c>
      <c r="H69" s="38">
        <f>IFERROR(VLOOKUP(A69, 'ANEXO A'!$A$2:$L$94, 12, FALSE), "")</f>
        <v/>
      </c>
      <c r="I69" s="91" t="inlineStr">
        <is>
          <t>Anexo 1 SEPS 002 (Configuración): Establecimiento y auditoría de líneas base seguras (Hardening) en servidores, BD y comunicaciones (SEPS-2022-002).</t>
        </is>
      </c>
    </row>
    <row r="70" ht="33.75" customHeight="1" s="106">
      <c r="A70" s="33">
        <f>'ANEXO A'!A70</f>
        <v/>
      </c>
      <c r="B70" s="112">
        <f>IFERROR(VLOOKUP(A70, 'ANEXO A'!$A$2:$L$94, 2, FALSE), "")</f>
        <v/>
      </c>
      <c r="C70" s="33">
        <f>IF(LEFT(A70,1)="5", "5. Organizacionales", IF(LEFT(A70,1)="6", "6. Personas", IF(LEFT(A70,1)="7", "7. Físicos", "8. Tecnológicos")))</f>
        <v/>
      </c>
      <c r="D70" s="33">
        <f>IFERROR(VLOOKUP(A70, 'ANEXO A'!$A$2:$L$94, 11, FALSE), "")</f>
        <v/>
      </c>
      <c r="E70" s="38">
        <f>IFERROR(VLOOKUP(A70, 'ANEXO A'!$A$2:$L$94, 8, FALSE), "")</f>
        <v/>
      </c>
      <c r="F70" s="90">
        <f>IFERROR(VLOOKUP(A70, 'ANEXO A'!$A$2:$L$94, 9, FALSE), "")</f>
        <v/>
      </c>
      <c r="G70" s="38">
        <f>IFERROR(VLOOKUP(A70, 'ANEXO A'!$A$2:$L$94, 10, FALSE), "")</f>
        <v/>
      </c>
      <c r="H70" s="38">
        <f>IFERROR(VLOOKUP(A70, 'ANEXO A'!$A$2:$L$94, 12, FALSE), "")</f>
        <v/>
      </c>
      <c r="I70" s="91" t="inlineStr">
        <is>
          <t>6.5 Eliminación de usuarios / Retención: Expiración de productos/roles y purga segura de archivos temporales (GSO-GSI-MP-GSI / ISO 27002).</t>
        </is>
      </c>
    </row>
    <row r="71" ht="33.75" customHeight="1" s="106">
      <c r="A71" s="33">
        <f>'ANEXO A'!A71</f>
        <v/>
      </c>
      <c r="B71" s="112">
        <f>IFERROR(VLOOKUP(A71, 'ANEXO A'!$A$2:$L$94, 2, FALSE), "")</f>
        <v/>
      </c>
      <c r="C71" s="33">
        <f>IF(LEFT(A71,1)="5", "5. Organizacionales", IF(LEFT(A71,1)="6", "6. Personas", IF(LEFT(A71,1)="7", "7. Físicos", "8. Tecnológicos")))</f>
        <v/>
      </c>
      <c r="D71" s="33">
        <f>IFERROR(VLOOKUP(A71, 'ANEXO A'!$A$2:$L$94, 11, FALSE), "")</f>
        <v/>
      </c>
      <c r="E71" s="38">
        <f>IFERROR(VLOOKUP(A71, 'ANEXO A'!$A$2:$L$94, 8, FALSE), "")</f>
        <v/>
      </c>
      <c r="F71" s="90">
        <f>IFERROR(VLOOKUP(A71, 'ANEXO A'!$A$2:$L$94, 9, FALSE), "")</f>
        <v/>
      </c>
      <c r="G71" s="38">
        <f>IFERROR(VLOOKUP(A71, 'ANEXO A'!$A$2:$L$94, 10, FALSE), "")</f>
        <v/>
      </c>
      <c r="H71" s="38">
        <f>IFERROR(VLOOKUP(A71, 'ANEXO A'!$A$2:$L$94, 12, FALSE), "")</f>
        <v/>
      </c>
      <c r="I71" s="91" t="inlineStr">
        <is>
          <t>6.17 Escaneo PCI DSS (Pol. 3-6): Truncamiento y ofuscación del PAN (visibilidad máx. primeros 6 y últimos 4 dígitos) (GSO-GSI-MP-GSI).</t>
        </is>
      </c>
    </row>
    <row r="72" ht="33.75" customHeight="1" s="106">
      <c r="A72" s="33">
        <f>'ANEXO A'!A72</f>
        <v/>
      </c>
      <c r="B72" s="112">
        <f>IFERROR(VLOOKUP(A72, 'ANEXO A'!$A$2:$L$94, 2, FALSE), "")</f>
        <v/>
      </c>
      <c r="C72" s="33">
        <f>IF(LEFT(A72,1)="5", "5. Organizacionales", IF(LEFT(A72,1)="6", "6. Personas", IF(LEFT(A72,1)="7", "7. Físicos", "8. Tecnológicos")))</f>
        <v/>
      </c>
      <c r="D72" s="33">
        <f>IFERROR(VLOOKUP(A72, 'ANEXO A'!$A$2:$L$94, 11, FALSE), "")</f>
        <v/>
      </c>
      <c r="E72" s="38">
        <f>IFERROR(VLOOKUP(A72, 'ANEXO A'!$A$2:$L$94, 8, FALSE), "")</f>
        <v/>
      </c>
      <c r="F72" s="90">
        <f>IFERROR(VLOOKUP(A72, 'ANEXO A'!$A$2:$L$94, 9, FALSE), "")</f>
        <v/>
      </c>
      <c r="G72" s="38">
        <f>IFERROR(VLOOKUP(A72, 'ANEXO A'!$A$2:$L$94, 10, FALSE), "")</f>
        <v/>
      </c>
      <c r="H72" s="38">
        <f>IFERROR(VLOOKUP(A72, 'ANEXO A'!$A$2:$L$94, 12, FALSE), "")</f>
        <v/>
      </c>
      <c r="I72" s="91" t="inlineStr">
        <is>
          <t>6.9 Control FTP / 6.17 PCI DSS: Restricción de descargas masivas, monitoreo de canales de salida y bloqueo de fuga de información crítica (GSO-GSI-MP-GSI).</t>
        </is>
      </c>
    </row>
    <row r="73" ht="45" customHeight="1" s="106">
      <c r="A73" s="33">
        <f>'ANEXO A'!A73</f>
        <v/>
      </c>
      <c r="B73" s="112">
        <f>IFERROR(VLOOKUP(A73, 'ANEXO A'!$A$2:$L$94, 2, FALSE), "")</f>
        <v/>
      </c>
      <c r="C73" s="33">
        <f>IF(LEFT(A73,1)="5", "5. Organizacionales", IF(LEFT(A73,1)="6", "6. Personas", IF(LEFT(A73,1)="7", "7. Físicos", "8. Tecnológicos")))</f>
        <v/>
      </c>
      <c r="D73" s="33">
        <f>IFERROR(VLOOKUP(A73, 'ANEXO A'!$A$2:$L$94, 11, FALSE), "")</f>
        <v/>
      </c>
      <c r="E73" s="38">
        <f>IFERROR(VLOOKUP(A73, 'ANEXO A'!$A$2:$L$94, 8, FALSE), "")</f>
        <v/>
      </c>
      <c r="F73" s="90">
        <f>IFERROR(VLOOKUP(A73, 'ANEXO A'!$A$2:$L$94, 9, FALSE), "")</f>
        <v/>
      </c>
      <c r="G73" s="38">
        <f>IFERROR(VLOOKUP(A73, 'ANEXO A'!$A$2:$L$94, 10, FALSE), "")</f>
        <v/>
      </c>
      <c r="H73" s="38">
        <f>IFERROR(VLOOKUP(A73, 'ANEXO A'!$A$2:$L$94, 12, FALSE), "")</f>
        <v/>
      </c>
      <c r="I73" s="91" t="inlineStr">
        <is>
          <t>Anexo 1 SEPS 002 (Respaldos): Resguardo periódico automatizado de BD y aplicativos, y pruebas semestrales de restauración (SEPS-2022-002).</t>
        </is>
      </c>
    </row>
    <row r="74" ht="33.75" customHeight="1" s="106">
      <c r="A74" s="33">
        <f>'ANEXO A'!A74</f>
        <v/>
      </c>
      <c r="B74" s="112">
        <f>IFERROR(VLOOKUP(A74, 'ANEXO A'!$A$2:$L$94, 2, FALSE), "")</f>
        <v/>
      </c>
      <c r="C74" s="33">
        <f>IF(LEFT(A74,1)="5", "5. Organizacionales", IF(LEFT(A74,1)="6", "6. Personas", IF(LEFT(A74,1)="7", "7. Físicos", "8. Tecnológicos")))</f>
        <v/>
      </c>
      <c r="D74" s="33">
        <f>IFERROR(VLOOKUP(A74, 'ANEXO A'!$A$2:$L$94, 11, FALSE), "")</f>
        <v/>
      </c>
      <c r="E74" s="38">
        <f>IFERROR(VLOOKUP(A74, 'ANEXO A'!$A$2:$L$94, 8, FALSE), "")</f>
        <v/>
      </c>
      <c r="F74" s="90">
        <f>IFERROR(VLOOKUP(A74, 'ANEXO A'!$A$2:$L$94, 9, FALSE), "")</f>
        <v/>
      </c>
      <c r="G74" s="38">
        <f>IFERROR(VLOOKUP(A74, 'ANEXO A'!$A$2:$L$94, 10, FALSE), "")</f>
        <v/>
      </c>
      <c r="H74" s="38">
        <f>IFERROR(VLOOKUP(A74, 'ANEXO A'!$A$2:$L$94, 12, FALSE), "")</f>
        <v/>
      </c>
      <c r="I74" s="91" t="inlineStr">
        <is>
          <t>Anexo 1 SEPS (Arquitectura): Implementación de clúster de servidores, alta disponibilidad de BD y enlaces de comunicación alternos (SEPS-2022-002).</t>
        </is>
      </c>
    </row>
    <row r="75" ht="33.75" customHeight="1" s="106">
      <c r="A75" s="33">
        <f>'ANEXO A'!A75</f>
        <v/>
      </c>
      <c r="B75" s="112">
        <f>IFERROR(VLOOKUP(A75, 'ANEXO A'!$A$2:$L$94, 2, FALSE), "")</f>
        <v/>
      </c>
      <c r="C75" s="33">
        <f>IF(LEFT(A75,1)="5", "5. Organizacionales", IF(LEFT(A75,1)="6", "6. Personas", IF(LEFT(A75,1)="7", "7. Físicos", "8. Tecnológicos")))</f>
        <v/>
      </c>
      <c r="D75" s="33">
        <f>IFERROR(VLOOKUP(A75, 'ANEXO A'!$A$2:$L$94, 11, FALSE), "")</f>
        <v/>
      </c>
      <c r="E75" s="38">
        <f>IFERROR(VLOOKUP(A75, 'ANEXO A'!$A$2:$L$94, 8, FALSE), "")</f>
        <v/>
      </c>
      <c r="F75" s="90">
        <f>IFERROR(VLOOKUP(A75, 'ANEXO A'!$A$2:$L$94, 9, FALSE), "")</f>
        <v/>
      </c>
      <c r="G75" s="38">
        <f>IFERROR(VLOOKUP(A75, 'ANEXO A'!$A$2:$L$94, 10, FALSE), "")</f>
        <v/>
      </c>
      <c r="H75" s="38">
        <f>IFERROR(VLOOKUP(A75, 'ANEXO A'!$A$2:$L$94, 12, FALSE), "")</f>
        <v/>
      </c>
      <c r="I75" s="91" t="inlineStr">
        <is>
          <t>6.14. Administración de la auditoría de la base de datos - Registro y monitoreo de eventos (GSO-GSI-MP-GSI)</t>
        </is>
      </c>
    </row>
    <row r="76" ht="33.75" customHeight="1" s="106">
      <c r="A76" s="33">
        <f>'ANEXO A'!A76</f>
        <v/>
      </c>
      <c r="B76" s="112">
        <f>IFERROR(VLOOKUP(A76, 'ANEXO A'!$A$2:$L$94, 2, FALSE), "")</f>
        <v/>
      </c>
      <c r="C76" s="33">
        <f>IF(LEFT(A76,1)="5", "5. Organizacionales", IF(LEFT(A76,1)="6", "6. Personas", IF(LEFT(A76,1)="7", "7. Físicos", "8. Tecnológicos")))</f>
        <v/>
      </c>
      <c r="D76" s="33">
        <f>IFERROR(VLOOKUP(A76, 'ANEXO A'!$A$2:$L$94, 11, FALSE), "")</f>
        <v/>
      </c>
      <c r="E76" s="38">
        <f>IFERROR(VLOOKUP(A76, 'ANEXO A'!$A$2:$L$94, 8, FALSE), "")</f>
        <v/>
      </c>
      <c r="F76" s="90">
        <f>IFERROR(VLOOKUP(A76, 'ANEXO A'!$A$2:$L$94, 9, FALSE), "")</f>
        <v/>
      </c>
      <c r="G76" s="38">
        <f>IFERROR(VLOOKUP(A76, 'ANEXO A'!$A$2:$L$94, 10, FALSE), "")</f>
        <v/>
      </c>
      <c r="H76" s="38">
        <f>IFERROR(VLOOKUP(A76, 'ANEXO A'!$A$2:$L$94, 12, FALSE), "")</f>
        <v/>
      </c>
      <c r="I76" s="91" t="inlineStr">
        <is>
          <t>6.14 Auditoría BD / 6.16 Monitoreo: Supervisión continua mediante scripts, logs de base de datos y herramientas de red (GSO-GSI-MP-GSI).</t>
        </is>
      </c>
    </row>
    <row r="77" ht="33.75" customHeight="1" s="106">
      <c r="A77" s="33">
        <f>'ANEXO A'!A77</f>
        <v/>
      </c>
      <c r="B77" s="112">
        <f>IFERROR(VLOOKUP(A77, 'ANEXO A'!$A$2:$L$94, 2, FALSE), "")</f>
        <v/>
      </c>
      <c r="C77" s="33">
        <f>IF(LEFT(A77,1)="5", "5. Organizacionales", IF(LEFT(A77,1)="6", "6. Personas", IF(LEFT(A77,1)="7", "7. Físicos", "8. Tecnológicos")))</f>
        <v/>
      </c>
      <c r="D77" s="33">
        <f>IFERROR(VLOOKUP(A77, 'ANEXO A'!$A$2:$L$94, 11, FALSE), "")</f>
        <v/>
      </c>
      <c r="E77" s="38">
        <f>IFERROR(VLOOKUP(A77, 'ANEXO A'!$A$2:$L$94, 8, FALSE), "")</f>
        <v/>
      </c>
      <c r="F77" s="90">
        <f>IFERROR(VLOOKUP(A77, 'ANEXO A'!$A$2:$L$94, 9, FALSE), "")</f>
        <v/>
      </c>
      <c r="G77" s="38">
        <f>IFERROR(VLOOKUP(A77, 'ANEXO A'!$A$2:$L$94, 10, FALSE), "")</f>
        <v/>
      </c>
      <c r="H77" s="38">
        <f>IFERROR(VLOOKUP(A77, 'ANEXO A'!$A$2:$L$94, 12, FALSE), "")</f>
        <v/>
      </c>
      <c r="I77" s="91" t="inlineStr">
        <is>
          <t>Anexo 1 SEPS (Logs y Detección): Sincronización automática de todos los servidores y estaciones a fuentes horarias oficiales (NTP) (SEPS-2022-002 / ISO 27002).</t>
        </is>
      </c>
    </row>
    <row r="78" ht="33.75" customHeight="1" s="106">
      <c r="A78" s="33">
        <f>'ANEXO A'!A78</f>
        <v/>
      </c>
      <c r="B78" s="112">
        <f>IFERROR(VLOOKUP(A78, 'ANEXO A'!$A$2:$L$94, 2, FALSE), "")</f>
        <v/>
      </c>
      <c r="C78" s="33">
        <f>IF(LEFT(A78,1)="5", "5. Organizacionales", IF(LEFT(A78,1)="6", "6. Personas", IF(LEFT(A78,1)="7", "7. Físicos", "8. Tecnológicos")))</f>
        <v/>
      </c>
      <c r="D78" s="33">
        <f>IFERROR(VLOOKUP(A78, 'ANEXO A'!$A$2:$L$94, 11, FALSE), "")</f>
        <v/>
      </c>
      <c r="E78" s="38">
        <f>IFERROR(VLOOKUP(A78, 'ANEXO A'!$A$2:$L$94, 8, FALSE), "")</f>
        <v/>
      </c>
      <c r="F78" s="90">
        <f>IFERROR(VLOOKUP(A78, 'ANEXO A'!$A$2:$L$94, 9, FALSE), "")</f>
        <v/>
      </c>
      <c r="G78" s="38">
        <f>IFERROR(VLOOKUP(A78, 'ANEXO A'!$A$2:$L$94, 10, FALSE), "")</f>
        <v/>
      </c>
      <c r="H78" s="38">
        <f>IFERROR(VLOOKUP(A78, 'ANEXO A'!$A$2:$L$94, 12, FALSE), "")</f>
        <v/>
      </c>
      <c r="I78" s="91" t="inlineStr">
        <is>
          <t>6.11 Cuentas Críticas / 6.14 BD: Restricción estricta de ejecución de scripts DDL/DML directos y herramientas de bajo nivel (GSO-GSI-MP-GSI).</t>
        </is>
      </c>
    </row>
    <row r="79" ht="45" customHeight="1" s="106">
      <c r="A79" s="33">
        <f>'ANEXO A'!A79</f>
        <v/>
      </c>
      <c r="B79" s="112">
        <f>IFERROR(VLOOKUP(A79, 'ANEXO A'!$A$2:$L$94, 2, FALSE), "")</f>
        <v/>
      </c>
      <c r="C79" s="33">
        <f>IF(LEFT(A79,1)="5", "5. Organizacionales", IF(LEFT(A79,1)="6", "6. Personas", IF(LEFT(A79,1)="7", "7. Físicos", "8. Tecnológicos")))</f>
        <v/>
      </c>
      <c r="D79" s="33">
        <f>IFERROR(VLOOKUP(A79, 'ANEXO A'!$A$2:$L$94, 11, FALSE), "")</f>
        <v/>
      </c>
      <c r="E79" s="38">
        <f>IFERROR(VLOOKUP(A79, 'ANEXO A'!$A$2:$L$94, 8, FALSE), "")</f>
        <v/>
      </c>
      <c r="F79" s="90">
        <f>IFERROR(VLOOKUP(A79, 'ANEXO A'!$A$2:$L$94, 9, FALSE), "")</f>
        <v/>
      </c>
      <c r="G79" s="38">
        <f>IFERROR(VLOOKUP(A79, 'ANEXO A'!$A$2:$L$94, 10, FALSE), "")</f>
        <v/>
      </c>
      <c r="H79" s="38">
        <f>IFERROR(VLOOKUP(A79, 'ANEXO A'!$A$2:$L$94, 12, FALSE), "")</f>
        <v/>
      </c>
      <c r="I79" s="91" t="inlineStr">
        <is>
          <t>6.1 Políticas (Item 4) / GPO: Bloqueo de permisos de instalación a usuarios finales; software desplegado centralmente por TI (GSO-GSI-MP-GSI).</t>
        </is>
      </c>
    </row>
    <row r="80" ht="45" customHeight="1" s="106">
      <c r="A80" s="33">
        <f>'ANEXO A'!A80</f>
        <v/>
      </c>
      <c r="B80" s="112">
        <f>IFERROR(VLOOKUP(A80, 'ANEXO A'!$A$2:$L$94, 2, FALSE), "")</f>
        <v/>
      </c>
      <c r="C80" s="33">
        <f>IF(LEFT(A80,1)="5", "5. Organizacionales", IF(LEFT(A80,1)="6", "6. Personas", IF(LEFT(A80,1)="7", "7. Físicos", "8. Tecnológicos")))</f>
        <v/>
      </c>
      <c r="D80" s="33">
        <f>IFERROR(VLOOKUP(A80, 'ANEXO A'!$A$2:$L$94, 11, FALSE), "")</f>
        <v/>
      </c>
      <c r="E80" s="38">
        <f>IFERROR(VLOOKUP(A80, 'ANEXO A'!$A$2:$L$94, 8, FALSE), "")</f>
        <v/>
      </c>
      <c r="F80" s="90">
        <f>IFERROR(VLOOKUP(A80, 'ANEXO A'!$A$2:$L$94, 9, FALSE), "")</f>
        <v/>
      </c>
      <c r="G80" s="38">
        <f>IFERROR(VLOOKUP(A80, 'ANEXO A'!$A$2:$L$94, 10, FALSE), "")</f>
        <v/>
      </c>
      <c r="H80" s="38">
        <f>IFERROR(VLOOKUP(A80, 'ANEXO A'!$A$2:$L$94, 12, FALSE), "")</f>
        <v/>
      </c>
      <c r="I80" s="91" t="inlineStr">
        <is>
          <t>6.11 Firewalls / Enrutadores: Administración de firewalls de borde, políticas de enrutamiento y reglas de filtrado perimetral (GSO-GSI-MP-GSI).</t>
        </is>
      </c>
    </row>
    <row r="81" ht="33.75" customHeight="1" s="106">
      <c r="A81" s="33">
        <f>'ANEXO A'!A81</f>
        <v/>
      </c>
      <c r="B81" s="112">
        <f>IFERROR(VLOOKUP(A81, 'ANEXO A'!$A$2:$L$94, 2, FALSE), "")</f>
        <v/>
      </c>
      <c r="C81" s="33">
        <f>IF(LEFT(A81,1)="5", "5. Organizacionales", IF(LEFT(A81,1)="6", "6. Personas", IF(LEFT(A81,1)="7", "7. Físicos", "8. Tecnológicos")))</f>
        <v/>
      </c>
      <c r="D81" s="33">
        <f>IFERROR(VLOOKUP(A81, 'ANEXO A'!$A$2:$L$94, 11, FALSE), "")</f>
        <v/>
      </c>
      <c r="E81" s="38">
        <f>IFERROR(VLOOKUP(A81, 'ANEXO A'!$A$2:$L$94, 8, FALSE), "")</f>
        <v/>
      </c>
      <c r="F81" s="90">
        <f>IFERROR(VLOOKUP(A81, 'ANEXO A'!$A$2:$L$94, 9, FALSE), "")</f>
        <v/>
      </c>
      <c r="G81" s="38">
        <f>IFERROR(VLOOKUP(A81, 'ANEXO A'!$A$2:$L$94, 10, FALSE), "")</f>
        <v/>
      </c>
      <c r="H81" s="38">
        <f>IFERROR(VLOOKUP(A81, 'ANEXO A'!$A$2:$L$94, 12, FALSE), "")</f>
        <v/>
      </c>
      <c r="I81" s="91" t="inlineStr">
        <is>
          <t>6.11 FiltraWeb / AntiSpam: Gestión de seguridad y niveles de servicio en DNS, navegación y correo electrónico (GSO-GSI-MP-GSI).</t>
        </is>
      </c>
    </row>
    <row r="82" ht="33.75" customHeight="1" s="106">
      <c r="A82" s="33">
        <f>'ANEXO A'!A82</f>
        <v/>
      </c>
      <c r="B82" s="112">
        <f>IFERROR(VLOOKUP(A82, 'ANEXO A'!$A$2:$L$94, 2, FALSE), "")</f>
        <v/>
      </c>
      <c r="C82" s="33">
        <f>IF(LEFT(A82,1)="5", "5. Organizacionales", IF(LEFT(A82,1)="6", "6. Personas", IF(LEFT(A82,1)="7", "7. Físicos", "8. Tecnológicos")))</f>
        <v/>
      </c>
      <c r="D82" s="33">
        <f>IFERROR(VLOOKUP(A82, 'ANEXO A'!$A$2:$L$94, 11, FALSE), "")</f>
        <v/>
      </c>
      <c r="E82" s="38">
        <f>IFERROR(VLOOKUP(A82, 'ANEXO A'!$A$2:$L$94, 8, FALSE), "")</f>
        <v/>
      </c>
      <c r="F82" s="90">
        <f>IFERROR(VLOOKUP(A82, 'ANEXO A'!$A$2:$L$94, 9, FALSE), "")</f>
        <v/>
      </c>
      <c r="G82" s="38">
        <f>IFERROR(VLOOKUP(A82, 'ANEXO A'!$A$2:$L$94, 10, FALSE), "")</f>
        <v/>
      </c>
      <c r="H82" s="38">
        <f>IFERROR(VLOOKUP(A82, 'ANEXO A'!$A$2:$L$94, 12, FALSE), "")</f>
        <v/>
      </c>
      <c r="I82" s="91" t="inlineStr">
        <is>
          <t>6.17 Ambiente PCI / 6.18 Wireless: Aislamiento de VLANs operativas, red de ambiente de tarjetas (PCI) y red Wi-Fi de clientes (GSO-GSI-MP-GSI).</t>
        </is>
      </c>
    </row>
    <row r="83" ht="33.75" customHeight="1" s="106">
      <c r="A83" s="33">
        <f>'ANEXO A'!A83</f>
        <v/>
      </c>
      <c r="B83" s="112">
        <f>IFERROR(VLOOKUP(A83, 'ANEXO A'!$A$2:$L$94, 2, FALSE), "")</f>
        <v/>
      </c>
      <c r="C83" s="33">
        <f>IF(LEFT(A83,1)="5", "5. Organizacionales", IF(LEFT(A83,1)="6", "6. Personas", IF(LEFT(A83,1)="7", "7. Físicos", "8. Tecnológicos")))</f>
        <v/>
      </c>
      <c r="D83" s="33">
        <f>IFERROR(VLOOKUP(A83, 'ANEXO A'!$A$2:$L$94, 11, FALSE), "")</f>
        <v/>
      </c>
      <c r="E83" s="38">
        <f>IFERROR(VLOOKUP(A83, 'ANEXO A'!$A$2:$L$94, 8, FALSE), "")</f>
        <v/>
      </c>
      <c r="F83" s="90">
        <f>IFERROR(VLOOKUP(A83, 'ANEXO A'!$A$2:$L$94, 9, FALSE), "")</f>
        <v/>
      </c>
      <c r="G83" s="38">
        <f>IFERROR(VLOOKUP(A83, 'ANEXO A'!$A$2:$L$94, 10, FALSE), "")</f>
        <v/>
      </c>
      <c r="H83" s="38">
        <f>IFERROR(VLOOKUP(A83, 'ANEXO A'!$A$2:$L$94, 12, FALSE), "")</f>
        <v/>
      </c>
      <c r="I83" s="91" t="inlineStr">
        <is>
          <t>6.11 Cuentas Críticas (FiltraWeb): Bloqueo de sitios web maliciosos, redes no laborales y categorías de riesgo (GSO-GSI-MP-GSI).</t>
        </is>
      </c>
    </row>
    <row r="84" ht="22.5" customHeight="1" s="106">
      <c r="A84" s="33">
        <f>'ANEXO A'!A84</f>
        <v/>
      </c>
      <c r="B84" s="112">
        <f>IFERROR(VLOOKUP(A84, 'ANEXO A'!$A$2:$L$94, 2, FALSE), "")</f>
        <v/>
      </c>
      <c r="C84" s="33">
        <f>IF(LEFT(A84,1)="5", "5. Organizacionales", IF(LEFT(A84,1)="6", "6. Personas", IF(LEFT(A84,1)="7", "7. Físicos", "8. Tecnológicos")))</f>
        <v/>
      </c>
      <c r="D84" s="33">
        <f>IFERROR(VLOOKUP(A84, 'ANEXO A'!$A$2:$L$94, 11, FALSE), "")</f>
        <v/>
      </c>
      <c r="E84" s="38">
        <f>IFERROR(VLOOKUP(A84, 'ANEXO A'!$A$2:$L$94, 8, FALSE), "")</f>
        <v/>
      </c>
      <c r="F84" s="90">
        <f>IFERROR(VLOOKUP(A84, 'ANEXO A'!$A$2:$L$94, 9, FALSE), "")</f>
        <v/>
      </c>
      <c r="G84" s="38">
        <f>IFERROR(VLOOKUP(A84, 'ANEXO A'!$A$2:$L$94, 10, FALSE), "")</f>
        <v/>
      </c>
      <c r="H84" s="38">
        <f>IFERROR(VLOOKUP(A84, 'ANEXO A'!$A$2:$L$94, 12, FALSE), "")</f>
        <v/>
      </c>
      <c r="I84" s="91" t="inlineStr">
        <is>
          <t>6.12. Creación, ingreso y custodia de llaves criptográficas - Cifrado (GSO-GSI-MP-GSI)</t>
        </is>
      </c>
    </row>
    <row r="85" ht="33.75" customHeight="1" s="106">
      <c r="A85" s="33">
        <f>'ANEXO A'!A85</f>
        <v/>
      </c>
      <c r="B85" s="112">
        <f>IFERROR(VLOOKUP(A85, 'ANEXO A'!$A$2:$L$94, 2, FALSE), "")</f>
        <v/>
      </c>
      <c r="C85" s="33">
        <f>IF(LEFT(A85,1)="5", "5. Organizacionales", IF(LEFT(A85,1)="6", "6. Personas", IF(LEFT(A85,1)="7", "7. Físicos", "8. Tecnológicos")))</f>
        <v/>
      </c>
      <c r="D85" s="33">
        <f>IFERROR(VLOOKUP(A85, 'ANEXO A'!$A$2:$L$94, 11, FALSE), "")</f>
        <v/>
      </c>
      <c r="E85" s="38">
        <f>IFERROR(VLOOKUP(A85, 'ANEXO A'!$A$2:$L$94, 8, FALSE), "")</f>
        <v/>
      </c>
      <c r="F85" s="90">
        <f>IFERROR(VLOOKUP(A85, 'ANEXO A'!$A$2:$L$94, 9, FALSE), "")</f>
        <v/>
      </c>
      <c r="G85" s="38">
        <f>IFERROR(VLOOKUP(A85, 'ANEXO A'!$A$2:$L$94, 10, FALSE), "")</f>
        <v/>
      </c>
      <c r="H85" s="38">
        <f>IFERROR(VLOOKUP(A85, 'ANEXO A'!$A$2:$L$94, 12, FALSE), "")</f>
        <v/>
      </c>
      <c r="I85" s="91" t="inlineStr">
        <is>
          <t>6.11 Cuentas Críticas (FiltraWeb): Bloqueo de sitios web maliciosos, redes no laborales y categorías de riesgo (GSO-GSI-MP-GSI).</t>
        </is>
      </c>
    </row>
    <row r="86" ht="33.75" customHeight="1" s="106">
      <c r="A86" s="33">
        <f>'ANEXO A'!A86</f>
        <v/>
      </c>
      <c r="B86" s="112">
        <f>IFERROR(VLOOKUP(A86, 'ANEXO A'!$A$2:$L$94, 2, FALSE), "")</f>
        <v/>
      </c>
      <c r="C86" s="33">
        <f>IF(LEFT(A86,1)="5", "5. Organizacionales", IF(LEFT(A86,1)="6", "6. Personas", IF(LEFT(A86,1)="7", "7. Físicos", "8. Tecnológicos")))</f>
        <v/>
      </c>
      <c r="D86" s="33">
        <f>IFERROR(VLOOKUP(A86, 'ANEXO A'!$A$2:$L$94, 11, FALSE), "")</f>
        <v/>
      </c>
      <c r="E86" s="38">
        <f>IFERROR(VLOOKUP(A86, 'ANEXO A'!$A$2:$L$94, 8, FALSE), "")</f>
        <v/>
      </c>
      <c r="F86" s="90">
        <f>IFERROR(VLOOKUP(A86, 'ANEXO A'!$A$2:$L$94, 9, FALSE), "")</f>
        <v/>
      </c>
      <c r="G86" s="38">
        <f>IFERROR(VLOOKUP(A86, 'ANEXO A'!$A$2:$L$94, 10, FALSE), "")</f>
        <v/>
      </c>
      <c r="H86" s="38">
        <f>IFERROR(VLOOKUP(A86, 'ANEXO A'!$A$2:$L$94, 12, FALSE), "")</f>
        <v/>
      </c>
      <c r="I86" s="91" t="inlineStr">
        <is>
          <t>Anexo 1 SEPS 002 (Gestión de software): Definición de requisitos de autenticación, transaccionalidad y cifrado en nuevas soluciones (SEPS-2022-002).</t>
        </is>
      </c>
    </row>
    <row r="87" ht="33.75" customHeight="1" s="106">
      <c r="A87" s="33">
        <f>'ANEXO A'!A87</f>
        <v/>
      </c>
      <c r="B87" s="112">
        <f>IFERROR(VLOOKUP(A87, 'ANEXO A'!$A$2:$L$94, 2, FALSE), "")</f>
        <v/>
      </c>
      <c r="C87" s="33">
        <f>IF(LEFT(A87,1)="5", "5. Organizacionales", IF(LEFT(A87,1)="6", "6. Personas", IF(LEFT(A87,1)="7", "7. Físicos", "8. Tecnológicos")))</f>
        <v/>
      </c>
      <c r="D87" s="33">
        <f>IFERROR(VLOOKUP(A87, 'ANEXO A'!$A$2:$L$94, 11, FALSE), "")</f>
        <v/>
      </c>
      <c r="E87" s="38">
        <f>IFERROR(VLOOKUP(A87, 'ANEXO A'!$A$2:$L$94, 8, FALSE), "")</f>
        <v/>
      </c>
      <c r="F87" s="90">
        <f>IFERROR(VLOOKUP(A87, 'ANEXO A'!$A$2:$L$94, 9, FALSE), "")</f>
        <v/>
      </c>
      <c r="G87" s="38">
        <f>IFERROR(VLOOKUP(A87, 'ANEXO A'!$A$2:$L$94, 10, FALSE), "")</f>
        <v/>
      </c>
      <c r="H87" s="38">
        <f>IFERROR(VLOOKUP(A87, 'ANEXO A'!$A$2:$L$94, 12, FALSE), "")</f>
        <v/>
      </c>
      <c r="I87" s="91" t="inlineStr">
        <is>
          <t>Anexo 1 SEPS 002 (Arquitectura Segura): Aplicación de principios de defensa en profundidad, zonas desmilitarizadas y segmentación (SEPS-2022-002).</t>
        </is>
      </c>
    </row>
    <row r="88" ht="33.75" customHeight="1" s="106">
      <c r="A88" s="33">
        <f>'ANEXO A'!A88</f>
        <v/>
      </c>
      <c r="B88" s="112">
        <f>IFERROR(VLOOKUP(A88, 'ANEXO A'!$A$2:$L$94, 2, FALSE), "")</f>
        <v/>
      </c>
      <c r="C88" s="33">
        <f>IF(LEFT(A88,1)="5", "5. Organizacionales", IF(LEFT(A88,1)="6", "6. Personas", IF(LEFT(A88,1)="7", "7. Físicos", "8. Tecnológicos")))</f>
        <v/>
      </c>
      <c r="D88" s="33">
        <f>IFERROR(VLOOKUP(A88, 'ANEXO A'!$A$2:$L$94, 11, FALSE), "")</f>
        <v/>
      </c>
      <c r="E88" s="38">
        <f>IFERROR(VLOOKUP(A88, 'ANEXO A'!$A$2:$L$94, 8, FALSE), "")</f>
        <v/>
      </c>
      <c r="F88" s="90">
        <f>IFERROR(VLOOKUP(A88, 'ANEXO A'!$A$2:$L$94, 9, FALSE), "")</f>
        <v/>
      </c>
      <c r="G88" s="38">
        <f>IFERROR(VLOOKUP(A88, 'ANEXO A'!$A$2:$L$94, 10, FALSE), "")</f>
        <v/>
      </c>
      <c r="H88" s="38">
        <f>IFERROR(VLOOKUP(A88, 'ANEXO A'!$A$2:$L$94, 12, FALSE), "")</f>
        <v/>
      </c>
      <c r="I88" s="91" t="inlineStr">
        <is>
          <t>Anexo 1 SEPS / OWASP: Implementación de buenas prácticas de programación para evitar inyecciones, XSS y fallos lógicos (SEPS-2022-002 / ISO 27002).</t>
        </is>
      </c>
    </row>
    <row r="89" ht="45" customHeight="1" s="106">
      <c r="A89" s="33">
        <f>'ANEXO A'!A89</f>
        <v/>
      </c>
      <c r="B89" s="112">
        <f>IFERROR(VLOOKUP(A89, 'ANEXO A'!$A$2:$L$94, 2, FALSE), "")</f>
        <v/>
      </c>
      <c r="C89" s="33">
        <f>IF(LEFT(A89,1)="5", "5. Organizacionales", IF(LEFT(A89,1)="6", "6. Personas", IF(LEFT(A89,1)="7", "7. Físicos", "8. Tecnológicos")))</f>
        <v/>
      </c>
      <c r="D89" s="33">
        <f>IFERROR(VLOOKUP(A89, 'ANEXO A'!$A$2:$L$94, 11, FALSE), "")</f>
        <v/>
      </c>
      <c r="E89" s="38">
        <f>IFERROR(VLOOKUP(A89, 'ANEXO A'!$A$2:$L$94, 8, FALSE), "")</f>
        <v/>
      </c>
      <c r="F89" s="90">
        <f>IFERROR(VLOOKUP(A89, 'ANEXO A'!$A$2:$L$94, 9, FALSE), "")</f>
        <v/>
      </c>
      <c r="G89" s="38">
        <f>IFERROR(VLOOKUP(A89, 'ANEXO A'!$A$2:$L$94, 10, FALSE), "")</f>
        <v/>
      </c>
      <c r="H89" s="38">
        <f>IFERROR(VLOOKUP(A89, 'ANEXO A'!$A$2:$L$94, 12, FALSE), "")</f>
        <v/>
      </c>
      <c r="I89" s="91" t="inlineStr">
        <is>
          <t>6.19 Escaneo / Anexo 1 SEPS: Ejecución de pruebas de vulnerabilidad, análisis estático y pruebas de aceptación previas a pase a producción (GSO-GSI-MP-GSI / SEPS-2022-002).</t>
        </is>
      </c>
    </row>
    <row r="90" ht="33.75" customHeight="1" s="106">
      <c r="A90" s="33">
        <f>'ANEXO A'!A90</f>
        <v/>
      </c>
      <c r="B90" s="112">
        <f>IFERROR(VLOOKUP(A90, 'ANEXO A'!$A$2:$L$94, 2, FALSE), "")</f>
        <v/>
      </c>
      <c r="C90" s="33">
        <f>IF(LEFT(A90,1)="5", "5. Organizacionales", IF(LEFT(A90,1)="6", "6. Personas", IF(LEFT(A90,1)="7", "7. Físicos", "8. Tecnológicos")))</f>
        <v/>
      </c>
      <c r="D90" s="33">
        <f>IFERROR(VLOOKUP(A90, 'ANEXO A'!$A$2:$L$94, 11, FALSE), "")</f>
        <v/>
      </c>
      <c r="E90" s="38">
        <f>IFERROR(VLOOKUP(A90, 'ANEXO A'!$A$2:$L$94, 8, FALSE), "")</f>
        <v/>
      </c>
      <c r="F90" s="90">
        <f>IFERROR(VLOOKUP(A90, 'ANEXO A'!$A$2:$L$94, 9, FALSE), "")</f>
        <v/>
      </c>
      <c r="G90" s="38">
        <f>IFERROR(VLOOKUP(A90, 'ANEXO A'!$A$2:$L$94, 10, FALSE), "")</f>
        <v/>
      </c>
      <c r="H90" s="38">
        <f>IFERROR(VLOOKUP(A90, 'ANEXO A'!$A$2:$L$94, 12, FALSE), "")</f>
        <v/>
      </c>
      <c r="I90" s="91" t="inlineStr">
        <is>
          <t>Anexo 1 SEPS / Disposición 2da: Exigir entrega de código probado, escaneos de seguridad y cumplimiento normativo a fábricas de software (SEPS-2022-002).</t>
        </is>
      </c>
    </row>
    <row r="91" ht="33.75" customHeight="1" s="106">
      <c r="A91" s="33">
        <f>'ANEXO A'!A91</f>
        <v/>
      </c>
      <c r="B91" s="112">
        <f>IFERROR(VLOOKUP(A91, 'ANEXO A'!$A$2:$L$94, 2, FALSE), "")</f>
        <v/>
      </c>
      <c r="C91" s="33">
        <f>IF(LEFT(A91,1)="5", "5. Organizacionales", IF(LEFT(A91,1)="6", "6. Personas", IF(LEFT(A91,1)="7", "7. Físicos", "8. Tecnológicos")))</f>
        <v/>
      </c>
      <c r="D91" s="33">
        <f>IFERROR(VLOOKUP(A91, 'ANEXO A'!$A$2:$L$94, 11, FALSE), "")</f>
        <v/>
      </c>
      <c r="E91" s="38">
        <f>IFERROR(VLOOKUP(A91, 'ANEXO A'!$A$2:$L$94, 8, FALSE), "")</f>
        <v/>
      </c>
      <c r="F91" s="90">
        <f>IFERROR(VLOOKUP(A91, 'ANEXO A'!$A$2:$L$94, 9, FALSE), "")</f>
        <v/>
      </c>
      <c r="G91" s="38">
        <f>IFERROR(VLOOKUP(A91, 'ANEXO A'!$A$2:$L$94, 10, FALSE), "")</f>
        <v/>
      </c>
      <c r="H91" s="38">
        <f>IFERROR(VLOOKUP(A91, 'ANEXO A'!$A$2:$L$94, 12, FALSE), "")</f>
        <v/>
      </c>
      <c r="I91" s="91" t="inlineStr">
        <is>
          <t>Anexo 1 SEPS (Desarrollo y Pruebas): Aislamiento estricto de ambientes de desarrollo, pruebas y producción sin uso de datos reales (SEPS-2022-002).</t>
        </is>
      </c>
    </row>
    <row r="92" ht="33.75" customHeight="1" s="106">
      <c r="A92" s="33">
        <f>'ANEXO A'!A92</f>
        <v/>
      </c>
      <c r="B92" s="112">
        <f>IFERROR(VLOOKUP(A92, 'ANEXO A'!$A$2:$L$94, 2, FALSE), "")</f>
        <v/>
      </c>
      <c r="C92" s="33">
        <f>IF(LEFT(A92,1)="5", "5. Organizacionales", IF(LEFT(A92,1)="6", "6. Personas", IF(LEFT(A92,1)="7", "7. Físicos", "8. Tecnológicos")))</f>
        <v/>
      </c>
      <c r="D92" s="33">
        <f>IFERROR(VLOOKUP(A92, 'ANEXO A'!$A$2:$L$94, 11, FALSE), "")</f>
        <v/>
      </c>
      <c r="E92" s="38">
        <f>IFERROR(VLOOKUP(A92, 'ANEXO A'!$A$2:$L$94, 8, FALSE), "")</f>
        <v/>
      </c>
      <c r="F92" s="90">
        <f>IFERROR(VLOOKUP(A92, 'ANEXO A'!$A$2:$L$94, 9, FALSE), "")</f>
        <v/>
      </c>
      <c r="G92" s="38">
        <f>IFERROR(VLOOKUP(A92, 'ANEXO A'!$A$2:$L$94, 10, FALSE), "")</f>
        <v/>
      </c>
      <c r="H92" s="38">
        <f>IFERROR(VLOOKUP(A92, 'ANEXO A'!$A$2:$L$94, 12, FALSE), "")</f>
        <v/>
      </c>
      <c r="I92" s="91" t="inlineStr">
        <is>
          <t>Anexo 1 SEPS (Gestión de Cambios): Procedimiento formal de solicitud, evaluación de impacto de seguridad, aprobación y rollback de cambios (SEPS-2022-002).</t>
        </is>
      </c>
    </row>
    <row r="93" ht="33.75" customHeight="1" s="106">
      <c r="A93" s="33">
        <f>'ANEXO A'!A93</f>
        <v/>
      </c>
      <c r="B93" s="112">
        <f>IFERROR(VLOOKUP(A93, 'ANEXO A'!$A$2:$L$94, 2, FALSE), "")</f>
        <v/>
      </c>
      <c r="C93" s="33">
        <f>IF(LEFT(A93,1)="5", "5. Organizacionales", IF(LEFT(A93,1)="6", "6. Personas", IF(LEFT(A93,1)="7", "7. Físicos", "8. Tecnológicos")))</f>
        <v/>
      </c>
      <c r="D93" s="33">
        <f>IFERROR(VLOOKUP(A93, 'ANEXO A'!$A$2:$L$94, 11, FALSE), "")</f>
        <v/>
      </c>
      <c r="E93" s="38">
        <f>IFERROR(VLOOKUP(A93, 'ANEXO A'!$A$2:$L$94, 8, FALSE), "")</f>
        <v/>
      </c>
      <c r="F93" s="90">
        <f>IFERROR(VLOOKUP(A93, 'ANEXO A'!$A$2:$L$94, 9, FALSE), "")</f>
        <v/>
      </c>
      <c r="G93" s="38">
        <f>IFERROR(VLOOKUP(A93, 'ANEXO A'!$A$2:$L$94, 10, FALSE), "")</f>
        <v/>
      </c>
      <c r="H93" s="38">
        <f>IFERROR(VLOOKUP(A93, 'ANEXO A'!$A$2:$L$94, 12, FALSE), "")</f>
        <v/>
      </c>
      <c r="I93" s="91" t="inlineStr">
        <is>
          <t>6.17 PCI DSS / Anexo 1 SEPS: Uso de datos ficticios, anonimizados u ofuscados para las pruebas de aplicaciones (GSO-GSI-MP-GSI / SEPS-2022-002).</t>
        </is>
      </c>
    </row>
    <row r="94" ht="33.75" customHeight="1" s="106">
      <c r="A94" s="33">
        <f>'ANEXO A'!A94</f>
        <v/>
      </c>
      <c r="B94" s="112">
        <f>IFERROR(VLOOKUP(A94, 'ANEXO A'!$A$2:$L$94, 2, FALSE), "")</f>
        <v/>
      </c>
      <c r="C94" s="33">
        <f>IF(LEFT(A94,1)="5", "5. Organizacionales", IF(LEFT(A94,1)="6", "6. Personas", IF(LEFT(A94,1)="7", "7. Físicos", "8. Tecnológicos")))</f>
        <v/>
      </c>
      <c r="D94" s="33">
        <f>IFERROR(VLOOKUP(A94, 'ANEXO A'!$A$2:$L$94, 11, FALSE), "")</f>
        <v/>
      </c>
      <c r="E94" s="38">
        <f>IFERROR(VLOOKUP(A94, 'ANEXO A'!$A$2:$L$94, 8, FALSE), "")</f>
        <v/>
      </c>
      <c r="F94" s="90">
        <f>IFERROR(VLOOKUP(A94, 'ANEXO A'!$A$2:$L$94, 9, FALSE), "")</f>
        <v/>
      </c>
      <c r="G94" s="38">
        <f>IFERROR(VLOOKUP(A94, 'ANEXO A'!$A$2:$L$94, 10, FALSE), "")</f>
        <v/>
      </c>
      <c r="H94" s="38">
        <f>IFERROR(VLOOKUP(A94, 'ANEXO A'!$A$2:$L$94, 12, FALSE), "")</f>
        <v/>
      </c>
      <c r="I94" s="91" t="inlineStr">
        <is>
          <t>6.19 Escaneo (Pol. 1): Realización de pruebas intrusivas y de auditoría en horarios no laborables y con autorización previa (GSO-GSI-MP-GSI).</t>
        </is>
      </c>
    </row>
  </sheetData>
  <autoFilter ref="A1:N94"/>
  <conditionalFormatting sqref="J2:J94">
    <cfRule type="cellIs" priority="1" operator="equal" dxfId="2">
      <formula>"Implementado"</formula>
    </cfRule>
    <cfRule type="cellIs" priority="2" operator="equal" dxfId="1">
      <formula>"En Proceso"</formula>
    </cfRule>
    <cfRule type="cellIs" priority="3" operator="equal" dxfId="0">
      <formula>"No Implementado"</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94"/>
  <sheetViews>
    <sheetView workbookViewId="0">
      <selection activeCell="L3" sqref="L3"/>
    </sheetView>
  </sheetViews>
  <sheetFormatPr baseColWidth="10" defaultColWidth="9.33203125" defaultRowHeight="11.25"/>
  <cols>
    <col width="9.33203125" customWidth="1" style="38" min="1" max="1"/>
    <col width="24.1640625" customWidth="1" style="38" min="2" max="2"/>
    <col width="18.83203125" customWidth="1" style="38" min="3" max="3"/>
    <col width="9.33203125" customWidth="1" style="38" min="4" max="4"/>
    <col width="18" customWidth="1" style="38" min="5" max="5"/>
    <col width="20.83203125" customWidth="1" style="38" min="6" max="6"/>
    <col width="15.33203125" customWidth="1" style="38" min="7" max="7"/>
    <col width="21.83203125" customWidth="1" style="38" min="8" max="8"/>
    <col width="38.1640625" customWidth="1" style="38" min="9" max="9"/>
    <col width="32.1640625" customWidth="1" style="112" min="10" max="10"/>
    <col width="46.83203125" customWidth="1" style="112" min="11" max="11"/>
    <col width="37.1640625" customWidth="1" style="112" min="12" max="12"/>
    <col width="18" customWidth="1" style="38" min="13" max="13"/>
    <col width="17.1640625" customWidth="1" style="38" min="14" max="14"/>
    <col width="20.5" customWidth="1" style="38" min="15" max="15"/>
    <col width="22.6640625" customWidth="1" style="38" min="16" max="16"/>
    <col width="23.6640625" customWidth="1" style="38" min="17" max="17"/>
    <col width="9.33203125" customWidth="1" style="38" min="18" max="18"/>
    <col width="9.33203125" customWidth="1" style="38" min="19" max="16384"/>
  </cols>
  <sheetData>
    <row r="1" ht="33.75" customFormat="1" customHeight="1" s="112">
      <c r="A1" s="94" t="inlineStr">
        <is>
          <t>ID Control</t>
        </is>
      </c>
      <c r="B1" s="94" t="inlineStr">
        <is>
          <t>Nombre del Control</t>
        </is>
      </c>
      <c r="C1" s="94" t="inlineStr">
        <is>
          <t>Dominio ISO 27001</t>
        </is>
      </c>
      <c r="D1" s="94" t="inlineStr">
        <is>
          <t>¿Aplica?</t>
        </is>
      </c>
      <c r="E1" s="94" t="inlineStr">
        <is>
          <t>Obligatoriedad Regulatoria SEPS</t>
        </is>
      </c>
      <c r="F1" s="94" t="inlineStr">
        <is>
          <t>Control Metodología GSO-GSI</t>
        </is>
      </c>
      <c r="G1" s="94" t="inlineStr">
        <is>
          <t>Origen de Aplicabilidad</t>
        </is>
      </c>
      <c r="H1" s="94" t="inlineStr">
        <is>
          <t>Justificación Inclusión / Exclusión</t>
        </is>
      </c>
      <c r="I1" s="93" t="inlineStr">
        <is>
          <t>Acción</t>
        </is>
      </c>
      <c r="J1" s="93" t="inlineStr">
        <is>
          <t>Tareas</t>
        </is>
      </c>
      <c r="K1" s="93" t="inlineStr">
        <is>
          <t>Objetivo</t>
        </is>
      </c>
      <c r="L1" s="93" t="inlineStr">
        <is>
          <t>Control</t>
        </is>
      </c>
      <c r="M1" s="93" t="inlineStr">
        <is>
          <t>Estado de Implementación</t>
        </is>
      </c>
      <c r="N1" s="93" t="inlineStr">
        <is>
          <t>Tipo de Protección</t>
        </is>
      </c>
      <c r="O1" s="93" t="inlineStr">
        <is>
          <t>Nivel de Madurez / Efectividad</t>
        </is>
      </c>
      <c r="P1" s="93" t="inlineStr">
        <is>
          <t>Riesgos / Amenazas que Mitiga</t>
        </is>
      </c>
      <c r="Q1" s="93" t="inlineStr">
        <is>
          <t>Evidencia / Documentación Asociada</t>
        </is>
      </c>
    </row>
    <row r="2" ht="67.5" customHeight="1" s="106">
      <c r="A2" s="38">
        <f>'ANEXO A'!A2</f>
        <v/>
      </c>
      <c r="B2" s="38">
        <f>IFERROR(VLOOKUP(A2, 'ANEXO A'!$A$2:$L$94, 2, FALSE), "")</f>
        <v/>
      </c>
      <c r="C2" s="38">
        <f>IF(LEFT(A2,1)="5", "5. Organizacionales", IF(LEFT(A2,1)="6", "6. Personas", IF(LEFT(A2,1)="7", "7. Físicos", "8. Tecnológicos")))</f>
        <v/>
      </c>
      <c r="D2" s="38">
        <f>IFERROR(VLOOKUP(A2, 'ANEXO A'!$A$2:$L$94, 11, FALSE), "")</f>
        <v/>
      </c>
      <c r="E2" s="38">
        <f>IFERROR(VLOOKUP(A2, 'ANEXO A'!$A$2:$L$94, 8, FALSE), "")</f>
        <v/>
      </c>
      <c r="F2" s="38">
        <f>IFERROR(VLOOKUP(A2, 'ANEXO A'!$A$2:$L$94, 9, FALSE), "")</f>
        <v/>
      </c>
      <c r="G2" s="38">
        <f>IFERROR(VLOOKUP(A2, 'ANEXO A'!$A$2:$L$94, 10, FALSE), "")</f>
        <v/>
      </c>
      <c r="H2" s="38">
        <f>IFERROR(VLOOKUP(A2, 'ANEXO A'!$A$2:$L$94, 12, FALSE), "")</f>
        <v/>
      </c>
      <c r="I2" s="38" t="inlineStr">
        <is>
          <t>6.1. Políticas Generales - Establecer directrices de seguridad (GSO-GSI-MP-GSI)</t>
        </is>
      </c>
      <c r="J2" s="112">
        <f>"• Establecer lineamientos para " &amp; IFERROR(VLOOKUP(A2, 'ANEXO A'!$A$2:$L$94, 2, FALSE), "Este Control") &amp; CHAR(10) &amp; "• Definir roles para el control " &amp; A2 &amp; CHAR(10) &amp; "• Revisar efectividad de " &amp; IFERROR(VLOOKUP(A2, 'ANEXO A'!$A$2:$L$94, 2, FALSE), "Este Control")</f>
        <v/>
      </c>
      <c r="K2" s="112" t="inlineStr">
        <is>
          <t>Asegurar el cumplimiento, control y resguardo continuo de los procesos de Políticas para la seguridad de la información a fin de mitigar riesgos y mantener la alineación a los principios de confidencialidad, integridad y disponibilidad aplicables a este dominio.</t>
        </is>
      </c>
      <c r="L2" s="112" t="inlineStr">
        <is>
          <t>La organización deberá implementar, registrar y monitorear operativamente todos los protocolos relacionados a Políticas para la seguridad de la información, estableciendo políticas técnicas correspondientes.</t>
        </is>
      </c>
    </row>
    <row r="3" ht="78.75" customHeight="1" s="106">
      <c r="A3" s="38">
        <f>'ANEXO A'!A3</f>
        <v/>
      </c>
      <c r="B3" s="38">
        <f>IFERROR(VLOOKUP(A3, 'ANEXO A'!$A$2:$L$94, 2, FALSE), "")</f>
        <v/>
      </c>
      <c r="C3" s="38">
        <f>IF(LEFT(A3,1)="5", "5. Organizacionales", IF(LEFT(A3,1)="6", "6. Personas", IF(LEFT(A3,1)="7", "7. Físicos", "8. Tecnológicos")))</f>
        <v/>
      </c>
      <c r="D3" s="38">
        <f>IFERROR(VLOOKUP(A3, 'ANEXO A'!$A$2:$L$94, 11, FALSE), "")</f>
        <v/>
      </c>
      <c r="E3" s="38">
        <f>IFERROR(VLOOKUP(A3, 'ANEXO A'!$A$2:$L$94, 8, FALSE), "")</f>
        <v/>
      </c>
      <c r="F3" s="38">
        <f>IFERROR(VLOOKUP(A3, 'ANEXO A'!$A$2:$L$94, 9, FALSE), "")</f>
        <v/>
      </c>
      <c r="G3" s="38">
        <f>IFERROR(VLOOKUP(A3, 'ANEXO A'!$A$2:$L$94, 10, FALSE), "")</f>
        <v/>
      </c>
      <c r="H3" s="38">
        <f>IFERROR(VLOOKUP(A3, 'ANEXO A'!$A$2:$L$94, 12, FALSE), "")</f>
        <v/>
      </c>
      <c r="I3" s="38" t="inlineStr">
        <is>
          <t>6.1 Políticas Generales / Sec. 12 SEPS 002: Definir, asignar y comunicar formalmente las funciones del Oficial/Jefe de SI, custodios y comités (GSO-GSI-MP-GSI / SEPS-2022-002).</t>
        </is>
      </c>
      <c r="J3" s="112">
        <f>"• Establecer lineamientos para " &amp; IFERROR(VLOOKUP(A3, 'ANEXO A'!$A$2:$L$94, 2, FALSE), "Este Control") &amp; CHAR(10) &amp; "• Definir roles para el control " &amp; A3 &amp; CHAR(10) &amp; "• Revisar efectividad de " &amp; IFERROR(VLOOKUP(A3, 'ANEXO A'!$A$2:$L$94, 2, FALSE), "Este Control")</f>
        <v/>
      </c>
      <c r="K3" s="112" t="inlineStr">
        <is>
          <t>Asegurar el cumplimiento, control y resguardo continuo de los procesos de Funciones y responsabilidades de seguridad de la información a fin de mitigar riesgos y mantener la alineación a los principios de confidencialidad, integridad y disponibilidad aplicables a este dominio.</t>
        </is>
      </c>
      <c r="L3" s="112" t="inlineStr">
        <is>
          <t>La organización deberá implementar, registrar y monitorear operativamente todos los protocolos relacionados a Funciones y responsabilidades de seguridad de la información, estableciendo políticas técnicas correspondientes.</t>
        </is>
      </c>
    </row>
    <row r="4" ht="56.25" customHeight="1" s="106">
      <c r="A4" s="38">
        <f>'ANEXO A'!A4</f>
        <v/>
      </c>
      <c r="B4" s="38">
        <f>IFERROR(VLOOKUP(A4, 'ANEXO A'!$A$2:$L$94, 2, FALSE), "")</f>
        <v/>
      </c>
      <c r="C4" s="38">
        <f>IF(LEFT(A4,1)="5", "5. Organizacionales", IF(LEFT(A4,1)="6", "6. Personas", IF(LEFT(A4,1)="7", "7. Físicos", "8. Tecnológicos")))</f>
        <v/>
      </c>
      <c r="D4" s="38">
        <f>IFERROR(VLOOKUP(A4, 'ANEXO A'!$A$2:$L$94, 11, FALSE), "")</f>
        <v/>
      </c>
      <c r="E4" s="38">
        <f>IFERROR(VLOOKUP(A4, 'ANEXO A'!$A$2:$L$94, 8, FALSE), "")</f>
        <v/>
      </c>
      <c r="F4" s="38">
        <f>IFERROR(VLOOKUP(A4, 'ANEXO A'!$A$2:$L$94, 9, FALSE), "")</f>
        <v/>
      </c>
      <c r="G4" s="38">
        <f>IFERROR(VLOOKUP(A4, 'ANEXO A'!$A$2:$L$94, 10, FALSE), "")</f>
        <v/>
      </c>
      <c r="H4" s="38">
        <f>IFERROR(VLOOKUP(A4, 'ANEXO A'!$A$2:$L$94, 12, FALSE), "")</f>
        <v/>
      </c>
      <c r="I4" s="38" t="inlineStr">
        <is>
          <t>6.7 Administración de roles y perfiles: Parametrizar y validar incompatibilidad de funciones y accesos mediante matrices SoD y workflows (GSO-GSI-MP-GSI).</t>
        </is>
      </c>
      <c r="J4" s="112">
        <f>"• Establecer lineamientos para " &amp; IFERROR(VLOOKUP(A4, 'ANEXO A'!$A$2:$L$94, 2, FALSE), "Este Control") &amp; CHAR(10) &amp; "• Definir roles para el control " &amp; A4 &amp; CHAR(10) &amp; "• Revisar efectividad de " &amp; IFERROR(VLOOKUP(A4, 'ANEXO A'!$A$2:$L$94, 2, FALSE), "Este Control")</f>
        <v/>
      </c>
      <c r="K4" s="112" t="inlineStr">
        <is>
          <t>Asegurar el cumplimiento, control y resguardo continuo de los procesos de Segregación de funciones a fin de mitigar riesgos y mantener la alineación a los principios de confidencialidad, integridad y disponibilidad aplicables a este dominio.</t>
        </is>
      </c>
      <c r="L4" s="112" t="inlineStr">
        <is>
          <t>La organización deberá implementar, registrar y monitorear operativamente todos los protocolos relacionados a Segregación de funciones, estableciendo políticas técnicas correspondientes.</t>
        </is>
      </c>
    </row>
    <row r="5" ht="67.5" customHeight="1" s="106">
      <c r="A5" s="38">
        <f>'ANEXO A'!A5</f>
        <v/>
      </c>
      <c r="B5" s="38">
        <f>IFERROR(VLOOKUP(A5, 'ANEXO A'!$A$2:$L$94, 2, FALSE), "")</f>
        <v/>
      </c>
      <c r="C5" s="38">
        <f>IF(LEFT(A5,1)="5", "5. Organizacionales", IF(LEFT(A5,1)="6", "6. Personas", IF(LEFT(A5,1)="7", "7. Físicos", "8. Tecnológicos")))</f>
        <v/>
      </c>
      <c r="D5" s="38">
        <f>IFERROR(VLOOKUP(A5, 'ANEXO A'!$A$2:$L$94, 11, FALSE), "")</f>
        <v/>
      </c>
      <c r="E5" s="38">
        <f>IFERROR(VLOOKUP(A5, 'ANEXO A'!$A$2:$L$94, 8, FALSE), "")</f>
        <v/>
      </c>
      <c r="F5" s="38">
        <f>IFERROR(VLOOKUP(A5, 'ANEXO A'!$A$2:$L$94, 9, FALSE), "")</f>
        <v/>
      </c>
      <c r="G5" s="38">
        <f>IFERROR(VLOOKUP(A5, 'ANEXO A'!$A$2:$L$94, 10, FALSE), "")</f>
        <v/>
      </c>
      <c r="H5" s="38">
        <f>IFERROR(VLOOKUP(A5, 'ANEXO A'!$A$2:$L$94, 12, FALSE), "")</f>
        <v/>
      </c>
      <c r="I5" s="38" t="inlineStr">
        <is>
          <t>6.1 Políticas Generales / Sec. 12 SEPS 002: Compromiso de la Alta Dirección y jefaturas en la exigencia y cumplimiento de políticas de SI (GSO-GSI-MP-GSI / SEPS-2022-002).</t>
        </is>
      </c>
      <c r="J5" s="112">
        <f>"• Establecer lineamientos para " &amp; IFERROR(VLOOKUP(A5, 'ANEXO A'!$A$2:$L$94, 2, FALSE), "Este Control") &amp; CHAR(10) &amp; "• Definir roles para el control " &amp; A5 &amp; CHAR(10) &amp; "• Revisar efectividad de " &amp; IFERROR(VLOOKUP(A5, 'ANEXO A'!$A$2:$L$94, 2, FALSE), "Este Control")</f>
        <v/>
      </c>
      <c r="K5" s="112" t="inlineStr">
        <is>
          <t>Asegurar el cumplimiento, control y resguardo continuo de los procesos de Responsabilidades de la dirección a fin de mitigar riesgos y mantener la alineación a los principios de confidencialidad, integridad y disponibilidad aplicables a este dominio.</t>
        </is>
      </c>
      <c r="L5" s="112" t="inlineStr">
        <is>
          <t>La organización deberá implementar, registrar y monitorear operativamente todos los protocolos relacionados a Responsabilidades de la dirección, estableciendo políticas técnicas correspondientes.</t>
        </is>
      </c>
    </row>
    <row r="6" ht="56.25" customHeight="1" s="106">
      <c r="A6" s="38">
        <f>'ANEXO A'!A6</f>
        <v/>
      </c>
      <c r="B6" s="38">
        <f>IFERROR(VLOOKUP(A6, 'ANEXO A'!$A$2:$L$94, 2, FALSE), "")</f>
        <v/>
      </c>
      <c r="C6" s="38">
        <f>IF(LEFT(A6,1)="5", "5. Organizacionales", IF(LEFT(A6,1)="6", "6. Personas", IF(LEFT(A6,1)="7", "7. Físicos", "8. Tecnológicos")))</f>
        <v/>
      </c>
      <c r="D6" s="38">
        <f>IFERROR(VLOOKUP(A6, 'ANEXO A'!$A$2:$L$94, 11, FALSE), "")</f>
        <v/>
      </c>
      <c r="E6" s="38">
        <f>IFERROR(VLOOKUP(A6, 'ANEXO A'!$A$2:$L$94, 8, FALSE), "")</f>
        <v/>
      </c>
      <c r="F6" s="38">
        <f>IFERROR(VLOOKUP(A6, 'ANEXO A'!$A$2:$L$94, 9, FALSE), "")</f>
        <v/>
      </c>
      <c r="G6" s="38">
        <f>IFERROR(VLOOKUP(A6, 'ANEXO A'!$A$2:$L$94, 10, FALSE), "")</f>
        <v/>
      </c>
      <c r="H6" s="38">
        <f>IFERROR(VLOOKUP(A6, 'ANEXO A'!$A$2:$L$94, 12, FALSE), "")</f>
        <v/>
      </c>
      <c r="I6" s="38" t="inlineStr">
        <is>
          <t>Disposición General 1era SEPS 002 / 6.15 Gestión de Incidentes: Notificación obligatoria e inmediata a la SEPS, Fiscalía y entes de control ante eventos críticos (SEPS-2022-002 / GSO-GSI-MP-GSI).</t>
        </is>
      </c>
      <c r="J6" s="112">
        <f>"• Establecer lineamientos para " &amp; IFERROR(VLOOKUP(A6, 'ANEXO A'!$A$2:$L$94, 2, FALSE), "Este Control") &amp; CHAR(10) &amp; "• Definir roles para el control " &amp; A6 &amp; CHAR(10) &amp; "• Revisar efectividad de " &amp; IFERROR(VLOOKUP(A6, 'ANEXO A'!$A$2:$L$94, 2, FALSE), "Este Control")</f>
        <v/>
      </c>
      <c r="K6" s="112" t="inlineStr">
        <is>
          <t>Asegurar el cumplimiento, control y resguardo continuo de los procesos de Contacto con las autoridades a fin de mitigar riesgos y mantener la alineación a los principios de confidencialidad, integridad y disponibilidad aplicables a este dominio.</t>
        </is>
      </c>
      <c r="L6" s="112" t="inlineStr">
        <is>
          <t>La organización deberá implementar, registrar y monitorear operativamente todos los protocolos relacionados a Contacto con las autoridades, estableciendo políticas técnicas correspondientes.</t>
        </is>
      </c>
    </row>
    <row r="7" ht="67.5" customHeight="1" s="106">
      <c r="A7" s="38">
        <f>'ANEXO A'!A7</f>
        <v/>
      </c>
      <c r="B7" s="38">
        <f>IFERROR(VLOOKUP(A7, 'ANEXO A'!$A$2:$L$94, 2, FALSE), "")</f>
        <v/>
      </c>
      <c r="C7" s="38">
        <f>IF(LEFT(A7,1)="5", "5. Organizacionales", IF(LEFT(A7,1)="6", "6. Personas", IF(LEFT(A7,1)="7", "7. Físicos", "8. Tecnológicos")))</f>
        <v/>
      </c>
      <c r="D7" s="38">
        <f>IFERROR(VLOOKUP(A7, 'ANEXO A'!$A$2:$L$94, 11, FALSE), "")</f>
        <v/>
      </c>
      <c r="E7" s="38">
        <f>IFERROR(VLOOKUP(A7, 'ANEXO A'!$A$2:$L$94, 8, FALSE), "")</f>
        <v/>
      </c>
      <c r="F7" s="38">
        <f>IFERROR(VLOOKUP(A7, 'ANEXO A'!$A$2:$L$94, 9, FALSE), "")</f>
        <v/>
      </c>
      <c r="G7" s="38">
        <f>IFERROR(VLOOKUP(A7, 'ANEXO A'!$A$2:$L$94, 10, FALSE), "")</f>
        <v/>
      </c>
      <c r="H7" s="38">
        <f>IFERROR(VLOOKUP(A7, 'ANEXO A'!$A$2:$L$94, 12, FALSE), "")</f>
        <v/>
      </c>
      <c r="I7" s="38" t="inlineStr">
        <is>
          <t>Marco Normativo y Alianzas: Mantener membresías, foros y canales de comunicación técnica con asociaciones del sector financiero popular y solidario (ISO 27002 / GSO-GSI-MP-GSI).</t>
        </is>
      </c>
      <c r="J7" s="112">
        <f>"• Establecer lineamientos para " &amp; IFERROR(VLOOKUP(A7, 'ANEXO A'!$A$2:$L$94, 2, FALSE), "Este Control") &amp; CHAR(10) &amp; "• Definir roles para el control " &amp; A7 &amp; CHAR(10) &amp; "• Revisar efectividad de " &amp; IFERROR(VLOOKUP(A7, 'ANEXO A'!$A$2:$L$94, 2, FALSE), "Este Control")</f>
        <v/>
      </c>
      <c r="K7" s="112" t="inlineStr">
        <is>
          <t>Asegurar el cumplimiento, control y resguardo continuo de los procesos de Contacto con grupos de interés especial a fin de mitigar riesgos y mantener la alineación a los principios de confidencialidad, integridad y disponibilidad aplicables a este dominio.</t>
        </is>
      </c>
      <c r="L7" s="112" t="inlineStr">
        <is>
          <t>La organización deberá implementar, registrar y monitorear operativamente todos los protocolos relacionados a Contacto con grupos de interés especial, estableciendo políticas técnicas correspondientes.</t>
        </is>
      </c>
    </row>
    <row r="8" ht="56.25" customHeight="1" s="106">
      <c r="A8" s="38">
        <f>'ANEXO A'!A8</f>
        <v/>
      </c>
      <c r="B8" s="38">
        <f>IFERROR(VLOOKUP(A8, 'ANEXO A'!$A$2:$L$94, 2, FALSE), "")</f>
        <v/>
      </c>
      <c r="C8" s="38">
        <f>IF(LEFT(A8,1)="5", "5. Organizacionales", IF(LEFT(A8,1)="6", "6. Personas", IF(LEFT(A8,1)="7", "7. Físicos", "8. Tecnológicos")))</f>
        <v/>
      </c>
      <c r="D8" s="38">
        <f>IFERROR(VLOOKUP(A8, 'ANEXO A'!$A$2:$L$94, 11, FALSE), "")</f>
        <v/>
      </c>
      <c r="E8" s="38">
        <f>IFERROR(VLOOKUP(A8, 'ANEXO A'!$A$2:$L$94, 8, FALSE), "")</f>
        <v/>
      </c>
      <c r="F8" s="38">
        <f>IFERROR(VLOOKUP(A8, 'ANEXO A'!$A$2:$L$94, 9, FALSE), "")</f>
        <v/>
      </c>
      <c r="G8" s="38">
        <f>IFERROR(VLOOKUP(A8, 'ANEXO A'!$A$2:$L$94, 10, FALSE), "")</f>
        <v/>
      </c>
      <c r="H8" s="38">
        <f>IFERROR(VLOOKUP(A8, 'ANEXO A'!$A$2:$L$94, 12, FALSE), "")</f>
        <v/>
      </c>
      <c r="I8" s="38" t="inlineStr">
        <is>
          <t>10.2 Metodología GAI / 6.19 Escaneo: Recopilación y análisis de fuentes de amenazas adversarias y no adversarias (S1-S40) (GSO-GSI-ME-GAI / GSO-GSI-MP-GSI).</t>
        </is>
      </c>
      <c r="J8" s="112">
        <f>"• Establecer lineamientos para " &amp; IFERROR(VLOOKUP(A8, 'ANEXO A'!$A$2:$L$94, 2, FALSE), "Este Control") &amp; CHAR(10) &amp; "• Definir roles para el control " &amp; A8 &amp; CHAR(10) &amp; "• Revisar efectividad de " &amp; IFERROR(VLOOKUP(A8, 'ANEXO A'!$A$2:$L$94, 2, FALSE), "Este Control")</f>
        <v/>
      </c>
      <c r="K8" s="112" t="inlineStr">
        <is>
          <t>Asegurar el cumplimiento, control y resguardo continuo de los procesos de Inteligencia de amenazas a fin de mitigar riesgos y mantener la alineación a los principios de confidencialidad, integridad y disponibilidad aplicables a este dominio.</t>
        </is>
      </c>
      <c r="L8" s="112" t="inlineStr">
        <is>
          <t>La organización deberá implementar, registrar y monitorear operativamente todos los protocolos relacionados a Inteligencia de amenazas, estableciendo políticas técnicas correspondientes.</t>
        </is>
      </c>
    </row>
    <row r="9" ht="78.75" customHeight="1" s="106">
      <c r="A9" s="38">
        <f>'ANEXO A'!A9</f>
        <v/>
      </c>
      <c r="B9" s="38">
        <f>IFERROR(VLOOKUP(A9, 'ANEXO A'!$A$2:$L$94, 2, FALSE), "")</f>
        <v/>
      </c>
      <c r="C9" s="38">
        <f>IF(LEFT(A9,1)="5", "5. Organizacionales", IF(LEFT(A9,1)="6", "6. Personas", IF(LEFT(A9,1)="7", "7. Físicos", "8. Tecnológicos")))</f>
        <v/>
      </c>
      <c r="D9" s="38">
        <f>IFERROR(VLOOKUP(A9, 'ANEXO A'!$A$2:$L$94, 11, FALSE), "")</f>
        <v/>
      </c>
      <c r="E9" s="38">
        <f>IFERROR(VLOOKUP(A9, 'ANEXO A'!$A$2:$L$94, 8, FALSE), "")</f>
        <v/>
      </c>
      <c r="F9" s="38">
        <f>IFERROR(VLOOKUP(A9, 'ANEXO A'!$A$2:$L$94, 9, FALSE), "")</f>
        <v/>
      </c>
      <c r="G9" s="38">
        <f>IFERROR(VLOOKUP(A9, 'ANEXO A'!$A$2:$L$94, 10, FALSE), "")</f>
        <v/>
      </c>
      <c r="H9" s="38">
        <f>IFERROR(VLOOKUP(A9, 'ANEXO A'!$A$2:$L$94, 12, FALSE), "")</f>
        <v/>
      </c>
      <c r="I9" s="38" t="inlineStr">
        <is>
          <t>6.13 Gestión de activos / Anexo 1 SEPS: Inclusión de directrices y análisis de riesgos de SI desde las fases iniciales de nuevos proyectos y servicios (GSO-GSI-ME-GAI / SEPS-2022-002).</t>
        </is>
      </c>
      <c r="J9" s="112">
        <f>"• Establecer lineamientos para " &amp; IFERROR(VLOOKUP(A9, 'ANEXO A'!$A$2:$L$94, 2, FALSE), "Este Control") &amp; CHAR(10) &amp; "• Definir roles para el control " &amp; A9 &amp; CHAR(10) &amp; "• Revisar efectividad de " &amp; IFERROR(VLOOKUP(A9, 'ANEXO A'!$A$2:$L$94, 2, FALSE), "Este Control")</f>
        <v/>
      </c>
      <c r="K9" s="112" t="inlineStr">
        <is>
          <t>Asegurar el cumplimiento, control y resguardo continuo de los procesos de Seguridad de la información en la gestión de proyectos a fin de mitigar riesgos y mantener la alineación a los principios de confidencialidad, integridad y disponibilidad aplicables a este dominio.</t>
        </is>
      </c>
      <c r="L9" s="112" t="inlineStr">
        <is>
          <t>La organización deberá implementar, registrar y monitorear operativamente todos los protocolos relacionados a Seguridad de la información en la gestión de proyectos, estableciendo políticas técnicas correspondientes.</t>
        </is>
      </c>
    </row>
    <row r="10" ht="78.75" customHeight="1" s="106">
      <c r="A10" s="38">
        <f>'ANEXO A'!A10</f>
        <v/>
      </c>
      <c r="B10" s="38">
        <f>IFERROR(VLOOKUP(A10, 'ANEXO A'!$A$2:$L$94, 2, FALSE), "")</f>
        <v/>
      </c>
      <c r="C10" s="38">
        <f>IF(LEFT(A10,1)="5", "5. Organizacionales", IF(LEFT(A10,1)="6", "6. Personas", IF(LEFT(A10,1)="7", "7. Físicos", "8. Tecnológicos")))</f>
        <v/>
      </c>
      <c r="D10" s="38">
        <f>IFERROR(VLOOKUP(A10, 'ANEXO A'!$A$2:$L$94, 11, FALSE), "")</f>
        <v/>
      </c>
      <c r="E10" s="38">
        <f>IFERROR(VLOOKUP(A10, 'ANEXO A'!$A$2:$L$94, 8, FALSE), "")</f>
        <v/>
      </c>
      <c r="F10" s="38">
        <f>IFERROR(VLOOKUP(A10, 'ANEXO A'!$A$2:$L$94, 9, FALSE), "")</f>
        <v/>
      </c>
      <c r="G10" s="38">
        <f>IFERROR(VLOOKUP(A10, 'ANEXO A'!$A$2:$L$94, 10, FALSE), "")</f>
        <v/>
      </c>
      <c r="H10" s="38">
        <f>IFERROR(VLOOKUP(A10, 'ANEXO A'!$A$2:$L$94, 12, FALSE), "")</f>
        <v/>
      </c>
      <c r="I10" s="38" t="inlineStr">
        <is>
          <t>6.13. Gestión de activos de información - Mantener un inventario actualizado (GSO-GSI-MP-GSI)</t>
        </is>
      </c>
      <c r="J10" s="112">
        <f>"• Establecer lineamientos para " &amp; IFERROR(VLOOKUP(A10, 'ANEXO A'!$A$2:$L$94, 2, FALSE), "Este Control") &amp; CHAR(10) &amp; "• Definir roles para el control " &amp; A10 &amp; CHAR(10) &amp; "• Revisar efectividad de " &amp; IFERROR(VLOOKUP(A10, 'ANEXO A'!$A$2:$L$94, 2, FALSE), "Este Control")</f>
        <v/>
      </c>
      <c r="K10" s="112" t="inlineStr">
        <is>
          <t>Asegurar el cumplimiento, control y resguardo continuo de los procesos de Inventario de información y otros activos asociados a fin de mitigar riesgos y mantener la alineación a los principios de confidencialidad, integridad y disponibilidad aplicables a este dominio.</t>
        </is>
      </c>
      <c r="L10" s="112" t="inlineStr">
        <is>
          <t>La organización deberá implementar, registrar y monitorear operativamente todos los protocolos relacionados a Inventario de información y otros activos asociados, estableciendo políticas técnicas correspondientes.</t>
        </is>
      </c>
    </row>
    <row r="11" ht="78.75" customHeight="1" s="106">
      <c r="A11" s="38">
        <f>'ANEXO A'!A11</f>
        <v/>
      </c>
      <c r="B11" s="38">
        <f>IFERROR(VLOOKUP(A11, 'ANEXO A'!$A$2:$L$94, 2, FALSE), "")</f>
        <v/>
      </c>
      <c r="C11" s="38">
        <f>IF(LEFT(A11,1)="5", "5. Organizacionales", IF(LEFT(A11,1)="6", "6. Personas", IF(LEFT(A11,1)="7", "7. Físicos", "8. Tecnológicos")))</f>
        <v/>
      </c>
      <c r="D11" s="38">
        <f>IFERROR(VLOOKUP(A11, 'ANEXO A'!$A$2:$L$94, 11, FALSE), "")</f>
        <v/>
      </c>
      <c r="E11" s="38">
        <f>IFERROR(VLOOKUP(A11, 'ANEXO A'!$A$2:$L$94, 8, FALSE), "")</f>
        <v/>
      </c>
      <c r="F11" s="38">
        <f>IFERROR(VLOOKUP(A11, 'ANEXO A'!$A$2:$L$94, 9, FALSE), "")</f>
        <v/>
      </c>
      <c r="G11" s="38">
        <f>IFERROR(VLOOKUP(A11, 'ANEXO A'!$A$2:$L$94, 10, FALSE), "")</f>
        <v/>
      </c>
      <c r="H11" s="38">
        <f>IFERROR(VLOOKUP(A11, 'ANEXO A'!$A$2:$L$94, 12, FALSE), "")</f>
        <v/>
      </c>
      <c r="I11" s="38" t="inlineStr">
        <is>
          <t>6.16 Revisión y monitoreo de políticas: Difundir y fiscalizar el uso legítimo de estaciones, correo y recursos corporativos (GSO-GSI-MP-GSI).</t>
        </is>
      </c>
      <c r="J11" s="112">
        <f>"• Establecer lineamientos para " &amp; IFERROR(VLOOKUP(A11, 'ANEXO A'!$A$2:$L$94, 2, FALSE), "Este Control") &amp; CHAR(10) &amp; "• Definir roles para el control " &amp; A11 &amp; CHAR(10) &amp; "• Revisar efectividad de " &amp; IFERROR(VLOOKUP(A11, 'ANEXO A'!$A$2:$L$94, 2, FALSE), "Este Control")</f>
        <v/>
      </c>
      <c r="K11" s="112" t="inlineStr">
        <is>
          <t>Asegurar el cumplimiento, control y resguardo continuo de los procesos de Uso aceptable de la información y otros activos asociados a fin de mitigar riesgos y mantener la alineación a los principios de confidencialidad, integridad y disponibilidad aplicables a este dominio.</t>
        </is>
      </c>
      <c r="L11" s="112" t="inlineStr">
        <is>
          <t>La organización deberá implementar, registrar y monitorear operativamente todos los protocolos relacionados a Uso aceptable de la información y otros activos asociados, estableciendo políticas técnicas correspondientes.</t>
        </is>
      </c>
    </row>
    <row r="12" ht="56.25" customHeight="1" s="106">
      <c r="A12" s="38">
        <f>'ANEXO A'!A12</f>
        <v/>
      </c>
      <c r="B12" s="38">
        <f>IFERROR(VLOOKUP(A12, 'ANEXO A'!$A$2:$L$94, 2, FALSE), "")</f>
        <v/>
      </c>
      <c r="C12" s="38">
        <f>IF(LEFT(A12,1)="5", "5. Organizacionales", IF(LEFT(A12,1)="6", "6. Personas", IF(LEFT(A12,1)="7", "7. Físicos", "8. Tecnológicos")))</f>
        <v/>
      </c>
      <c r="D12" s="38">
        <f>IFERROR(VLOOKUP(A12, 'ANEXO A'!$A$2:$L$94, 11, FALSE), "")</f>
        <v/>
      </c>
      <c r="E12" s="38">
        <f>IFERROR(VLOOKUP(A12, 'ANEXO A'!$A$2:$L$94, 8, FALSE), "")</f>
        <v/>
      </c>
      <c r="F12" s="38">
        <f>IFERROR(VLOOKUP(A12, 'ANEXO A'!$A$2:$L$94, 9, FALSE), "")</f>
        <v/>
      </c>
      <c r="G12" s="38">
        <f>IFERROR(VLOOKUP(A12, 'ANEXO A'!$A$2:$L$94, 10, FALSE), "")</f>
        <v/>
      </c>
      <c r="H12" s="38">
        <f>IFERROR(VLOOKUP(A12, 'ANEXO A'!$A$2:$L$94, 12, FALSE), "")</f>
        <v/>
      </c>
      <c r="I12" s="38" t="inlineStr">
        <is>
          <t>6.5 Eliminación de usuarios: Recepción formal y descargo de equipos, accesos y credenciales ante terminación o rotación laboral (GSO-GSI-MP-GSI / GSO-GSI-ME-GAI Sec. 1).</t>
        </is>
      </c>
      <c r="J12" s="112">
        <f>"• Establecer lineamientos para " &amp; IFERROR(VLOOKUP(A12, 'ANEXO A'!$A$2:$L$94, 2, FALSE), "Este Control") &amp; CHAR(10) &amp; "• Definir roles para el control " &amp; A12 &amp; CHAR(10) &amp; "• Revisar efectividad de " &amp; IFERROR(VLOOKUP(A12, 'ANEXO A'!$A$2:$L$94, 2, FALSE), "Este Control")</f>
        <v/>
      </c>
      <c r="K12" s="112" t="inlineStr">
        <is>
          <t>Asegurar el cumplimiento, control y resguardo continuo de los procesos de Devolución de activos a fin de mitigar riesgos y mantener la alineación a los principios de confidencialidad, integridad y disponibilidad aplicables a este dominio.</t>
        </is>
      </c>
      <c r="L12" s="112" t="inlineStr">
        <is>
          <t>La organización deberá implementar, registrar y monitorear operativamente todos los protocolos relacionados a Devolución de activos, estableciendo políticas técnicas correspondientes.</t>
        </is>
      </c>
    </row>
    <row r="13" ht="56.25" customHeight="1" s="106">
      <c r="A13" s="38">
        <f>'ANEXO A'!A13</f>
        <v/>
      </c>
      <c r="B13" s="38">
        <f>IFERROR(VLOOKUP(A13, 'ANEXO A'!$A$2:$L$94, 2, FALSE), "")</f>
        <v/>
      </c>
      <c r="C13" s="38">
        <f>IF(LEFT(A13,1)="5", "5. Organizacionales", IF(LEFT(A13,1)="6", "6. Personas", IF(LEFT(A13,1)="7", "7. Físicos", "8. Tecnológicos")))</f>
        <v/>
      </c>
      <c r="D13" s="38">
        <f>IFERROR(VLOOKUP(A13, 'ANEXO A'!$A$2:$L$94, 11, FALSE), "")</f>
        <v/>
      </c>
      <c r="E13" s="38">
        <f>IFERROR(VLOOKUP(A13, 'ANEXO A'!$A$2:$L$94, 8, FALSE), "")</f>
        <v/>
      </c>
      <c r="F13" s="38">
        <f>IFERROR(VLOOKUP(A13, 'ANEXO A'!$A$2:$L$94, 9, FALSE), "")</f>
        <v/>
      </c>
      <c r="G13" s="38">
        <f>IFERROR(VLOOKUP(A13, 'ANEXO A'!$A$2:$L$94, 10, FALSE), "")</f>
        <v/>
      </c>
      <c r="H13" s="38">
        <f>IFERROR(VLOOKUP(A13, 'ANEXO A'!$A$2:$L$94, 12, FALSE), "")</f>
        <v/>
      </c>
      <c r="I13" s="38" t="inlineStr">
        <is>
          <t>Sec. 7 y 8 Metodología GAI: Clasificación y valoración de activos en Confidencialidad, Integridad y Disponibilidad (Pública, Uso Interno, Restringida) (GSO-GSI-ME-GAI).</t>
        </is>
      </c>
      <c r="J13" s="112">
        <f>"• Establecer lineamientos para " &amp; IFERROR(VLOOKUP(A13, 'ANEXO A'!$A$2:$L$94, 2, FALSE), "Este Control") &amp; CHAR(10) &amp; "• Definir roles para el control " &amp; A13 &amp; CHAR(10) &amp; "• Revisar efectividad de " &amp; IFERROR(VLOOKUP(A13, 'ANEXO A'!$A$2:$L$94, 2, FALSE), "Este Control")</f>
        <v/>
      </c>
      <c r="K13" s="112" t="inlineStr">
        <is>
          <t>Asegurar el cumplimiento, control y resguardo continuo de los procesos de Clasificación de la información a fin de mitigar riesgos y mantener la alineación a los principios de confidencialidad, integridad y disponibilidad aplicables a este dominio.</t>
        </is>
      </c>
      <c r="L13" s="112" t="inlineStr">
        <is>
          <t>La organización deberá implementar, registrar y monitorear operativamente todos los protocolos relacionados a Clasificación de la información, estableciendo políticas técnicas correspondientes.</t>
        </is>
      </c>
    </row>
    <row r="14" ht="56.25" customHeight="1" s="106">
      <c r="A14" s="38">
        <f>'ANEXO A'!A14</f>
        <v/>
      </c>
      <c r="B14" s="38">
        <f>IFERROR(VLOOKUP(A14, 'ANEXO A'!$A$2:$L$94, 2, FALSE), "")</f>
        <v/>
      </c>
      <c r="C14" s="38">
        <f>IF(LEFT(A14,1)="5", "5. Organizacionales", IF(LEFT(A14,1)="6", "6. Personas", IF(LEFT(A14,1)="7", "7. Físicos", "8. Tecnológicos")))</f>
        <v/>
      </c>
      <c r="D14" s="38">
        <f>IFERROR(VLOOKUP(A14, 'ANEXO A'!$A$2:$L$94, 11, FALSE), "")</f>
        <v/>
      </c>
      <c r="E14" s="38">
        <f>IFERROR(VLOOKUP(A14, 'ANEXO A'!$A$2:$L$94, 8, FALSE), "")</f>
        <v/>
      </c>
      <c r="F14" s="38">
        <f>IFERROR(VLOOKUP(A14, 'ANEXO A'!$A$2:$L$94, 9, FALSE), "")</f>
        <v/>
      </c>
      <c r="G14" s="38">
        <f>IFERROR(VLOOKUP(A14, 'ANEXO A'!$A$2:$L$94, 10, FALSE), "")</f>
        <v/>
      </c>
      <c r="H14" s="38">
        <f>IFERROR(VLOOKUP(A14, 'ANEXO A'!$A$2:$L$94, 12, FALSE), "")</f>
        <v/>
      </c>
      <c r="I14" s="38" t="inlineStr">
        <is>
          <t>Sec. 5 y 7 Metodología GAI: Aplicación de lineamientos para marcado y rotulado de información física y digital según su confidencialidad (GSO-GSI-ME-GAI).</t>
        </is>
      </c>
      <c r="J14" s="112">
        <f>"• Establecer lineamientos para " &amp; IFERROR(VLOOKUP(A14, 'ANEXO A'!$A$2:$L$94, 2, FALSE), "Este Control") &amp; CHAR(10) &amp; "• Definir roles para el control " &amp; A14 &amp; CHAR(10) &amp; "• Revisar efectividad de " &amp; IFERROR(VLOOKUP(A14, 'ANEXO A'!$A$2:$L$94, 2, FALSE), "Este Control")</f>
        <v/>
      </c>
      <c r="K14" s="112" t="inlineStr">
        <is>
          <t>Asegurar el cumplimiento, control y resguardo continuo de los procesos de Etiquetado de la información a fin de mitigar riesgos y mantener la alineación a los principios de confidencialidad, integridad y disponibilidad aplicables a este dominio.</t>
        </is>
      </c>
      <c r="L14" s="112" t="inlineStr">
        <is>
          <t>La organización deberá implementar, registrar y monitorear operativamente todos los protocolos relacionados a Etiquetado de la información, estableciendo políticas técnicas correspondientes.</t>
        </is>
      </c>
    </row>
    <row r="15" ht="67.5" customHeight="1" s="106">
      <c r="A15" s="38">
        <f>'ANEXO A'!A15</f>
        <v/>
      </c>
      <c r="B15" s="38">
        <f>IFERROR(VLOOKUP(A15, 'ANEXO A'!$A$2:$L$94, 2, FALSE), "")</f>
        <v/>
      </c>
      <c r="C15" s="38">
        <f>IF(LEFT(A15,1)="5", "5. Organizacionales", IF(LEFT(A15,1)="6", "6. Personas", IF(LEFT(A15,1)="7", "7. Físicos", "8. Tecnológicos")))</f>
        <v/>
      </c>
      <c r="D15" s="38">
        <f>IFERROR(VLOOKUP(A15, 'ANEXO A'!$A$2:$L$94, 11, FALSE), "")</f>
        <v/>
      </c>
      <c r="E15" s="38">
        <f>IFERROR(VLOOKUP(A15, 'ANEXO A'!$A$2:$L$94, 8, FALSE), "")</f>
        <v/>
      </c>
      <c r="F15" s="38">
        <f>IFERROR(VLOOKUP(A15, 'ANEXO A'!$A$2:$L$94, 9, FALSE), "")</f>
        <v/>
      </c>
      <c r="G15" s="38">
        <f>IFERROR(VLOOKUP(A15, 'ANEXO A'!$A$2:$L$94, 10, FALSE), "")</f>
        <v/>
      </c>
      <c r="H15" s="38">
        <f>IFERROR(VLOOKUP(A15, 'ANEXO A'!$A$2:$L$94, 12, FALSE), "")</f>
        <v/>
      </c>
      <c r="I15" s="38" t="inlineStr">
        <is>
          <t>6.9 Control de acceso FTP / Acuerdos: Procedimientos seguros de transmisión de datos cifrados interna y externamente vía canales autorizados (GSO-GSI-MP-GSI).</t>
        </is>
      </c>
      <c r="J15" s="112">
        <f>"• Establecer lineamientos para " &amp; IFERROR(VLOOKUP(A15, 'ANEXO A'!$A$2:$L$94, 2, FALSE), "Este Control") &amp; CHAR(10) &amp; "• Definir roles para el control " &amp; A15 &amp; CHAR(10) &amp; "• Revisar efectividad de " &amp; IFERROR(VLOOKUP(A15, 'ANEXO A'!$A$2:$L$94, 2, FALSE), "Este Control")</f>
        <v/>
      </c>
      <c r="K15" s="112" t="inlineStr">
        <is>
          <t>Asegurar el cumplimiento, control y resguardo continuo de los procesos de Transferencia de información a fin de mitigar riesgos y mantener la alineación a los principios de confidencialidad, integridad y disponibilidad aplicables a este dominio.</t>
        </is>
      </c>
      <c r="L15" s="112" t="inlineStr">
        <is>
          <t>La organización deberá implementar, registrar y monitorear operativamente todos los protocolos relacionados a Transferencia de información, estableciendo políticas técnicas correspondientes.</t>
        </is>
      </c>
    </row>
    <row r="16" ht="56.25" customHeight="1" s="106">
      <c r="A16" s="38">
        <f>'ANEXO A'!A16</f>
        <v/>
      </c>
      <c r="B16" s="38">
        <f>IFERROR(VLOOKUP(A16, 'ANEXO A'!$A$2:$L$94, 2, FALSE), "")</f>
        <v/>
      </c>
      <c r="C16" s="38">
        <f>IF(LEFT(A16,1)="5", "5. Organizacionales", IF(LEFT(A16,1)="6", "6. Personas", IF(LEFT(A16,1)="7", "7. Físicos", "8. Tecnológicos")))</f>
        <v/>
      </c>
      <c r="D16" s="38">
        <f>IFERROR(VLOOKUP(A16, 'ANEXO A'!$A$2:$L$94, 11, FALSE), "")</f>
        <v/>
      </c>
      <c r="E16" s="38">
        <f>IFERROR(VLOOKUP(A16, 'ANEXO A'!$A$2:$L$94, 8, FALSE), "")</f>
        <v/>
      </c>
      <c r="F16" s="38">
        <f>IFERROR(VLOOKUP(A16, 'ANEXO A'!$A$2:$L$94, 9, FALSE), "")</f>
        <v/>
      </c>
      <c r="G16" s="38">
        <f>IFERROR(VLOOKUP(A16, 'ANEXO A'!$A$2:$L$94, 10, FALSE), "")</f>
        <v/>
      </c>
      <c r="H16" s="38">
        <f>IFERROR(VLOOKUP(A16, 'ANEXO A'!$A$2:$L$94, 12, FALSE), "")</f>
        <v/>
      </c>
      <c r="I16" s="38" t="inlineStr">
        <is>
          <t>6.2. Creación de nuevos usuarios - Asignación de usuarios y roles según GSO-GSI-MP-GSI</t>
        </is>
      </c>
      <c r="J16" s="112">
        <f>"• Establecer lineamientos para " &amp; IFERROR(VLOOKUP(A16, 'ANEXO A'!$A$2:$L$94, 2, FALSE), "Este Control") &amp; CHAR(10) &amp; "• Definir roles para el control " &amp; A16 &amp; CHAR(10) &amp; "• Revisar efectividad de " &amp; IFERROR(VLOOKUP(A16, 'ANEXO A'!$A$2:$L$94, 2, FALSE), "Este Control")</f>
        <v/>
      </c>
      <c r="K16" s="112" t="inlineStr">
        <is>
          <t>Asegurar el cumplimiento, control y resguardo continuo de los procesos de Control de acceso a fin de mitigar riesgos y mantener la alineación a los principios de confidencialidad, integridad y disponibilidad aplicables a este dominio.</t>
        </is>
      </c>
      <c r="L16" s="112" t="inlineStr">
        <is>
          <t>La organización deberá implementar, registrar y monitorear operativamente todos los protocolos relacionados a Control de acceso, estableciendo políticas técnicas correspondientes.</t>
        </is>
      </c>
    </row>
    <row r="17" ht="56.25" customHeight="1" s="106">
      <c r="A17" s="38">
        <f>'ANEXO A'!A17</f>
        <v/>
      </c>
      <c r="B17" s="38">
        <f>IFERROR(VLOOKUP(A17, 'ANEXO A'!$A$2:$L$94, 2, FALSE), "")</f>
        <v/>
      </c>
      <c r="C17" s="38">
        <f>IF(LEFT(A17,1)="5", "5. Organizacionales", IF(LEFT(A17,1)="6", "6. Personas", IF(LEFT(A17,1)="7", "7. Físicos", "8. Tecnológicos")))</f>
        <v/>
      </c>
      <c r="D17" s="38">
        <f>IFERROR(VLOOKUP(A17, 'ANEXO A'!$A$2:$L$94, 11, FALSE), "")</f>
        <v/>
      </c>
      <c r="E17" s="38">
        <f>IFERROR(VLOOKUP(A17, 'ANEXO A'!$A$2:$L$94, 8, FALSE), "")</f>
        <v/>
      </c>
      <c r="F17" s="38">
        <f>IFERROR(VLOOKUP(A17, 'ANEXO A'!$A$2:$L$94, 9, FALSE), "")</f>
        <v/>
      </c>
      <c r="G17" s="38">
        <f>IFERROR(VLOOKUP(A17, 'ANEXO A'!$A$2:$L$94, 10, FALSE), "")</f>
        <v/>
      </c>
      <c r="H17" s="38">
        <f>IFERROR(VLOOKUP(A17, 'ANEXO A'!$A$2:$L$94, 12, FALSE), "")</f>
        <v/>
      </c>
      <c r="I17" s="38" t="inlineStr">
        <is>
          <t>6.2. Creación de nuevos usuarios - Asignación de usuarios y roles según GSO-GSI-MP-GSI</t>
        </is>
      </c>
      <c r="J17" s="112">
        <f>"• Establecer lineamientos para " &amp; IFERROR(VLOOKUP(A17, 'ANEXO A'!$A$2:$L$94, 2, FALSE), "Este Control") &amp; CHAR(10) &amp; "• Definir roles para el control " &amp; A17 &amp; CHAR(10) &amp; "• Revisar efectividad de " &amp; IFERROR(VLOOKUP(A17, 'ANEXO A'!$A$2:$L$94, 2, FALSE), "Este Control")</f>
        <v/>
      </c>
      <c r="K17" s="112" t="inlineStr">
        <is>
          <t>Asegurar el cumplimiento, control y resguardo continuo de los procesos de Gestión de identidades a fin de mitigar riesgos y mantener la alineación a los principios de confidencialidad, integridad y disponibilidad aplicables a este dominio.</t>
        </is>
      </c>
      <c r="L17" s="112" t="inlineStr">
        <is>
          <t>La organización deberá implementar, registrar y monitorear operativamente todos los protocolos relacionados a Gestión de identidades, estableciendo políticas técnicas correspondientes.</t>
        </is>
      </c>
    </row>
    <row r="18" ht="56.25" customHeight="1" s="106">
      <c r="A18" s="38">
        <f>'ANEXO A'!A18</f>
        <v/>
      </c>
      <c r="B18" s="38">
        <f>IFERROR(VLOOKUP(A18, 'ANEXO A'!$A$2:$L$94, 2, FALSE), "")</f>
        <v/>
      </c>
      <c r="C18" s="38">
        <f>IF(LEFT(A18,1)="5", "5. Organizacionales", IF(LEFT(A18,1)="6", "6. Personas", IF(LEFT(A18,1)="7", "7. Físicos", "8. Tecnológicos")))</f>
        <v/>
      </c>
      <c r="D18" s="38">
        <f>IFERROR(VLOOKUP(A18, 'ANEXO A'!$A$2:$L$94, 11, FALSE), "")</f>
        <v/>
      </c>
      <c r="E18" s="38">
        <f>IFERROR(VLOOKUP(A18, 'ANEXO A'!$A$2:$L$94, 8, FALSE), "")</f>
        <v/>
      </c>
      <c r="F18" s="38">
        <f>IFERROR(VLOOKUP(A18, 'ANEXO A'!$A$2:$L$94, 9, FALSE), "")</f>
        <v/>
      </c>
      <c r="G18" s="38">
        <f>IFERROR(VLOOKUP(A18, 'ANEXO A'!$A$2:$L$94, 10, FALSE), "")</f>
        <v/>
      </c>
      <c r="H18" s="38">
        <f>IFERROR(VLOOKUP(A18, 'ANEXO A'!$A$2:$L$94, 12, FALSE), "")</f>
        <v/>
      </c>
      <c r="I18" s="38" t="inlineStr">
        <is>
          <t>6.11. Cambio de claves de cuentas críticas - Renovar periódicamente las contraseñas (GSO-GSI-MP-GSI)</t>
        </is>
      </c>
      <c r="J18" s="112">
        <f>"• Establecer lineamientos para " &amp; IFERROR(VLOOKUP(A18, 'ANEXO A'!$A$2:$L$94, 2, FALSE), "Este Control") &amp; CHAR(10) &amp; "• Definir roles para el control " &amp; A18 &amp; CHAR(10) &amp; "• Revisar efectividad de " &amp; IFERROR(VLOOKUP(A18, 'ANEXO A'!$A$2:$L$94, 2, FALSE), "Este Control")</f>
        <v/>
      </c>
      <c r="K18" s="112" t="inlineStr">
        <is>
          <t>Asegurar el cumplimiento, control y resguardo continuo de los procesos de Información de autenticación a fin de mitigar riesgos y mantener la alineación a los principios de confidencialidad, integridad y disponibilidad aplicables a este dominio.</t>
        </is>
      </c>
      <c r="L18" s="112" t="inlineStr">
        <is>
          <t>La organización deberá implementar, registrar y monitorear operativamente todos los protocolos relacionados a Información de autenticación, estableciendo políticas técnicas correspondientes.</t>
        </is>
      </c>
    </row>
    <row r="19" ht="56.25" customHeight="1" s="106">
      <c r="A19" s="38">
        <f>'ANEXO A'!A19</f>
        <v/>
      </c>
      <c r="B19" s="38">
        <f>IFERROR(VLOOKUP(A19, 'ANEXO A'!$A$2:$L$94, 2, FALSE), "")</f>
        <v/>
      </c>
      <c r="C19" s="38">
        <f>IF(LEFT(A19,1)="5", "5. Organizacionales", IF(LEFT(A19,1)="6", "6. Personas", IF(LEFT(A19,1)="7", "7. Físicos", "8. Tecnológicos")))</f>
        <v/>
      </c>
      <c r="D19" s="38">
        <f>IFERROR(VLOOKUP(A19, 'ANEXO A'!$A$2:$L$94, 11, FALSE), "")</f>
        <v/>
      </c>
      <c r="E19" s="38">
        <f>IFERROR(VLOOKUP(A19, 'ANEXO A'!$A$2:$L$94, 8, FALSE), "")</f>
        <v/>
      </c>
      <c r="F19" s="38">
        <f>IFERROR(VLOOKUP(A19, 'ANEXO A'!$A$2:$L$94, 9, FALSE), "")</f>
        <v/>
      </c>
      <c r="G19" s="38">
        <f>IFERROR(VLOOKUP(A19, 'ANEXO A'!$A$2:$L$94, 10, FALSE), "")</f>
        <v/>
      </c>
      <c r="H19" s="38">
        <f>IFERROR(VLOOKUP(A19, 'ANEXO A'!$A$2:$L$94, 12, FALSE), "")</f>
        <v/>
      </c>
      <c r="I19" s="38" t="inlineStr">
        <is>
          <t>6.10. Revisión periódica de roles y usuarios - Control y auditoría de accesos (GSO-GSI-MP-GSI)</t>
        </is>
      </c>
      <c r="J19" s="112">
        <f>"• Establecer lineamientos para " &amp; IFERROR(VLOOKUP(A19, 'ANEXO A'!$A$2:$L$94, 2, FALSE), "Este Control") &amp; CHAR(10) &amp; "• Definir roles para el control " &amp; A19 &amp; CHAR(10) &amp; "• Revisar efectividad de " &amp; IFERROR(VLOOKUP(A19, 'ANEXO A'!$A$2:$L$94, 2, FALSE), "Este Control")</f>
        <v/>
      </c>
      <c r="K19" s="112" t="inlineStr">
        <is>
          <t>Asegurar el cumplimiento, control y resguardo continuo de los procesos de Derechos de acceso a fin de mitigar riesgos y mantener la alineación a los principios de confidencialidad, integridad y disponibilidad aplicables a este dominio.</t>
        </is>
      </c>
      <c r="L19" s="112" t="inlineStr">
        <is>
          <t>La organización deberá implementar, registrar y monitorear operativamente todos los protocolos relacionados a Derechos de acceso, estableciendo políticas técnicas correspondientes.</t>
        </is>
      </c>
    </row>
    <row r="20" ht="78.75" customHeight="1" s="106">
      <c r="A20" s="38">
        <f>'ANEXO A'!A20</f>
        <v/>
      </c>
      <c r="B20" s="38">
        <f>IFERROR(VLOOKUP(A20, 'ANEXO A'!$A$2:$L$94, 2, FALSE), "")</f>
        <v/>
      </c>
      <c r="C20" s="38">
        <f>IF(LEFT(A20,1)="5", "5. Organizacionales", IF(LEFT(A20,1)="6", "6. Personas", IF(LEFT(A20,1)="7", "7. Físicos", "8. Tecnológicos")))</f>
        <v/>
      </c>
      <c r="D20" s="38">
        <f>IFERROR(VLOOKUP(A20, 'ANEXO A'!$A$2:$L$94, 11, FALSE), "")</f>
        <v/>
      </c>
      <c r="E20" s="38">
        <f>IFERROR(VLOOKUP(A20, 'ANEXO A'!$A$2:$L$94, 8, FALSE), "")</f>
        <v/>
      </c>
      <c r="F20" s="38">
        <f>IFERROR(VLOOKUP(A20, 'ANEXO A'!$A$2:$L$94, 9, FALSE), "")</f>
        <v/>
      </c>
      <c r="G20" s="38">
        <f>IFERROR(VLOOKUP(A20, 'ANEXO A'!$A$2:$L$94, 10, FALSE), "")</f>
        <v/>
      </c>
      <c r="H20" s="38">
        <f>IFERROR(VLOOKUP(A20, 'ANEXO A'!$A$2:$L$94, 12, FALSE), "")</f>
        <v/>
      </c>
      <c r="I20" s="38" t="inlineStr">
        <is>
          <t>6.19 Escaneo / Disp. General 2da SEPS 002: Evaluación periódica de riesgos de seguridad y solicitud de auditorías a prestadores de servicios (SEPS-2022-002 / GSO-GSI-MP-GSI).</t>
        </is>
      </c>
      <c r="J20" s="112">
        <f>"• Establecer lineamientos para " &amp; IFERROR(VLOOKUP(A20, 'ANEXO A'!$A$2:$L$94, 2, FALSE), "Este Control") &amp; CHAR(10) &amp; "• Definir roles para el control " &amp; A20 &amp; CHAR(10) &amp; "• Revisar efectividad de " &amp; IFERROR(VLOOKUP(A20, 'ANEXO A'!$A$2:$L$94, 2, FALSE), "Este Control")</f>
        <v/>
      </c>
      <c r="K20" s="112" t="inlineStr">
        <is>
          <t>Asegurar el cumplimiento, control y resguardo continuo de los procesos de Seguridad de la información en las relaciones con los proveedores a fin de mitigar riesgos y mantener la alineación a los principios de confidencialidad, integridad y disponibilidad aplicables a este dominio.</t>
        </is>
      </c>
      <c r="L20" s="112" t="inlineStr">
        <is>
          <t>La organización deberá implementar, registrar y monitorear operativamente todos los protocolos relacionados a Seguridad de la información en las relaciones con los proveedores, estableciendo políticas técnicas correspondientes.</t>
        </is>
      </c>
    </row>
    <row r="21" ht="90" customHeight="1" s="106">
      <c r="A21" s="38">
        <f>'ANEXO A'!A21</f>
        <v/>
      </c>
      <c r="B21" s="38">
        <f>IFERROR(VLOOKUP(A21, 'ANEXO A'!$A$2:$L$94, 2, FALSE), "")</f>
        <v/>
      </c>
      <c r="C21" s="38">
        <f>IF(LEFT(A21,1)="5", "5. Organizacionales", IF(LEFT(A21,1)="6", "6. Personas", IF(LEFT(A21,1)="7", "7. Físicos", "8. Tecnológicos")))</f>
        <v/>
      </c>
      <c r="D21" s="38">
        <f>IFERROR(VLOOKUP(A21, 'ANEXO A'!$A$2:$L$94, 11, FALSE), "")</f>
        <v/>
      </c>
      <c r="E21" s="38">
        <f>IFERROR(VLOOKUP(A21, 'ANEXO A'!$A$2:$L$94, 8, FALSE), "")</f>
        <v/>
      </c>
      <c r="F21" s="38">
        <f>IFERROR(VLOOKUP(A21, 'ANEXO A'!$A$2:$L$94, 9, FALSE), "")</f>
        <v/>
      </c>
      <c r="G21" s="38">
        <f>IFERROR(VLOOKUP(A21, 'ANEXO A'!$A$2:$L$94, 10, FALSE), "")</f>
        <v/>
      </c>
      <c r="H21" s="38">
        <f>IFERROR(VLOOKUP(A21, 'ANEXO A'!$A$2:$L$94, 12, FALSE), "")</f>
        <v/>
      </c>
      <c r="I21" s="38" t="inlineStr">
        <is>
          <t>Disp. General 3era SEPS 002: Incorporación obligatoria de cláusulas de seguridad de la información, protección de datos y confidencialidad en contratos (SEPS-2022-002).</t>
        </is>
      </c>
      <c r="J21" s="112">
        <f>"• Establecer lineamientos para " &amp; IFERROR(VLOOKUP(A21, 'ANEXO A'!$A$2:$L$94, 2, FALSE), "Este Control") &amp; CHAR(10) &amp; "• Definir roles para el control " &amp; A21 &amp; CHAR(10) &amp; "• Revisar efectividad de " &amp; IFERROR(VLOOKUP(A21, 'ANEXO A'!$A$2:$L$94, 2, FALSE), "Este Control")</f>
        <v/>
      </c>
      <c r="K21" s="112" t="inlineStr">
        <is>
          <t>Asegurar el cumplimiento, control y resguardo continuo de los procesos de Tratamiento de la seguridad de la información en los acuerdos con los proveedores a fin de mitigar riesgos y mantener la alineación a los principios de confidencialidad, integridad y disponibilidad aplicables a este dominio.</t>
        </is>
      </c>
      <c r="L21" s="112" t="inlineStr">
        <is>
          <t>La organización deberá implementar, registrar y monitorear operativamente todos los protocolos relacionados a Tratamiento de la seguridad de la información en los acuerdos con los proveedores, estableciendo políticas técnicas correspondientes.</t>
        </is>
      </c>
    </row>
    <row r="22" ht="90" customHeight="1" s="106">
      <c r="A22" s="38">
        <f>'ANEXO A'!A22</f>
        <v/>
      </c>
      <c r="B22" s="38">
        <f>IFERROR(VLOOKUP(A22, 'ANEXO A'!$A$2:$L$94, 2, FALSE), "")</f>
        <v/>
      </c>
      <c r="C22" s="38">
        <f>IF(LEFT(A22,1)="5", "5. Organizacionales", IF(LEFT(A22,1)="6", "6. Personas", IF(LEFT(A22,1)="7", "7. Físicos", "8. Tecnológicos")))</f>
        <v/>
      </c>
      <c r="D22" s="38">
        <f>IFERROR(VLOOKUP(A22, 'ANEXO A'!$A$2:$L$94, 11, FALSE), "")</f>
        <v/>
      </c>
      <c r="E22" s="38">
        <f>IFERROR(VLOOKUP(A22, 'ANEXO A'!$A$2:$L$94, 8, FALSE), "")</f>
        <v/>
      </c>
      <c r="F22" s="38">
        <f>IFERROR(VLOOKUP(A22, 'ANEXO A'!$A$2:$L$94, 9, FALSE), "")</f>
        <v/>
      </c>
      <c r="G22" s="38">
        <f>IFERROR(VLOOKUP(A22, 'ANEXO A'!$A$2:$L$94, 10, FALSE), "")</f>
        <v/>
      </c>
      <c r="H22" s="38">
        <f>IFERROR(VLOOKUP(A22, 'ANEXO A'!$A$2:$L$94, 12, FALSE), "")</f>
        <v/>
      </c>
      <c r="I22" s="38" t="inlineStr">
        <is>
          <t>Anexo 1 SEPS 002: Evaluación de procedencia, confiabilidad y riesgos en la adquisición de hardware, software y suministros de TIC (SEPS-2022-002).</t>
        </is>
      </c>
      <c r="J22" s="112">
        <f>"• Establecer lineamientos para " &amp; IFERROR(VLOOKUP(A22, 'ANEXO A'!$A$2:$L$94, 2, FALSE), "Este Control") &amp; CHAR(10) &amp; "• Definir roles para el control " &amp; A22 &amp; CHAR(10) &amp; "• Revisar efectividad de " &amp; IFERROR(VLOOKUP(A22, 'ANEXO A'!$A$2:$L$94, 2, FALSE), "Este Control")</f>
        <v/>
      </c>
      <c r="K22" s="112" t="inlineStr">
        <is>
          <t>Asegurar el cumplimiento, control y resguardo continuo de los procesos de Gestión de la seguridad de la información en la cadena de suministro de TIC a fin de mitigar riesgos y mantener la alineación a los principios de confidencialidad, integridad y disponibilidad aplicables a este dominio.</t>
        </is>
      </c>
      <c r="L22" s="112" t="inlineStr">
        <is>
          <t>La organización deberá implementar, registrar y monitorear operativamente todos los protocolos relacionados a Gestión de la seguridad de la información en la cadena de suministro de TIC, estableciendo políticas técnicas correspondientes.</t>
        </is>
      </c>
    </row>
    <row r="23" ht="90" customHeight="1" s="106">
      <c r="A23" s="38">
        <f>'ANEXO A'!A23</f>
        <v/>
      </c>
      <c r="B23" s="38">
        <f>IFERROR(VLOOKUP(A23, 'ANEXO A'!$A$2:$L$94, 2, FALSE), "")</f>
        <v/>
      </c>
      <c r="C23" s="38">
        <f>IF(LEFT(A23,1)="5", "5. Organizacionales", IF(LEFT(A23,1)="6", "6. Personas", IF(LEFT(A23,1)="7", "7. Físicos", "8. Tecnológicos")))</f>
        <v/>
      </c>
      <c r="D23" s="38">
        <f>IFERROR(VLOOKUP(A23, 'ANEXO A'!$A$2:$L$94, 11, FALSE), "")</f>
        <v/>
      </c>
      <c r="E23" s="38">
        <f>IFERROR(VLOOKUP(A23, 'ANEXO A'!$A$2:$L$94, 8, FALSE), "")</f>
        <v/>
      </c>
      <c r="F23" s="38">
        <f>IFERROR(VLOOKUP(A23, 'ANEXO A'!$A$2:$L$94, 9, FALSE), "")</f>
        <v/>
      </c>
      <c r="G23" s="38">
        <f>IFERROR(VLOOKUP(A23, 'ANEXO A'!$A$2:$L$94, 10, FALSE), "")</f>
        <v/>
      </c>
      <c r="H23" s="38">
        <f>IFERROR(VLOOKUP(A23, 'ANEXO A'!$A$2:$L$94, 12, FALSE), "")</f>
        <v/>
      </c>
      <c r="I23" s="38" t="inlineStr">
        <is>
          <t>Anexo 1 SEPS 002 / Disp. General 2da: Supervisión continua de ANS (SLA) y auditoría a cambios técnicos en plataformas provistas por terceros (SEPS-2022-002).</t>
        </is>
      </c>
      <c r="J23" s="112">
        <f>"• Establecer lineamientos para " &amp; IFERROR(VLOOKUP(A23, 'ANEXO A'!$A$2:$L$94, 2, FALSE), "Este Control") &amp; CHAR(10) &amp; "• Definir roles para el control " &amp; A23 &amp; CHAR(10) &amp; "• Revisar efectividad de " &amp; IFERROR(VLOOKUP(A23, 'ANEXO A'!$A$2:$L$94, 2, FALSE), "Este Control")</f>
        <v/>
      </c>
      <c r="K23" s="112" t="inlineStr">
        <is>
          <t>Asegurar el cumplimiento, control y resguardo continuo de los procesos de Seguimiento, revisión y gestión de cambios en los servicios de los proveedores a fin de mitigar riesgos y mantener la alineación a los principios de confidencialidad, integridad y disponibilidad aplicables a este dominio.</t>
        </is>
      </c>
      <c r="L23" s="112" t="inlineStr">
        <is>
          <t>La organización deberá implementar, registrar y monitorear operativamente todos los protocolos relacionados a Seguimiento, revisión y gestión de cambios en los servicios de los proveedores, estableciendo políticas técnicas correspondientes.</t>
        </is>
      </c>
    </row>
    <row r="24" ht="78.75" customHeight="1" s="106">
      <c r="A24" s="38">
        <f>'ANEXO A'!A24</f>
        <v/>
      </c>
      <c r="B24" s="38">
        <f>IFERROR(VLOOKUP(A24, 'ANEXO A'!$A$2:$L$94, 2, FALSE), "")</f>
        <v/>
      </c>
      <c r="C24" s="38">
        <f>IF(LEFT(A24,1)="5", "5. Organizacionales", IF(LEFT(A24,1)="6", "6. Personas", IF(LEFT(A24,1)="7", "7. Físicos", "8. Tecnológicos")))</f>
        <v/>
      </c>
      <c r="D24" s="38">
        <f>IFERROR(VLOOKUP(A24, 'ANEXO A'!$A$2:$L$94, 11, FALSE), "")</f>
        <v/>
      </c>
      <c r="E24" s="38">
        <f>IFERROR(VLOOKUP(A24, 'ANEXO A'!$A$2:$L$94, 8, FALSE), "")</f>
        <v/>
      </c>
      <c r="F24" s="38">
        <f>IFERROR(VLOOKUP(A24, 'ANEXO A'!$A$2:$L$94, 9, FALSE), "")</f>
        <v/>
      </c>
      <c r="G24" s="38">
        <f>IFERROR(VLOOKUP(A24, 'ANEXO A'!$A$2:$L$94, 10, FALSE), "")</f>
        <v/>
      </c>
      <c r="H24" s="38">
        <f>IFERROR(VLOOKUP(A24, 'ANEXO A'!$A$2:$L$94, 12, FALSE), "")</f>
        <v/>
      </c>
      <c r="I24" s="38" t="inlineStr">
        <is>
          <t>6.2 Azure / 6.12 MyHSM: Gestión de configuraciones, segregación y control de llaves y servicios en esquemas SaaS/PaaS (GSO-GSI-MP-GSI).</t>
        </is>
      </c>
      <c r="J24" s="112">
        <f>"• Establecer lineamientos para " &amp; IFERROR(VLOOKUP(A24, 'ANEXO A'!$A$2:$L$94, 2, FALSE), "Este Control") &amp; CHAR(10) &amp; "• Definir roles para el control " &amp; A24 &amp; CHAR(10) &amp; "• Revisar efectividad de " &amp; IFERROR(VLOOKUP(A24, 'ANEXO A'!$A$2:$L$94, 2, FALSE), "Este Control")</f>
        <v/>
      </c>
      <c r="K24" s="112" t="inlineStr">
        <is>
          <t>Asegurar el cumplimiento, control y resguardo continuo de los procesos de Seguridad de la información en el uso de servicios en la nube a fin de mitigar riesgos y mantener la alineación a los principios de confidencialidad, integridad y disponibilidad aplicables a este dominio.</t>
        </is>
      </c>
      <c r="L24" s="112" t="inlineStr">
        <is>
          <t>La organización deberá implementar, registrar y monitorear operativamente todos los protocolos relacionados a Seguridad de la información en el uso de servicios en la nube, estableciendo políticas técnicas correspondientes.</t>
        </is>
      </c>
    </row>
    <row r="25" ht="78.75" customHeight="1" s="106">
      <c r="A25" s="38">
        <f>'ANEXO A'!A25</f>
        <v/>
      </c>
      <c r="B25" s="38">
        <f>IFERROR(VLOOKUP(A25, 'ANEXO A'!$A$2:$L$94, 2, FALSE), "")</f>
        <v/>
      </c>
      <c r="C25" s="38">
        <f>IF(LEFT(A25,1)="5", "5. Organizacionales", IF(LEFT(A25,1)="6", "6. Personas", IF(LEFT(A25,1)="7", "7. Físicos", "8. Tecnológicos")))</f>
        <v/>
      </c>
      <c r="D25" s="38">
        <f>IFERROR(VLOOKUP(A25, 'ANEXO A'!$A$2:$L$94, 11, FALSE), "")</f>
        <v/>
      </c>
      <c r="E25" s="38">
        <f>IFERROR(VLOOKUP(A25, 'ANEXO A'!$A$2:$L$94, 8, FALSE), "")</f>
        <v/>
      </c>
      <c r="F25" s="38">
        <f>IFERROR(VLOOKUP(A25, 'ANEXO A'!$A$2:$L$94, 9, FALSE), "")</f>
        <v/>
      </c>
      <c r="G25" s="38">
        <f>IFERROR(VLOOKUP(A25, 'ANEXO A'!$A$2:$L$94, 10, FALSE), "")</f>
        <v/>
      </c>
      <c r="H25" s="38">
        <f>IFERROR(VLOOKUP(A25, 'ANEXO A'!$A$2:$L$94, 12, FALSE), "")</f>
        <v/>
      </c>
      <c r="I25" s="38" t="inlineStr">
        <is>
          <t>6.15. Gestión de incidentes de seguridad de la información - Planificación de respuesta (GSO-GSI-MP-GSI)</t>
        </is>
      </c>
      <c r="J25" s="112">
        <f>"• Establecer lineamientos para " &amp; IFERROR(VLOOKUP(A25, 'ANEXO A'!$A$2:$L$94, 2, FALSE), "Este Control") &amp; CHAR(10) &amp; "• Definir roles para el control " &amp; A25 &amp; CHAR(10) &amp; "• Revisar efectividad de " &amp; IFERROR(VLOOKUP(A25, 'ANEXO A'!$A$2:$L$94, 2, FALSE), "Este Control")</f>
        <v/>
      </c>
      <c r="K25" s="112" t="inlineStr">
        <is>
          <t>Asegurar el cumplimiento, control y resguardo continuo de los procesos de Planificación y preparación de la gestión de incidentes a fin de mitigar riesgos y mantener la alineación a los principios de confidencialidad, integridad y disponibilidad aplicables a este dominio.</t>
        </is>
      </c>
      <c r="L25" s="112" t="inlineStr">
        <is>
          <t>La organización deberá implementar, registrar y monitorear operativamente todos los protocolos relacionados a Planificación y preparación de la gestión de incidentes, estableciendo políticas técnicas correspondientes.</t>
        </is>
      </c>
    </row>
    <row r="26" ht="78.75" customHeight="1" s="106">
      <c r="A26" s="38">
        <f>'ANEXO A'!A26</f>
        <v/>
      </c>
      <c r="B26" s="38">
        <f>IFERROR(VLOOKUP(A26, 'ANEXO A'!$A$2:$L$94, 2, FALSE), "")</f>
        <v/>
      </c>
      <c r="C26" s="38">
        <f>IF(LEFT(A26,1)="5", "5. Organizacionales", IF(LEFT(A26,1)="6", "6. Personas", IF(LEFT(A26,1)="7", "7. Físicos", "8. Tecnológicos")))</f>
        <v/>
      </c>
      <c r="D26" s="38">
        <f>IFERROR(VLOOKUP(A26, 'ANEXO A'!$A$2:$L$94, 11, FALSE), "")</f>
        <v/>
      </c>
      <c r="E26" s="38">
        <f>IFERROR(VLOOKUP(A26, 'ANEXO A'!$A$2:$L$94, 8, FALSE), "")</f>
        <v/>
      </c>
      <c r="F26" s="38">
        <f>IFERROR(VLOOKUP(A26, 'ANEXO A'!$A$2:$L$94, 9, FALSE), "")</f>
        <v/>
      </c>
      <c r="G26" s="38">
        <f>IFERROR(VLOOKUP(A26, 'ANEXO A'!$A$2:$L$94, 10, FALSE), "")</f>
        <v/>
      </c>
      <c r="H26" s="38">
        <f>IFERROR(VLOOKUP(A26, 'ANEXO A'!$A$2:$L$94, 12, FALSE), "")</f>
        <v/>
      </c>
      <c r="I26" s="38" t="inlineStr">
        <is>
          <t>6.15 Gestión de incidentes (Act. 2 y 3): Análisis, categorización, clasificación y registro de eventos y riesgos en el sistema RDS (GSO-GSI-MP-GSI).</t>
        </is>
      </c>
      <c r="J26" s="112">
        <f>"• Establecer lineamientos para " &amp; IFERROR(VLOOKUP(A26, 'ANEXO A'!$A$2:$L$94, 2, FALSE), "Este Control") &amp; CHAR(10) &amp; "• Definir roles para el control " &amp; A26 &amp; CHAR(10) &amp; "• Revisar efectividad de " &amp; IFERROR(VLOOKUP(A26, 'ANEXO A'!$A$2:$L$94, 2, FALSE), "Este Control")</f>
        <v/>
      </c>
      <c r="K26" s="112" t="inlineStr">
        <is>
          <t>Asegurar el cumplimiento, control y resguardo continuo de los procesos de Evaluación y decisión sobre los eventos de seguridad a fin de mitigar riesgos y mantener la alineación a los principios de confidencialidad, integridad y disponibilidad aplicables a este dominio.</t>
        </is>
      </c>
      <c r="L26" s="112" t="inlineStr">
        <is>
          <t>La organización deberá implementar, registrar y monitorear operativamente todos los protocolos relacionados a Evaluación y decisión sobre los eventos de seguridad, estableciendo políticas técnicas correspondientes.</t>
        </is>
      </c>
    </row>
    <row r="27" ht="78.75" customHeight="1" s="106">
      <c r="A27" s="38">
        <f>'ANEXO A'!A27</f>
        <v/>
      </c>
      <c r="B27" s="38">
        <f>IFERROR(VLOOKUP(A27, 'ANEXO A'!$A$2:$L$94, 2, FALSE), "")</f>
        <v/>
      </c>
      <c r="C27" s="38">
        <f>IF(LEFT(A27,1)="5", "5. Organizacionales", IF(LEFT(A27,1)="6", "6. Personas", IF(LEFT(A27,1)="7", "7. Físicos", "8. Tecnológicos")))</f>
        <v/>
      </c>
      <c r="D27" s="38">
        <f>IFERROR(VLOOKUP(A27, 'ANEXO A'!$A$2:$L$94, 11, FALSE), "")</f>
        <v/>
      </c>
      <c r="E27" s="38">
        <f>IFERROR(VLOOKUP(A27, 'ANEXO A'!$A$2:$L$94, 8, FALSE), "")</f>
        <v/>
      </c>
      <c r="F27" s="38">
        <f>IFERROR(VLOOKUP(A27, 'ANEXO A'!$A$2:$L$94, 9, FALSE), "")</f>
        <v/>
      </c>
      <c r="G27" s="38">
        <f>IFERROR(VLOOKUP(A27, 'ANEXO A'!$A$2:$L$94, 10, FALSE), "")</f>
        <v/>
      </c>
      <c r="H27" s="38">
        <f>IFERROR(VLOOKUP(A27, 'ANEXO A'!$A$2:$L$94, 12, FALSE), "")</f>
        <v/>
      </c>
      <c r="I27" s="38" t="inlineStr">
        <is>
          <t>6.15 Gestión de incidentes (Act. 3, 4 y 5): Ejecución de acciones de contención, mitigación y escalamiento a Gerencia y Comité de Seguridad (GSO-GSI-MP-GSI).</t>
        </is>
      </c>
      <c r="J27" s="112">
        <f>"• Establecer lineamientos para " &amp; IFERROR(VLOOKUP(A27, 'ANEXO A'!$A$2:$L$94, 2, FALSE), "Este Control") &amp; CHAR(10) &amp; "• Definir roles para el control " &amp; A27 &amp; CHAR(10) &amp; "• Revisar efectividad de " &amp; IFERROR(VLOOKUP(A27, 'ANEXO A'!$A$2:$L$94, 2, FALSE), "Este Control")</f>
        <v/>
      </c>
      <c r="K27" s="112" t="inlineStr">
        <is>
          <t>Asegurar el cumplimiento, control y resguardo continuo de los procesos de Respuesta a los incidentes de seguridad de la información a fin de mitigar riesgos y mantener la alineación a los principios de confidencialidad, integridad y disponibilidad aplicables a este dominio.</t>
        </is>
      </c>
      <c r="L27" s="112" t="inlineStr">
        <is>
          <t>La organización deberá implementar, registrar y monitorear operativamente todos los protocolos relacionados a Respuesta a los incidentes de seguridad de la información, estableciendo políticas técnicas correspondientes.</t>
        </is>
      </c>
    </row>
    <row r="28" ht="78.75" customHeight="1" s="106">
      <c r="A28" s="38">
        <f>'ANEXO A'!A28</f>
        <v/>
      </c>
      <c r="B28" s="38">
        <f>IFERROR(VLOOKUP(A28, 'ANEXO A'!$A$2:$L$94, 2, FALSE), "")</f>
        <v/>
      </c>
      <c r="C28" s="38">
        <f>IF(LEFT(A28,1)="5", "5. Organizacionales", IF(LEFT(A28,1)="6", "6. Personas", IF(LEFT(A28,1)="7", "7. Físicos", "8. Tecnológicos")))</f>
        <v/>
      </c>
      <c r="D28" s="38">
        <f>IFERROR(VLOOKUP(A28, 'ANEXO A'!$A$2:$L$94, 11, FALSE), "")</f>
        <v/>
      </c>
      <c r="E28" s="38">
        <f>IFERROR(VLOOKUP(A28, 'ANEXO A'!$A$2:$L$94, 8, FALSE), "")</f>
        <v/>
      </c>
      <c r="F28" s="38">
        <f>IFERROR(VLOOKUP(A28, 'ANEXO A'!$A$2:$L$94, 9, FALSE), "")</f>
        <v/>
      </c>
      <c r="G28" s="38">
        <f>IFERROR(VLOOKUP(A28, 'ANEXO A'!$A$2:$L$94, 10, FALSE), "")</f>
        <v/>
      </c>
      <c r="H28" s="38">
        <f>IFERROR(VLOOKUP(A28, 'ANEXO A'!$A$2:$L$94, 12, FALSE), "")</f>
        <v/>
      </c>
      <c r="I28" s="38" t="inlineStr">
        <is>
          <t>6.15 Gestión de incidentes (Act. 7 y 8): Análisis de causa raíz, actualización de controles y enriquecimiento del Plan Anual de SI (GSO-GSI-MP-GSI).</t>
        </is>
      </c>
      <c r="J28" s="112">
        <f>"• Establecer lineamientos para " &amp; IFERROR(VLOOKUP(A28, 'ANEXO A'!$A$2:$L$94, 2, FALSE), "Este Control") &amp; CHAR(10) &amp; "• Definir roles para el control " &amp; A28 &amp; CHAR(10) &amp; "• Revisar efectividad de " &amp; IFERROR(VLOOKUP(A28, 'ANEXO A'!$A$2:$L$94, 2, FALSE), "Este Control")</f>
        <v/>
      </c>
      <c r="K28" s="112" t="inlineStr">
        <is>
          <t>Asegurar el cumplimiento, control y resguardo continuo de los procesos de Aprendizaje de los incidentes de seguridad de la información a fin de mitigar riesgos y mantener la alineación a los principios de confidencialidad, integridad y disponibilidad aplicables a este dominio.</t>
        </is>
      </c>
      <c r="L28" s="112" t="inlineStr">
        <is>
          <t>La organización deberá implementar, registrar y monitorear operativamente todos los protocolos relacionados a Aprendizaje de los incidentes de seguridad de la información, estableciendo políticas técnicas correspondientes.</t>
        </is>
      </c>
    </row>
    <row r="29" ht="56.25" customHeight="1" s="106">
      <c r="A29" s="38">
        <f>'ANEXO A'!A29</f>
        <v/>
      </c>
      <c r="B29" s="38">
        <f>IFERROR(VLOOKUP(A29, 'ANEXO A'!$A$2:$L$94, 2, FALSE), "")</f>
        <v/>
      </c>
      <c r="C29" s="38">
        <f>IF(LEFT(A29,1)="5", "5. Organizacionales", IF(LEFT(A29,1)="6", "6. Personas", IF(LEFT(A29,1)="7", "7. Físicos", "8. Tecnológicos")))</f>
        <v/>
      </c>
      <c r="D29" s="38">
        <f>IFERROR(VLOOKUP(A29, 'ANEXO A'!$A$2:$L$94, 11, FALSE), "")</f>
        <v/>
      </c>
      <c r="E29" s="38">
        <f>IFERROR(VLOOKUP(A29, 'ANEXO A'!$A$2:$L$94, 8, FALSE), "")</f>
        <v/>
      </c>
      <c r="F29" s="38">
        <f>IFERROR(VLOOKUP(A29, 'ANEXO A'!$A$2:$L$94, 9, FALSE), "")</f>
        <v/>
      </c>
      <c r="G29" s="38">
        <f>IFERROR(VLOOKUP(A29, 'ANEXO A'!$A$2:$L$94, 10, FALSE), "")</f>
        <v/>
      </c>
      <c r="H29" s="38">
        <f>IFERROR(VLOOKUP(A29, 'ANEXO A'!$A$2:$L$94, 12, FALSE), "")</f>
        <v/>
      </c>
      <c r="I29" s="38" t="inlineStr">
        <is>
          <t>6.14 Auditoría BD / 6.15 Incidentes: Preservación de logs, pistas de auditoría y cadena de custodia técnica (GSO-GSI-MP-GSI / ISO 27002).</t>
        </is>
      </c>
      <c r="J29" s="112">
        <f>"• Establecer lineamientos para " &amp; IFERROR(VLOOKUP(A29, 'ANEXO A'!$A$2:$L$94, 2, FALSE), "Este Control") &amp; CHAR(10) &amp; "• Definir roles para el control " &amp; A29 &amp; CHAR(10) &amp; "• Revisar efectividad de " &amp; IFERROR(VLOOKUP(A29, 'ANEXO A'!$A$2:$L$94, 2, FALSE), "Este Control")</f>
        <v/>
      </c>
      <c r="K29" s="112" t="inlineStr">
        <is>
          <t>Asegurar el cumplimiento, control y resguardo continuo de los procesos de Recolección de evidencias a fin de mitigar riesgos y mantener la alineación a los principios de confidencialidad, integridad y disponibilidad aplicables a este dominio.</t>
        </is>
      </c>
      <c r="L29" s="112" t="inlineStr">
        <is>
          <t>La organización deberá implementar, registrar y monitorear operativamente todos los protocolos relacionados a Recolección de evidencias, estableciendo políticas técnicas correspondientes.</t>
        </is>
      </c>
    </row>
    <row r="30" ht="67.5" customHeight="1" s="106">
      <c r="A30" s="38">
        <f>'ANEXO A'!A30</f>
        <v/>
      </c>
      <c r="B30" s="38">
        <f>IFERROR(VLOOKUP(A30, 'ANEXO A'!$A$2:$L$94, 2, FALSE), "")</f>
        <v/>
      </c>
      <c r="C30" s="38">
        <f>IF(LEFT(A30,1)="5", "5. Organizacionales", IF(LEFT(A30,1)="6", "6. Personas", IF(LEFT(A30,1)="7", "7. Físicos", "8. Tecnológicos")))</f>
        <v/>
      </c>
      <c r="D30" s="38">
        <f>IFERROR(VLOOKUP(A30, 'ANEXO A'!$A$2:$L$94, 11, FALSE), "")</f>
        <v/>
      </c>
      <c r="E30" s="38">
        <f>IFERROR(VLOOKUP(A30, 'ANEXO A'!$A$2:$L$94, 8, FALSE), "")</f>
        <v/>
      </c>
      <c r="F30" s="38">
        <f>IFERROR(VLOOKUP(A30, 'ANEXO A'!$A$2:$L$94, 9, FALSE), "")</f>
        <v/>
      </c>
      <c r="G30" s="38">
        <f>IFERROR(VLOOKUP(A30, 'ANEXO A'!$A$2:$L$94, 10, FALSE), "")</f>
        <v/>
      </c>
      <c r="H30" s="38">
        <f>IFERROR(VLOOKUP(A30, 'ANEXO A'!$A$2:$L$94, 12, FALSE), "")</f>
        <v/>
      </c>
      <c r="I30" s="38" t="inlineStr">
        <is>
          <t>Anexo 1 SEPS / DRP: Mantenimiento de las salvaguardas de confidencialidad e integridad durante la activación de contingencias (SEPS-2022-002 / ISO 27001).</t>
        </is>
      </c>
      <c r="J30" s="112">
        <f>"• Establecer lineamientos para " &amp; IFERROR(VLOOKUP(A30, 'ANEXO A'!$A$2:$L$94, 2, FALSE), "Este Control") &amp; CHAR(10) &amp; "• Definir roles para el control " &amp; A30 &amp; CHAR(10) &amp; "• Revisar efectividad de " &amp; IFERROR(VLOOKUP(A30, 'ANEXO A'!$A$2:$L$94, 2, FALSE), "Este Control")</f>
        <v/>
      </c>
      <c r="K30" s="112" t="inlineStr">
        <is>
          <t>Asegurar el cumplimiento, control y resguardo continuo de los procesos de Seguridad de la información durante la interrupción a fin de mitigar riesgos y mantener la alineación a los principios de confidencialidad, integridad y disponibilidad aplicables a este dominio.</t>
        </is>
      </c>
      <c r="L30" s="112" t="inlineStr">
        <is>
          <t>La organización deberá implementar, registrar y monitorear operativamente todos los protocolos relacionados a Seguridad de la información durante la interrupción, estableciendo políticas técnicas correspondientes.</t>
        </is>
      </c>
    </row>
    <row r="31" ht="78.75" customHeight="1" s="106">
      <c r="A31" s="38">
        <f>'ANEXO A'!A31</f>
        <v/>
      </c>
      <c r="B31" s="38">
        <f>IFERROR(VLOOKUP(A31, 'ANEXO A'!$A$2:$L$94, 2, FALSE), "")</f>
        <v/>
      </c>
      <c r="C31" s="38">
        <f>IF(LEFT(A31,1)="5", "5. Organizacionales", IF(LEFT(A31,1)="6", "6. Personas", IF(LEFT(A31,1)="7", "7. Físicos", "8. Tecnológicos")))</f>
        <v/>
      </c>
      <c r="D31" s="38">
        <f>IFERROR(VLOOKUP(A31, 'ANEXO A'!$A$2:$L$94, 11, FALSE), "")</f>
        <v/>
      </c>
      <c r="E31" s="38">
        <f>IFERROR(VLOOKUP(A31, 'ANEXO A'!$A$2:$L$94, 8, FALSE), "")</f>
        <v/>
      </c>
      <c r="F31" s="38">
        <f>IFERROR(VLOOKUP(A31, 'ANEXO A'!$A$2:$L$94, 9, FALSE), "")</f>
        <v/>
      </c>
      <c r="G31" s="38">
        <f>IFERROR(VLOOKUP(A31, 'ANEXO A'!$A$2:$L$94, 10, FALSE), "")</f>
        <v/>
      </c>
      <c r="H31" s="38">
        <f>IFERROR(VLOOKUP(A31, 'ANEXO A'!$A$2:$L$94, 12, FALSE), "")</f>
        <v/>
      </c>
      <c r="I31" s="38" t="inlineStr">
        <is>
          <t>Anexo 1 SEPS (Planes de Contingencia): Definición y pruebas periódicas de RTO/RPO y continuidad en infraestructura tecnológica (SEPS-2022-002).</t>
        </is>
      </c>
      <c r="J31" s="112">
        <f>"• Establecer lineamientos para " &amp; IFERROR(VLOOKUP(A31, 'ANEXO A'!$A$2:$L$94, 2, FALSE), "Este Control") &amp; CHAR(10) &amp; "• Definir roles para el control " &amp; A31 &amp; CHAR(10) &amp; "• Revisar efectividad de " &amp; IFERROR(VLOOKUP(A31, 'ANEXO A'!$A$2:$L$94, 2, FALSE), "Este Control")</f>
        <v/>
      </c>
      <c r="K31" s="112" t="inlineStr">
        <is>
          <t>Asegurar el cumplimiento, control y resguardo continuo de los procesos de Preparación de las TIC para la continuidad del negocio a fin de mitigar riesgos y mantener la alineación a los principios de confidencialidad, integridad y disponibilidad aplicables a este dominio.</t>
        </is>
      </c>
      <c r="L31" s="112" t="inlineStr">
        <is>
          <t>La organización deberá implementar, registrar y monitorear operativamente todos los protocolos relacionados a Preparación de las TIC para la continuidad del negocio, estableciendo políticas técnicas correspondientes.</t>
        </is>
      </c>
    </row>
    <row r="32" ht="78.75" customHeight="1" s="106">
      <c r="A32" s="38">
        <f>'ANEXO A'!A32</f>
        <v/>
      </c>
      <c r="B32" s="38">
        <f>IFERROR(VLOOKUP(A32, 'ANEXO A'!$A$2:$L$94, 2, FALSE), "")</f>
        <v/>
      </c>
      <c r="C32" s="38">
        <f>IF(LEFT(A32,1)="5", "5. Organizacionales", IF(LEFT(A32,1)="6", "6. Personas", IF(LEFT(A32,1)="7", "7. Físicos", "8. Tecnológicos")))</f>
        <v/>
      </c>
      <c r="D32" s="38">
        <f>IFERROR(VLOOKUP(A32, 'ANEXO A'!$A$2:$L$94, 11, FALSE), "")</f>
        <v/>
      </c>
      <c r="E32" s="38">
        <f>IFERROR(VLOOKUP(A32, 'ANEXO A'!$A$2:$L$94, 8, FALSE), "")</f>
        <v/>
      </c>
      <c r="F32" s="38">
        <f>IFERROR(VLOOKUP(A32, 'ANEXO A'!$A$2:$L$94, 9, FALSE), "")</f>
        <v/>
      </c>
      <c r="G32" s="38">
        <f>IFERROR(VLOOKUP(A32, 'ANEXO A'!$A$2:$L$94, 10, FALSE), "")</f>
        <v/>
      </c>
      <c r="H32" s="38">
        <f>IFERROR(VLOOKUP(A32, 'ANEXO A'!$A$2:$L$94, 12, FALSE), "")</f>
        <v/>
      </c>
      <c r="I32" s="38" t="inlineStr">
        <is>
          <t>Sec. 3 Marco Normativo SEPS 002: Mapeo y cumplimiento sistemático del marco legal (SEPS, LOPDP, ISO 27001) (GSO-GSI-MP-GSI / SEPS-2022-002).</t>
        </is>
      </c>
      <c r="J32" s="112">
        <f>"• Establecer lineamientos para " &amp; IFERROR(VLOOKUP(A32, 'ANEXO A'!$A$2:$L$94, 2, FALSE), "Este Control") &amp; CHAR(10) &amp; "• Definir roles para el control " &amp; A32 &amp; CHAR(10) &amp; "• Revisar efectividad de " &amp; IFERROR(VLOOKUP(A32, 'ANEXO A'!$A$2:$L$94, 2, FALSE), "Este Control")</f>
        <v/>
      </c>
      <c r="K32" s="112" t="inlineStr">
        <is>
          <t>Asegurar el cumplimiento, control y resguardo continuo de los procesos de Requisitos legales, estatutarios, reglamentarios y contractuales a fin de mitigar riesgos y mantener la alineación a los principios de confidencialidad, integridad y disponibilidad aplicables a este dominio.</t>
        </is>
      </c>
      <c r="L32" s="112" t="inlineStr">
        <is>
          <t>La organización deberá implementar, registrar y monitorear operativamente todos los protocolos relacionados a Requisitos legales, estatutarios, reglamentarios y contractuales, estableciendo políticas técnicas correspondientes.</t>
        </is>
      </c>
    </row>
    <row r="33" ht="56.25" customHeight="1" s="106">
      <c r="A33" s="38">
        <f>'ANEXO A'!A33</f>
        <v/>
      </c>
      <c r="B33" s="38">
        <f>IFERROR(VLOOKUP(A33, 'ANEXO A'!$A$2:$L$94, 2, FALSE), "")</f>
        <v/>
      </c>
      <c r="C33" s="38">
        <f>IF(LEFT(A33,1)="5", "5. Organizacionales", IF(LEFT(A33,1)="6", "6. Personas", IF(LEFT(A33,1)="7", "7. Físicos", "8. Tecnológicos")))</f>
        <v/>
      </c>
      <c r="D33" s="38">
        <f>IFERROR(VLOOKUP(A33, 'ANEXO A'!$A$2:$L$94, 11, FALSE), "")</f>
        <v/>
      </c>
      <c r="E33" s="38">
        <f>IFERROR(VLOOKUP(A33, 'ANEXO A'!$A$2:$L$94, 8, FALSE), "")</f>
        <v/>
      </c>
      <c r="F33" s="38">
        <f>IFERROR(VLOOKUP(A33, 'ANEXO A'!$A$2:$L$94, 9, FALSE), "")</f>
        <v/>
      </c>
      <c r="G33" s="38">
        <f>IFERROR(VLOOKUP(A33, 'ANEXO A'!$A$2:$L$94, 10, FALSE), "")</f>
        <v/>
      </c>
      <c r="H33" s="38">
        <f>IFERROR(VLOOKUP(A33, 'ANEXO A'!$A$2:$L$94, 12, FALSE), "")</f>
        <v/>
      </c>
      <c r="I33" s="38" t="inlineStr">
        <is>
          <t>6.13 Gestión de activos / Anexo 1 SEPS: Control y verificación de licenciamiento de software y restricción de uso no autorizado (GSO-GSI-ME-GAI / SEPS-2022-002).</t>
        </is>
      </c>
      <c r="J33" s="112">
        <f>"• Establecer lineamientos para " &amp; IFERROR(VLOOKUP(A33, 'ANEXO A'!$A$2:$L$94, 2, FALSE), "Este Control") &amp; CHAR(10) &amp; "• Definir roles para el control " &amp; A33 &amp; CHAR(10) &amp; "• Revisar efectividad de " &amp; IFERROR(VLOOKUP(A33, 'ANEXO A'!$A$2:$L$94, 2, FALSE), "Este Control")</f>
        <v/>
      </c>
      <c r="K33" s="112" t="inlineStr">
        <is>
          <t>Asegurar el cumplimiento, control y resguardo continuo de los procesos de Derechos de propiedad intelectual a fin de mitigar riesgos y mantener la alineación a los principios de confidencialidad, integridad y disponibilidad aplicables a este dominio.</t>
        </is>
      </c>
      <c r="L33" s="112" t="inlineStr">
        <is>
          <t>La organización deberá implementar, registrar y monitorear operativamente todos los protocolos relacionados a Derechos de propiedad intelectual, estableciendo políticas técnicas correspondientes.</t>
        </is>
      </c>
    </row>
    <row r="34" ht="56.25" customHeight="1" s="106">
      <c r="A34" s="38">
        <f>'ANEXO A'!A34</f>
        <v/>
      </c>
      <c r="B34" s="38">
        <f>IFERROR(VLOOKUP(A34, 'ANEXO A'!$A$2:$L$94, 2, FALSE), "")</f>
        <v/>
      </c>
      <c r="C34" s="38">
        <f>IF(LEFT(A34,1)="5", "5. Organizacionales", IF(LEFT(A34,1)="6", "6. Personas", IF(LEFT(A34,1)="7", "7. Físicos", "8. Tecnológicos")))</f>
        <v/>
      </c>
      <c r="D34" s="38">
        <f>IFERROR(VLOOKUP(A34, 'ANEXO A'!$A$2:$L$94, 11, FALSE), "")</f>
        <v/>
      </c>
      <c r="E34" s="38">
        <f>IFERROR(VLOOKUP(A34, 'ANEXO A'!$A$2:$L$94, 8, FALSE), "")</f>
        <v/>
      </c>
      <c r="F34" s="38">
        <f>IFERROR(VLOOKUP(A34, 'ANEXO A'!$A$2:$L$94, 9, FALSE), "")</f>
        <v/>
      </c>
      <c r="G34" s="38">
        <f>IFERROR(VLOOKUP(A34, 'ANEXO A'!$A$2:$L$94, 10, FALSE), "")</f>
        <v/>
      </c>
      <c r="H34" s="38">
        <f>IFERROR(VLOOKUP(A34, 'ANEXO A'!$A$2:$L$94, 12, FALSE), "")</f>
        <v/>
      </c>
      <c r="I34" s="38" t="inlineStr">
        <is>
          <t>6.1 Políticas / 6.14 Auditoría BD: Custodia, retención y protección física y lógica de bitácoras, actas y registros digitales (GSO-GSI-MP-GSI).</t>
        </is>
      </c>
      <c r="J34" s="112">
        <f>"• Establecer lineamientos para " &amp; IFERROR(VLOOKUP(A34, 'ANEXO A'!$A$2:$L$94, 2, FALSE), "Este Control") &amp; CHAR(10) &amp; "• Definir roles para el control " &amp; A34 &amp; CHAR(10) &amp; "• Revisar efectividad de " &amp; IFERROR(VLOOKUP(A34, 'ANEXO A'!$A$2:$L$94, 2, FALSE), "Este Control")</f>
        <v/>
      </c>
      <c r="K34" s="112" t="inlineStr">
        <is>
          <t>Asegurar el cumplimiento, control y resguardo continuo de los procesos de Protección de los registros a fin de mitigar riesgos y mantener la alineación a los principios de confidencialidad, integridad y disponibilidad aplicables a este dominio.</t>
        </is>
      </c>
      <c r="L34" s="112" t="inlineStr">
        <is>
          <t>La organización deberá implementar, registrar y monitorear operativamente todos los protocolos relacionados a Protección de los registros, estableciendo políticas técnicas correspondientes.</t>
        </is>
      </c>
    </row>
    <row r="35" ht="90" customHeight="1" s="106">
      <c r="A35" s="38">
        <f>'ANEXO A'!A35</f>
        <v/>
      </c>
      <c r="B35" s="38">
        <f>IFERROR(VLOOKUP(A35, 'ANEXO A'!$A$2:$L$94, 2, FALSE), "")</f>
        <v/>
      </c>
      <c r="C35" s="38">
        <f>IF(LEFT(A35,1)="5", "5. Organizacionales", IF(LEFT(A35,1)="6", "6. Personas", IF(LEFT(A35,1)="7", "7. Físicos", "8. Tecnológicos")))</f>
        <v/>
      </c>
      <c r="D35" s="38">
        <f>IFERROR(VLOOKUP(A35, 'ANEXO A'!$A$2:$L$94, 11, FALSE), "")</f>
        <v/>
      </c>
      <c r="E35" s="38">
        <f>IFERROR(VLOOKUP(A35, 'ANEXO A'!$A$2:$L$94, 8, FALSE), "")</f>
        <v/>
      </c>
      <c r="F35" s="38">
        <f>IFERROR(VLOOKUP(A35, 'ANEXO A'!$A$2:$L$94, 9, FALSE), "")</f>
        <v/>
      </c>
      <c r="G35" s="38">
        <f>IFERROR(VLOOKUP(A35, 'ANEXO A'!$A$2:$L$94, 10, FALSE), "")</f>
        <v/>
      </c>
      <c r="H35" s="38">
        <f>IFERROR(VLOOKUP(A35, 'ANEXO A'!$A$2:$L$94, 12, FALSE), "")</f>
        <v/>
      </c>
      <c r="I35" s="38" t="inlineStr">
        <is>
          <t>6.17 Escaneo PCI DSS / LOPDP: Tratamiento lícito, enmascaramiento y resguardo de datos personales y tarjetahabientes (GSO-GSI-MP-GSI / SEPS-2022-002).</t>
        </is>
      </c>
      <c r="J35" s="112">
        <f>"• Establecer lineamientos para " &amp; IFERROR(VLOOKUP(A35, 'ANEXO A'!$A$2:$L$94, 2, FALSE), "Este Control") &amp; CHAR(10) &amp; "• Definir roles para el control " &amp; A35 &amp; CHAR(10) &amp; "• Revisar efectividad de " &amp; IFERROR(VLOOKUP(A35, 'ANEXO A'!$A$2:$L$94, 2, FALSE), "Este Control")</f>
        <v/>
      </c>
      <c r="K35" s="112" t="inlineStr">
        <is>
          <t>Asegurar el cumplimiento, control y resguardo continuo de los procesos de Privacidad y protección de la información de identificación personal (PII) a fin de mitigar riesgos y mantener la alineación a los principios de confidencialidad, integridad y disponibilidad aplicables a este dominio.</t>
        </is>
      </c>
      <c r="L35" s="112" t="inlineStr">
        <is>
          <t>La organización deberá implementar, registrar y monitorear operativamente todos los protocolos relacionados a Privacidad y protección de la información de identificación personal (PII), estableciendo políticas técnicas correspondientes.</t>
        </is>
      </c>
    </row>
    <row r="36" ht="78.75" customHeight="1" s="106">
      <c r="A36" s="38">
        <f>'ANEXO A'!A36</f>
        <v/>
      </c>
      <c r="B36" s="38">
        <f>IFERROR(VLOOKUP(A36, 'ANEXO A'!$A$2:$L$94, 2, FALSE), "")</f>
        <v/>
      </c>
      <c r="C36" s="38">
        <f>IF(LEFT(A36,1)="5", "5. Organizacionales", IF(LEFT(A36,1)="6", "6. Personas", IF(LEFT(A36,1)="7", "7. Físicos", "8. Tecnológicos")))</f>
        <v/>
      </c>
      <c r="D36" s="38">
        <f>IFERROR(VLOOKUP(A36, 'ANEXO A'!$A$2:$L$94, 11, FALSE), "")</f>
        <v/>
      </c>
      <c r="E36" s="38">
        <f>IFERROR(VLOOKUP(A36, 'ANEXO A'!$A$2:$L$94, 8, FALSE), "")</f>
        <v/>
      </c>
      <c r="F36" s="38">
        <f>IFERROR(VLOOKUP(A36, 'ANEXO A'!$A$2:$L$94, 9, FALSE), "")</f>
        <v/>
      </c>
      <c r="G36" s="38">
        <f>IFERROR(VLOOKUP(A36, 'ANEXO A'!$A$2:$L$94, 10, FALSE), "")</f>
        <v/>
      </c>
      <c r="H36" s="38">
        <f>IFERROR(VLOOKUP(A36, 'ANEXO A'!$A$2:$L$94, 12, FALSE), "")</f>
        <v/>
      </c>
      <c r="I36" s="38" t="inlineStr">
        <is>
          <t>6.2 Controles / Sec. 12 SEPS 002: Auditorías informáticas internas y externas anuales al SGSI (GSO-GSI-MP-GSI / SEPS-2022-002).</t>
        </is>
      </c>
      <c r="J36" s="112">
        <f>"• Establecer lineamientos para " &amp; IFERROR(VLOOKUP(A36, 'ANEXO A'!$A$2:$L$94, 2, FALSE), "Este Control") &amp; CHAR(10) &amp; "• Definir roles para el control " &amp; A36 &amp; CHAR(10) &amp; "• Revisar efectividad de " &amp; IFERROR(VLOOKUP(A36, 'ANEXO A'!$A$2:$L$94, 2, FALSE), "Este Control")</f>
        <v/>
      </c>
      <c r="K36" s="112" t="inlineStr">
        <is>
          <t>Asegurar el cumplimiento, control y resguardo continuo de los procesos de Revisión independiente de la seguridad de la información a fin de mitigar riesgos y mantener la alineación a los principios de confidencialidad, integridad y disponibilidad aplicables a este dominio.</t>
        </is>
      </c>
      <c r="L36" s="112" t="inlineStr">
        <is>
          <t>La organización deberá implementar, registrar y monitorear operativamente todos los protocolos relacionados a Revisión independiente de la seguridad de la información, estableciendo políticas técnicas correspondientes.</t>
        </is>
      </c>
    </row>
    <row r="37" ht="78.75" customHeight="1" s="106">
      <c r="A37" s="38">
        <f>'ANEXO A'!A37</f>
        <v/>
      </c>
      <c r="B37" s="38">
        <f>IFERROR(VLOOKUP(A37, 'ANEXO A'!$A$2:$L$94, 2, FALSE), "")</f>
        <v/>
      </c>
      <c r="C37" s="38">
        <f>IF(LEFT(A37,1)="5", "5. Organizacionales", IF(LEFT(A37,1)="6", "6. Personas", IF(LEFT(A37,1)="7", "7. Físicos", "8. Tecnológicos")))</f>
        <v/>
      </c>
      <c r="D37" s="38">
        <f>IFERROR(VLOOKUP(A37, 'ANEXO A'!$A$2:$L$94, 11, FALSE), "")</f>
        <v/>
      </c>
      <c r="E37" s="38">
        <f>IFERROR(VLOOKUP(A37, 'ANEXO A'!$A$2:$L$94, 8, FALSE), "")</f>
        <v/>
      </c>
      <c r="F37" s="38">
        <f>IFERROR(VLOOKUP(A37, 'ANEXO A'!$A$2:$L$94, 9, FALSE), "")</f>
        <v/>
      </c>
      <c r="G37" s="38">
        <f>IFERROR(VLOOKUP(A37, 'ANEXO A'!$A$2:$L$94, 10, FALSE), "")</f>
        <v/>
      </c>
      <c r="H37" s="38">
        <f>IFERROR(VLOOKUP(A37, 'ANEXO A'!$A$2:$L$94, 12, FALSE), "")</f>
        <v/>
      </c>
      <c r="I37" s="38" t="inlineStr">
        <is>
          <t>6.16 Revisión y monitoreo: Ejecución de checklist semestral y elaboración de informe de cumplimiento de políticas (GSO-GSI-MP-GSI).</t>
        </is>
      </c>
      <c r="J37" s="112">
        <f>"• Establecer lineamientos para " &amp; IFERROR(VLOOKUP(A37, 'ANEXO A'!$A$2:$L$94, 2, FALSE), "Este Control") &amp; CHAR(10) &amp; "• Definir roles para el control " &amp; A37 &amp; CHAR(10) &amp; "• Revisar efectividad de " &amp; IFERROR(VLOOKUP(A37, 'ANEXO A'!$A$2:$L$94, 2, FALSE), "Este Control")</f>
        <v/>
      </c>
      <c r="K37" s="112" t="inlineStr">
        <is>
          <t>Asegurar el cumplimiento, control y resguardo continuo de los procesos de Cumplimiento de las políticas, normas y estándares de seguridad a fin de mitigar riesgos y mantener la alineación a los principios de confidencialidad, integridad y disponibilidad aplicables a este dominio.</t>
        </is>
      </c>
      <c r="L37" s="112" t="inlineStr">
        <is>
          <t>La organización deberá implementar, registrar y monitorear operativamente todos los protocolos relacionados a Cumplimiento de las políticas, normas y estándares de seguridad, estableciendo políticas técnicas correspondientes.</t>
        </is>
      </c>
    </row>
    <row r="38" ht="78.75" customHeight="1" s="106">
      <c r="A38" s="38">
        <f>'ANEXO A'!A38</f>
        <v/>
      </c>
      <c r="B38" s="38">
        <f>IFERROR(VLOOKUP(A38, 'ANEXO A'!$A$2:$L$94, 2, FALSE), "")</f>
        <v/>
      </c>
      <c r="C38" s="38">
        <f>IF(LEFT(A38,1)="5", "5. Organizacionales", IF(LEFT(A38,1)="6", "6. Personas", IF(LEFT(A38,1)="7", "7. Físicos", "8. Tecnológicos")))</f>
        <v/>
      </c>
      <c r="D38" s="38">
        <f>IFERROR(VLOOKUP(A38, 'ANEXO A'!$A$2:$L$94, 11, FALSE), "")</f>
        <v/>
      </c>
      <c r="E38" s="38">
        <f>IFERROR(VLOOKUP(A38, 'ANEXO A'!$A$2:$L$94, 8, FALSE), "")</f>
        <v/>
      </c>
      <c r="F38" s="38">
        <f>IFERROR(VLOOKUP(A38, 'ANEXO A'!$A$2:$L$94, 9, FALSE), "")</f>
        <v/>
      </c>
      <c r="G38" s="38">
        <f>IFERROR(VLOOKUP(A38, 'ANEXO A'!$A$2:$L$94, 10, FALSE), "")</f>
        <v/>
      </c>
      <c r="H38" s="38">
        <f>IFERROR(VLOOKUP(A38, 'ANEXO A'!$A$2:$L$94, 12, FALSE), "")</f>
        <v/>
      </c>
      <c r="I38" s="38" t="inlineStr">
        <is>
          <t>Sec. 6 Procedimientos Operativos GSI: Elaboración, actualización y formalización de manuales e instructivos de seguridad (GSO-GSI-MP-GSI).</t>
        </is>
      </c>
      <c r="J38" s="112">
        <f>"• Establecer lineamientos para " &amp; IFERROR(VLOOKUP(A38, 'ANEXO A'!$A$2:$L$94, 2, FALSE), "Este Control") &amp; CHAR(10) &amp; "• Definir roles para el control " &amp; A38 &amp; CHAR(10) &amp; "• Revisar efectividad de " &amp; IFERROR(VLOOKUP(A38, 'ANEXO A'!$A$2:$L$94, 2, FALSE), "Este Control")</f>
        <v/>
      </c>
      <c r="K38" s="112" t="inlineStr">
        <is>
          <t>Asegurar el cumplimiento, control y resguardo continuo de los procesos de Procedimientos operativos documentados a fin de mitigar riesgos y mantener la alineación a los principios de confidencialidad, integridad y disponibilidad aplicables a este dominio.</t>
        </is>
      </c>
      <c r="L38" s="112" t="inlineStr">
        <is>
          <t>La organización deberá implementar, registrar y monitorear operativamente todos los protocolos relacionados a Procedimientos operativos documentados, estableciendo políticas técnicas correspondientes.</t>
        </is>
      </c>
    </row>
    <row r="39" ht="56.25" customHeight="1" s="106">
      <c r="A39" s="38">
        <f>'ANEXO A'!A39</f>
        <v/>
      </c>
      <c r="B39" s="38">
        <f>IFERROR(VLOOKUP(A39, 'ANEXO A'!$A$2:$L$94, 2, FALSE), "")</f>
        <v/>
      </c>
      <c r="C39" s="38">
        <f>IF(LEFT(A39,1)="5", "5. Organizacionales", IF(LEFT(A39,1)="6", "6. Personas", IF(LEFT(A39,1)="7", "7. Físicos", "8. Tecnológicos")))</f>
        <v/>
      </c>
      <c r="D39" s="38">
        <f>IFERROR(VLOOKUP(A39, 'ANEXO A'!$A$2:$L$94, 11, FALSE), "")</f>
        <v/>
      </c>
      <c r="E39" s="38">
        <f>IFERROR(VLOOKUP(A39, 'ANEXO A'!$A$2:$L$94, 8, FALSE), "")</f>
        <v/>
      </c>
      <c r="F39" s="38">
        <f>IFERROR(VLOOKUP(A39, 'ANEXO A'!$A$2:$L$94, 9, FALSE), "")</f>
        <v/>
      </c>
      <c r="G39" s="38">
        <f>IFERROR(VLOOKUP(A39, 'ANEXO A'!$A$2:$L$94, 10, FALSE), "")</f>
        <v/>
      </c>
      <c r="H39" s="38">
        <f>IFERROR(VLOOKUP(A39, 'ANEXO A'!$A$2:$L$94, 12, FALSE), "")</f>
        <v/>
      </c>
      <c r="I39" s="38" t="inlineStr">
        <is>
          <t>6.2 Creación de nuevos usuarios (GTH): Validación previa de antecedentes laborales, penales y académicos por Talento Humano (GSO-GSI-MP-GSI / GTH-IDP).</t>
        </is>
      </c>
      <c r="J39" s="112">
        <f>"• Establecer lineamientos para " &amp; IFERROR(VLOOKUP(A39, 'ANEXO A'!$A$2:$L$94, 2, FALSE), "Este Control") &amp; CHAR(10) &amp; "• Definir roles para el control " &amp; A39 &amp; CHAR(10) &amp; "• Revisar efectividad de " &amp; IFERROR(VLOOKUP(A39, 'ANEXO A'!$A$2:$L$94, 2, FALSE), "Este Control")</f>
        <v/>
      </c>
      <c r="K39" s="112" t="inlineStr">
        <is>
          <t>Asegurar el cumplimiento, control y resguardo continuo de los procesos de Investigación de antecedentes a fin de mitigar riesgos y mantener la alineación a los principios de confidencialidad, integridad y disponibilidad aplicables a este dominio.</t>
        </is>
      </c>
      <c r="L39" s="112" t="inlineStr">
        <is>
          <t>La organización deberá implementar, registrar y monitorear operativamente todos los protocolos relacionados a Investigación de antecedentes, estableciendo políticas técnicas correspondientes.</t>
        </is>
      </c>
    </row>
    <row r="40" ht="56.25" customHeight="1" s="106">
      <c r="A40" s="38">
        <f>'ANEXO A'!A40</f>
        <v/>
      </c>
      <c r="B40" s="38">
        <f>IFERROR(VLOOKUP(A40, 'ANEXO A'!$A$2:$L$94, 2, FALSE), "")</f>
        <v/>
      </c>
      <c r="C40" s="38">
        <f>IF(LEFT(A40,1)="5", "5. Organizacionales", IF(LEFT(A40,1)="6", "6. Personas", IF(LEFT(A40,1)="7", "7. Físicos", "8. Tecnológicos")))</f>
        <v/>
      </c>
      <c r="D40" s="38">
        <f>IFERROR(VLOOKUP(A40, 'ANEXO A'!$A$2:$L$94, 11, FALSE), "")</f>
        <v/>
      </c>
      <c r="E40" s="38">
        <f>IFERROR(VLOOKUP(A40, 'ANEXO A'!$A$2:$L$94, 8, FALSE), "")</f>
        <v/>
      </c>
      <c r="F40" s="38">
        <f>IFERROR(VLOOKUP(A40, 'ANEXO A'!$A$2:$L$94, 9, FALSE), "")</f>
        <v/>
      </c>
      <c r="G40" s="38">
        <f>IFERROR(VLOOKUP(A40, 'ANEXO A'!$A$2:$L$94, 10, FALSE), "")</f>
        <v/>
      </c>
      <c r="H40" s="38">
        <f>IFERROR(VLOOKUP(A40, 'ANEXO A'!$A$2:$L$94, 12, FALSE), "")</f>
        <v/>
      </c>
      <c r="I40" s="38" t="inlineStr">
        <is>
          <t>6.2 Políticas Específicas / GTH: Inclusión contractual de responsabilidades de seguridad y deber de sigilo institucional (GSO-GSI-MP-GSI / SEPS-2022-002).</t>
        </is>
      </c>
      <c r="J40" s="112">
        <f>"• Establecer lineamientos para " &amp; IFERROR(VLOOKUP(A40, 'ANEXO A'!$A$2:$L$94, 2, FALSE), "Este Control") &amp; CHAR(10) &amp; "• Definir roles para el control " &amp; A40 &amp; CHAR(10) &amp; "• Revisar efectividad de " &amp; IFERROR(VLOOKUP(A40, 'ANEXO A'!$A$2:$L$94, 2, FALSE), "Este Control")</f>
        <v/>
      </c>
      <c r="K40" s="112" t="inlineStr">
        <is>
          <t>Asegurar el cumplimiento, control y resguardo continuo de los procesos de Términos y condiciones de empleo a fin de mitigar riesgos y mantener la alineación a los principios de confidencialidad, integridad y disponibilidad aplicables a este dominio.</t>
        </is>
      </c>
      <c r="L40" s="112" t="inlineStr">
        <is>
          <t>La organización deberá implementar, registrar y monitorear operativamente todos los protocolos relacionados a Términos y condiciones de empleo, estableciendo políticas técnicas correspondientes.</t>
        </is>
      </c>
    </row>
    <row r="41" ht="78.75" customHeight="1" s="106">
      <c r="A41" s="38">
        <f>'ANEXO A'!A41</f>
        <v/>
      </c>
      <c r="B41" s="38">
        <f>IFERROR(VLOOKUP(A41, 'ANEXO A'!$A$2:$L$94, 2, FALSE), "")</f>
        <v/>
      </c>
      <c r="C41" s="38">
        <f>IF(LEFT(A41,1)="5", "5. Organizacionales", IF(LEFT(A41,1)="6", "6. Personas", IF(LEFT(A41,1)="7", "7. Físicos", "8. Tecnológicos")))</f>
        <v/>
      </c>
      <c r="D41" s="38">
        <f>IFERROR(VLOOKUP(A41, 'ANEXO A'!$A$2:$L$94, 11, FALSE), "")</f>
        <v/>
      </c>
      <c r="E41" s="38">
        <f>IFERROR(VLOOKUP(A41, 'ANEXO A'!$A$2:$L$94, 8, FALSE), "")</f>
        <v/>
      </c>
      <c r="F41" s="38">
        <f>IFERROR(VLOOKUP(A41, 'ANEXO A'!$A$2:$L$94, 9, FALSE), "")</f>
        <v/>
      </c>
      <c r="G41" s="38">
        <f>IFERROR(VLOOKUP(A41, 'ANEXO A'!$A$2:$L$94, 10, FALSE), "")</f>
        <v/>
      </c>
      <c r="H41" s="38">
        <f>IFERROR(VLOOKUP(A41, 'ANEXO A'!$A$2:$L$94, 12, FALSE), "")</f>
        <v/>
      </c>
      <c r="I41" s="38" t="inlineStr">
        <is>
          <t>Anexo 1 SEPS 002 (Cultura de SI): Ejecución del plan anual de capacitación y evaluación de efectividad/madurez en seguridad (SEPS-2022-002).</t>
        </is>
      </c>
      <c r="J41" s="112">
        <f>"• Establecer lineamientos para " &amp; IFERROR(VLOOKUP(A41, 'ANEXO A'!$A$2:$L$94, 2, FALSE), "Este Control") &amp; CHAR(10) &amp; "• Definir roles para el control " &amp; A41 &amp; CHAR(10) &amp; "• Revisar efectividad de " &amp; IFERROR(VLOOKUP(A41, 'ANEXO A'!$A$2:$L$94, 2, FALSE), "Este Control")</f>
        <v/>
      </c>
      <c r="K41" s="112" t="inlineStr">
        <is>
          <t>Asegurar el cumplimiento, control y resguardo continuo de los procesos de Concienciación, educación y capacitación a fin de mitigar riesgos y mantener la alineación a los principios de confidencialidad, integridad y disponibilidad aplicables a este dominio.</t>
        </is>
      </c>
      <c r="L41" s="112" t="inlineStr">
        <is>
          <t>La organización deberá implementar, registrar y monitorear operativamente todos los protocolos relacionados a Concienciación, educación y capacitación, estableciendo políticas técnicas correspondientes.</t>
        </is>
      </c>
    </row>
    <row r="42" ht="56.25" customHeight="1" s="106">
      <c r="A42" s="38">
        <f>'ANEXO A'!A42</f>
        <v/>
      </c>
      <c r="B42" s="38">
        <f>IFERROR(VLOOKUP(A42, 'ANEXO A'!$A$2:$L$94, 2, FALSE), "")</f>
        <v/>
      </c>
      <c r="C42" s="38">
        <f>IF(LEFT(A42,1)="5", "5. Organizacionales", IF(LEFT(A42,1)="6", "6. Personas", IF(LEFT(A42,1)="7", "7. Físicos", "8. Tecnológicos")))</f>
        <v/>
      </c>
      <c r="D42" s="38">
        <f>IFERROR(VLOOKUP(A42, 'ANEXO A'!$A$2:$L$94, 11, FALSE), "")</f>
        <v/>
      </c>
      <c r="E42" s="38">
        <f>IFERROR(VLOOKUP(A42, 'ANEXO A'!$A$2:$L$94, 8, FALSE), "")</f>
        <v/>
      </c>
      <c r="F42" s="38">
        <f>IFERROR(VLOOKUP(A42, 'ANEXO A'!$A$2:$L$94, 9, FALSE), "")</f>
        <v/>
      </c>
      <c r="G42" s="38">
        <f>IFERROR(VLOOKUP(A42, 'ANEXO A'!$A$2:$L$94, 10, FALSE), "")</f>
        <v/>
      </c>
      <c r="H42" s="38">
        <f>IFERROR(VLOOKUP(A42, 'ANEXO A'!$A$2:$L$94, 12, FALSE), "")</f>
        <v/>
      </c>
      <c r="I42" s="38" t="inlineStr">
        <is>
          <t>6.4 Políticas / Reglamento Interno: Aplicación de sanciones ante reincidencia en bloqueos, negligencia o vulneración de políticas de SI (GSO-GSI-MP-GSI).</t>
        </is>
      </c>
      <c r="J42" s="112">
        <f>"• Establecer lineamientos para " &amp; IFERROR(VLOOKUP(A42, 'ANEXO A'!$A$2:$L$94, 2, FALSE), "Este Control") &amp; CHAR(10) &amp; "• Definir roles para el control " &amp; A42 &amp; CHAR(10) &amp; "• Revisar efectividad de " &amp; IFERROR(VLOOKUP(A42, 'ANEXO A'!$A$2:$L$94, 2, FALSE), "Este Control")</f>
        <v/>
      </c>
      <c r="K42" s="112" t="inlineStr">
        <is>
          <t>Asegurar el cumplimiento, control y resguardo continuo de los procesos de Proceso disciplinario a fin de mitigar riesgos y mantener la alineación a los principios de confidencialidad, integridad y disponibilidad aplicables a este dominio.</t>
        </is>
      </c>
      <c r="L42" s="112" t="inlineStr">
        <is>
          <t>La organización deberá implementar, registrar y monitorear operativamente todos los protocolos relacionados a Proceso disciplinario, estableciendo políticas técnicas correspondientes.</t>
        </is>
      </c>
    </row>
    <row r="43" ht="78.75" customHeight="1" s="106">
      <c r="A43" s="38">
        <f>'ANEXO A'!A43</f>
        <v/>
      </c>
      <c r="B43" s="38">
        <f>IFERROR(VLOOKUP(A43, 'ANEXO A'!$A$2:$L$94, 2, FALSE), "")</f>
        <v/>
      </c>
      <c r="C43" s="38">
        <f>IF(LEFT(A43,1)="5", "5. Organizacionales", IF(LEFT(A43,1)="6", "6. Personas", IF(LEFT(A43,1)="7", "7. Físicos", "8. Tecnológicos")))</f>
        <v/>
      </c>
      <c r="D43" s="38">
        <f>IFERROR(VLOOKUP(A43, 'ANEXO A'!$A$2:$L$94, 11, FALSE), "")</f>
        <v/>
      </c>
      <c r="E43" s="38">
        <f>IFERROR(VLOOKUP(A43, 'ANEXO A'!$A$2:$L$94, 8, FALSE), "")</f>
        <v/>
      </c>
      <c r="F43" s="38">
        <f>IFERROR(VLOOKUP(A43, 'ANEXO A'!$A$2:$L$94, 9, FALSE), "")</f>
        <v/>
      </c>
      <c r="G43" s="38">
        <f>IFERROR(VLOOKUP(A43, 'ANEXO A'!$A$2:$L$94, 10, FALSE), "")</f>
        <v/>
      </c>
      <c r="H43" s="38">
        <f>IFERROR(VLOOKUP(A43, 'ANEXO A'!$A$2:$L$94, 12, FALSE), "")</f>
        <v/>
      </c>
      <c r="I43" s="38" t="inlineStr">
        <is>
          <t>6.3 Modificación / 6.5 Eliminación de usuarios: Suscripción de acuerdos de confidencialidad permanentes y revocación de accesos al cesar funciones (GSO-GSI-MP-GSI).</t>
        </is>
      </c>
      <c r="J43" s="112">
        <f>"• Establecer lineamientos para " &amp; IFERROR(VLOOKUP(A43, 'ANEXO A'!$A$2:$L$94, 2, FALSE), "Este Control") &amp; CHAR(10) &amp; "• Definir roles para el control " &amp; A43 &amp; CHAR(10) &amp; "• Revisar efectividad de " &amp; IFERROR(VLOOKUP(A43, 'ANEXO A'!$A$2:$L$94, 2, FALSE), "Este Control")</f>
        <v/>
      </c>
      <c r="K43" s="112" t="inlineStr">
        <is>
          <t>Asegurar el cumplimiento, control y resguardo continuo de los procesos de Responsabilidades después de la terminación o cambio de empleo a fin de mitigar riesgos y mantener la alineación a los principios de confidencialidad, integridad y disponibilidad aplicables a este dominio.</t>
        </is>
      </c>
      <c r="L43" s="112" t="inlineStr">
        <is>
          <t>La organización deberá implementar, registrar y monitorear operativamente todos los protocolos relacionados a Responsabilidades después de la terminación o cambio de empleo, estableciendo políticas técnicas correspondientes.</t>
        </is>
      </c>
    </row>
    <row r="44" ht="67.5" customHeight="1" s="106">
      <c r="A44" s="38">
        <f>'ANEXO A'!A44</f>
        <v/>
      </c>
      <c r="B44" s="38">
        <f>IFERROR(VLOOKUP(A44, 'ANEXO A'!$A$2:$L$94, 2, FALSE), "")</f>
        <v/>
      </c>
      <c r="C44" s="38">
        <f>IF(LEFT(A44,1)="5", "5. Organizacionales", IF(LEFT(A44,1)="6", "6. Personas", IF(LEFT(A44,1)="7", "7. Físicos", "8. Tecnológicos")))</f>
        <v/>
      </c>
      <c r="D44" s="38">
        <f>IFERROR(VLOOKUP(A44, 'ANEXO A'!$A$2:$L$94, 11, FALSE), "")</f>
        <v/>
      </c>
      <c r="E44" s="38">
        <f>IFERROR(VLOOKUP(A44, 'ANEXO A'!$A$2:$L$94, 8, FALSE), "")</f>
        <v/>
      </c>
      <c r="F44" s="38">
        <f>IFERROR(VLOOKUP(A44, 'ANEXO A'!$A$2:$L$94, 9, FALSE), "")</f>
        <v/>
      </c>
      <c r="G44" s="38">
        <f>IFERROR(VLOOKUP(A44, 'ANEXO A'!$A$2:$L$94, 10, FALSE), "")</f>
        <v/>
      </c>
      <c r="H44" s="38">
        <f>IFERROR(VLOOKUP(A44, 'ANEXO A'!$A$2:$L$94, 12, FALSE), "")</f>
        <v/>
      </c>
      <c r="I44" s="38" t="inlineStr">
        <is>
          <t>6.2 Creación (Equifax/Aval) / GTH: Firma obligatoria de convenios de confidencialidad por colaboradores y terceros (GSO-GSI-MP-GSI).</t>
        </is>
      </c>
      <c r="J44" s="112">
        <f>"• Establecer lineamientos para " &amp; IFERROR(VLOOKUP(A44, 'ANEXO A'!$A$2:$L$94, 2, FALSE), "Este Control") &amp; CHAR(10) &amp; "• Definir roles para el control " &amp; A44 &amp; CHAR(10) &amp; "• Revisar efectividad de " &amp; IFERROR(VLOOKUP(A44, 'ANEXO A'!$A$2:$L$94, 2, FALSE), "Este Control")</f>
        <v/>
      </c>
      <c r="K44" s="112" t="inlineStr">
        <is>
          <t>Asegurar el cumplimiento, control y resguardo continuo de los procesos de Acuerdos de confidencialidad o no divulgación a fin de mitigar riesgos y mantener la alineación a los principios de confidencialidad, integridad y disponibilidad aplicables a este dominio.</t>
        </is>
      </c>
      <c r="L44" s="112" t="inlineStr">
        <is>
          <t>La organización deberá implementar, registrar y monitorear operativamente todos los protocolos relacionados a Acuerdos de confidencialidad o no divulgación, estableciendo políticas técnicas correspondientes.</t>
        </is>
      </c>
    </row>
    <row r="45" ht="56.25" customHeight="1" s="106">
      <c r="A45" s="38">
        <f>'ANEXO A'!A45</f>
        <v/>
      </c>
      <c r="B45" s="38">
        <f>IFERROR(VLOOKUP(A45, 'ANEXO A'!$A$2:$L$94, 2, FALSE), "")</f>
        <v/>
      </c>
      <c r="C45" s="38">
        <f>IF(LEFT(A45,1)="5", "5. Organizacionales", IF(LEFT(A45,1)="6", "6. Personas", IF(LEFT(A45,1)="7", "7. Físicos", "8. Tecnológicos")))</f>
        <v/>
      </c>
      <c r="D45" s="38">
        <f>IFERROR(VLOOKUP(A45, 'ANEXO A'!$A$2:$L$94, 11, FALSE), "")</f>
        <v/>
      </c>
      <c r="E45" s="38">
        <f>IFERROR(VLOOKUP(A45, 'ANEXO A'!$A$2:$L$94, 8, FALSE), "")</f>
        <v/>
      </c>
      <c r="F45" s="38">
        <f>IFERROR(VLOOKUP(A45, 'ANEXO A'!$A$2:$L$94, 9, FALSE), "")</f>
        <v/>
      </c>
      <c r="G45" s="38">
        <f>IFERROR(VLOOKUP(A45, 'ANEXO A'!$A$2:$L$94, 10, FALSE), "")</f>
        <v/>
      </c>
      <c r="H45" s="38">
        <f>IFERROR(VLOOKUP(A45, 'ANEXO A'!$A$2:$L$94, 12, FALSE), "")</f>
        <v/>
      </c>
      <c r="I45" s="38" t="inlineStr">
        <is>
          <t>6.2 VPN Directorio Activo: Uso obligatorio de VPN corporativa y autenticación multifactor para accesos remotos autorizados (GSO-GSI-MP-GSI)</t>
        </is>
      </c>
      <c r="J45" s="112">
        <f>"• Establecer lineamientos para " &amp; IFERROR(VLOOKUP(A45, 'ANEXO A'!$A$2:$L$94, 2, FALSE), "Este Control") &amp; CHAR(10) &amp; "• Definir roles para el control " &amp; A45 &amp; CHAR(10) &amp; "• Revisar efectividad de " &amp; IFERROR(VLOOKUP(A45, 'ANEXO A'!$A$2:$L$94, 2, FALSE), "Este Control")</f>
        <v/>
      </c>
      <c r="K45" s="112" t="inlineStr">
        <is>
          <t>Asegurar el cumplimiento, control y resguardo continuo de los procesos de Trabajo a distancia a fin de mitigar riesgos y mantener la alineación a los principios de confidencialidad, integridad y disponibilidad aplicables a este dominio.</t>
        </is>
      </c>
      <c r="L45" s="112" t="inlineStr">
        <is>
          <t>La organización deberá implementar, registrar y monitorear operativamente todos los protocolos relacionados a Trabajo a distancia, estableciendo políticas técnicas correspondientes.</t>
        </is>
      </c>
    </row>
    <row r="46" ht="78.75" customHeight="1" s="106">
      <c r="A46" s="38">
        <f>'ANEXO A'!A46</f>
        <v/>
      </c>
      <c r="B46" s="38">
        <f>IFERROR(VLOOKUP(A46, 'ANEXO A'!$A$2:$L$94, 2, FALSE), "")</f>
        <v/>
      </c>
      <c r="C46" s="38">
        <f>IF(LEFT(A46,1)="5", "5. Organizacionales", IF(LEFT(A46,1)="6", "6. Personas", IF(LEFT(A46,1)="7", "7. Físicos", "8. Tecnológicos")))</f>
        <v/>
      </c>
      <c r="D46" s="38">
        <f>IFERROR(VLOOKUP(A46, 'ANEXO A'!$A$2:$L$94, 11, FALSE), "")</f>
        <v/>
      </c>
      <c r="E46" s="38">
        <f>IFERROR(VLOOKUP(A46, 'ANEXO A'!$A$2:$L$94, 8, FALSE), "")</f>
        <v/>
      </c>
      <c r="F46" s="38">
        <f>IFERROR(VLOOKUP(A46, 'ANEXO A'!$A$2:$L$94, 9, FALSE), "")</f>
        <v/>
      </c>
      <c r="G46" s="38">
        <f>IFERROR(VLOOKUP(A46, 'ANEXO A'!$A$2:$L$94, 10, FALSE), "")</f>
        <v/>
      </c>
      <c r="H46" s="38">
        <f>IFERROR(VLOOKUP(A46, 'ANEXO A'!$A$2:$L$94, 12, FALSE), "")</f>
        <v/>
      </c>
      <c r="I46" s="38" t="inlineStr">
        <is>
          <t>6.15 Gestión de incidentes (Act. 1): Canalización formal vía Service Desk y correo de cualquier evento o anomalía detectada (GSO-GSI-MP-GSI).</t>
        </is>
      </c>
      <c r="J46" s="112">
        <f>"• Establecer lineamientos para " &amp; IFERROR(VLOOKUP(A46, 'ANEXO A'!$A$2:$L$94, 2, FALSE), "Este Control") &amp; CHAR(10) &amp; "• Definir roles para el control " &amp; A46 &amp; CHAR(10) &amp; "• Revisar efectividad de " &amp; IFERROR(VLOOKUP(A46, 'ANEXO A'!$A$2:$L$94, 2, FALSE), "Este Control")</f>
        <v/>
      </c>
      <c r="K46" s="112" t="inlineStr">
        <is>
          <t>Asegurar el cumplimiento, control y resguardo continuo de los procesos de Notificación de eventos de seguridad de la información a fin de mitigar riesgos y mantener la alineación a los principios de confidencialidad, integridad y disponibilidad aplicables a este dominio.</t>
        </is>
      </c>
      <c r="L46" s="112" t="inlineStr">
        <is>
          <t>La organización deberá implementar, registrar y monitorear operativamente todos los protocolos relacionados a Notificación de eventos de seguridad de la información, estableciendo políticas técnicas correspondientes.</t>
        </is>
      </c>
    </row>
    <row r="47" ht="56.25" customHeight="1" s="106">
      <c r="A47" s="38">
        <f>'ANEXO A'!A47</f>
        <v/>
      </c>
      <c r="B47" s="38">
        <f>IFERROR(VLOOKUP(A47, 'ANEXO A'!$A$2:$L$94, 2, FALSE), "")</f>
        <v/>
      </c>
      <c r="C47" s="38">
        <f>IF(LEFT(A47,1)="5", "5. Organizacionales", IF(LEFT(A47,1)="6", "6. Personas", IF(LEFT(A47,1)="7", "7. Físicos", "8. Tecnológicos")))</f>
        <v/>
      </c>
      <c r="D47" s="38">
        <f>IFERROR(VLOOKUP(A47, 'ANEXO A'!$A$2:$L$94, 11, FALSE), "")</f>
        <v/>
      </c>
      <c r="E47" s="38">
        <f>IFERROR(VLOOKUP(A47, 'ANEXO A'!$A$2:$L$94, 8, FALSE), "")</f>
        <v/>
      </c>
      <c r="F47" s="38">
        <f>IFERROR(VLOOKUP(A47, 'ANEXO A'!$A$2:$L$94, 9, FALSE), "")</f>
        <v/>
      </c>
      <c r="G47" s="38">
        <f>IFERROR(VLOOKUP(A47, 'ANEXO A'!$A$2:$L$94, 10, FALSE), "")</f>
        <v/>
      </c>
      <c r="H47" s="38">
        <f>IFERROR(VLOOKUP(A47, 'ANEXO A'!$A$2:$L$94, 12, FALSE), "")</f>
        <v/>
      </c>
      <c r="I47" s="38" t="inlineStr">
        <is>
          <t>Anexo 1 SEPS 002 (Seguridad Física): Delimitación perimetral, puertas de seguridad y áreas de data center con acceso restringido (SEPS-2022-002).</t>
        </is>
      </c>
      <c r="J47" s="112">
        <f>"• Establecer lineamientos para " &amp; IFERROR(VLOOKUP(A47, 'ANEXO A'!$A$2:$L$94, 2, FALSE), "Este Control") &amp; CHAR(10) &amp; "• Definir roles para el control " &amp; A47 &amp; CHAR(10) &amp; "• Revisar efectividad de " &amp; IFERROR(VLOOKUP(A47, 'ANEXO A'!$A$2:$L$94, 2, FALSE), "Este Control")</f>
        <v/>
      </c>
      <c r="K47" s="112" t="inlineStr">
        <is>
          <t>Asegurar el cumplimiento, control y resguardo continuo de los procesos de Perímetros de seguridad física a fin de mitigar riesgos y mantener la alineación a los principios de confidencialidad, integridad y disponibilidad aplicables a este dominio.</t>
        </is>
      </c>
      <c r="L47" s="112" t="inlineStr">
        <is>
          <t>La organización deberá implementar, registrar y monitorear operativamente todos los protocolos relacionados a Perímetros de seguridad física, estableciendo políticas técnicas correspondientes.</t>
        </is>
      </c>
    </row>
    <row r="48" ht="56.25" customHeight="1" s="106">
      <c r="A48" s="38">
        <f>'ANEXO A'!A48</f>
        <v/>
      </c>
      <c r="B48" s="38">
        <f>IFERROR(VLOOKUP(A48, 'ANEXO A'!$A$2:$L$94, 2, FALSE), "")</f>
        <v/>
      </c>
      <c r="C48" s="38">
        <f>IF(LEFT(A48,1)="5", "5. Organizacionales", IF(LEFT(A48,1)="6", "6. Personas", IF(LEFT(A48,1)="7", "7. Físicos", "8. Tecnológicos")))</f>
        <v/>
      </c>
      <c r="D48" s="38">
        <f>IFERROR(VLOOKUP(A48, 'ANEXO A'!$A$2:$L$94, 11, FALSE), "")</f>
        <v/>
      </c>
      <c r="E48" s="38">
        <f>IFERROR(VLOOKUP(A48, 'ANEXO A'!$A$2:$L$94, 8, FALSE), "")</f>
        <v/>
      </c>
      <c r="F48" s="38">
        <f>IFERROR(VLOOKUP(A48, 'ANEXO A'!$A$2:$L$94, 9, FALSE), "")</f>
        <v/>
      </c>
      <c r="G48" s="38">
        <f>IFERROR(VLOOKUP(A48, 'ANEXO A'!$A$2:$L$94, 10, FALSE), "")</f>
        <v/>
      </c>
      <c r="H48" s="38">
        <f>IFERROR(VLOOKUP(A48, 'ANEXO A'!$A$2:$L$94, 12, FALSE), "")</f>
        <v/>
      </c>
      <c r="I48" s="38" t="inlineStr">
        <is>
          <t>Anexo 1 SEPS 002 / GAD: Control biométrico, tarjetas de proximidad y registro bitacorizado de visitantes (SEPS-2022-002).</t>
        </is>
      </c>
      <c r="J48" s="112">
        <f>"• Establecer lineamientos para " &amp; IFERROR(VLOOKUP(A48, 'ANEXO A'!$A$2:$L$94, 2, FALSE), "Este Control") &amp; CHAR(10) &amp; "• Definir roles para el control " &amp; A48 &amp; CHAR(10) &amp; "• Revisar efectividad de " &amp; IFERROR(VLOOKUP(A48, 'ANEXO A'!$A$2:$L$94, 2, FALSE), "Este Control")</f>
        <v/>
      </c>
      <c r="K48" s="112" t="inlineStr">
        <is>
          <t>Asegurar el cumplimiento, control y resguardo continuo de los procesos de Controles de entrada física a fin de mitigar riesgos y mantener la alineación a los principios de confidencialidad, integridad y disponibilidad aplicables a este dominio.</t>
        </is>
      </c>
      <c r="L48" s="112" t="inlineStr">
        <is>
          <t>La organización deberá implementar, registrar y monitorear operativamente todos los protocolos relacionados a Controles de entrada física, estableciendo políticas técnicas correspondientes.</t>
        </is>
      </c>
    </row>
    <row r="49" ht="67.5" customHeight="1" s="106">
      <c r="A49" s="38">
        <f>'ANEXO A'!A49</f>
        <v/>
      </c>
      <c r="B49" s="38">
        <f>IFERROR(VLOOKUP(A49, 'ANEXO A'!$A$2:$L$94, 2, FALSE), "")</f>
        <v/>
      </c>
      <c r="C49" s="38">
        <f>IF(LEFT(A49,1)="5", "5. Organizacionales", IF(LEFT(A49,1)="6", "6. Personas", IF(LEFT(A49,1)="7", "7. Físicos", "8. Tecnológicos")))</f>
        <v/>
      </c>
      <c r="D49" s="38">
        <f>IFERROR(VLOOKUP(A49, 'ANEXO A'!$A$2:$L$94, 11, FALSE), "")</f>
        <v/>
      </c>
      <c r="E49" s="38">
        <f>IFERROR(VLOOKUP(A49, 'ANEXO A'!$A$2:$L$94, 8, FALSE), "")</f>
        <v/>
      </c>
      <c r="F49" s="38">
        <f>IFERROR(VLOOKUP(A49, 'ANEXO A'!$A$2:$L$94, 9, FALSE), "")</f>
        <v/>
      </c>
      <c r="G49" s="38">
        <f>IFERROR(VLOOKUP(A49, 'ANEXO A'!$A$2:$L$94, 10, FALSE), "")</f>
        <v/>
      </c>
      <c r="H49" s="38">
        <f>IFERROR(VLOOKUP(A49, 'ANEXO A'!$A$2:$L$94, 12, FALSE), "")</f>
        <v/>
      </c>
      <c r="I49" s="38" t="inlineStr">
        <is>
          <t>Anexo 1 SEPS 002: Protección de zonas sensibles y aislamiento físico de áreas de procesamiento crítico (SEPS-2022-002).</t>
        </is>
      </c>
      <c r="J49" s="112">
        <f>"• Establecer lineamientos para " &amp; IFERROR(VLOOKUP(A49, 'ANEXO A'!$A$2:$L$94, 2, FALSE), "Este Control") &amp; CHAR(10) &amp; "• Definir roles para el control " &amp; A49 &amp; CHAR(10) &amp; "• Revisar efectividad de " &amp; IFERROR(VLOOKUP(A49, 'ANEXO A'!$A$2:$L$94, 2, FALSE), "Este Control")</f>
        <v/>
      </c>
      <c r="K49" s="112" t="inlineStr">
        <is>
          <t>Asegurar el cumplimiento, control y resguardo continuo de los procesos de Seguridad de oficinas, despachos e instalaciones a fin de mitigar riesgos y mantener la alineación a los principios de confidencialidad, integridad y disponibilidad aplicables a este dominio.</t>
        </is>
      </c>
      <c r="L49" s="112" t="inlineStr">
        <is>
          <t>La organización deberá implementar, registrar y monitorear operativamente todos los protocolos relacionados a Seguridad de oficinas, despachos e instalaciones, estableciendo políticas técnicas correspondientes.</t>
        </is>
      </c>
    </row>
    <row r="50" ht="56.25" customHeight="1" s="106">
      <c r="A50" s="38">
        <f>'ANEXO A'!A50</f>
        <v/>
      </c>
      <c r="B50" s="38">
        <f>IFERROR(VLOOKUP(A50, 'ANEXO A'!$A$2:$L$94, 2, FALSE), "")</f>
        <v/>
      </c>
      <c r="C50" s="38">
        <f>IF(LEFT(A50,1)="5", "5. Organizacionales", IF(LEFT(A50,1)="6", "6. Personas", IF(LEFT(A50,1)="7", "7. Físicos", "8. Tecnológicos")))</f>
        <v/>
      </c>
      <c r="D50" s="38">
        <f>IFERROR(VLOOKUP(A50, 'ANEXO A'!$A$2:$L$94, 11, FALSE), "")</f>
        <v/>
      </c>
      <c r="E50" s="38">
        <f>IFERROR(VLOOKUP(A50, 'ANEXO A'!$A$2:$L$94, 8, FALSE), "")</f>
        <v/>
      </c>
      <c r="F50" s="38">
        <f>IFERROR(VLOOKUP(A50, 'ANEXO A'!$A$2:$L$94, 9, FALSE), "")</f>
        <v/>
      </c>
      <c r="G50" s="38">
        <f>IFERROR(VLOOKUP(A50, 'ANEXO A'!$A$2:$L$94, 10, FALSE), "")</f>
        <v/>
      </c>
      <c r="H50" s="38">
        <f>IFERROR(VLOOKUP(A50, 'ANEXO A'!$A$2:$L$94, 12, FALSE), "")</f>
        <v/>
      </c>
      <c r="I50" s="38" t="inlineStr">
        <is>
          <t>Anexo 1 SEPS 002 / CCTV: Monitoreo y grabación permanente mediante Circuito Cerrado de Televisión y sensores de alarma (SEPS-2022-002).</t>
        </is>
      </c>
      <c r="J50" s="112">
        <f>"• Establecer lineamientos para " &amp; IFERROR(VLOOKUP(A50, 'ANEXO A'!$A$2:$L$94, 2, FALSE), "Este Control") &amp; CHAR(10) &amp; "• Definir roles para el control " &amp; A50 &amp; CHAR(10) &amp; "• Revisar efectividad de " &amp; IFERROR(VLOOKUP(A50, 'ANEXO A'!$A$2:$L$94, 2, FALSE), "Este Control")</f>
        <v/>
      </c>
      <c r="K50" s="112" t="inlineStr">
        <is>
          <t>Asegurar el cumplimiento, control y resguardo continuo de los procesos de Supervisión de la seguridad física a fin de mitigar riesgos y mantener la alineación a los principios de confidencialidad, integridad y disponibilidad aplicables a este dominio.</t>
        </is>
      </c>
      <c r="L50" s="112" t="inlineStr">
        <is>
          <t>La organización deberá implementar, registrar y monitorear operativamente todos los protocolos relacionados a Supervisión de la seguridad física, estableciendo políticas técnicas correspondientes.</t>
        </is>
      </c>
    </row>
    <row r="51" ht="78.75" customHeight="1" s="106">
      <c r="A51" s="38">
        <f>'ANEXO A'!A51</f>
        <v/>
      </c>
      <c r="B51" s="38">
        <f>IFERROR(VLOOKUP(A51, 'ANEXO A'!$A$2:$L$94, 2, FALSE), "")</f>
        <v/>
      </c>
      <c r="C51" s="38">
        <f>IF(LEFT(A51,1)="5", "5. Organizacionales", IF(LEFT(A51,1)="6", "6. Personas", IF(LEFT(A51,1)="7", "7. Físicos", "8. Tecnológicos")))</f>
        <v/>
      </c>
      <c r="D51" s="38">
        <f>IFERROR(VLOOKUP(A51, 'ANEXO A'!$A$2:$L$94, 11, FALSE), "")</f>
        <v/>
      </c>
      <c r="E51" s="38">
        <f>IFERROR(VLOOKUP(A51, 'ANEXO A'!$A$2:$L$94, 8, FALSE), "")</f>
        <v/>
      </c>
      <c r="F51" s="38">
        <f>IFERROR(VLOOKUP(A51, 'ANEXO A'!$A$2:$L$94, 9, FALSE), "")</f>
        <v/>
      </c>
      <c r="G51" s="38">
        <f>IFERROR(VLOOKUP(A51, 'ANEXO A'!$A$2:$L$94, 10, FALSE), "")</f>
        <v/>
      </c>
      <c r="H51" s="38">
        <f>IFERROR(VLOOKUP(A51, 'ANEXO A'!$A$2:$L$94, 12, FALSE), "")</f>
        <v/>
      </c>
      <c r="I51" s="38" t="inlineStr">
        <is>
          <t>Sec. 10.2.1 Metodología GAI (S31-S40): Sistemas de detección y extinción de incendios (FM200/gas), sensores de inundación y pararrayos (GSO-GSI-ME-GAI / SEPS-2022-002).</t>
        </is>
      </c>
      <c r="J51" s="112">
        <f>"• Establecer lineamientos para " &amp; IFERROR(VLOOKUP(A51, 'ANEXO A'!$A$2:$L$94, 2, FALSE), "Este Control") &amp; CHAR(10) &amp; "• Definir roles para el control " &amp; A51 &amp; CHAR(10) &amp; "• Revisar efectividad de " &amp; IFERROR(VLOOKUP(A51, 'ANEXO A'!$A$2:$L$94, 2, FALSE), "Este Control")</f>
        <v/>
      </c>
      <c r="K51" s="112" t="inlineStr">
        <is>
          <t>Asegurar el cumplimiento, control y resguardo continuo de los procesos de Protección contra amenazas físicas y ambientales a fin de mitigar riesgos y mantener la alineación a los principios de confidencialidad, integridad y disponibilidad aplicables a este dominio.</t>
        </is>
      </c>
      <c r="L51" s="112" t="inlineStr">
        <is>
          <t>La organización deberá implementar, registrar y monitorear operativamente todos los protocolos relacionados a Protección contra amenazas físicas y ambientales, estableciendo políticas técnicas correspondientes.</t>
        </is>
      </c>
    </row>
    <row r="52" ht="56.25" customHeight="1" s="106">
      <c r="A52" s="38">
        <f>'ANEXO A'!A52</f>
        <v/>
      </c>
      <c r="B52" s="38">
        <f>IFERROR(VLOOKUP(A52, 'ANEXO A'!$A$2:$L$94, 2, FALSE), "")</f>
        <v/>
      </c>
      <c r="C52" s="38">
        <f>IF(LEFT(A52,1)="5", "5. Organizacionales", IF(LEFT(A52,1)="6", "6. Personas", IF(LEFT(A52,1)="7", "7. Físicos", "8. Tecnológicos")))</f>
        <v/>
      </c>
      <c r="D52" s="38">
        <f>IFERROR(VLOOKUP(A52, 'ANEXO A'!$A$2:$L$94, 11, FALSE), "")</f>
        <v/>
      </c>
      <c r="E52" s="38">
        <f>IFERROR(VLOOKUP(A52, 'ANEXO A'!$A$2:$L$94, 8, FALSE), "")</f>
        <v/>
      </c>
      <c r="F52" s="38">
        <f>IFERROR(VLOOKUP(A52, 'ANEXO A'!$A$2:$L$94, 9, FALSE), "")</f>
        <v/>
      </c>
      <c r="G52" s="38">
        <f>IFERROR(VLOOKUP(A52, 'ANEXO A'!$A$2:$L$94, 10, FALSE), "")</f>
        <v/>
      </c>
      <c r="H52" s="38">
        <f>IFERROR(VLOOKUP(A52, 'ANEXO A'!$A$2:$L$94, 12, FALSE), "")</f>
        <v/>
      </c>
      <c r="I52" s="38" t="inlineStr">
        <is>
          <t>6.11 Claves críticas / 6.12 Llaves: Procedimientos restringidos para custodia de cajas fuertes y zonas de cifrado bajo estricto control (GSO-GSI-MP-GSI).</t>
        </is>
      </c>
      <c r="J52" s="112">
        <f>"• Establecer lineamientos para " &amp; IFERROR(VLOOKUP(A52, 'ANEXO A'!$A$2:$L$94, 2, FALSE), "Este Control") &amp; CHAR(10) &amp; "• Definir roles para el control " &amp; A52 &amp; CHAR(10) &amp; "• Revisar efectividad de " &amp; IFERROR(VLOOKUP(A52, 'ANEXO A'!$A$2:$L$94, 2, FALSE), "Este Control")</f>
        <v/>
      </c>
      <c r="K52" s="112" t="inlineStr">
        <is>
          <t>Asegurar el cumplimiento, control y resguardo continuo de los procesos de Trabajo en áreas seguras a fin de mitigar riesgos y mantener la alineación a los principios de confidencialidad, integridad y disponibilidad aplicables a este dominio.</t>
        </is>
      </c>
      <c r="L52" s="112" t="inlineStr">
        <is>
          <t>La organización deberá implementar, registrar y monitorear operativamente todos los protocolos relacionados a Trabajo en áreas seguras, estableciendo políticas técnicas correspondientes.</t>
        </is>
      </c>
    </row>
    <row r="53" ht="78.75" customHeight="1" s="106">
      <c r="A53" s="38">
        <f>'ANEXO A'!A53</f>
        <v/>
      </c>
      <c r="B53" s="38">
        <f>IFERROR(VLOOKUP(A53, 'ANEXO A'!$A$2:$L$94, 2, FALSE), "")</f>
        <v/>
      </c>
      <c r="C53" s="38">
        <f>IF(LEFT(A53,1)="5", "5. Organizacionales", IF(LEFT(A53,1)="6", "6. Personas", IF(LEFT(A53,1)="7", "7. Físicos", "8. Tecnológicos")))</f>
        <v/>
      </c>
      <c r="D53" s="38">
        <f>IFERROR(VLOOKUP(A53, 'ANEXO A'!$A$2:$L$94, 11, FALSE), "")</f>
        <v/>
      </c>
      <c r="E53" s="38">
        <f>IFERROR(VLOOKUP(A53, 'ANEXO A'!$A$2:$L$94, 8, FALSE), "")</f>
        <v/>
      </c>
      <c r="F53" s="38">
        <f>IFERROR(VLOOKUP(A53, 'ANEXO A'!$A$2:$L$94, 9, FALSE), "")</f>
        <v/>
      </c>
      <c r="G53" s="38">
        <f>IFERROR(VLOOKUP(A53, 'ANEXO A'!$A$2:$L$94, 10, FALSE), "")</f>
        <v/>
      </c>
      <c r="H53" s="38">
        <f>IFERROR(VLOOKUP(A53, 'ANEXO A'!$A$2:$L$94, 12, FALSE), "")</f>
        <v/>
      </c>
      <c r="I53" s="38" t="inlineStr">
        <is>
          <t>6.16 Revisión y monitoreo de políticas: Bloqueo automático de estación por inactividad y resguardo bajo llave de documentos físicos (GSO-GSI-MP-GSI).</t>
        </is>
      </c>
      <c r="J53" s="112">
        <f>"• Establecer lineamientos para " &amp; IFERROR(VLOOKUP(A53, 'ANEXO A'!$A$2:$L$94, 2, FALSE), "Este Control") &amp; CHAR(10) &amp; "• Definir roles para el control " &amp; A53 &amp; CHAR(10) &amp; "• Revisar efectividad de " &amp; IFERROR(VLOOKUP(A53, 'ANEXO A'!$A$2:$L$94, 2, FALSE), "Este Control")</f>
        <v/>
      </c>
      <c r="K53" s="112" t="inlineStr">
        <is>
          <t>Asegurar el cumplimiento, control y resguardo continuo de los procesos de Política de escritorio despejado y pantalla despejada a fin de mitigar riesgos y mantener la alineación a los principios de confidencialidad, integridad y disponibilidad aplicables a este dominio.</t>
        </is>
      </c>
      <c r="L53" s="112" t="inlineStr">
        <is>
          <t>La organización deberá implementar, registrar y monitorear operativamente todos los protocolos relacionados a Política de escritorio despejado y pantalla despejada, estableciendo políticas técnicas correspondientes.</t>
        </is>
      </c>
    </row>
    <row r="54" ht="78.75" customHeight="1" s="106">
      <c r="A54" s="38">
        <f>'ANEXO A'!A54</f>
        <v/>
      </c>
      <c r="B54" s="38">
        <f>IFERROR(VLOOKUP(A54, 'ANEXO A'!$A$2:$L$94, 2, FALSE), "")</f>
        <v/>
      </c>
      <c r="C54" s="38">
        <f>IF(LEFT(A54,1)="5", "5. Organizacionales", IF(LEFT(A54,1)="6", "6. Personas", IF(LEFT(A54,1)="7", "7. Físicos", "8. Tecnológicos")))</f>
        <v/>
      </c>
      <c r="D54" s="38">
        <f>IFERROR(VLOOKUP(A54, 'ANEXO A'!$A$2:$L$94, 11, FALSE), "")</f>
        <v/>
      </c>
      <c r="E54" s="38">
        <f>IFERROR(VLOOKUP(A54, 'ANEXO A'!$A$2:$L$94, 8, FALSE), "")</f>
        <v/>
      </c>
      <c r="F54" s="38">
        <f>IFERROR(VLOOKUP(A54, 'ANEXO A'!$A$2:$L$94, 9, FALSE), "")</f>
        <v/>
      </c>
      <c r="G54" s="38">
        <f>IFERROR(VLOOKUP(A54, 'ANEXO A'!$A$2:$L$94, 10, FALSE), "")</f>
        <v/>
      </c>
      <c r="H54" s="38">
        <f>IFERROR(VLOOKUP(A54, 'ANEXO A'!$A$2:$L$94, 12, FALSE), "")</f>
        <v/>
      </c>
      <c r="I54" s="38" t="inlineStr">
        <is>
          <t>6.13 Gestión de activos / TI: Ubicación de servidores y racks en centros de datos con control de clima y energía (GSO-GSI-ME-GAI / SEPS-2022-002).</t>
        </is>
      </c>
      <c r="J54" s="112">
        <f>"• Establecer lineamientos para " &amp; IFERROR(VLOOKUP(A54, 'ANEXO A'!$A$2:$L$94, 2, FALSE), "Este Control") &amp; CHAR(10) &amp; "• Definir roles para el control " &amp; A54 &amp; CHAR(10) &amp; "• Revisar efectividad de " &amp; IFERROR(VLOOKUP(A54, 'ANEXO A'!$A$2:$L$94, 2, FALSE), "Este Control")</f>
        <v/>
      </c>
      <c r="K54" s="112" t="inlineStr">
        <is>
          <t>Asegurar el cumplimiento, control y resguardo continuo de los procesos de Emplazamiento y protección de equipos a fin de mitigar riesgos y mantener la alineación a los principios de confidencialidad, integridad y disponibilidad aplicables a este dominio.</t>
        </is>
      </c>
      <c r="L54" s="112" t="inlineStr">
        <is>
          <t>La organización deberá implementar, registrar y monitorear operativamente todos los protocolos relacionados a Emplazamiento y protección de equipos, estableciendo políticas técnicas correspondientes.</t>
        </is>
      </c>
    </row>
    <row r="55" ht="67.5" customHeight="1" s="106">
      <c r="A55" s="38">
        <f>'ANEXO A'!A55</f>
        <v/>
      </c>
      <c r="B55" s="38">
        <f>IFERROR(VLOOKUP(A55, 'ANEXO A'!$A$2:$L$94, 2, FALSE), "")</f>
        <v/>
      </c>
      <c r="C55" s="38">
        <f>IF(LEFT(A55,1)="5", "5. Organizacionales", IF(LEFT(A55,1)="6", "6. Personas", IF(LEFT(A55,1)="7", "7. Físicos", "8. Tecnológicos")))</f>
        <v/>
      </c>
      <c r="D55" s="38">
        <f>IFERROR(VLOOKUP(A55, 'ANEXO A'!$A$2:$L$94, 11, FALSE), "")</f>
        <v/>
      </c>
      <c r="E55" s="38">
        <f>IFERROR(VLOOKUP(A55, 'ANEXO A'!$A$2:$L$94, 8, FALSE), "")</f>
        <v/>
      </c>
      <c r="F55" s="38">
        <f>IFERROR(VLOOKUP(A55, 'ANEXO A'!$A$2:$L$94, 9, FALSE), "")</f>
        <v/>
      </c>
      <c r="G55" s="38">
        <f>IFERROR(VLOOKUP(A55, 'ANEXO A'!$A$2:$L$94, 10, FALSE), "")</f>
        <v/>
      </c>
      <c r="H55" s="38">
        <f>IFERROR(VLOOKUP(A55, 'ANEXO A'!$A$2:$L$94, 12, FALSE), "")</f>
        <v/>
      </c>
      <c r="I55" s="38" t="inlineStr">
        <is>
          <t>6.1 Políticas Generales (Item 4): Equipos portátiles integrados al Directorio Activo, antivirus y cifrado de disco (GSO-GSI-MP-GSI).</t>
        </is>
      </c>
      <c r="J55" s="112">
        <f>"• Establecer lineamientos para " &amp; IFERROR(VLOOKUP(A55, 'ANEXO A'!$A$2:$L$94, 2, FALSE), "Este Control") &amp; CHAR(10) &amp; "• Definir roles para el control " &amp; A55 &amp; CHAR(10) &amp; "• Revisar efectividad de " &amp; IFERROR(VLOOKUP(A55, 'ANEXO A'!$A$2:$L$94, 2, FALSE), "Este Control")</f>
        <v/>
      </c>
      <c r="K55" s="112" t="inlineStr">
        <is>
          <t>Asegurar el cumplimiento, control y resguardo continuo de los procesos de Seguridad de los activos fuera de las instalaciones a fin de mitigar riesgos y mantener la alineación a los principios de confidencialidad, integridad y disponibilidad aplicables a este dominio.</t>
        </is>
      </c>
      <c r="L55" s="112" t="inlineStr">
        <is>
          <t>La organización deberá implementar, registrar y monitorear operativamente todos los protocolos relacionados a Seguridad de los activos fuera de las instalaciones, estableciendo políticas técnicas correspondientes.</t>
        </is>
      </c>
    </row>
    <row r="56" ht="56.25" customHeight="1" s="106">
      <c r="A56" s="38">
        <f>'ANEXO A'!A56</f>
        <v/>
      </c>
      <c r="B56" s="38">
        <f>IFERROR(VLOOKUP(A56, 'ANEXO A'!$A$2:$L$94, 2, FALSE), "")</f>
        <v/>
      </c>
      <c r="C56" s="38">
        <f>IF(LEFT(A56,1)="5", "5. Organizacionales", IF(LEFT(A56,1)="6", "6. Personas", IF(LEFT(A56,1)="7", "7. Físicos", "8. Tecnológicos")))</f>
        <v/>
      </c>
      <c r="D56" s="38">
        <f>IFERROR(VLOOKUP(A56, 'ANEXO A'!$A$2:$L$94, 11, FALSE), "")</f>
        <v/>
      </c>
      <c r="E56" s="38">
        <f>IFERROR(VLOOKUP(A56, 'ANEXO A'!$A$2:$L$94, 8, FALSE), "")</f>
        <v/>
      </c>
      <c r="F56" s="38">
        <f>IFERROR(VLOOKUP(A56, 'ANEXO A'!$A$2:$L$94, 9, FALSE), "")</f>
        <v/>
      </c>
      <c r="G56" s="38">
        <f>IFERROR(VLOOKUP(A56, 'ANEXO A'!$A$2:$L$94, 10, FALSE), "")</f>
        <v/>
      </c>
      <c r="H56" s="38">
        <f>IFERROR(VLOOKUP(A56, 'ANEXO A'!$A$2:$L$94, 12, FALSE), "")</f>
        <v/>
      </c>
      <c r="I56" s="38" t="inlineStr">
        <is>
          <t>6.9 FTP / 6.13 Activos: Control y restricción de medios extraíbles (USB/discos) y almacenamiento de backups (GSO-GSI-MP-GSI / GSO-GSI-ME-GAI).</t>
        </is>
      </c>
      <c r="J56" s="112">
        <f>"• Establecer lineamientos para " &amp; IFERROR(VLOOKUP(A56, 'ANEXO A'!$A$2:$L$94, 2, FALSE), "Este Control") &amp; CHAR(10) &amp; "• Definir roles para el control " &amp; A56 &amp; CHAR(10) &amp; "• Revisar efectividad de " &amp; IFERROR(VLOOKUP(A56, 'ANEXO A'!$A$2:$L$94, 2, FALSE), "Este Control")</f>
        <v/>
      </c>
      <c r="K56" s="112" t="inlineStr">
        <is>
          <t>Asegurar el cumplimiento, control y resguardo continuo de los procesos de Soportes de almacenamiento a fin de mitigar riesgos y mantener la alineación a los principios de confidencialidad, integridad y disponibilidad aplicables a este dominio.</t>
        </is>
      </c>
      <c r="L56" s="112" t="inlineStr">
        <is>
          <t>La organización deberá implementar, registrar y monitorear operativamente todos los protocolos relacionados a Soportes de almacenamiento, estableciendo políticas técnicas correspondientes.</t>
        </is>
      </c>
    </row>
    <row r="57" ht="56.25" customHeight="1" s="106">
      <c r="A57" s="38">
        <f>'ANEXO A'!A57</f>
        <v/>
      </c>
      <c r="B57" s="38">
        <f>IFERROR(VLOOKUP(A57, 'ANEXO A'!$A$2:$L$94, 2, FALSE), "")</f>
        <v/>
      </c>
      <c r="C57" s="38">
        <f>IF(LEFT(A57,1)="5", "5. Organizacionales", IF(LEFT(A57,1)="6", "6. Personas", IF(LEFT(A57,1)="7", "7. Físicos", "8. Tecnológicos")))</f>
        <v/>
      </c>
      <c r="D57" s="38">
        <f>IFERROR(VLOOKUP(A57, 'ANEXO A'!$A$2:$L$94, 11, FALSE), "")</f>
        <v/>
      </c>
      <c r="E57" s="38">
        <f>IFERROR(VLOOKUP(A57, 'ANEXO A'!$A$2:$L$94, 8, FALSE), "")</f>
        <v/>
      </c>
      <c r="F57" s="38">
        <f>IFERROR(VLOOKUP(A57, 'ANEXO A'!$A$2:$L$94, 9, FALSE), "")</f>
        <v/>
      </c>
      <c r="G57" s="38">
        <f>IFERROR(VLOOKUP(A57, 'ANEXO A'!$A$2:$L$94, 10, FALSE), "")</f>
        <v/>
      </c>
      <c r="H57" s="38">
        <f>IFERROR(VLOOKUP(A57, 'ANEXO A'!$A$2:$L$94, 12, FALSE), "")</f>
        <v/>
      </c>
      <c r="I57" s="38" t="inlineStr">
        <is>
          <t>Sec. 10.2.1 Metodología GAI (S32-S33): Respaldo eléctrico mediante UPS redundantes y generador eléctrico (GSO-GSI-ME-GAI / SEPS-2022-002).</t>
        </is>
      </c>
      <c r="J57" s="112">
        <f>"• Establecer lineamientos para " &amp; IFERROR(VLOOKUP(A57, 'ANEXO A'!$A$2:$L$94, 2, FALSE), "Este Control") &amp; CHAR(10) &amp; "• Definir roles para el control " &amp; A57 &amp; CHAR(10) &amp; "• Revisar efectividad de " &amp; IFERROR(VLOOKUP(A57, 'ANEXO A'!$A$2:$L$94, 2, FALSE), "Este Control")</f>
        <v/>
      </c>
      <c r="K57" s="112" t="inlineStr">
        <is>
          <t>Asegurar el cumplimiento, control y resguardo continuo de los procesos de Servicios públicos a fin de mitigar riesgos y mantener la alineación a los principios de confidencialidad, integridad y disponibilidad aplicables a este dominio.</t>
        </is>
      </c>
      <c r="L57" s="112" t="inlineStr">
        <is>
          <t>La organización deberá implementar, registrar y monitorear operativamente todos los protocolos relacionados a Servicios públicos, estableciendo políticas técnicas correspondientes.</t>
        </is>
      </c>
    </row>
    <row r="58" ht="56.25" customHeight="1" s="106">
      <c r="A58" s="38">
        <f>'ANEXO A'!A58</f>
        <v/>
      </c>
      <c r="B58" s="38">
        <f>IFERROR(VLOOKUP(A58, 'ANEXO A'!$A$2:$L$94, 2, FALSE), "")</f>
        <v/>
      </c>
      <c r="C58" s="38">
        <f>IF(LEFT(A58,1)="5", "5. Organizacionales", IF(LEFT(A58,1)="6", "6. Personas", IF(LEFT(A58,1)="7", "7. Físicos", "8. Tecnológicos")))</f>
        <v/>
      </c>
      <c r="D58" s="38">
        <f>IFERROR(VLOOKUP(A58, 'ANEXO A'!$A$2:$L$94, 11, FALSE), "")</f>
        <v/>
      </c>
      <c r="E58" s="38">
        <f>IFERROR(VLOOKUP(A58, 'ANEXO A'!$A$2:$L$94, 8, FALSE), "")</f>
        <v/>
      </c>
      <c r="F58" s="38">
        <f>IFERROR(VLOOKUP(A58, 'ANEXO A'!$A$2:$L$94, 9, FALSE), "")</f>
        <v/>
      </c>
      <c r="G58" s="38">
        <f>IFERROR(VLOOKUP(A58, 'ANEXO A'!$A$2:$L$94, 10, FALSE), "")</f>
        <v/>
      </c>
      <c r="H58" s="38">
        <f>IFERROR(VLOOKUP(A58, 'ANEXO A'!$A$2:$L$94, 12, FALSE), "")</f>
        <v/>
      </c>
      <c r="I58" s="38" t="inlineStr">
        <is>
          <t>Anexo 1 SEPS (Infraestructura): Cableado estructurado canalizado, ordenado y protegido en ductos cerrados (SEPS-2022-002).</t>
        </is>
      </c>
      <c r="J58" s="112">
        <f>"• Establecer lineamientos para " &amp; IFERROR(VLOOKUP(A58, 'ANEXO A'!$A$2:$L$94, 2, FALSE), "Este Control") &amp; CHAR(10) &amp; "• Definir roles para el control " &amp; A58 &amp; CHAR(10) &amp; "• Revisar efectividad de " &amp; IFERROR(VLOOKUP(A58, 'ANEXO A'!$A$2:$L$94, 2, FALSE), "Este Control")</f>
        <v/>
      </c>
      <c r="K58" s="112" t="inlineStr">
        <is>
          <t>Asegurar el cumplimiento, control y resguardo continuo de los procesos de Seguridad del cableado a fin de mitigar riesgos y mantener la alineación a los principios de confidencialidad, integridad y disponibilidad aplicables a este dominio.</t>
        </is>
      </c>
      <c r="L58" s="112" t="inlineStr">
        <is>
          <t>La organización deberá implementar, registrar y monitorear operativamente todos los protocolos relacionados a Seguridad del cableado, estableciendo políticas técnicas correspondientes.</t>
        </is>
      </c>
    </row>
    <row r="59" ht="56.25" customHeight="1" s="106">
      <c r="A59" s="38">
        <f>'ANEXO A'!A59</f>
        <v/>
      </c>
      <c r="B59" s="38">
        <f>IFERROR(VLOOKUP(A59, 'ANEXO A'!$A$2:$L$94, 2, FALSE), "")</f>
        <v/>
      </c>
      <c r="C59" s="38">
        <f>IF(LEFT(A59,1)="5", "5. Organizacionales", IF(LEFT(A59,1)="6", "6. Personas", IF(LEFT(A59,1)="7", "7. Físicos", "8. Tecnológicos")))</f>
        <v/>
      </c>
      <c r="D59" s="38">
        <f>IFERROR(VLOOKUP(A59, 'ANEXO A'!$A$2:$L$94, 11, FALSE), "")</f>
        <v/>
      </c>
      <c r="E59" s="38">
        <f>IFERROR(VLOOKUP(A59, 'ANEXO A'!$A$2:$L$94, 8, FALSE), "")</f>
        <v/>
      </c>
      <c r="F59" s="38">
        <f>IFERROR(VLOOKUP(A59, 'ANEXO A'!$A$2:$L$94, 9, FALSE), "")</f>
        <v/>
      </c>
      <c r="G59" s="38">
        <f>IFERROR(VLOOKUP(A59, 'ANEXO A'!$A$2:$L$94, 10, FALSE), "")</f>
        <v/>
      </c>
      <c r="H59" s="38">
        <f>IFERROR(VLOOKUP(A59, 'ANEXO A'!$A$2:$L$94, 12, FALSE), "")</f>
        <v/>
      </c>
      <c r="I59" s="38" t="inlineStr">
        <is>
          <t>6.19 Escaneo / Plan TI: Mantenimiento preventivo y correctivo periódico a infraestructura bajo bitácora y supervisión (GSO-GSI-MP-GSI / SEPS-2022-002).</t>
        </is>
      </c>
      <c r="J59" s="112">
        <f>"• Establecer lineamientos para " &amp; IFERROR(VLOOKUP(A59, 'ANEXO A'!$A$2:$L$94, 2, FALSE), "Este Control") &amp; CHAR(10) &amp; "• Definir roles para el control " &amp; A59 &amp; CHAR(10) &amp; "• Revisar efectividad de " &amp; IFERROR(VLOOKUP(A59, 'ANEXO A'!$A$2:$L$94, 2, FALSE), "Este Control")</f>
        <v/>
      </c>
      <c r="K59" s="112" t="inlineStr">
        <is>
          <t>Asegurar el cumplimiento, control y resguardo continuo de los procesos de Mantenimiento de equipos a fin de mitigar riesgos y mantener la alineación a los principios de confidencialidad, integridad y disponibilidad aplicables a este dominio.</t>
        </is>
      </c>
      <c r="L59" s="112" t="inlineStr">
        <is>
          <t>La organización deberá implementar, registrar y monitorear operativamente todos los protocolos relacionados a Mantenimiento de equipos, estableciendo políticas técnicas correspondientes.</t>
        </is>
      </c>
    </row>
    <row r="60" ht="67.5" customHeight="1" s="106">
      <c r="A60" s="38">
        <f>'ANEXO A'!A60</f>
        <v/>
      </c>
      <c r="B60" s="38">
        <f>IFERROR(VLOOKUP(A60, 'ANEXO A'!$A$2:$L$94, 2, FALSE), "")</f>
        <v/>
      </c>
      <c r="C60" s="38">
        <f>IF(LEFT(A60,1)="5", "5. Organizacionales", IF(LEFT(A60,1)="6", "6. Personas", IF(LEFT(A60,1)="7", "7. Físicos", "8. Tecnológicos")))</f>
        <v/>
      </c>
      <c r="D60" s="38">
        <f>IFERROR(VLOOKUP(A60, 'ANEXO A'!$A$2:$L$94, 11, FALSE), "")</f>
        <v/>
      </c>
      <c r="E60" s="38">
        <f>IFERROR(VLOOKUP(A60, 'ANEXO A'!$A$2:$L$94, 8, FALSE), "")</f>
        <v/>
      </c>
      <c r="F60" s="38">
        <f>IFERROR(VLOOKUP(A60, 'ANEXO A'!$A$2:$L$94, 9, FALSE), "")</f>
        <v/>
      </c>
      <c r="G60" s="38">
        <f>IFERROR(VLOOKUP(A60, 'ANEXO A'!$A$2:$L$94, 10, FALSE), "")</f>
        <v/>
      </c>
      <c r="H60" s="38">
        <f>IFERROR(VLOOKUP(A60, 'ANEXO A'!$A$2:$L$94, 12, FALSE), "")</f>
        <v/>
      </c>
      <c r="I60" s="38" t="inlineStr">
        <is>
          <t>Sec. 1 Metodología GAI / Bajas TI: Borrado seguro de medios de almacenamiento y desmagnetización/destrucción de discos dados de baja (GSO-GSI-ME-GAI / ISO 27002).</t>
        </is>
      </c>
      <c r="J60" s="112">
        <f>"• Establecer lineamientos para " &amp; IFERROR(VLOOKUP(A60, 'ANEXO A'!$A$2:$L$94, 2, FALSE), "Este Control") &amp; CHAR(10) &amp; "• Definir roles para el control " &amp; A60 &amp; CHAR(10) &amp; "• Revisar efectividad de " &amp; IFERROR(VLOOKUP(A60, 'ANEXO A'!$A$2:$L$94, 2, FALSE), "Este Control")</f>
        <v/>
      </c>
      <c r="K60" s="112" t="inlineStr">
        <is>
          <t>Asegurar el cumplimiento, control y resguardo continuo de los procesos de Eliminación segura o reutilización de equipos a fin de mitigar riesgos y mantener la alineación a los principios de confidencialidad, integridad y disponibilidad aplicables a este dominio.</t>
        </is>
      </c>
      <c r="L60" s="112" t="inlineStr">
        <is>
          <t>La organización deberá implementar, registrar y monitorear operativamente todos los protocolos relacionados a Eliminación segura o reutilización de equipos, estableciendo políticas técnicas correspondientes.</t>
        </is>
      </c>
    </row>
    <row r="61" ht="56.25" customHeight="1" s="106">
      <c r="A61" s="38">
        <f>'ANEXO A'!A61</f>
        <v/>
      </c>
      <c r="B61" s="38">
        <f>IFERROR(VLOOKUP(A61, 'ANEXO A'!$A$2:$L$94, 2, FALSE), "")</f>
        <v/>
      </c>
      <c r="C61" s="38">
        <f>IF(LEFT(A61,1)="5", "5. Organizacionales", IF(LEFT(A61,1)="6", "6. Personas", IF(LEFT(A61,1)="7", "7. Físicos", "8. Tecnológicos")))</f>
        <v/>
      </c>
      <c r="D61" s="38">
        <f>IFERROR(VLOOKUP(A61, 'ANEXO A'!$A$2:$L$94, 11, FALSE), "")</f>
        <v/>
      </c>
      <c r="E61" s="38">
        <f>IFERROR(VLOOKUP(A61, 'ANEXO A'!$A$2:$L$94, 8, FALSE), "")</f>
        <v/>
      </c>
      <c r="F61" s="38">
        <f>IFERROR(VLOOKUP(A61, 'ANEXO A'!$A$2:$L$94, 9, FALSE), "")</f>
        <v/>
      </c>
      <c r="G61" s="38">
        <f>IFERROR(VLOOKUP(A61, 'ANEXO A'!$A$2:$L$94, 10, FALSE), "")</f>
        <v/>
      </c>
      <c r="H61" s="38">
        <f>IFERROR(VLOOKUP(A61, 'ANEXO A'!$A$2:$L$94, 12, FALSE), "")</f>
        <v/>
      </c>
      <c r="I61" s="38" t="inlineStr">
        <is>
          <t>6.1 Políticas Generales (Item 4) / 6.16: Gestión unificada por Directorio Activo, políticas GPO y monitoreo de terminales (GSO-GSI-MP-GSI).</t>
        </is>
      </c>
      <c r="J61" s="112">
        <f>"• Establecer lineamientos para " &amp; IFERROR(VLOOKUP(A61, 'ANEXO A'!$A$2:$L$94, 2, FALSE), "Este Control") &amp; CHAR(10) &amp; "• Definir roles para el control " &amp; A61 &amp; CHAR(10) &amp; "• Revisar efectividad de " &amp; IFERROR(VLOOKUP(A61, 'ANEXO A'!$A$2:$L$94, 2, FALSE), "Este Control")</f>
        <v/>
      </c>
      <c r="K61" s="112" t="inlineStr">
        <is>
          <t>Asegurar el cumplimiento, control y resguardo continuo de los procesos de Dispositivos de punto final de usuario a fin de mitigar riesgos y mantener la alineación a los principios de confidencialidad, integridad y disponibilidad aplicables a este dominio.</t>
        </is>
      </c>
      <c r="L61" s="112" t="inlineStr">
        <is>
          <t>La organización deberá implementar, registrar y monitorear operativamente todos los protocolos relacionados a Dispositivos de punto final de usuario, estableciendo políticas técnicas correspondientes.</t>
        </is>
      </c>
    </row>
    <row r="62" ht="56.25" customHeight="1" s="106">
      <c r="A62" s="38">
        <f>'ANEXO A'!A62</f>
        <v/>
      </c>
      <c r="B62" s="38">
        <f>IFERROR(VLOOKUP(A62, 'ANEXO A'!$A$2:$L$94, 2, FALSE), "")</f>
        <v/>
      </c>
      <c r="C62" s="38">
        <f>IF(LEFT(A62,1)="5", "5. Organizacionales", IF(LEFT(A62,1)="6", "6. Personas", IF(LEFT(A62,1)="7", "7. Físicos", "8. Tecnológicos")))</f>
        <v/>
      </c>
      <c r="D62" s="38">
        <f>IFERROR(VLOOKUP(A62, 'ANEXO A'!$A$2:$L$94, 11, FALSE), "")</f>
        <v/>
      </c>
      <c r="E62" s="38">
        <f>IFERROR(VLOOKUP(A62, 'ANEXO A'!$A$2:$L$94, 8, FALSE), "")</f>
        <v/>
      </c>
      <c r="F62" s="38">
        <f>IFERROR(VLOOKUP(A62, 'ANEXO A'!$A$2:$L$94, 9, FALSE), "")</f>
        <v/>
      </c>
      <c r="G62" s="38">
        <f>IFERROR(VLOOKUP(A62, 'ANEXO A'!$A$2:$L$94, 10, FALSE), "")</f>
        <v/>
      </c>
      <c r="H62" s="38">
        <f>IFERROR(VLOOKUP(A62, 'ANEXO A'!$A$2:$L$94, 12, FALSE), "")</f>
        <v/>
      </c>
      <c r="I62" s="38" t="inlineStr">
        <is>
          <t>6.7. Administración de roles y perfiles - Control de acceso privilegiado (GSO-GSI-MP-GSI)</t>
        </is>
      </c>
      <c r="J62" s="112">
        <f>"• Establecer lineamientos para " &amp; IFERROR(VLOOKUP(A62, 'ANEXO A'!$A$2:$L$94, 2, FALSE), "Este Control") &amp; CHAR(10) &amp; "• Definir roles para el control " &amp; A62 &amp; CHAR(10) &amp; "• Revisar efectividad de " &amp; IFERROR(VLOOKUP(A62, 'ANEXO A'!$A$2:$L$94, 2, FALSE), "Este Control")</f>
        <v/>
      </c>
      <c r="K62" s="112" t="inlineStr">
        <is>
          <t>Asegurar el cumplimiento, control y resguardo continuo de los procesos de Derechos de acceso privilegiado a fin de mitigar riesgos y mantener la alineación a los principios de confidencialidad, integridad y disponibilidad aplicables a este dominio.</t>
        </is>
      </c>
      <c r="L62" s="112" t="inlineStr">
        <is>
          <t>La organización deberá implementar, registrar y monitorear operativamente todos los protocolos relacionados a Derechos de acceso privilegiado, estableciendo políticas técnicas correspondientes.</t>
        </is>
      </c>
    </row>
    <row r="63" ht="67.5" customHeight="1" s="106">
      <c r="A63" s="38">
        <f>'ANEXO A'!A63</f>
        <v/>
      </c>
      <c r="B63" s="38">
        <f>IFERROR(VLOOKUP(A63, 'ANEXO A'!$A$2:$L$94, 2, FALSE), "")</f>
        <v/>
      </c>
      <c r="C63" s="38">
        <f>IF(LEFT(A63,1)="5", "5. Organizacionales", IF(LEFT(A63,1)="6", "6. Personas", IF(LEFT(A63,1)="7", "7. Físicos", "8. Tecnológicos")))</f>
        <v/>
      </c>
      <c r="D63" s="38">
        <f>IFERROR(VLOOKUP(A63, 'ANEXO A'!$A$2:$L$94, 11, FALSE), "")</f>
        <v/>
      </c>
      <c r="E63" s="38">
        <f>IFERROR(VLOOKUP(A63, 'ANEXO A'!$A$2:$L$94, 8, FALSE), "")</f>
        <v/>
      </c>
      <c r="F63" s="38">
        <f>IFERROR(VLOOKUP(A63, 'ANEXO A'!$A$2:$L$94, 9, FALSE), "")</f>
        <v/>
      </c>
      <c r="G63" s="38">
        <f>IFERROR(VLOOKUP(A63, 'ANEXO A'!$A$2:$L$94, 10, FALSE), "")</f>
        <v/>
      </c>
      <c r="H63" s="38">
        <f>IFERROR(VLOOKUP(A63, 'ANEXO A'!$A$2:$L$94, 12, FALSE), "")</f>
        <v/>
      </c>
      <c r="I63" s="38" t="inlineStr">
        <is>
          <t>6.4. Bloqueo y Desbloqueo de usuarios / 6.5 Eliminación de usuarios (GSO-GSI-MP-GSI)</t>
        </is>
      </c>
      <c r="J63" s="112">
        <f>"• Establecer lineamientos para " &amp; IFERROR(VLOOKUP(A63, 'ANEXO A'!$A$2:$L$94, 2, FALSE), "Este Control") &amp; CHAR(10) &amp; "• Definir roles para el control " &amp; A63 &amp; CHAR(10) &amp; "• Revisar efectividad de " &amp; IFERROR(VLOOKUP(A63, 'ANEXO A'!$A$2:$L$94, 2, FALSE), "Este Control")</f>
        <v/>
      </c>
      <c r="K63" s="112" t="inlineStr">
        <is>
          <t>Asegurar el cumplimiento, control y resguardo continuo de los procesos de Restricción del acceso a la información a fin de mitigar riesgos y mantener la alineación a los principios de confidencialidad, integridad y disponibilidad aplicables a este dominio.</t>
        </is>
      </c>
      <c r="L63" s="112" t="inlineStr">
        <is>
          <t>La organización deberá implementar, registrar y monitorear operativamente todos los protocolos relacionados a Restricción del acceso a la información, estableciendo políticas técnicas correspondientes.</t>
        </is>
      </c>
    </row>
    <row r="64" ht="56.25" customHeight="1" s="106">
      <c r="A64" s="38">
        <f>'ANEXO A'!A64</f>
        <v/>
      </c>
      <c r="B64" s="38">
        <f>IFERROR(VLOOKUP(A64, 'ANEXO A'!$A$2:$L$94, 2, FALSE), "")</f>
        <v/>
      </c>
      <c r="C64" s="38">
        <f>IF(LEFT(A64,1)="5", "5. Organizacionales", IF(LEFT(A64,1)="6", "6. Personas", IF(LEFT(A64,1)="7", "7. Físicos", "8. Tecnológicos")))</f>
        <v/>
      </c>
      <c r="D64" s="38">
        <f>IFERROR(VLOOKUP(A64, 'ANEXO A'!$A$2:$L$94, 11, FALSE), "")</f>
        <v/>
      </c>
      <c r="E64" s="38">
        <f>IFERROR(VLOOKUP(A64, 'ANEXO A'!$A$2:$L$94, 8, FALSE), "")</f>
        <v/>
      </c>
      <c r="F64" s="38">
        <f>IFERROR(VLOOKUP(A64, 'ANEXO A'!$A$2:$L$94, 9, FALSE), "")</f>
        <v/>
      </c>
      <c r="G64" s="38">
        <f>IFERROR(VLOOKUP(A64, 'ANEXO A'!$A$2:$L$94, 10, FALSE), "")</f>
        <v/>
      </c>
      <c r="H64" s="38">
        <f>IFERROR(VLOOKUP(A64, 'ANEXO A'!$A$2:$L$94, 12, FALSE), "")</f>
        <v/>
      </c>
      <c r="I64" s="38" t="inlineStr">
        <is>
          <t>Anexo 1 SEPS (Desarrollo): Restricción y control de repositorios de software y herramientas de desarrollo bajo mínima asignación de privilegios (SEPS-2022-002 / ISO 27002).</t>
        </is>
      </c>
      <c r="J64" s="112">
        <f>"• Establecer lineamientos para " &amp; IFERROR(VLOOKUP(A64, 'ANEXO A'!$A$2:$L$94, 2, FALSE), "Este Control") &amp; CHAR(10) &amp; "• Definir roles para el control " &amp; A64 &amp; CHAR(10) &amp; "• Revisar efectividad de " &amp; IFERROR(VLOOKUP(A64, 'ANEXO A'!$A$2:$L$94, 2, FALSE), "Este Control")</f>
        <v/>
      </c>
      <c r="K64" s="112" t="inlineStr">
        <is>
          <t>Asegurar el cumplimiento, control y resguardo continuo de los procesos de Acceso al código fuente a fin de mitigar riesgos y mantener la alineación a los principios de confidencialidad, integridad y disponibilidad aplicables a este dominio.</t>
        </is>
      </c>
      <c r="L64" s="112" t="inlineStr">
        <is>
          <t>La organización deberá implementar, registrar y monitorear operativamente todos los protocolos relacionados a Acceso al código fuente, estableciendo políticas técnicas correspondientes.</t>
        </is>
      </c>
    </row>
    <row r="65" ht="56.25" customHeight="1" s="106">
      <c r="A65" s="38">
        <f>'ANEXO A'!A65</f>
        <v/>
      </c>
      <c r="B65" s="38">
        <f>IFERROR(VLOOKUP(A65, 'ANEXO A'!$A$2:$L$94, 2, FALSE), "")</f>
        <v/>
      </c>
      <c r="C65" s="38">
        <f>IF(LEFT(A65,1)="5", "5. Organizacionales", IF(LEFT(A65,1)="6", "6. Personas", IF(LEFT(A65,1)="7", "7. Físicos", "8. Tecnológicos")))</f>
        <v/>
      </c>
      <c r="D65" s="38">
        <f>IFERROR(VLOOKUP(A65, 'ANEXO A'!$A$2:$L$94, 11, FALSE), "")</f>
        <v/>
      </c>
      <c r="E65" s="38">
        <f>IFERROR(VLOOKUP(A65, 'ANEXO A'!$A$2:$L$94, 8, FALSE), "")</f>
        <v/>
      </c>
      <c r="F65" s="38">
        <f>IFERROR(VLOOKUP(A65, 'ANEXO A'!$A$2:$L$94, 9, FALSE), "")</f>
        <v/>
      </c>
      <c r="G65" s="38">
        <f>IFERROR(VLOOKUP(A65, 'ANEXO A'!$A$2:$L$94, 10, FALSE), "")</f>
        <v/>
      </c>
      <c r="H65" s="38">
        <f>IFERROR(VLOOKUP(A65, 'ANEXO A'!$A$2:$L$94, 12, FALSE), "")</f>
        <v/>
      </c>
      <c r="I65" s="38" t="inlineStr">
        <is>
          <t>6.4 Bloqueo / 6.2 MFA Azure: Implementación de contraseñas robustas, bloqueo por intentos fallidos y autenticación multifactor (GSO-GSI-MP-GSI).</t>
        </is>
      </c>
      <c r="J65" s="112">
        <f>"• Establecer lineamientos para " &amp; IFERROR(VLOOKUP(A65, 'ANEXO A'!$A$2:$L$94, 2, FALSE), "Este Control") &amp; CHAR(10) &amp; "• Definir roles para el control " &amp; A65 &amp; CHAR(10) &amp; "• Revisar efectividad de " &amp; IFERROR(VLOOKUP(A65, 'ANEXO A'!$A$2:$L$94, 2, FALSE), "Este Control")</f>
        <v/>
      </c>
      <c r="K65" s="112" t="inlineStr">
        <is>
          <t>Asegurar el cumplimiento, control y resguardo continuo de los procesos de Autenticación segura a fin de mitigar riesgos y mantener la alineación a los principios de confidencialidad, integridad y disponibilidad aplicables a este dominio.</t>
        </is>
      </c>
      <c r="L65" s="112" t="inlineStr">
        <is>
          <t>La organización deberá implementar, registrar y monitorear operativamente todos los protocolos relacionados a Autenticación segura, estableciendo políticas técnicas correspondientes.</t>
        </is>
      </c>
    </row>
    <row r="66" ht="56.25" customHeight="1" s="106">
      <c r="A66" s="38">
        <f>'ANEXO A'!A66</f>
        <v/>
      </c>
      <c r="B66" s="38">
        <f>IFERROR(VLOOKUP(A66, 'ANEXO A'!$A$2:$L$94, 2, FALSE), "")</f>
        <v/>
      </c>
      <c r="C66" s="38">
        <f>IF(LEFT(A66,1)="5", "5. Organizacionales", IF(LEFT(A66,1)="6", "6. Personas", IF(LEFT(A66,1)="7", "7. Físicos", "8. Tecnológicos")))</f>
        <v/>
      </c>
      <c r="D66" s="38">
        <f>IFERROR(VLOOKUP(A66, 'ANEXO A'!$A$2:$L$94, 11, FALSE), "")</f>
        <v/>
      </c>
      <c r="E66" s="38">
        <f>IFERROR(VLOOKUP(A66, 'ANEXO A'!$A$2:$L$94, 8, FALSE), "")</f>
        <v/>
      </c>
      <c r="F66" s="38">
        <f>IFERROR(VLOOKUP(A66, 'ANEXO A'!$A$2:$L$94, 9, FALSE), "")</f>
        <v/>
      </c>
      <c r="G66" s="38">
        <f>IFERROR(VLOOKUP(A66, 'ANEXO A'!$A$2:$L$94, 10, FALSE), "")</f>
        <v/>
      </c>
      <c r="H66" s="38">
        <f>IFERROR(VLOOKUP(A66, 'ANEXO A'!$A$2:$L$94, 12, FALSE), "")</f>
        <v/>
      </c>
      <c r="I66" s="38" t="inlineStr">
        <is>
          <t>6.14 Auditoría BD (Pol. 5): Monitoreo semestral del consumo de recursos, almacenamiento y rendimiento de base de datos y Core (GSO-GSI-MP-GSI).</t>
        </is>
      </c>
      <c r="J66" s="112">
        <f>"• Establecer lineamientos para " &amp; IFERROR(VLOOKUP(A66, 'ANEXO A'!$A$2:$L$94, 2, FALSE), "Este Control") &amp; CHAR(10) &amp; "• Definir roles para el control " &amp; A66 &amp; CHAR(10) &amp; "• Revisar efectividad de " &amp; IFERROR(VLOOKUP(A66, 'ANEXO A'!$A$2:$L$94, 2, FALSE), "Este Control")</f>
        <v/>
      </c>
      <c r="K66" s="112" t="inlineStr">
        <is>
          <t>Asegurar el cumplimiento, control y resguardo continuo de los procesos de Gestión de capacidad a fin de mitigar riesgos y mantener la alineación a los principios de confidencialidad, integridad y disponibilidad aplicables a este dominio.</t>
        </is>
      </c>
      <c r="L66" s="112" t="inlineStr">
        <is>
          <t>La organización deberá implementar, registrar y monitorear operativamente todos los protocolos relacionados a Gestión de capacidad, estableciendo políticas técnicas correspondientes.</t>
        </is>
      </c>
    </row>
    <row r="67" ht="56.25" customHeight="1" s="106">
      <c r="A67" s="38">
        <f>'ANEXO A'!A67</f>
        <v/>
      </c>
      <c r="B67" s="38">
        <f>IFERROR(VLOOKUP(A67, 'ANEXO A'!$A$2:$L$94, 2, FALSE), "")</f>
        <v/>
      </c>
      <c r="C67" s="38">
        <f>IF(LEFT(A67,1)="5", "5. Organizacionales", IF(LEFT(A67,1)="6", "6. Personas", IF(LEFT(A67,1)="7", "7. Físicos", "8. Tecnológicos")))</f>
        <v/>
      </c>
      <c r="D67" s="38">
        <f>IFERROR(VLOOKUP(A67, 'ANEXO A'!$A$2:$L$94, 11, FALSE), "")</f>
        <v/>
      </c>
      <c r="E67" s="38">
        <f>IFERROR(VLOOKUP(A67, 'ANEXO A'!$A$2:$L$94, 8, FALSE), "")</f>
        <v/>
      </c>
      <c r="F67" s="38">
        <f>IFERROR(VLOOKUP(A67, 'ANEXO A'!$A$2:$L$94, 9, FALSE), "")</f>
        <v/>
      </c>
      <c r="G67" s="38">
        <f>IFERROR(VLOOKUP(A67, 'ANEXO A'!$A$2:$L$94, 10, FALSE), "")</f>
        <v/>
      </c>
      <c r="H67" s="38">
        <f>IFERROR(VLOOKUP(A67, 'ANEXO A'!$A$2:$L$94, 12, FALSE), "")</f>
        <v/>
      </c>
      <c r="I67" s="38" t="inlineStr">
        <is>
          <t>6.11 Cuentas Críticas (Antivirus/AntiSpam): Administración centralizada de consola antivirus, filtros antispam y actualización de firmas (GSO-GSI-MP-GSI).</t>
        </is>
      </c>
      <c r="J67" s="112">
        <f>"• Establecer lineamientos para " &amp; IFERROR(VLOOKUP(A67, 'ANEXO A'!$A$2:$L$94, 2, FALSE), "Este Control") &amp; CHAR(10) &amp; "• Definir roles para el control " &amp; A67 &amp; CHAR(10) &amp; "• Revisar efectividad de " &amp; IFERROR(VLOOKUP(A67, 'ANEXO A'!$A$2:$L$94, 2, FALSE), "Este Control")</f>
        <v/>
      </c>
      <c r="K67" s="112" t="inlineStr">
        <is>
          <t>Asegurar el cumplimiento, control y resguardo continuo de los procesos de Protección contra malware a fin de mitigar riesgos y mantener la alineación a los principios de confidencialidad, integridad y disponibilidad aplicables a este dominio.</t>
        </is>
      </c>
      <c r="L67" s="112" t="inlineStr">
        <is>
          <t>La organización deberá implementar, registrar y monitorear operativamente todos los protocolos relacionados a Protección contra malware, estableciendo políticas técnicas correspondientes.</t>
        </is>
      </c>
    </row>
    <row r="68" ht="56.25" customHeight="1" s="106">
      <c r="A68" s="38">
        <f>'ANEXO A'!A68</f>
        <v/>
      </c>
      <c r="B68" s="38">
        <f>IFERROR(VLOOKUP(A68, 'ANEXO A'!$A$2:$L$94, 2, FALSE), "")</f>
        <v/>
      </c>
      <c r="C68" s="38">
        <f>IF(LEFT(A68,1)="5", "5. Organizacionales", IF(LEFT(A68,1)="6", "6. Personas", IF(LEFT(A68,1)="7", "7. Físicos", "8. Tecnológicos")))</f>
        <v/>
      </c>
      <c r="D68" s="38">
        <f>IFERROR(VLOOKUP(A68, 'ANEXO A'!$A$2:$L$94, 11, FALSE), "")</f>
        <v/>
      </c>
      <c r="E68" s="38">
        <f>IFERROR(VLOOKUP(A68, 'ANEXO A'!$A$2:$L$94, 8, FALSE), "")</f>
        <v/>
      </c>
      <c r="F68" s="38">
        <f>IFERROR(VLOOKUP(A68, 'ANEXO A'!$A$2:$L$94, 9, FALSE), "")</f>
        <v/>
      </c>
      <c r="G68" s="38">
        <f>IFERROR(VLOOKUP(A68, 'ANEXO A'!$A$2:$L$94, 10, FALSE), "")</f>
        <v/>
      </c>
      <c r="H68" s="38">
        <f>IFERROR(VLOOKUP(A68, 'ANEXO A'!$A$2:$L$94, 12, FALSE), "")</f>
        <v/>
      </c>
      <c r="I68" s="38" t="inlineStr">
        <is>
          <t>6.19. Escaneo de vulnerabilidades internas y externas - Mantenimiento de software (GSO-GSI-MP-GSI)</t>
        </is>
      </c>
      <c r="J68" s="112">
        <f>"• Establecer lineamientos para " &amp; IFERROR(VLOOKUP(A68, 'ANEXO A'!$A$2:$L$94, 2, FALSE), "Este Control") &amp; CHAR(10) &amp; "• Definir roles para el control " &amp; A68 &amp; CHAR(10) &amp; "• Revisar efectividad de " &amp; IFERROR(VLOOKUP(A68, 'ANEXO A'!$A$2:$L$94, 2, FALSE), "Este Control")</f>
        <v/>
      </c>
      <c r="K68" s="112" t="inlineStr">
        <is>
          <t>Asegurar el cumplimiento, control y resguardo continuo de los procesos de Gestión de vulnerabilidades técnicas a fin de mitigar riesgos y mantener la alineación a los principios de confidencialidad, integridad y disponibilidad aplicables a este dominio.</t>
        </is>
      </c>
      <c r="L68" s="112" t="inlineStr">
        <is>
          <t>La organización deberá implementar, registrar y monitorear operativamente todos los protocolos relacionados a Gestión de vulnerabilidades técnicas, estableciendo políticas técnicas correspondientes.</t>
        </is>
      </c>
    </row>
    <row r="69" ht="56.25" customHeight="1" s="106">
      <c r="A69" s="38">
        <f>'ANEXO A'!A69</f>
        <v/>
      </c>
      <c r="B69" s="38">
        <f>IFERROR(VLOOKUP(A69, 'ANEXO A'!$A$2:$L$94, 2, FALSE), "")</f>
        <v/>
      </c>
      <c r="C69" s="38">
        <f>IF(LEFT(A69,1)="5", "5. Organizacionales", IF(LEFT(A69,1)="6", "6. Personas", IF(LEFT(A69,1)="7", "7. Físicos", "8. Tecnológicos")))</f>
        <v/>
      </c>
      <c r="D69" s="38">
        <f>IFERROR(VLOOKUP(A69, 'ANEXO A'!$A$2:$L$94, 11, FALSE), "")</f>
        <v/>
      </c>
      <c r="E69" s="38">
        <f>IFERROR(VLOOKUP(A69, 'ANEXO A'!$A$2:$L$94, 8, FALSE), "")</f>
        <v/>
      </c>
      <c r="F69" s="38">
        <f>IFERROR(VLOOKUP(A69, 'ANEXO A'!$A$2:$L$94, 9, FALSE), "")</f>
        <v/>
      </c>
      <c r="G69" s="38">
        <f>IFERROR(VLOOKUP(A69, 'ANEXO A'!$A$2:$L$94, 10, FALSE), "")</f>
        <v/>
      </c>
      <c r="H69" s="38">
        <f>IFERROR(VLOOKUP(A69, 'ANEXO A'!$A$2:$L$94, 12, FALSE), "")</f>
        <v/>
      </c>
      <c r="I69" s="38" t="inlineStr">
        <is>
          <t>Anexo 1 SEPS 002 (Configuración): Establecimiento y auditoría de líneas base seguras (Hardening) en servidores, BD y comunicaciones (SEPS-2022-002).</t>
        </is>
      </c>
      <c r="J69" s="112">
        <f>"• Establecer lineamientos para " &amp; IFERROR(VLOOKUP(A69, 'ANEXO A'!$A$2:$L$94, 2, FALSE), "Este Control") &amp; CHAR(10) &amp; "• Definir roles para el control " &amp; A69 &amp; CHAR(10) &amp; "• Revisar efectividad de " &amp; IFERROR(VLOOKUP(A69, 'ANEXO A'!$A$2:$L$94, 2, FALSE), "Este Control")</f>
        <v/>
      </c>
      <c r="K69" s="112" t="inlineStr">
        <is>
          <t>Asegurar el cumplimiento, control y resguardo continuo de los procesos de Gestión de la configuración a fin de mitigar riesgos y mantener la alineación a los principios de confidencialidad, integridad y disponibilidad aplicables a este dominio.</t>
        </is>
      </c>
      <c r="L69" s="112" t="inlineStr">
        <is>
          <t>La organización deberá implementar, registrar y monitorear operativamente todos los protocolos relacionados a Gestión de la configuración, estableciendo políticas técnicas correspondientes.</t>
        </is>
      </c>
    </row>
    <row r="70" ht="56.25" customHeight="1" s="106">
      <c r="A70" s="38">
        <f>'ANEXO A'!A70</f>
        <v/>
      </c>
      <c r="B70" s="38">
        <f>IFERROR(VLOOKUP(A70, 'ANEXO A'!$A$2:$L$94, 2, FALSE), "")</f>
        <v/>
      </c>
      <c r="C70" s="38">
        <f>IF(LEFT(A70,1)="5", "5. Organizacionales", IF(LEFT(A70,1)="6", "6. Personas", IF(LEFT(A70,1)="7", "7. Físicos", "8. Tecnológicos")))</f>
        <v/>
      </c>
      <c r="D70" s="38">
        <f>IFERROR(VLOOKUP(A70, 'ANEXO A'!$A$2:$L$94, 11, FALSE), "")</f>
        <v/>
      </c>
      <c r="E70" s="38">
        <f>IFERROR(VLOOKUP(A70, 'ANEXO A'!$A$2:$L$94, 8, FALSE), "")</f>
        <v/>
      </c>
      <c r="F70" s="38">
        <f>IFERROR(VLOOKUP(A70, 'ANEXO A'!$A$2:$L$94, 9, FALSE), "")</f>
        <v/>
      </c>
      <c r="G70" s="38">
        <f>IFERROR(VLOOKUP(A70, 'ANEXO A'!$A$2:$L$94, 10, FALSE), "")</f>
        <v/>
      </c>
      <c r="H70" s="38">
        <f>IFERROR(VLOOKUP(A70, 'ANEXO A'!$A$2:$L$94, 12, FALSE), "")</f>
        <v/>
      </c>
      <c r="I70" s="38" t="inlineStr">
        <is>
          <t>6.5 Eliminación de usuarios / Retención: Expiración de productos/roles y purga segura de archivos temporales (GSO-GSI-MP-GSI / ISO 27002).</t>
        </is>
      </c>
      <c r="J70" s="112">
        <f>"• Establecer lineamientos para " &amp; IFERROR(VLOOKUP(A70, 'ANEXO A'!$A$2:$L$94, 2, FALSE), "Este Control") &amp; CHAR(10) &amp; "• Definir roles para el control " &amp; A70 &amp; CHAR(10) &amp; "• Revisar efectividad de " &amp; IFERROR(VLOOKUP(A70, 'ANEXO A'!$A$2:$L$94, 2, FALSE), "Este Control")</f>
        <v/>
      </c>
      <c r="K70" s="112" t="inlineStr">
        <is>
          <t>Asegurar el cumplimiento, control y resguardo continuo de los procesos de Eliminación de información a fin de mitigar riesgos y mantener la alineación a los principios de confidencialidad, integridad y disponibilidad aplicables a este dominio.</t>
        </is>
      </c>
      <c r="L70" s="112" t="inlineStr">
        <is>
          <t>La organización deberá implementar, registrar y monitorear operativamente todos los protocolos relacionados a Eliminación de información, estableciendo políticas técnicas correspondientes.</t>
        </is>
      </c>
    </row>
    <row r="71" ht="56.25" customHeight="1" s="106">
      <c r="A71" s="38">
        <f>'ANEXO A'!A71</f>
        <v/>
      </c>
      <c r="B71" s="38">
        <f>IFERROR(VLOOKUP(A71, 'ANEXO A'!$A$2:$L$94, 2, FALSE), "")</f>
        <v/>
      </c>
      <c r="C71" s="38">
        <f>IF(LEFT(A71,1)="5", "5. Organizacionales", IF(LEFT(A71,1)="6", "6. Personas", IF(LEFT(A71,1)="7", "7. Físicos", "8. Tecnológicos")))</f>
        <v/>
      </c>
      <c r="D71" s="38">
        <f>IFERROR(VLOOKUP(A71, 'ANEXO A'!$A$2:$L$94, 11, FALSE), "")</f>
        <v/>
      </c>
      <c r="E71" s="38">
        <f>IFERROR(VLOOKUP(A71, 'ANEXO A'!$A$2:$L$94, 8, FALSE), "")</f>
        <v/>
      </c>
      <c r="F71" s="38">
        <f>IFERROR(VLOOKUP(A71, 'ANEXO A'!$A$2:$L$94, 9, FALSE), "")</f>
        <v/>
      </c>
      <c r="G71" s="38">
        <f>IFERROR(VLOOKUP(A71, 'ANEXO A'!$A$2:$L$94, 10, FALSE), "")</f>
        <v/>
      </c>
      <c r="H71" s="38">
        <f>IFERROR(VLOOKUP(A71, 'ANEXO A'!$A$2:$L$94, 12, FALSE), "")</f>
        <v/>
      </c>
      <c r="I71" s="38" t="inlineStr">
        <is>
          <t>6.17 Escaneo PCI DSS (Pol. 3-6): Truncamiento y ofuscación del PAN (visibilidad máx. primeros 6 y últimos 4 dígitos) (GSO-GSI-MP-GSI).</t>
        </is>
      </c>
      <c r="J71" s="112">
        <f>"• Establecer lineamientos para " &amp; IFERROR(VLOOKUP(A71, 'ANEXO A'!$A$2:$L$94, 2, FALSE), "Este Control") &amp; CHAR(10) &amp; "• Definir roles para el control " &amp; A71 &amp; CHAR(10) &amp; "• Revisar efectividad de " &amp; IFERROR(VLOOKUP(A71, 'ANEXO A'!$A$2:$L$94, 2, FALSE), "Este Control")</f>
        <v/>
      </c>
      <c r="K71" s="112" t="inlineStr">
        <is>
          <t>Asegurar el cumplimiento, control y resguardo continuo de los procesos de Enmascaramiento de datos a fin de mitigar riesgos y mantener la alineación a los principios de confidencialidad, integridad y disponibilidad aplicables a este dominio.</t>
        </is>
      </c>
      <c r="L71" s="112" t="inlineStr">
        <is>
          <t>La organización deberá implementar, registrar y monitorear operativamente todos los protocolos relacionados a Enmascaramiento de datos, estableciendo políticas técnicas correspondientes.</t>
        </is>
      </c>
    </row>
    <row r="72" ht="56.25" customHeight="1" s="106">
      <c r="A72" s="38">
        <f>'ANEXO A'!A72</f>
        <v/>
      </c>
      <c r="B72" s="38">
        <f>IFERROR(VLOOKUP(A72, 'ANEXO A'!$A$2:$L$94, 2, FALSE), "")</f>
        <v/>
      </c>
      <c r="C72" s="38">
        <f>IF(LEFT(A72,1)="5", "5. Organizacionales", IF(LEFT(A72,1)="6", "6. Personas", IF(LEFT(A72,1)="7", "7. Físicos", "8. Tecnológicos")))</f>
        <v/>
      </c>
      <c r="D72" s="38">
        <f>IFERROR(VLOOKUP(A72, 'ANEXO A'!$A$2:$L$94, 11, FALSE), "")</f>
        <v/>
      </c>
      <c r="E72" s="38">
        <f>IFERROR(VLOOKUP(A72, 'ANEXO A'!$A$2:$L$94, 8, FALSE), "")</f>
        <v/>
      </c>
      <c r="F72" s="38">
        <f>IFERROR(VLOOKUP(A72, 'ANEXO A'!$A$2:$L$94, 9, FALSE), "")</f>
        <v/>
      </c>
      <c r="G72" s="38">
        <f>IFERROR(VLOOKUP(A72, 'ANEXO A'!$A$2:$L$94, 10, FALSE), "")</f>
        <v/>
      </c>
      <c r="H72" s="38">
        <f>IFERROR(VLOOKUP(A72, 'ANEXO A'!$A$2:$L$94, 12, FALSE), "")</f>
        <v/>
      </c>
      <c r="I72" s="38" t="inlineStr">
        <is>
          <t>6.9 Control FTP / 6.17 PCI DSS: Restricción de descargas masivas, monitoreo de canales de salida y bloqueo de fuga de información crítica (GSO-GSI-MP-GSI).</t>
        </is>
      </c>
      <c r="J72" s="112">
        <f>"• Establecer lineamientos para " &amp; IFERROR(VLOOKUP(A72, 'ANEXO A'!$A$2:$L$94, 2, FALSE), "Este Control") &amp; CHAR(10) &amp; "• Definir roles para el control " &amp; A72 &amp; CHAR(10) &amp; "• Revisar efectividad de " &amp; IFERROR(VLOOKUP(A72, 'ANEXO A'!$A$2:$L$94, 2, FALSE), "Este Control")</f>
        <v/>
      </c>
      <c r="K72" s="112" t="inlineStr">
        <is>
          <t>Asegurar el cumplimiento, control y resguardo continuo de los procesos de Prevención de fuga de datos a fin de mitigar riesgos y mantener la alineación a los principios de confidencialidad, integridad y disponibilidad aplicables a este dominio.</t>
        </is>
      </c>
      <c r="L72" s="112" t="inlineStr">
        <is>
          <t>La organización deberá implementar, registrar y monitorear operativamente todos los protocolos relacionados a Prevención de fuga de datos, estableciendo políticas técnicas correspondientes.</t>
        </is>
      </c>
    </row>
    <row r="73" ht="56.25" customHeight="1" s="106">
      <c r="A73" s="38">
        <f>'ANEXO A'!A73</f>
        <v/>
      </c>
      <c r="B73" s="38">
        <f>IFERROR(VLOOKUP(A73, 'ANEXO A'!$A$2:$L$94, 2, FALSE), "")</f>
        <v/>
      </c>
      <c r="C73" s="38">
        <f>IF(LEFT(A73,1)="5", "5. Organizacionales", IF(LEFT(A73,1)="6", "6. Personas", IF(LEFT(A73,1)="7", "7. Físicos", "8. Tecnológicos")))</f>
        <v/>
      </c>
      <c r="D73" s="38">
        <f>IFERROR(VLOOKUP(A73, 'ANEXO A'!$A$2:$L$94, 11, FALSE), "")</f>
        <v/>
      </c>
      <c r="E73" s="38">
        <f>IFERROR(VLOOKUP(A73, 'ANEXO A'!$A$2:$L$94, 8, FALSE), "")</f>
        <v/>
      </c>
      <c r="F73" s="38">
        <f>IFERROR(VLOOKUP(A73, 'ANEXO A'!$A$2:$L$94, 9, FALSE), "")</f>
        <v/>
      </c>
      <c r="G73" s="38">
        <f>IFERROR(VLOOKUP(A73, 'ANEXO A'!$A$2:$L$94, 10, FALSE), "")</f>
        <v/>
      </c>
      <c r="H73" s="38">
        <f>IFERROR(VLOOKUP(A73, 'ANEXO A'!$A$2:$L$94, 12, FALSE), "")</f>
        <v/>
      </c>
      <c r="I73" s="38" t="inlineStr">
        <is>
          <t>Anexo 1 SEPS 002 (Respaldos): Resguardo periódico automatizado de BD y aplicativos, y pruebas semestrales de restauración (SEPS-2022-002).</t>
        </is>
      </c>
      <c r="J73" s="112">
        <f>"• Establecer lineamientos para " &amp; IFERROR(VLOOKUP(A73, 'ANEXO A'!$A$2:$L$94, 2, FALSE), "Este Control") &amp; CHAR(10) &amp; "• Definir roles para el control " &amp; A73 &amp; CHAR(10) &amp; "• Revisar efectividad de " &amp; IFERROR(VLOOKUP(A73, 'ANEXO A'!$A$2:$L$94, 2, FALSE), "Este Control")</f>
        <v/>
      </c>
      <c r="K73" s="112" t="inlineStr">
        <is>
          <t>Asegurar el cumplimiento, control y resguardo continuo de los procesos de Copias de seguridad de la información a fin de mitigar riesgos y mantener la alineación a los principios de confidencialidad, integridad y disponibilidad aplicables a este dominio.</t>
        </is>
      </c>
      <c r="L73" s="112" t="inlineStr">
        <is>
          <t>La organización deberá implementar, registrar y monitorear operativamente todos los protocolos relacionados a Copias de seguridad de la información, estableciendo políticas técnicas correspondientes.</t>
        </is>
      </c>
    </row>
    <row r="74" ht="78.75" customHeight="1" s="106">
      <c r="A74" s="38">
        <f>'ANEXO A'!A74</f>
        <v/>
      </c>
      <c r="B74" s="38">
        <f>IFERROR(VLOOKUP(A74, 'ANEXO A'!$A$2:$L$94, 2, FALSE), "")</f>
        <v/>
      </c>
      <c r="C74" s="38">
        <f>IF(LEFT(A74,1)="5", "5. Organizacionales", IF(LEFT(A74,1)="6", "6. Personas", IF(LEFT(A74,1)="7", "7. Físicos", "8. Tecnológicos")))</f>
        <v/>
      </c>
      <c r="D74" s="38">
        <f>IFERROR(VLOOKUP(A74, 'ANEXO A'!$A$2:$L$94, 11, FALSE), "")</f>
        <v/>
      </c>
      <c r="E74" s="38">
        <f>IFERROR(VLOOKUP(A74, 'ANEXO A'!$A$2:$L$94, 8, FALSE), "")</f>
        <v/>
      </c>
      <c r="F74" s="38">
        <f>IFERROR(VLOOKUP(A74, 'ANEXO A'!$A$2:$L$94, 9, FALSE), "")</f>
        <v/>
      </c>
      <c r="G74" s="38">
        <f>IFERROR(VLOOKUP(A74, 'ANEXO A'!$A$2:$L$94, 10, FALSE), "")</f>
        <v/>
      </c>
      <c r="H74" s="38">
        <f>IFERROR(VLOOKUP(A74, 'ANEXO A'!$A$2:$L$94, 12, FALSE), "")</f>
        <v/>
      </c>
      <c r="I74" s="38" t="inlineStr">
        <is>
          <t>Anexo 1 SEPS (Arquitectura): Implementación de clúster de servidores, alta disponibilidad de BD y enlaces de comunicación alternos (SEPS-2022-002).</t>
        </is>
      </c>
      <c r="J74" s="112">
        <f>"• Establecer lineamientos para " &amp; IFERROR(VLOOKUP(A74, 'ANEXO A'!$A$2:$L$94, 2, FALSE), "Este Control") &amp; CHAR(10) &amp; "• Definir roles para el control " &amp; A74 &amp; CHAR(10) &amp; "• Revisar efectividad de " &amp; IFERROR(VLOOKUP(A74, 'ANEXO A'!$A$2:$L$94, 2, FALSE), "Este Control")</f>
        <v/>
      </c>
      <c r="K74" s="112" t="inlineStr">
        <is>
          <t>Asegurar el cumplimiento, control y resguardo continuo de los procesos de Redundancia de las instalaciones de procesamiento de información a fin de mitigar riesgos y mantener la alineación a los principios de confidencialidad, integridad y disponibilidad aplicables a este dominio.</t>
        </is>
      </c>
      <c r="L74" s="112" t="inlineStr">
        <is>
          <t>La organización deberá implementar, registrar y monitorear operativamente todos los protocolos relacionados a Redundancia de las instalaciones de procesamiento de información, estableciendo políticas técnicas correspondientes.</t>
        </is>
      </c>
    </row>
    <row r="75" ht="56.25" customHeight="1" s="106">
      <c r="A75" s="38">
        <f>'ANEXO A'!A75</f>
        <v/>
      </c>
      <c r="B75" s="38">
        <f>IFERROR(VLOOKUP(A75, 'ANEXO A'!$A$2:$L$94, 2, FALSE), "")</f>
        <v/>
      </c>
      <c r="C75" s="38">
        <f>IF(LEFT(A75,1)="5", "5. Organizacionales", IF(LEFT(A75,1)="6", "6. Personas", IF(LEFT(A75,1)="7", "7. Físicos", "8. Tecnológicos")))</f>
        <v/>
      </c>
      <c r="D75" s="38">
        <f>IFERROR(VLOOKUP(A75, 'ANEXO A'!$A$2:$L$94, 11, FALSE), "")</f>
        <v/>
      </c>
      <c r="E75" s="38">
        <f>IFERROR(VLOOKUP(A75, 'ANEXO A'!$A$2:$L$94, 8, FALSE), "")</f>
        <v/>
      </c>
      <c r="F75" s="38">
        <f>IFERROR(VLOOKUP(A75, 'ANEXO A'!$A$2:$L$94, 9, FALSE), "")</f>
        <v/>
      </c>
      <c r="G75" s="38">
        <f>IFERROR(VLOOKUP(A75, 'ANEXO A'!$A$2:$L$94, 10, FALSE), "")</f>
        <v/>
      </c>
      <c r="H75" s="38">
        <f>IFERROR(VLOOKUP(A75, 'ANEXO A'!$A$2:$L$94, 12, FALSE), "")</f>
        <v/>
      </c>
      <c r="I75" s="38" t="inlineStr">
        <is>
          <t>6.14. Administración de la auditoría de la base de datos - Registro y monitoreo de eventos (GSO-GSI-MP-GSI)</t>
        </is>
      </c>
      <c r="J75" s="112">
        <f>"• Establecer lineamientos para " &amp; IFERROR(VLOOKUP(A75, 'ANEXO A'!$A$2:$L$94, 2, FALSE), "Este Control") &amp; CHAR(10) &amp; "• Definir roles para el control " &amp; A75 &amp; CHAR(10) &amp; "• Revisar efectividad de " &amp; IFERROR(VLOOKUP(A75, 'ANEXO A'!$A$2:$L$94, 2, FALSE), "Este Control")</f>
        <v/>
      </c>
      <c r="K75" s="112" t="inlineStr">
        <is>
          <t>Asegurar el cumplimiento, control y resguardo continuo de los procesos de Registro de eventos (Logging) a fin de mitigar riesgos y mantener la alineación a los principios de confidencialidad, integridad y disponibilidad aplicables a este dominio.</t>
        </is>
      </c>
      <c r="L75" s="112" t="inlineStr">
        <is>
          <t>La organización deberá implementar, registrar y monitorear operativamente todos los protocolos relacionados a Registro de eventos (Logging), estableciendo políticas técnicas correspondientes.</t>
        </is>
      </c>
    </row>
    <row r="76" ht="67.5" customHeight="1" s="106">
      <c r="A76" s="38">
        <f>'ANEXO A'!A76</f>
        <v/>
      </c>
      <c r="B76" s="38">
        <f>IFERROR(VLOOKUP(A76, 'ANEXO A'!$A$2:$L$94, 2, FALSE), "")</f>
        <v/>
      </c>
      <c r="C76" s="38">
        <f>IF(LEFT(A76,1)="5", "5. Organizacionales", IF(LEFT(A76,1)="6", "6. Personas", IF(LEFT(A76,1)="7", "7. Físicos", "8. Tecnológicos")))</f>
        <v/>
      </c>
      <c r="D76" s="38">
        <f>IFERROR(VLOOKUP(A76, 'ANEXO A'!$A$2:$L$94, 11, FALSE), "")</f>
        <v/>
      </c>
      <c r="E76" s="38">
        <f>IFERROR(VLOOKUP(A76, 'ANEXO A'!$A$2:$L$94, 8, FALSE), "")</f>
        <v/>
      </c>
      <c r="F76" s="38">
        <f>IFERROR(VLOOKUP(A76, 'ANEXO A'!$A$2:$L$94, 9, FALSE), "")</f>
        <v/>
      </c>
      <c r="G76" s="38">
        <f>IFERROR(VLOOKUP(A76, 'ANEXO A'!$A$2:$L$94, 10, FALSE), "")</f>
        <v/>
      </c>
      <c r="H76" s="38">
        <f>IFERROR(VLOOKUP(A76, 'ANEXO A'!$A$2:$L$94, 12, FALSE), "")</f>
        <v/>
      </c>
      <c r="I76" s="38" t="inlineStr">
        <is>
          <t>6.14 Auditoría BD / 6.16 Monitoreo: Supervisión continua mediante scripts, logs de base de datos y herramientas de red (GSO-GSI-MP-GSI).</t>
        </is>
      </c>
      <c r="J76" s="112">
        <f>"• Establecer lineamientos para " &amp; IFERROR(VLOOKUP(A76, 'ANEXO A'!$A$2:$L$94, 2, FALSE), "Este Control") &amp; CHAR(10) &amp; "• Definir roles para el control " &amp; A76 &amp; CHAR(10) &amp; "• Revisar efectividad de " &amp; IFERROR(VLOOKUP(A76, 'ANEXO A'!$A$2:$L$94, 2, FALSE), "Este Control")</f>
        <v/>
      </c>
      <c r="K76" s="112" t="inlineStr">
        <is>
          <t>Asegurar el cumplimiento, control y resguardo continuo de los procesos de Actividades de seguimiento (Monitoring) a fin de mitigar riesgos y mantener la alineación a los principios de confidencialidad, integridad y disponibilidad aplicables a este dominio.</t>
        </is>
      </c>
      <c r="L76" s="112" t="inlineStr">
        <is>
          <t>La organización deberá implementar, registrar y monitorear operativamente todos los protocolos relacionados a Actividades de seguimiento (Monitoring), estableciendo políticas técnicas correspondientes.</t>
        </is>
      </c>
    </row>
    <row r="77" ht="56.25" customHeight="1" s="106">
      <c r="A77" s="38">
        <f>'ANEXO A'!A77</f>
        <v/>
      </c>
      <c r="B77" s="38">
        <f>IFERROR(VLOOKUP(A77, 'ANEXO A'!$A$2:$L$94, 2, FALSE), "")</f>
        <v/>
      </c>
      <c r="C77" s="38">
        <f>IF(LEFT(A77,1)="5", "5. Organizacionales", IF(LEFT(A77,1)="6", "6. Personas", IF(LEFT(A77,1)="7", "7. Físicos", "8. Tecnológicos")))</f>
        <v/>
      </c>
      <c r="D77" s="38">
        <f>IFERROR(VLOOKUP(A77, 'ANEXO A'!$A$2:$L$94, 11, FALSE), "")</f>
        <v/>
      </c>
      <c r="E77" s="38">
        <f>IFERROR(VLOOKUP(A77, 'ANEXO A'!$A$2:$L$94, 8, FALSE), "")</f>
        <v/>
      </c>
      <c r="F77" s="38">
        <f>IFERROR(VLOOKUP(A77, 'ANEXO A'!$A$2:$L$94, 9, FALSE), "")</f>
        <v/>
      </c>
      <c r="G77" s="38">
        <f>IFERROR(VLOOKUP(A77, 'ANEXO A'!$A$2:$L$94, 10, FALSE), "")</f>
        <v/>
      </c>
      <c r="H77" s="38">
        <f>IFERROR(VLOOKUP(A77, 'ANEXO A'!$A$2:$L$94, 12, FALSE), "")</f>
        <v/>
      </c>
      <c r="I77" s="38" t="inlineStr">
        <is>
          <t>Anexo 1 SEPS (Logs y Detección): Sincronización automática de todos los servidores y estaciones a fuentes horarias oficiales (NTP) (SEPS-2022-002 / ISO 27002).</t>
        </is>
      </c>
      <c r="J77" s="112">
        <f>"• Establecer lineamientos para " &amp; IFERROR(VLOOKUP(A77, 'ANEXO A'!$A$2:$L$94, 2, FALSE), "Este Control") &amp; CHAR(10) &amp; "• Definir roles para el control " &amp; A77 &amp; CHAR(10) &amp; "• Revisar efectividad de " &amp; IFERROR(VLOOKUP(A77, 'ANEXO A'!$A$2:$L$94, 2, FALSE), "Este Control")</f>
        <v/>
      </c>
      <c r="K77" s="112" t="inlineStr">
        <is>
          <t>Asegurar el cumplimiento, control y resguardo continuo de los procesos de Sincronización de relojes a fin de mitigar riesgos y mantener la alineación a los principios de confidencialidad, integridad y disponibilidad aplicables a este dominio.</t>
        </is>
      </c>
      <c r="L77" s="112" t="inlineStr">
        <is>
          <t>La organización deberá implementar, registrar y monitorear operativamente todos los protocolos relacionados a Sincronización de relojes, estableciendo políticas técnicas correspondientes.</t>
        </is>
      </c>
    </row>
    <row r="78" ht="67.5" customHeight="1" s="106">
      <c r="A78" s="38">
        <f>'ANEXO A'!A78</f>
        <v/>
      </c>
      <c r="B78" s="38">
        <f>IFERROR(VLOOKUP(A78, 'ANEXO A'!$A$2:$L$94, 2, FALSE), "")</f>
        <v/>
      </c>
      <c r="C78" s="38">
        <f>IF(LEFT(A78,1)="5", "5. Organizacionales", IF(LEFT(A78,1)="6", "6. Personas", IF(LEFT(A78,1)="7", "7. Físicos", "8. Tecnológicos")))</f>
        <v/>
      </c>
      <c r="D78" s="38">
        <f>IFERROR(VLOOKUP(A78, 'ANEXO A'!$A$2:$L$94, 11, FALSE), "")</f>
        <v/>
      </c>
      <c r="E78" s="38">
        <f>IFERROR(VLOOKUP(A78, 'ANEXO A'!$A$2:$L$94, 8, FALSE), "")</f>
        <v/>
      </c>
      <c r="F78" s="38">
        <f>IFERROR(VLOOKUP(A78, 'ANEXO A'!$A$2:$L$94, 9, FALSE), "")</f>
        <v/>
      </c>
      <c r="G78" s="38">
        <f>IFERROR(VLOOKUP(A78, 'ANEXO A'!$A$2:$L$94, 10, FALSE), "")</f>
        <v/>
      </c>
      <c r="H78" s="38">
        <f>IFERROR(VLOOKUP(A78, 'ANEXO A'!$A$2:$L$94, 12, FALSE), "")</f>
        <v/>
      </c>
      <c r="I78" s="38" t="inlineStr">
        <is>
          <t>6.11 Cuentas Críticas / 6.14 BD: Restricción estricta de ejecución de scripts DDL/DML directos y herramientas de bajo nivel (GSO-GSI-MP-GSI).</t>
        </is>
      </c>
      <c r="J78" s="112">
        <f>"• Establecer lineamientos para " &amp; IFERROR(VLOOKUP(A78, 'ANEXO A'!$A$2:$L$94, 2, FALSE), "Este Control") &amp; CHAR(10) &amp; "• Definir roles para el control " &amp; A78 &amp; CHAR(10) &amp; "• Revisar efectividad de " &amp; IFERROR(VLOOKUP(A78, 'ANEXO A'!$A$2:$L$94, 2, FALSE), "Este Control")</f>
        <v/>
      </c>
      <c r="K78" s="112" t="inlineStr">
        <is>
          <t>Asegurar el cumplimiento, control y resguardo continuo de los procesos de Uso de programas de utilidad privilegiados a fin de mitigar riesgos y mantener la alineación a los principios de confidencialidad, integridad y disponibilidad aplicables a este dominio.</t>
        </is>
      </c>
      <c r="L78" s="112" t="inlineStr">
        <is>
          <t>La organización deberá implementar, registrar y monitorear operativamente todos los protocolos relacionados a Uso de programas de utilidad privilegiados, estableciendo políticas técnicas correspondientes.</t>
        </is>
      </c>
    </row>
    <row r="79" ht="67.5" customHeight="1" s="106">
      <c r="A79" s="38">
        <f>'ANEXO A'!A79</f>
        <v/>
      </c>
      <c r="B79" s="38">
        <f>IFERROR(VLOOKUP(A79, 'ANEXO A'!$A$2:$L$94, 2, FALSE), "")</f>
        <v/>
      </c>
      <c r="C79" s="38">
        <f>IF(LEFT(A79,1)="5", "5. Organizacionales", IF(LEFT(A79,1)="6", "6. Personas", IF(LEFT(A79,1)="7", "7. Físicos", "8. Tecnológicos")))</f>
        <v/>
      </c>
      <c r="D79" s="38">
        <f>IFERROR(VLOOKUP(A79, 'ANEXO A'!$A$2:$L$94, 11, FALSE), "")</f>
        <v/>
      </c>
      <c r="E79" s="38">
        <f>IFERROR(VLOOKUP(A79, 'ANEXO A'!$A$2:$L$94, 8, FALSE), "")</f>
        <v/>
      </c>
      <c r="F79" s="38">
        <f>IFERROR(VLOOKUP(A79, 'ANEXO A'!$A$2:$L$94, 9, FALSE), "")</f>
        <v/>
      </c>
      <c r="G79" s="38">
        <f>IFERROR(VLOOKUP(A79, 'ANEXO A'!$A$2:$L$94, 10, FALSE), "")</f>
        <v/>
      </c>
      <c r="H79" s="38">
        <f>IFERROR(VLOOKUP(A79, 'ANEXO A'!$A$2:$L$94, 12, FALSE), "")</f>
        <v/>
      </c>
      <c r="I79" s="38" t="inlineStr">
        <is>
          <t>6.1 Políticas (Item 4) / GPO: Bloqueo de permisos de instalación a usuarios finales; software desplegado centralmente por TI (GSO-GSI-MP-GSI).</t>
        </is>
      </c>
      <c r="J79" s="112">
        <f>"• Establecer lineamientos para " &amp; IFERROR(VLOOKUP(A79, 'ANEXO A'!$A$2:$L$94, 2, FALSE), "Este Control") &amp; CHAR(10) &amp; "• Definir roles para el control " &amp; A79 &amp; CHAR(10) &amp; "• Revisar efectividad de " &amp; IFERROR(VLOOKUP(A79, 'ANEXO A'!$A$2:$L$94, 2, FALSE), "Este Control")</f>
        <v/>
      </c>
      <c r="K79" s="112" t="inlineStr">
        <is>
          <t>Asegurar el cumplimiento, control y resguardo continuo de los procesos de Instalación de software en sistemas operativos a fin de mitigar riesgos y mantener la alineación a los principios de confidencialidad, integridad y disponibilidad aplicables a este dominio.</t>
        </is>
      </c>
      <c r="L79" s="112" t="inlineStr">
        <is>
          <t>La organización deberá implementar, registrar y monitorear operativamente todos los protocolos relacionados a Instalación de software en sistemas operativos, estableciendo políticas técnicas correspondientes.</t>
        </is>
      </c>
    </row>
    <row r="80" ht="56.25" customHeight="1" s="106">
      <c r="A80" s="38">
        <f>'ANEXO A'!A80</f>
        <v/>
      </c>
      <c r="B80" s="38">
        <f>IFERROR(VLOOKUP(A80, 'ANEXO A'!$A$2:$L$94, 2, FALSE), "")</f>
        <v/>
      </c>
      <c r="C80" s="38">
        <f>IF(LEFT(A80,1)="5", "5. Organizacionales", IF(LEFT(A80,1)="6", "6. Personas", IF(LEFT(A80,1)="7", "7. Físicos", "8. Tecnológicos")))</f>
        <v/>
      </c>
      <c r="D80" s="38">
        <f>IFERROR(VLOOKUP(A80, 'ANEXO A'!$A$2:$L$94, 11, FALSE), "")</f>
        <v/>
      </c>
      <c r="E80" s="38">
        <f>IFERROR(VLOOKUP(A80, 'ANEXO A'!$A$2:$L$94, 8, FALSE), "")</f>
        <v/>
      </c>
      <c r="F80" s="38">
        <f>IFERROR(VLOOKUP(A80, 'ANEXO A'!$A$2:$L$94, 9, FALSE), "")</f>
        <v/>
      </c>
      <c r="G80" s="38">
        <f>IFERROR(VLOOKUP(A80, 'ANEXO A'!$A$2:$L$94, 10, FALSE), "")</f>
        <v/>
      </c>
      <c r="H80" s="38">
        <f>IFERROR(VLOOKUP(A80, 'ANEXO A'!$A$2:$L$94, 12, FALSE), "")</f>
        <v/>
      </c>
      <c r="I80" s="38" t="inlineStr">
        <is>
          <t>6.11 Firewalls / Enrutadores: Administración de firewalls de borde, políticas de enrutamiento y reglas de filtrado perimetral (GSO-GSI-MP-GSI).</t>
        </is>
      </c>
      <c r="J80" s="112">
        <f>"• Establecer lineamientos para " &amp; IFERROR(VLOOKUP(A80, 'ANEXO A'!$A$2:$L$94, 2, FALSE), "Este Control") &amp; CHAR(10) &amp; "• Definir roles para el control " &amp; A80 &amp; CHAR(10) &amp; "• Revisar efectividad de " &amp; IFERROR(VLOOKUP(A80, 'ANEXO A'!$A$2:$L$94, 2, FALSE), "Este Control")</f>
        <v/>
      </c>
      <c r="K80" s="112" t="inlineStr">
        <is>
          <t>Asegurar el cumplimiento, control y resguardo continuo de los procesos de Seguridad de las redes a fin de mitigar riesgos y mantener la alineación a los principios de confidencialidad, integridad y disponibilidad aplicables a este dominio.</t>
        </is>
      </c>
      <c r="L80" s="112" t="inlineStr">
        <is>
          <t>La organización deberá implementar, registrar y monitorear operativamente todos los protocolos relacionados a Seguridad de las redes, estableciendo políticas técnicas correspondientes.</t>
        </is>
      </c>
    </row>
    <row r="81" ht="56.25" customHeight="1" s="106">
      <c r="A81" s="38">
        <f>'ANEXO A'!A81</f>
        <v/>
      </c>
      <c r="B81" s="38">
        <f>IFERROR(VLOOKUP(A81, 'ANEXO A'!$A$2:$L$94, 2, FALSE), "")</f>
        <v/>
      </c>
      <c r="C81" s="38">
        <f>IF(LEFT(A81,1)="5", "5. Organizacionales", IF(LEFT(A81,1)="6", "6. Personas", IF(LEFT(A81,1)="7", "7. Físicos", "8. Tecnológicos")))</f>
        <v/>
      </c>
      <c r="D81" s="38">
        <f>IFERROR(VLOOKUP(A81, 'ANEXO A'!$A$2:$L$94, 11, FALSE), "")</f>
        <v/>
      </c>
      <c r="E81" s="38">
        <f>IFERROR(VLOOKUP(A81, 'ANEXO A'!$A$2:$L$94, 8, FALSE), "")</f>
        <v/>
      </c>
      <c r="F81" s="38">
        <f>IFERROR(VLOOKUP(A81, 'ANEXO A'!$A$2:$L$94, 9, FALSE), "")</f>
        <v/>
      </c>
      <c r="G81" s="38">
        <f>IFERROR(VLOOKUP(A81, 'ANEXO A'!$A$2:$L$94, 10, FALSE), "")</f>
        <v/>
      </c>
      <c r="H81" s="38">
        <f>IFERROR(VLOOKUP(A81, 'ANEXO A'!$A$2:$L$94, 12, FALSE), "")</f>
        <v/>
      </c>
      <c r="I81" s="38" t="inlineStr">
        <is>
          <t>6.11 FiltraWeb / AntiSpam: Gestión de seguridad y niveles de servicio en DNS, navegación y correo electrónico (GSO-GSI-MP-GSI).</t>
        </is>
      </c>
      <c r="J81" s="112">
        <f>"• Establecer lineamientos para " &amp; IFERROR(VLOOKUP(A81, 'ANEXO A'!$A$2:$L$94, 2, FALSE), "Este Control") &amp; CHAR(10) &amp; "• Definir roles para el control " &amp; A81 &amp; CHAR(10) &amp; "• Revisar efectividad de " &amp; IFERROR(VLOOKUP(A81, 'ANEXO A'!$A$2:$L$94, 2, FALSE), "Este Control")</f>
        <v/>
      </c>
      <c r="K81" s="112" t="inlineStr">
        <is>
          <t>Asegurar el cumplimiento, control y resguardo continuo de los procesos de Seguridad de los servicios de red a fin de mitigar riesgos y mantener la alineación a los principios de confidencialidad, integridad y disponibilidad aplicables a este dominio.</t>
        </is>
      </c>
      <c r="L81" s="112" t="inlineStr">
        <is>
          <t>La organización deberá implementar, registrar y monitorear operativamente todos los protocolos relacionados a Seguridad de los servicios de red, estableciendo políticas técnicas correspondientes.</t>
        </is>
      </c>
    </row>
    <row r="82" ht="56.25" customHeight="1" s="106">
      <c r="A82" s="38">
        <f>'ANEXO A'!A82</f>
        <v/>
      </c>
      <c r="B82" s="38">
        <f>IFERROR(VLOOKUP(A82, 'ANEXO A'!$A$2:$L$94, 2, FALSE), "")</f>
        <v/>
      </c>
      <c r="C82" s="38">
        <f>IF(LEFT(A82,1)="5", "5. Organizacionales", IF(LEFT(A82,1)="6", "6. Personas", IF(LEFT(A82,1)="7", "7. Físicos", "8. Tecnológicos")))</f>
        <v/>
      </c>
      <c r="D82" s="38">
        <f>IFERROR(VLOOKUP(A82, 'ANEXO A'!$A$2:$L$94, 11, FALSE), "")</f>
        <v/>
      </c>
      <c r="E82" s="38">
        <f>IFERROR(VLOOKUP(A82, 'ANEXO A'!$A$2:$L$94, 8, FALSE), "")</f>
        <v/>
      </c>
      <c r="F82" s="38">
        <f>IFERROR(VLOOKUP(A82, 'ANEXO A'!$A$2:$L$94, 9, FALSE), "")</f>
        <v/>
      </c>
      <c r="G82" s="38">
        <f>IFERROR(VLOOKUP(A82, 'ANEXO A'!$A$2:$L$94, 10, FALSE), "")</f>
        <v/>
      </c>
      <c r="H82" s="38">
        <f>IFERROR(VLOOKUP(A82, 'ANEXO A'!$A$2:$L$94, 12, FALSE), "")</f>
        <v/>
      </c>
      <c r="I82" s="38" t="inlineStr">
        <is>
          <t>6.17 Ambiente PCI / 6.18 Wireless: Aislamiento de VLANs operativas, red de ambiente de tarjetas (PCI) y red Wi-Fi de clientes (GSO-GSI-MP-GSI).</t>
        </is>
      </c>
      <c r="J82" s="112">
        <f>"• Establecer lineamientos para " &amp; IFERROR(VLOOKUP(A82, 'ANEXO A'!$A$2:$L$94, 2, FALSE), "Este Control") &amp; CHAR(10) &amp; "• Definir roles para el control " &amp; A82 &amp; CHAR(10) &amp; "• Revisar efectividad de " &amp; IFERROR(VLOOKUP(A82, 'ANEXO A'!$A$2:$L$94, 2, FALSE), "Este Control")</f>
        <v/>
      </c>
      <c r="K82" s="112" t="inlineStr">
        <is>
          <t>Asegurar el cumplimiento, control y resguardo continuo de los procesos de Segregación de redes a fin de mitigar riesgos y mantener la alineación a los principios de confidencialidad, integridad y disponibilidad aplicables a este dominio.</t>
        </is>
      </c>
      <c r="L82" s="112" t="inlineStr">
        <is>
          <t>La organización deberá implementar, registrar y monitorear operativamente todos los protocolos relacionados a Segregación de redes, estableciendo políticas técnicas correspondientes.</t>
        </is>
      </c>
    </row>
    <row r="83" ht="56.25" customHeight="1" s="106">
      <c r="A83" s="38">
        <f>'ANEXO A'!A83</f>
        <v/>
      </c>
      <c r="B83" s="38">
        <f>IFERROR(VLOOKUP(A83, 'ANEXO A'!$A$2:$L$94, 2, FALSE), "")</f>
        <v/>
      </c>
      <c r="C83" s="38">
        <f>IF(LEFT(A83,1)="5", "5. Organizacionales", IF(LEFT(A83,1)="6", "6. Personas", IF(LEFT(A83,1)="7", "7. Físicos", "8. Tecnológicos")))</f>
        <v/>
      </c>
      <c r="D83" s="38">
        <f>IFERROR(VLOOKUP(A83, 'ANEXO A'!$A$2:$L$94, 11, FALSE), "")</f>
        <v/>
      </c>
      <c r="E83" s="38">
        <f>IFERROR(VLOOKUP(A83, 'ANEXO A'!$A$2:$L$94, 8, FALSE), "")</f>
        <v/>
      </c>
      <c r="F83" s="38">
        <f>IFERROR(VLOOKUP(A83, 'ANEXO A'!$A$2:$L$94, 9, FALSE), "")</f>
        <v/>
      </c>
      <c r="G83" s="38">
        <f>IFERROR(VLOOKUP(A83, 'ANEXO A'!$A$2:$L$94, 10, FALSE), "")</f>
        <v/>
      </c>
      <c r="H83" s="38">
        <f>IFERROR(VLOOKUP(A83, 'ANEXO A'!$A$2:$L$94, 12, FALSE), "")</f>
        <v/>
      </c>
      <c r="I83" s="38" t="inlineStr">
        <is>
          <t>6.11 Cuentas Críticas (FiltraWeb): Bloqueo de sitios web maliciosos, redes no laborales y categorías de riesgo (GSO-GSI-MP-GSI).</t>
        </is>
      </c>
      <c r="J83" s="112">
        <f>"• Establecer lineamientos para " &amp; IFERROR(VLOOKUP(A83, 'ANEXO A'!$A$2:$L$94, 2, FALSE), "Este Control") &amp; CHAR(10) &amp; "• Definir roles para el control " &amp; A83 &amp; CHAR(10) &amp; "• Revisar efectividad de " &amp; IFERROR(VLOOKUP(A83, 'ANEXO A'!$A$2:$L$94, 2, FALSE), "Este Control")</f>
        <v/>
      </c>
      <c r="K83" s="112" t="inlineStr">
        <is>
          <t>Asegurar el cumplimiento, control y resguardo continuo de los procesos de Filtrado web a fin de mitigar riesgos y mantener la alineación a los principios de confidencialidad, integridad y disponibilidad aplicables a este dominio.</t>
        </is>
      </c>
      <c r="L83" s="112" t="inlineStr">
        <is>
          <t>La organización deberá implementar, registrar y monitorear operativamente todos los protocolos relacionados a Filtrado web, estableciendo políticas técnicas correspondientes.</t>
        </is>
      </c>
    </row>
    <row r="84" ht="56.25" customHeight="1" s="106">
      <c r="A84" s="38">
        <f>'ANEXO A'!A84</f>
        <v/>
      </c>
      <c r="B84" s="38">
        <f>IFERROR(VLOOKUP(A84, 'ANEXO A'!$A$2:$L$94, 2, FALSE), "")</f>
        <v/>
      </c>
      <c r="C84" s="38">
        <f>IF(LEFT(A84,1)="5", "5. Organizacionales", IF(LEFT(A84,1)="6", "6. Personas", IF(LEFT(A84,1)="7", "7. Físicos", "8. Tecnológicos")))</f>
        <v/>
      </c>
      <c r="D84" s="38">
        <f>IFERROR(VLOOKUP(A84, 'ANEXO A'!$A$2:$L$94, 11, FALSE), "")</f>
        <v/>
      </c>
      <c r="E84" s="38">
        <f>IFERROR(VLOOKUP(A84, 'ANEXO A'!$A$2:$L$94, 8, FALSE), "")</f>
        <v/>
      </c>
      <c r="F84" s="38">
        <f>IFERROR(VLOOKUP(A84, 'ANEXO A'!$A$2:$L$94, 9, FALSE), "")</f>
        <v/>
      </c>
      <c r="G84" s="38">
        <f>IFERROR(VLOOKUP(A84, 'ANEXO A'!$A$2:$L$94, 10, FALSE), "")</f>
        <v/>
      </c>
      <c r="H84" s="38">
        <f>IFERROR(VLOOKUP(A84, 'ANEXO A'!$A$2:$L$94, 12, FALSE), "")</f>
        <v/>
      </c>
      <c r="I84" s="38" t="inlineStr">
        <is>
          <t>6.12. Creación, ingreso y custodia de llaves criptográficas - Cifrado (GSO-GSI-MP-GSI)</t>
        </is>
      </c>
      <c r="J84" s="112">
        <f>"• Establecer lineamientos para " &amp; IFERROR(VLOOKUP(A84, 'ANEXO A'!$A$2:$L$94, 2, FALSE), "Este Control") &amp; CHAR(10) &amp; "• Definir roles para el control " &amp; A84 &amp; CHAR(10) &amp; "• Revisar efectividad de " &amp; IFERROR(VLOOKUP(A84, 'ANEXO A'!$A$2:$L$94, 2, FALSE), "Este Control")</f>
        <v/>
      </c>
      <c r="K84" s="112" t="inlineStr">
        <is>
          <t>Asegurar el cumplimiento, control y resguardo continuo de los procesos de Uso de criptografía a fin de mitigar riesgos y mantener la alineación a los principios de confidencialidad, integridad y disponibilidad aplicables a este dominio.</t>
        </is>
      </c>
      <c r="L84" s="112" t="inlineStr">
        <is>
          <t>La organización deberá implementar, registrar y monitorear operativamente todos los protocolos relacionados a Uso de criptografía, estableciendo políticas técnicas correspondientes.</t>
        </is>
      </c>
    </row>
    <row r="85" ht="56.25" customHeight="1" s="106">
      <c r="A85" s="38">
        <f>'ANEXO A'!A85</f>
        <v/>
      </c>
      <c r="B85" s="38">
        <f>IFERROR(VLOOKUP(A85, 'ANEXO A'!$A$2:$L$94, 2, FALSE), "")</f>
        <v/>
      </c>
      <c r="C85" s="38">
        <f>IF(LEFT(A85,1)="5", "5. Organizacionales", IF(LEFT(A85,1)="6", "6. Personas", IF(LEFT(A85,1)="7", "7. Físicos", "8. Tecnológicos")))</f>
        <v/>
      </c>
      <c r="D85" s="38">
        <f>IFERROR(VLOOKUP(A85, 'ANEXO A'!$A$2:$L$94, 11, FALSE), "")</f>
        <v/>
      </c>
      <c r="E85" s="38">
        <f>IFERROR(VLOOKUP(A85, 'ANEXO A'!$A$2:$L$94, 8, FALSE), "")</f>
        <v/>
      </c>
      <c r="F85" s="38">
        <f>IFERROR(VLOOKUP(A85, 'ANEXO A'!$A$2:$L$94, 9, FALSE), "")</f>
        <v/>
      </c>
      <c r="G85" s="38">
        <f>IFERROR(VLOOKUP(A85, 'ANEXO A'!$A$2:$L$94, 10, FALSE), "")</f>
        <v/>
      </c>
      <c r="H85" s="38">
        <f>IFERROR(VLOOKUP(A85, 'ANEXO A'!$A$2:$L$94, 12, FALSE), "")</f>
        <v/>
      </c>
      <c r="I85" s="38" t="inlineStr">
        <is>
          <t>6.11 Cuentas Críticas (FiltraWeb): Bloqueo de sitios web maliciosos, redes no laborales y categorías de riesgo (GSO-GSI-MP-GSI).</t>
        </is>
      </c>
      <c r="J85" s="112">
        <f>"• Establecer lineamientos para " &amp; IFERROR(VLOOKUP(A85, 'ANEXO A'!$A$2:$L$94, 2, FALSE), "Este Control") &amp; CHAR(10) &amp; "• Definir roles para el control " &amp; A85 &amp; CHAR(10) &amp; "• Revisar efectividad de " &amp; IFERROR(VLOOKUP(A85, 'ANEXO A'!$A$2:$L$94, 2, FALSE), "Este Control")</f>
        <v/>
      </c>
      <c r="K85" s="112" t="inlineStr">
        <is>
          <t>Asegurar el cumplimiento, control y resguardo continuo de los procesos de Ciclo de vida del desarrollo seguro a fin de mitigar riesgos y mantener la alineación a los principios de confidencialidad, integridad y disponibilidad aplicables a este dominio.</t>
        </is>
      </c>
      <c r="L85" s="112" t="inlineStr">
        <is>
          <t>La organización deberá implementar, registrar y monitorear operativamente todos los protocolos relacionados a Ciclo de vida del desarrollo seguro, estableciendo políticas técnicas correspondientes.</t>
        </is>
      </c>
    </row>
    <row r="86" ht="67.5" customHeight="1" s="106">
      <c r="A86" s="38">
        <f>'ANEXO A'!A86</f>
        <v/>
      </c>
      <c r="B86" s="38">
        <f>IFERROR(VLOOKUP(A86, 'ANEXO A'!$A$2:$L$94, 2, FALSE), "")</f>
        <v/>
      </c>
      <c r="C86" s="38">
        <f>IF(LEFT(A86,1)="5", "5. Organizacionales", IF(LEFT(A86,1)="6", "6. Personas", IF(LEFT(A86,1)="7", "7. Físicos", "8. Tecnológicos")))</f>
        <v/>
      </c>
      <c r="D86" s="38">
        <f>IFERROR(VLOOKUP(A86, 'ANEXO A'!$A$2:$L$94, 11, FALSE), "")</f>
        <v/>
      </c>
      <c r="E86" s="38">
        <f>IFERROR(VLOOKUP(A86, 'ANEXO A'!$A$2:$L$94, 8, FALSE), "")</f>
        <v/>
      </c>
      <c r="F86" s="38">
        <f>IFERROR(VLOOKUP(A86, 'ANEXO A'!$A$2:$L$94, 9, FALSE), "")</f>
        <v/>
      </c>
      <c r="G86" s="38">
        <f>IFERROR(VLOOKUP(A86, 'ANEXO A'!$A$2:$L$94, 10, FALSE), "")</f>
        <v/>
      </c>
      <c r="H86" s="38">
        <f>IFERROR(VLOOKUP(A86, 'ANEXO A'!$A$2:$L$94, 12, FALSE), "")</f>
        <v/>
      </c>
      <c r="I86" s="38" t="inlineStr">
        <is>
          <t>Anexo 1 SEPS 002 (Gestión de software): Definición de requisitos de autenticación, transaccionalidad y cifrado en nuevas soluciones (SEPS-2022-002).</t>
        </is>
      </c>
      <c r="J86" s="112">
        <f>"• Establecer lineamientos para " &amp; IFERROR(VLOOKUP(A86, 'ANEXO A'!$A$2:$L$94, 2, FALSE), "Este Control") &amp; CHAR(10) &amp; "• Definir roles para el control " &amp; A86 &amp; CHAR(10) &amp; "• Revisar efectividad de " &amp; IFERROR(VLOOKUP(A86, 'ANEXO A'!$A$2:$L$94, 2, FALSE), "Este Control")</f>
        <v/>
      </c>
      <c r="K86" s="112" t="inlineStr">
        <is>
          <t>Asegurar el cumplimiento, control y resguardo continuo de los procesos de Requisitos de seguridad de las aplicaciones a fin de mitigar riesgos y mantener la alineación a los principios de confidencialidad, integridad y disponibilidad aplicables a este dominio.</t>
        </is>
      </c>
      <c r="L86" s="112" t="inlineStr">
        <is>
          <t>La organización deberá implementar, registrar y monitorear operativamente todos los protocolos relacionados a Requisitos de seguridad de las aplicaciones, estableciendo políticas técnicas correspondientes.</t>
        </is>
      </c>
    </row>
    <row r="87" ht="78.75" customHeight="1" s="106">
      <c r="A87" s="38">
        <f>'ANEXO A'!A87</f>
        <v/>
      </c>
      <c r="B87" s="38">
        <f>IFERROR(VLOOKUP(A87, 'ANEXO A'!$A$2:$L$94, 2, FALSE), "")</f>
        <v/>
      </c>
      <c r="C87" s="38">
        <f>IF(LEFT(A87,1)="5", "5. Organizacionales", IF(LEFT(A87,1)="6", "6. Personas", IF(LEFT(A87,1)="7", "7. Físicos", "8. Tecnológicos")))</f>
        <v/>
      </c>
      <c r="D87" s="38">
        <f>IFERROR(VLOOKUP(A87, 'ANEXO A'!$A$2:$L$94, 11, FALSE), "")</f>
        <v/>
      </c>
      <c r="E87" s="38">
        <f>IFERROR(VLOOKUP(A87, 'ANEXO A'!$A$2:$L$94, 8, FALSE), "")</f>
        <v/>
      </c>
      <c r="F87" s="38">
        <f>IFERROR(VLOOKUP(A87, 'ANEXO A'!$A$2:$L$94, 9, FALSE), "")</f>
        <v/>
      </c>
      <c r="G87" s="38">
        <f>IFERROR(VLOOKUP(A87, 'ANEXO A'!$A$2:$L$94, 10, FALSE), "")</f>
        <v/>
      </c>
      <c r="H87" s="38">
        <f>IFERROR(VLOOKUP(A87, 'ANEXO A'!$A$2:$L$94, 12, FALSE), "")</f>
        <v/>
      </c>
      <c r="I87" s="38" t="inlineStr">
        <is>
          <t>Anexo 1 SEPS 002 (Arquitectura Segura): Aplicación de principios de defensa en profundidad, zonas desmilitarizadas y segmentación (SEPS-2022-002).</t>
        </is>
      </c>
      <c r="J87" s="112">
        <f>"• Establecer lineamientos para " &amp; IFERROR(VLOOKUP(A87, 'ANEXO A'!$A$2:$L$94, 2, FALSE), "Este Control") &amp; CHAR(10) &amp; "• Definir roles para el control " &amp; A87 &amp; CHAR(10) &amp; "• Revisar efectividad de " &amp; IFERROR(VLOOKUP(A87, 'ANEXO A'!$A$2:$L$94, 2, FALSE), "Este Control")</f>
        <v/>
      </c>
      <c r="K87" s="112" t="inlineStr">
        <is>
          <t>Asegurar el cumplimiento, control y resguardo continuo de los procesos de Arquitectura de sistemas seguros y principios de ingeniería a fin de mitigar riesgos y mantener la alineación a los principios de confidencialidad, integridad y disponibilidad aplicables a este dominio.</t>
        </is>
      </c>
      <c r="L87" s="112" t="inlineStr">
        <is>
          <t>La organización deberá implementar, registrar y monitorear operativamente todos los protocolos relacionados a Arquitectura de sistemas seguros y principios de ingeniería, estableciendo políticas técnicas correspondientes.</t>
        </is>
      </c>
    </row>
    <row r="88" ht="56.25" customHeight="1" s="106">
      <c r="A88" s="38">
        <f>'ANEXO A'!A88</f>
        <v/>
      </c>
      <c r="B88" s="38">
        <f>IFERROR(VLOOKUP(A88, 'ANEXO A'!$A$2:$L$94, 2, FALSE), "")</f>
        <v/>
      </c>
      <c r="C88" s="38">
        <f>IF(LEFT(A88,1)="5", "5. Organizacionales", IF(LEFT(A88,1)="6", "6. Personas", IF(LEFT(A88,1)="7", "7. Físicos", "8. Tecnológicos")))</f>
        <v/>
      </c>
      <c r="D88" s="38">
        <f>IFERROR(VLOOKUP(A88, 'ANEXO A'!$A$2:$L$94, 11, FALSE), "")</f>
        <v/>
      </c>
      <c r="E88" s="38">
        <f>IFERROR(VLOOKUP(A88, 'ANEXO A'!$A$2:$L$94, 8, FALSE), "")</f>
        <v/>
      </c>
      <c r="F88" s="38">
        <f>IFERROR(VLOOKUP(A88, 'ANEXO A'!$A$2:$L$94, 9, FALSE), "")</f>
        <v/>
      </c>
      <c r="G88" s="38">
        <f>IFERROR(VLOOKUP(A88, 'ANEXO A'!$A$2:$L$94, 10, FALSE), "")</f>
        <v/>
      </c>
      <c r="H88" s="38">
        <f>IFERROR(VLOOKUP(A88, 'ANEXO A'!$A$2:$L$94, 12, FALSE), "")</f>
        <v/>
      </c>
      <c r="I88" s="38" t="inlineStr">
        <is>
          <t>Anexo 1 SEPS / OWASP: Implementación de buenas prácticas de programación para evitar inyecciones, XSS y fallos lógicos (SEPS-2022-002 / ISO 27002).</t>
        </is>
      </c>
      <c r="J88" s="112">
        <f>"• Establecer lineamientos para " &amp; IFERROR(VLOOKUP(A88, 'ANEXO A'!$A$2:$L$94, 2, FALSE), "Este Control") &amp; CHAR(10) &amp; "• Definir roles para el control " &amp; A88 &amp; CHAR(10) &amp; "• Revisar efectividad de " &amp; IFERROR(VLOOKUP(A88, 'ANEXO A'!$A$2:$L$94, 2, FALSE), "Este Control")</f>
        <v/>
      </c>
      <c r="K88" s="112" t="inlineStr">
        <is>
          <t>Asegurar el cumplimiento, control y resguardo continuo de los procesos de Codificación segura a fin de mitigar riesgos y mantener la alineación a los principios de confidencialidad, integridad y disponibilidad aplicables a este dominio.</t>
        </is>
      </c>
      <c r="L88" s="112" t="inlineStr">
        <is>
          <t>La organización deberá implementar, registrar y monitorear operativamente todos los protocolos relacionados a Codificación segura, estableciendo políticas técnicas correspondientes.</t>
        </is>
      </c>
    </row>
    <row r="89" ht="78.75" customHeight="1" s="106">
      <c r="A89" s="38">
        <f>'ANEXO A'!A89</f>
        <v/>
      </c>
      <c r="B89" s="38">
        <f>IFERROR(VLOOKUP(A89, 'ANEXO A'!$A$2:$L$94, 2, FALSE), "")</f>
        <v/>
      </c>
      <c r="C89" s="38">
        <f>IF(LEFT(A89,1)="5", "5. Organizacionales", IF(LEFT(A89,1)="6", "6. Personas", IF(LEFT(A89,1)="7", "7. Físicos", "8. Tecnológicos")))</f>
        <v/>
      </c>
      <c r="D89" s="38">
        <f>IFERROR(VLOOKUP(A89, 'ANEXO A'!$A$2:$L$94, 11, FALSE), "")</f>
        <v/>
      </c>
      <c r="E89" s="38">
        <f>IFERROR(VLOOKUP(A89, 'ANEXO A'!$A$2:$L$94, 8, FALSE), "")</f>
        <v/>
      </c>
      <c r="F89" s="38">
        <f>IFERROR(VLOOKUP(A89, 'ANEXO A'!$A$2:$L$94, 9, FALSE), "")</f>
        <v/>
      </c>
      <c r="G89" s="38">
        <f>IFERROR(VLOOKUP(A89, 'ANEXO A'!$A$2:$L$94, 10, FALSE), "")</f>
        <v/>
      </c>
      <c r="H89" s="38">
        <f>IFERROR(VLOOKUP(A89, 'ANEXO A'!$A$2:$L$94, 12, FALSE), "")</f>
        <v/>
      </c>
      <c r="I89" s="38" t="inlineStr">
        <is>
          <t>6.19 Escaneo / Anexo 1 SEPS: Ejecución de pruebas de vulnerabilidad, análisis estático y pruebas de aceptación previas a pase a producción (GSO-GSI-MP-GSI / SEPS-2022-002).</t>
        </is>
      </c>
      <c r="J89" s="112">
        <f>"• Establecer lineamientos para " &amp; IFERROR(VLOOKUP(A89, 'ANEXO A'!$A$2:$L$94, 2, FALSE), "Este Control") &amp; CHAR(10) &amp; "• Definir roles para el control " &amp; A89 &amp; CHAR(10) &amp; "• Revisar efectividad de " &amp; IFERROR(VLOOKUP(A89, 'ANEXO A'!$A$2:$L$94, 2, FALSE), "Este Control")</f>
        <v/>
      </c>
      <c r="K89" s="112" t="inlineStr">
        <is>
          <t>Asegurar el cumplimiento, control y resguardo continuo de los procesos de Pruebas de seguridad en el desarrollo y la aceptación a fin de mitigar riesgos y mantener la alineación a los principios de confidencialidad, integridad y disponibilidad aplicables a este dominio.</t>
        </is>
      </c>
      <c r="L89" s="112" t="inlineStr">
        <is>
          <t>La organización deberá implementar, registrar y monitorear operativamente todos los protocolos relacionados a Pruebas de seguridad en el desarrollo y la aceptación, estableciendo políticas técnicas correspondientes.</t>
        </is>
      </c>
    </row>
    <row r="90" ht="56.25" customHeight="1" s="106">
      <c r="A90" s="38">
        <f>'ANEXO A'!A90</f>
        <v/>
      </c>
      <c r="B90" s="38">
        <f>IFERROR(VLOOKUP(A90, 'ANEXO A'!$A$2:$L$94, 2, FALSE), "")</f>
        <v/>
      </c>
      <c r="C90" s="38">
        <f>IF(LEFT(A90,1)="5", "5. Organizacionales", IF(LEFT(A90,1)="6", "6. Personas", IF(LEFT(A90,1)="7", "7. Físicos", "8. Tecnológicos")))</f>
        <v/>
      </c>
      <c r="D90" s="38">
        <f>IFERROR(VLOOKUP(A90, 'ANEXO A'!$A$2:$L$94, 11, FALSE), "")</f>
        <v/>
      </c>
      <c r="E90" s="38">
        <f>IFERROR(VLOOKUP(A90, 'ANEXO A'!$A$2:$L$94, 8, FALSE), "")</f>
        <v/>
      </c>
      <c r="F90" s="38">
        <f>IFERROR(VLOOKUP(A90, 'ANEXO A'!$A$2:$L$94, 9, FALSE), "")</f>
        <v/>
      </c>
      <c r="G90" s="38">
        <f>IFERROR(VLOOKUP(A90, 'ANEXO A'!$A$2:$L$94, 10, FALSE), "")</f>
        <v/>
      </c>
      <c r="H90" s="38">
        <f>IFERROR(VLOOKUP(A90, 'ANEXO A'!$A$2:$L$94, 12, FALSE), "")</f>
        <v/>
      </c>
      <c r="I90" s="38" t="inlineStr">
        <is>
          <t>Anexo 1 SEPS / Disposición 2da: Exigir entrega de código probado, escaneos de seguridad y cumplimiento normativo a fábricas de software (SEPS-2022-002).</t>
        </is>
      </c>
      <c r="J90" s="112">
        <f>"• Establecer lineamientos para " &amp; IFERROR(VLOOKUP(A90, 'ANEXO A'!$A$2:$L$94, 2, FALSE), "Este Control") &amp; CHAR(10) &amp; "• Definir roles para el control " &amp; A90 &amp; CHAR(10) &amp; "• Revisar efectividad de " &amp; IFERROR(VLOOKUP(A90, 'ANEXO A'!$A$2:$L$94, 2, FALSE), "Este Control")</f>
        <v/>
      </c>
      <c r="K90" s="112" t="inlineStr">
        <is>
          <t>Asegurar el cumplimiento, control y resguardo continuo de los procesos de Desarrollo externalizado a fin de mitigar riesgos y mantener la alineación a los principios de confidencialidad, integridad y disponibilidad aplicables a este dominio.</t>
        </is>
      </c>
      <c r="L90" s="112" t="inlineStr">
        <is>
          <t>La organización deberá implementar, registrar y monitorear operativamente todos los protocolos relacionados a Desarrollo externalizado, estableciendo políticas técnicas correspondientes.</t>
        </is>
      </c>
    </row>
    <row r="91" ht="78.75" customHeight="1" s="106">
      <c r="A91" s="38">
        <f>'ANEXO A'!A91</f>
        <v/>
      </c>
      <c r="B91" s="38">
        <f>IFERROR(VLOOKUP(A91, 'ANEXO A'!$A$2:$L$94, 2, FALSE), "")</f>
        <v/>
      </c>
      <c r="C91" s="38">
        <f>IF(LEFT(A91,1)="5", "5. Organizacionales", IF(LEFT(A91,1)="6", "6. Personas", IF(LEFT(A91,1)="7", "7. Físicos", "8. Tecnológicos")))</f>
        <v/>
      </c>
      <c r="D91" s="38">
        <f>IFERROR(VLOOKUP(A91, 'ANEXO A'!$A$2:$L$94, 11, FALSE), "")</f>
        <v/>
      </c>
      <c r="E91" s="38">
        <f>IFERROR(VLOOKUP(A91, 'ANEXO A'!$A$2:$L$94, 8, FALSE), "")</f>
        <v/>
      </c>
      <c r="F91" s="38">
        <f>IFERROR(VLOOKUP(A91, 'ANEXO A'!$A$2:$L$94, 9, FALSE), "")</f>
        <v/>
      </c>
      <c r="G91" s="38">
        <f>IFERROR(VLOOKUP(A91, 'ANEXO A'!$A$2:$L$94, 10, FALSE), "")</f>
        <v/>
      </c>
      <c r="H91" s="38">
        <f>IFERROR(VLOOKUP(A91, 'ANEXO A'!$A$2:$L$94, 12, FALSE), "")</f>
        <v/>
      </c>
      <c r="I91" s="38" t="inlineStr">
        <is>
          <t>Anexo 1 SEPS (Desarrollo y Pruebas): Aislamiento estricto de ambientes de desarrollo, pruebas y producción sin uso de datos reales (SEPS-2022-002).</t>
        </is>
      </c>
      <c r="J91" s="112">
        <f>"• Establecer lineamientos para " &amp; IFERROR(VLOOKUP(A91, 'ANEXO A'!$A$2:$L$94, 2, FALSE), "Este Control") &amp; CHAR(10) &amp; "• Definir roles para el control " &amp; A91 &amp; CHAR(10) &amp; "• Revisar efectividad de " &amp; IFERROR(VLOOKUP(A91, 'ANEXO A'!$A$2:$L$94, 2, FALSE), "Este Control")</f>
        <v/>
      </c>
      <c r="K91" s="112" t="inlineStr">
        <is>
          <t>Asegurar el cumplimiento, control y resguardo continuo de los procesos de Separación de entornos de desarrollo, pruebas y producción a fin de mitigar riesgos y mantener la alineación a los principios de confidencialidad, integridad y disponibilidad aplicables a este dominio.</t>
        </is>
      </c>
      <c r="L91" s="112" t="inlineStr">
        <is>
          <t>La organización deberá implementar, registrar y monitorear operativamente todos los protocolos relacionados a Separación de entornos de desarrollo, pruebas y producción, estableciendo políticas técnicas correspondientes.</t>
        </is>
      </c>
    </row>
    <row r="92" ht="56.25" customHeight="1" s="106">
      <c r="A92" s="38">
        <f>'ANEXO A'!A92</f>
        <v/>
      </c>
      <c r="B92" s="38">
        <f>IFERROR(VLOOKUP(A92, 'ANEXO A'!$A$2:$L$94, 2, FALSE), "")</f>
        <v/>
      </c>
      <c r="C92" s="38">
        <f>IF(LEFT(A92,1)="5", "5. Organizacionales", IF(LEFT(A92,1)="6", "6. Personas", IF(LEFT(A92,1)="7", "7. Físicos", "8. Tecnológicos")))</f>
        <v/>
      </c>
      <c r="D92" s="38">
        <f>IFERROR(VLOOKUP(A92, 'ANEXO A'!$A$2:$L$94, 11, FALSE), "")</f>
        <v/>
      </c>
      <c r="E92" s="38">
        <f>IFERROR(VLOOKUP(A92, 'ANEXO A'!$A$2:$L$94, 8, FALSE), "")</f>
        <v/>
      </c>
      <c r="F92" s="38">
        <f>IFERROR(VLOOKUP(A92, 'ANEXO A'!$A$2:$L$94, 9, FALSE), "")</f>
        <v/>
      </c>
      <c r="G92" s="38">
        <f>IFERROR(VLOOKUP(A92, 'ANEXO A'!$A$2:$L$94, 10, FALSE), "")</f>
        <v/>
      </c>
      <c r="H92" s="38">
        <f>IFERROR(VLOOKUP(A92, 'ANEXO A'!$A$2:$L$94, 12, FALSE), "")</f>
        <v/>
      </c>
      <c r="I92" s="38" t="inlineStr">
        <is>
          <t>Anexo 1 SEPS (Gestión de Cambios): Procedimiento formal de solicitud, evaluación de impacto de seguridad, aprobación y rollback de cambios (SEPS-2022-002).</t>
        </is>
      </c>
      <c r="J92" s="112">
        <f>"• Establecer lineamientos para " &amp; IFERROR(VLOOKUP(A92, 'ANEXO A'!$A$2:$L$94, 2, FALSE), "Este Control") &amp; CHAR(10) &amp; "• Definir roles para el control " &amp; A92 &amp; CHAR(10) &amp; "• Revisar efectividad de " &amp; IFERROR(VLOOKUP(A92, 'ANEXO A'!$A$2:$L$94, 2, FALSE), "Este Control")</f>
        <v/>
      </c>
      <c r="K92" s="112" t="inlineStr">
        <is>
          <t>Asegurar el cumplimiento, control y resguardo continuo de los procesos de Gestión de cambios a fin de mitigar riesgos y mantener la alineación a los principios de confidencialidad, integridad y disponibilidad aplicables a este dominio.</t>
        </is>
      </c>
      <c r="L92" s="112" t="inlineStr">
        <is>
          <t>La organización deberá implementar, registrar y monitorear operativamente todos los protocolos relacionados a Gestión de cambios, estableciendo políticas técnicas correspondientes.</t>
        </is>
      </c>
    </row>
    <row r="93" ht="56.25" customHeight="1" s="106">
      <c r="A93" s="38">
        <f>'ANEXO A'!A93</f>
        <v/>
      </c>
      <c r="B93" s="38">
        <f>IFERROR(VLOOKUP(A93, 'ANEXO A'!$A$2:$L$94, 2, FALSE), "")</f>
        <v/>
      </c>
      <c r="C93" s="38">
        <f>IF(LEFT(A93,1)="5", "5. Organizacionales", IF(LEFT(A93,1)="6", "6. Personas", IF(LEFT(A93,1)="7", "7. Físicos", "8. Tecnológicos")))</f>
        <v/>
      </c>
      <c r="D93" s="38">
        <f>IFERROR(VLOOKUP(A93, 'ANEXO A'!$A$2:$L$94, 11, FALSE), "")</f>
        <v/>
      </c>
      <c r="E93" s="38">
        <f>IFERROR(VLOOKUP(A93, 'ANEXO A'!$A$2:$L$94, 8, FALSE), "")</f>
        <v/>
      </c>
      <c r="F93" s="38">
        <f>IFERROR(VLOOKUP(A93, 'ANEXO A'!$A$2:$L$94, 9, FALSE), "")</f>
        <v/>
      </c>
      <c r="G93" s="38">
        <f>IFERROR(VLOOKUP(A93, 'ANEXO A'!$A$2:$L$94, 10, FALSE), "")</f>
        <v/>
      </c>
      <c r="H93" s="38">
        <f>IFERROR(VLOOKUP(A93, 'ANEXO A'!$A$2:$L$94, 12, FALSE), "")</f>
        <v/>
      </c>
      <c r="I93" s="38" t="inlineStr">
        <is>
          <t>6.17 PCI DSS / Anexo 1 SEPS: Uso de datos ficticios, anonimizados u ofuscados para las pruebas de aplicaciones (GSO-GSI-MP-GSI / SEPS-2022-002).</t>
        </is>
      </c>
      <c r="J93" s="112">
        <f>"• Establecer lineamientos para " &amp; IFERROR(VLOOKUP(A93, 'ANEXO A'!$A$2:$L$94, 2, FALSE), "Este Control") &amp; CHAR(10) &amp; "• Definir roles para el control " &amp; A93 &amp; CHAR(10) &amp; "• Revisar efectividad de " &amp; IFERROR(VLOOKUP(A93, 'ANEXO A'!$A$2:$L$94, 2, FALSE), "Este Control")</f>
        <v/>
      </c>
      <c r="K93" s="112" t="inlineStr">
        <is>
          <t>Asegurar el cumplimiento, control y resguardo continuo de los procesos de Información de prueba a fin de mitigar riesgos y mantener la alineación a los principios de confidencialidad, integridad y disponibilidad aplicables a este dominio.</t>
        </is>
      </c>
      <c r="L93" s="112" t="inlineStr">
        <is>
          <t>La organización deberá implementar, registrar y monitorear operativamente todos los protocolos relacionados a Información de prueba, estableciendo políticas técnicas correspondientes.</t>
        </is>
      </c>
    </row>
    <row r="94" ht="90" customHeight="1" s="106">
      <c r="A94" s="38">
        <f>'ANEXO A'!A94</f>
        <v/>
      </c>
      <c r="B94" s="38">
        <f>IFERROR(VLOOKUP(A94, 'ANEXO A'!$A$2:$L$94, 2, FALSE), "")</f>
        <v/>
      </c>
      <c r="C94" s="38">
        <f>IF(LEFT(A94,1)="5", "5. Organizacionales", IF(LEFT(A94,1)="6", "6. Personas", IF(LEFT(A94,1)="7", "7. Físicos", "8. Tecnológicos")))</f>
        <v/>
      </c>
      <c r="D94" s="38">
        <f>IFERROR(VLOOKUP(A94, 'ANEXO A'!$A$2:$L$94, 11, FALSE), "")</f>
        <v/>
      </c>
      <c r="E94" s="38">
        <f>IFERROR(VLOOKUP(A94, 'ANEXO A'!$A$2:$L$94, 8, FALSE), "")</f>
        <v/>
      </c>
      <c r="F94" s="38">
        <f>IFERROR(VLOOKUP(A94, 'ANEXO A'!$A$2:$L$94, 9, FALSE), "")</f>
        <v/>
      </c>
      <c r="G94" s="38">
        <f>IFERROR(VLOOKUP(A94, 'ANEXO A'!$A$2:$L$94, 10, FALSE), "")</f>
        <v/>
      </c>
      <c r="H94" s="38">
        <f>IFERROR(VLOOKUP(A94, 'ANEXO A'!$A$2:$L$94, 12, FALSE), "")</f>
        <v/>
      </c>
      <c r="I94" s="38" t="inlineStr">
        <is>
          <t>6.19 Escaneo (Pol. 1): Realización de pruebas intrusivas y de auditoría en horarios no laborables y con autorización previa (GSO-GSI-MP-GSI).</t>
        </is>
      </c>
      <c r="J94" s="112">
        <f>"• Establecer lineamientos para " &amp; IFERROR(VLOOKUP(A94, 'ANEXO A'!$A$2:$L$94, 2, FALSE), "Este Control") &amp; CHAR(10) &amp; "• Definir roles para el control " &amp; A94 &amp; CHAR(10) &amp; "• Revisar efectividad de " &amp; IFERROR(VLOOKUP(A94, 'ANEXO A'!$A$2:$L$94, 2, FALSE), "Este Control")</f>
        <v/>
      </c>
      <c r="K94" s="112" t="inlineStr">
        <is>
          <t>Asegurar el cumplimiento, control y resguardo continuo de los procesos de Protección de los sistemas de información durante las pruebas de auditoría a fin de mitigar riesgos y mantener la alineación a los principios de confidencialidad, integridad y disponibilidad aplicables a este dominio.</t>
        </is>
      </c>
      <c r="L94" s="112" t="inlineStr">
        <is>
          <t>La organización deberá implementar, registrar y monitorear operativamente todos los protocolos relacionados a Protección de los sistemas de información durante las pruebas de auditoría, estableciendo políticas técnicas correspondientes.</t>
        </is>
      </c>
    </row>
  </sheetData>
  <autoFilter ref="A1:L94"/>
  <pageMargins left="0.75" right="0.75" top="1" bottom="1" header="0.5" footer="0.5"/>
</worksheet>
</file>

<file path=xl/worksheets/sheet14.xml><?xml version="1.0" encoding="utf-8"?>
<worksheet xmlns="http://schemas.openxmlformats.org/spreadsheetml/2006/main">
  <sheetPr>
    <outlinePr summaryBelow="1" summaryRight="1"/>
    <pageSetUpPr/>
  </sheetPr>
  <dimension ref="B2:F23"/>
  <sheetViews>
    <sheetView workbookViewId="0">
      <selection activeCell="E6" sqref="E6"/>
    </sheetView>
  </sheetViews>
  <sheetFormatPr baseColWidth="10" defaultColWidth="9.33203125" defaultRowHeight="11.25"/>
  <cols>
    <col width="23.83203125" customWidth="1" style="106" min="2" max="2"/>
    <col width="16.33203125" customWidth="1" style="106" min="3" max="3"/>
    <col width="26.33203125" customWidth="1" style="106" min="5" max="5"/>
  </cols>
  <sheetData>
    <row r="2" ht="18" customHeight="1" s="106">
      <c r="B2" s="96" t="inlineStr">
        <is>
          <t>RESUMEN EJECUTIVO DEL INVENTARIO DE ACTIVOS</t>
        </is>
      </c>
    </row>
    <row r="4" ht="45" customHeight="1" s="106">
      <c r="B4" s="95" t="inlineStr">
        <is>
          <t>Distribución por Criticidad</t>
        </is>
      </c>
      <c r="C4" s="95" t="inlineStr">
        <is>
          <t>Cantidad</t>
        </is>
      </c>
      <c r="E4" s="95" t="inlineStr">
        <is>
          <t>Distribución por Tipo de Activo</t>
        </is>
      </c>
      <c r="F4" s="95" t="inlineStr">
        <is>
          <t>Cantidad</t>
        </is>
      </c>
    </row>
    <row r="5" ht="22.5" customHeight="1" s="106">
      <c r="B5" s="38" t="inlineStr">
        <is>
          <t>ALTA</t>
        </is>
      </c>
      <c r="C5" s="38">
        <f>COUNTIF(INVENTARIO!$T$3:$T$2000, "*ALTA*")</f>
        <v/>
      </c>
      <c r="E5" s="38" t="inlineStr">
        <is>
          <t>PRIMARIOS</t>
        </is>
      </c>
      <c r="F5" s="38">
        <f>COUNTIF(INVENTARIO!$N$3:$N$2000, "PRIMARIOS")</f>
        <v/>
      </c>
    </row>
    <row r="6">
      <c r="B6" s="38" t="inlineStr">
        <is>
          <t>MEDIA</t>
        </is>
      </c>
      <c r="C6" s="38">
        <f>COUNTIF(INVENTARIO!$T$3:$T$2000, "*MEDIA*")</f>
        <v/>
      </c>
      <c r="E6" s="38" t="inlineStr">
        <is>
          <t>APOYO</t>
        </is>
      </c>
      <c r="F6" s="38">
        <f>COUNTIF(INVENTARIO!$N$3:$N$2000, "APOYO")</f>
        <v/>
      </c>
    </row>
    <row r="7">
      <c r="B7" s="38" t="inlineStr">
        <is>
          <t>BAJA</t>
        </is>
      </c>
      <c r="C7" s="38">
        <f>COUNTIF(INVENTARIO!$T$3:$T$2000, "*BAJA*")</f>
        <v/>
      </c>
    </row>
    <row r="8">
      <c r="B8" s="38" t="inlineStr">
        <is>
          <t>CRÍTICO</t>
        </is>
      </c>
      <c r="C8" s="38">
        <f>COUNTIF(INVENTARIO!$T$3:$T$2000, "*CRÍTICO*")</f>
        <v/>
      </c>
    </row>
    <row r="10" ht="22.5" customHeight="1" s="106">
      <c r="B10" s="95" t="inlineStr">
        <is>
          <t>Distribución por Categoría</t>
        </is>
      </c>
      <c r="C10" s="95" t="inlineStr">
        <is>
          <t>Cantidad</t>
        </is>
      </c>
      <c r="E10" s="109" t="inlineStr">
        <is>
          <t>Distribución por Acceso</t>
        </is>
      </c>
      <c r="F10" s="109" t="inlineStr">
        <is>
          <t>Cantidad</t>
        </is>
      </c>
    </row>
    <row r="11">
      <c r="B11" s="38" t="inlineStr">
        <is>
          <t>COMUNICACIÓN INTERNA</t>
        </is>
      </c>
      <c r="C11" s="38">
        <f>COUNTIF(INVENTARIO!$O$3:$O$2000, "COMUNICACIÓN INTERNA")</f>
        <v/>
      </c>
      <c r="E11" s="114" t="inlineStr">
        <is>
          <t>Con Acceso Externo (SI)</t>
        </is>
      </c>
      <c r="F11" s="114">
        <f>COUNTIF(INVENTARIO!$U$3:$U$2000, "SI")</f>
        <v/>
      </c>
    </row>
    <row r="12" ht="22.5" customHeight="1" s="106">
      <c r="B12" s="38" t="inlineStr">
        <is>
          <t>CONVENIOS Y CONTRATOS</t>
        </is>
      </c>
      <c r="C12" s="38">
        <f>COUNTIF(INVENTARIO!$O$3:$O$2000, "CONVENIOS Y CONTRATOS")</f>
        <v/>
      </c>
      <c r="E12" s="114" t="inlineStr">
        <is>
          <t>Acceso Interno (NO)</t>
        </is>
      </c>
      <c r="F12" s="114">
        <f>COUNTIF(INVENTARIO!$U$3:$U$2000, "NO")</f>
        <v/>
      </c>
    </row>
    <row r="13" ht="22.5" customHeight="1" s="106">
      <c r="B13" s="38" t="inlineStr">
        <is>
          <t>DOCUMENTOS HABILITANTES</t>
        </is>
      </c>
      <c r="C13" s="38">
        <f>COUNTIF(INVENTARIO!$O$3:$O$2000, "DOCUMENTOS HABILITANTES")</f>
        <v/>
      </c>
      <c r="E13" s="114" t="inlineStr">
        <is>
          <t>No Aplica (-)</t>
        </is>
      </c>
      <c r="F13" s="114">
        <f>COUNTIF(INVENTARIO!$U$3:$U$2000, "-")</f>
        <v/>
      </c>
    </row>
    <row r="14" ht="45" customHeight="1" s="106">
      <c r="B14" s="38" t="inlineStr">
        <is>
          <t>DOCUMENTOS TÉCNICOS</t>
        </is>
      </c>
      <c r="C14" s="38">
        <f>COUNTIF(INVENTARIO!$O$3:$O$2000, "DOCUMENTOS TÉCNICOS")</f>
        <v/>
      </c>
    </row>
    <row r="15" ht="22.5" customHeight="1" s="106">
      <c r="B15" s="38" t="inlineStr">
        <is>
          <t>HARDWARE</t>
        </is>
      </c>
      <c r="C15" s="38">
        <f>COUNTIF(INVENTARIO!$O$3:$O$2000, "HARDWARE")</f>
        <v/>
      </c>
    </row>
    <row r="16" ht="56.25" customHeight="1" s="106">
      <c r="B16" s="38" t="inlineStr">
        <is>
          <t>INFORMACIÓN DE SOCIOS Y CLIENTES</t>
        </is>
      </c>
      <c r="C16" s="38">
        <f>COUNTIF(INVENTARIO!$O$3:$O$2000, "INFORMACIÓN DE SOCIOS Y CLIENTES")</f>
        <v/>
      </c>
    </row>
    <row r="17" ht="45" customHeight="1" s="106">
      <c r="B17" s="38" t="inlineStr">
        <is>
          <t>INFORMACIÓN DE TERCEROS</t>
        </is>
      </c>
      <c r="C17" s="38">
        <f>COUNTIF(INVENTARIO!$O$3:$O$2000, "INFORMACIÓN DE TERCEROS")</f>
        <v/>
      </c>
    </row>
    <row r="18" ht="33.75" customHeight="1" s="106">
      <c r="B18" s="38" t="inlineStr">
        <is>
          <t>NORMATIVA INTERNA</t>
        </is>
      </c>
      <c r="C18" s="38">
        <f>COUNTIF(INVENTARIO!$O$3:$O$2000, "NORMATIVA INTERNA")</f>
        <v/>
      </c>
    </row>
    <row r="19">
      <c r="B19" s="38" t="inlineStr">
        <is>
          <t>OTROS</t>
        </is>
      </c>
      <c r="C19" s="38">
        <f>COUNTIF(INVENTARIO!$O$3:$O$2000, "OTROS")</f>
        <v/>
      </c>
    </row>
    <row r="20" ht="22.5" customHeight="1" s="106">
      <c r="B20" s="38" t="inlineStr">
        <is>
          <t>RECURSO HUMANO</t>
        </is>
      </c>
      <c r="C20" s="38">
        <f>COUNTIF(INVENTARIO!$O$3:$O$2000, "RECURSO HUMANO")</f>
        <v/>
      </c>
    </row>
    <row r="21">
      <c r="B21" s="38" t="inlineStr">
        <is>
          <t>REDES</t>
        </is>
      </c>
      <c r="C21" s="38">
        <f>COUNTIF(INVENTARIO!$O$3:$O$2000, "REDES")</f>
        <v/>
      </c>
    </row>
    <row r="22" ht="22.5" customHeight="1" s="106">
      <c r="B22" s="38" t="inlineStr">
        <is>
          <t>SERVICIOS</t>
        </is>
      </c>
      <c r="C22" s="38">
        <f>COUNTIF(INVENTARIO!$O$3:$O$2000, "SERVICIOS")</f>
        <v/>
      </c>
    </row>
    <row r="23" ht="22.5" customHeight="1" s="106">
      <c r="B23" s="38" t="inlineStr">
        <is>
          <t>SOFTWARE</t>
        </is>
      </c>
      <c r="C23" s="38">
        <f>COUNTIF(INVENTARIO!$O$3:$O$2000, "SOFTWARE")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JEFFERSON ESTEBAN ANDRADE PIJUANGO</dc:creator>
  <dcterms:created xsi:type="dcterms:W3CDTF">2025-07-10T17:28:14Z</dcterms:created>
  <dcterms:modified xsi:type="dcterms:W3CDTF">2026-09-03T17:27:21Z</dcterms:modified>
  <cp:lastModifiedBy>SEGURIDAD DE LA INFORMACION</cp:lastModifiedBy>
  <cp:lastPrinted>2025-09-10T17:26:07Z</cp:lastPrinted>
</cp:coreProperties>
</file>