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8835" yWindow="0" windowWidth="11655" windowHeight="10920" tabRatio="741" firstSheet="0" activeTab="1" autoFilterDateGrouping="1"/>
  </bookViews>
  <sheets>
    <sheet name="INVENTARIO" sheetId="1" state="visible" r:id="rId1"/>
    <sheet name="Metricas" sheetId="2" state="visible" r:id="rId2"/>
    <sheet name="INTERVALOS" sheetId="3" state="visible" r:id="rId3"/>
    <sheet name="EVALUACION DE RIESGO" sheetId="4" state="visible" r:id="rId4"/>
    <sheet name="PLANES DE ACCION" sheetId="5" state="visible" r:id="rId5"/>
    <sheet name="INDICADORES" sheetId="6" state="visible" r:id="rId6"/>
    <sheet name="CATALOGO VULNERABILIDADES" sheetId="7" state="visible" r:id="rId7"/>
    <sheet name="CATALOGO AMENAZA" sheetId="8" state="visible" r:id="rId8"/>
    <sheet name="TIPOS DE ACTIVOS" sheetId="9" state="visible" r:id="rId9"/>
    <sheet name="CATALOGO CONTROLES" sheetId="10" state="visible" r:id="rId10"/>
    <sheet name="ANEXO A" sheetId="11" state="visible" r:id="rId11"/>
    <sheet name="Declaración Aplicabilidad (SoA)" sheetId="12" state="visible" r:id="rId12"/>
    <sheet name="Documentación Aplicabilidad" sheetId="13" state="visible" r:id="rId13"/>
    <sheet name="Resumen Criticidad" sheetId="14" state="visible" r:id="rId14"/>
  </sheets>
  <definedNames>
    <definedName name="_xlnm._FilterDatabase" localSheetId="0" hidden="1">'INVENTARIO'!$Y$2:$AC$1406</definedName>
    <definedName name="_xlnm._FilterDatabase" localSheetId="7" hidden="1">'CATALOGO AMENAZA'!$A$2:$N$46</definedName>
    <definedName name="_xlnm._FilterDatabase" localSheetId="10" hidden="1">'ANEXO A'!$A$1:$L$94</definedName>
    <definedName name="_xlnm._FilterDatabase" localSheetId="11" hidden="1">'Declaración Aplicabilidad (SoA)'!$A$1:$N$94</definedName>
    <definedName name="_xlnm._FilterDatabase" localSheetId="12" hidden="1">'Documentación Aplicabilidad'!$A$1:$L$94</definedName>
  </definedNames>
  <calcPr calcId="191029" fullCalcOnLoad="1"/>
  <pivotCaches>
    <pivotCache cacheId="8" r:id="rId15"/>
    <pivotCache cacheId="9" r:id="rId16"/>
  </pivotCaches>
</workbook>
</file>

<file path=xl/styles.xml><?xml version="1.0" encoding="utf-8"?>
<styleSheet xmlns="http://schemas.openxmlformats.org/spreadsheetml/2006/main">
  <numFmts count="0"/>
  <fonts count="13">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name val="Arial"/>
      <b val="1"/>
      <color rgb="FFFFFFFF"/>
      <sz val="8"/>
    </font>
    <font>
      <name val="Arial"/>
      <b val="1"/>
      <color rgb="FFFFFFFF"/>
      <sz val="8"/>
    </font>
    <font>
      <name val="Arial"/>
      <b val="1"/>
      <color rgb="FF000080"/>
      <sz val="14"/>
    </font>
    <font>
      <b val="1"/>
    </font>
  </fonts>
  <fills count="19">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FF000080"/>
        <bgColor rgb="FF000080"/>
      </patternFill>
    </fill>
    <fill>
      <patternFill patternType="solid">
        <fgColor rgb="FF000080"/>
        <bgColor rgb="FF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16">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7" fillId="16" borderId="0" applyAlignment="1" pivotButton="0" quotePrefix="0" xfId="0">
      <alignment horizontal="center" vertical="center" wrapText="1"/>
    </xf>
    <xf numFmtId="0" fontId="9" fillId="17" borderId="0" applyAlignment="1" pivotButton="0" quotePrefix="0" xfId="0">
      <alignment horizontal="center" vertical="center" wrapText="1"/>
    </xf>
    <xf numFmtId="0" fontId="9" fillId="17" borderId="0" applyAlignment="1" pivotButton="0" quotePrefix="0" xfId="0">
      <alignment horizontal="left" vertical="center" wrapText="1"/>
    </xf>
    <xf numFmtId="0" fontId="10" fillId="18" borderId="0" applyAlignment="1" pivotButton="0" quotePrefix="0" xfId="0">
      <alignment horizontal="center" vertical="center" wrapText="1"/>
    </xf>
    <xf numFmtId="0" fontId="11" fillId="0" borderId="0" pivotButton="0" quotePrefix="0" xfId="0"/>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0" fillId="0" borderId="0" applyAlignment="1" pivotButton="0" quotePrefix="0" xfId="0">
      <alignment vertical="center"/>
    </xf>
    <xf numFmtId="0" fontId="10" fillId="18" borderId="0" applyAlignment="1" pivotButton="0" quotePrefix="0" xfId="0">
      <alignment horizontal="left" vertical="center"/>
    </xf>
    <xf numFmtId="0" fontId="0" fillId="0" borderId="0" applyAlignment="1" pivotButton="0" quotePrefix="0" xfId="0">
      <alignment horizontal="left" vertical="center"/>
    </xf>
    <xf numFmtId="0" fontId="1"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1" fillId="0" borderId="0" applyAlignment="1" pivotButton="0" quotePrefix="0" xfId="0">
      <alignment horizontal="center" vertical="center"/>
    </xf>
    <xf numFmtId="0" fontId="0" fillId="0" borderId="0" applyAlignment="1" pivotButton="0" quotePrefix="0" xfId="0">
      <alignment horizontal="left" vertical="center"/>
    </xf>
    <xf numFmtId="0" fontId="12" fillId="0" borderId="0" pivotButton="0" quotePrefix="0" xfId="0"/>
  </cellXfs>
  <cellStyles count="3">
    <cellStyle name="Normal" xfId="0" builtinId="0"/>
    <cellStyle name="Normal 2" xfId="1"/>
    <cellStyle name="Porcentaje" xfId="2" builtinId="5"/>
  </cellStyles>
  <dxfs count="83">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
      <fill>
        <patternFill patternType="solid">
          <fgColor rgb="00FFC7CE"/>
          <bgColor rgb="00FFC7CE"/>
        </patternFill>
      </fill>
    </dxf>
    <dxf>
      <fill>
        <patternFill patternType="solid">
          <fgColor rgb="00C6EFCE"/>
          <bgColor rgb="00C6EFCE"/>
        </patternFill>
      </fill>
    </dxf>
    <dxf>
      <fill>
        <patternFill patternType="solid">
          <fgColor rgb="00FFEB9C"/>
          <bgColor rgb="00FFEB9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pivotCacheDefinition" Target="/xl/pivotCache/pivotCacheDefinition1.xml" Id="rId15" /><Relationship Type="http://schemas.openxmlformats.org/officeDocument/2006/relationships/pivotCacheDefinition" Target="/xl/pivotCache/pivotCacheDefinition2.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pivotSource>
    <name>[GGESTION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[GGESTION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[GGESTION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[GGESTION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1"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10"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5" cacheId="9"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7"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9"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6"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8"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AD1407"/>
  <sheetViews>
    <sheetView topLeftCell="Z1" zoomScale="80" zoomScaleNormal="80" workbookViewId="0">
      <selection activeCell="AA3" sqref="AA3"/>
    </sheetView>
  </sheetViews>
  <sheetFormatPr baseColWidth="10" defaultRowHeight="11.25"/>
  <cols>
    <col width="14" customWidth="1" style="106" min="1" max="1"/>
    <col width="19.1640625" customWidth="1" style="106" min="2" max="2"/>
    <col width="26" customWidth="1" style="106" min="3" max="3"/>
    <col hidden="1" width="26.1640625" customWidth="1" style="106" min="4" max="4"/>
    <col width="41.6640625" customWidth="1" style="106" min="5" max="5"/>
    <col width="15.1640625" customWidth="1" style="106" min="6" max="6"/>
    <col width="31" customWidth="1" style="106" min="7" max="7"/>
    <col width="40.1640625" customWidth="1" style="106" min="8" max="8"/>
    <col width="44.6640625" customWidth="1" style="106" min="9" max="9"/>
    <col hidden="1" width="16.1640625" customWidth="1" style="106" min="10" max="10"/>
    <col hidden="1" width="19.1640625" customWidth="1" style="106" min="11" max="11"/>
    <col width="18.5" customWidth="1" style="106" min="12" max="12"/>
    <col width="26.1640625" customWidth="1" style="106" min="13" max="13"/>
    <col width="17.6640625" customWidth="1" style="106" min="14" max="14"/>
    <col width="33.1640625" bestFit="1" customWidth="1" style="106" min="15" max="15"/>
    <col width="20.5" customWidth="1" style="106" min="16" max="16"/>
    <col width="13.6640625" customWidth="1" style="106" min="17" max="17"/>
    <col width="17.1640625" customWidth="1" style="106" min="18" max="18"/>
    <col width="15.1640625" customWidth="1" style="106" min="19" max="19"/>
    <col width="13.5" customWidth="1" style="106" min="20" max="20"/>
    <col width="19.1640625" customWidth="1" style="106" min="21" max="21"/>
    <col width="21.1640625" customWidth="1" style="106" min="22" max="22"/>
    <col width="19" customWidth="1" style="106" min="23" max="23"/>
    <col width="27.6640625" customWidth="1" style="106" min="24" max="24"/>
    <col width="22.5" customWidth="1" style="38" min="25" max="25"/>
    <col width="20" customWidth="1" style="38" min="26" max="26"/>
    <col width="24" customWidth="1" style="38" min="27" max="27"/>
    <col width="29.5" customWidth="1" style="38" min="28" max="28"/>
    <col width="29.33203125" customWidth="1" style="38" min="29" max="29"/>
  </cols>
  <sheetData>
    <row r="1">
      <c r="A1" s="97" t="n"/>
      <c r="B1" s="97" t="inlineStr">
        <is>
          <t>PROCESO/PROCEDIMIENTO</t>
        </is>
      </c>
      <c r="C1" s="98" t="n"/>
      <c r="D1" s="98" t="n"/>
      <c r="E1" s="98" t="n"/>
      <c r="F1" s="98" t="n"/>
      <c r="G1" s="99" t="n"/>
      <c r="H1" s="97" t="n"/>
      <c r="I1" s="97" t="n"/>
      <c r="J1" s="97" t="n"/>
      <c r="K1" s="97" t="n"/>
      <c r="L1" s="97" t="n"/>
      <c r="M1" s="97" t="n"/>
      <c r="N1" s="27" t="n"/>
      <c r="O1" s="97" t="n"/>
      <c r="P1" s="97" t="inlineStr">
        <is>
          <t>CLASIFICACIÓN</t>
        </is>
      </c>
      <c r="Q1" s="98" t="n"/>
      <c r="R1" s="99" t="n"/>
      <c r="S1" s="97" t="inlineStr">
        <is>
          <t>CRITICIDAD</t>
        </is>
      </c>
      <c r="T1" s="99" t="n"/>
      <c r="U1" s="97" t="n"/>
      <c r="V1" s="97" t="n"/>
      <c r="W1" s="97" t="n"/>
    </row>
    <row r="2" ht="24" customHeight="1" s="106">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c r="Y2" s="97" t="inlineStr">
        <is>
          <t>Estado de Implementación</t>
        </is>
      </c>
      <c r="Z2" s="97" t="inlineStr">
        <is>
          <t>Tipo de Protección</t>
        </is>
      </c>
      <c r="AA2" s="97" t="inlineStr">
        <is>
          <t>Nivel de Madurez / Efectividad</t>
        </is>
      </c>
      <c r="AB2" s="97" t="inlineStr">
        <is>
          <t>Riesgos / Amenazas que Mitiga</t>
        </is>
      </c>
      <c r="AC2" s="97" t="inlineStr">
        <is>
          <t>Evidencia / Documentación Asociada</t>
        </is>
      </c>
      <c r="AD2" s="115" t="inlineStr">
        <is>
          <t>Evaluación de Cumplimiento</t>
        </is>
      </c>
    </row>
    <row r="3">
      <c r="A3" s="99"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104">
        <f>+IFERROR(IF(VLOOKUP(Tabla2[[#This Row],[ID]],'EVALUACION DE RIESGO'!A:A,1,FALSE)=Tabla2[[#This Row],[ID]],"SI","NO"),"NO")</f>
        <v/>
      </c>
      <c r="AD3">
        <f>IF(OR(T3="",Y3="",AA3=""),"",IF(AND(T3="ALTA",OR(AA3="L0 Inexistente",AA3="L1 Inicial / Ad Hoc",Y3="No Iniciado")),"CRÍTICO - Incumplimiento Normativo SEPS",IF(AND(OR(AA3="L4 Gestionado y Medible",AA3="L5 Optimizado"),AND(AC3&lt;&gt;"",AC3&lt;&gt;"N/A")),"CONFORME - Control Efectivo ISO 27001","OBSERVACIÓN - Revisar Controles")))</f>
        <v/>
      </c>
    </row>
    <row r="4">
      <c r="A4" s="99"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c r="AD4">
        <f>IF(OR(T4="",Y4="",AA4=""),"",IF(AND(T4="ALTA",OR(AA4="L0 Inexistente",AA4="L1 Inicial / Ad Hoc",Y4="No Iniciado")),"CRÍTICO - Incumplimiento Normativo SEPS",IF(AND(OR(AA4="L4 Gestionado y Medible",AA4="L5 Optimizado"),AND(AC4&lt;&gt;"",AC4&lt;&gt;"N/A")),"CONFORME - Control Efectivo ISO 27001","OBSERVACIÓN - Revisar Controles")))</f>
        <v/>
      </c>
    </row>
    <row r="5">
      <c r="A5" s="99"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c r="AD5">
        <f>IF(OR(T5="",Y5="",AA5=""),"",IF(AND(T5="ALTA",OR(AA5="L0 Inexistente",AA5="L1 Inicial / Ad Hoc",Y5="No Iniciado")),"CRÍTICO - Incumplimiento Normativo SEPS",IF(AND(OR(AA5="L4 Gestionado y Medible",AA5="L5 Optimizado"),AND(AC5&lt;&gt;"",AC5&lt;&gt;"N/A")),"CONFORME - Control Efectivo ISO 27001","OBSERVACIÓN - Revisar Controles")))</f>
        <v/>
      </c>
    </row>
    <row r="6">
      <c r="A6" s="99"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c r="AD6">
        <f>IF(OR(T6="",Y6="",AA6=""),"",IF(AND(T6="ALTA",OR(AA6="L0 Inexistente",AA6="L1 Inicial / Ad Hoc",Y6="No Iniciado")),"CRÍTICO - Incumplimiento Normativo SEPS",IF(AND(OR(AA6="L4 Gestionado y Medible",AA6="L5 Optimizado"),AND(AC6&lt;&gt;"",AC6&lt;&gt;"N/A")),"CONFORME - Control Efectivo ISO 27001","OBSERVACIÓN - Revisar Controles")))</f>
        <v/>
      </c>
    </row>
    <row r="7">
      <c r="A7" s="99"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c r="AD7">
        <f>IF(OR(T7="",Y7="",AA7=""),"",IF(AND(T7="ALTA",OR(AA7="L0 Inexistente",AA7="L1 Inicial / Ad Hoc",Y7="No Iniciado")),"CRÍTICO - Incumplimiento Normativo SEPS",IF(AND(OR(AA7="L4 Gestionado y Medible",AA7="L5 Optimizado"),AND(AC7&lt;&gt;"",AC7&lt;&gt;"N/A")),"CONFORME - Control Efectivo ISO 27001","OBSERVACIÓN - Revisar Controles")))</f>
        <v/>
      </c>
    </row>
    <row r="8">
      <c r="A8" s="99"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c r="AD8">
        <f>IF(OR(T8="",Y8="",AA8=""),"",IF(AND(T8="ALTA",OR(AA8="L0 Inexistente",AA8="L1 Inicial / Ad Hoc",Y8="No Iniciado")),"CRÍTICO - Incumplimiento Normativo SEPS",IF(AND(OR(AA8="L4 Gestionado y Medible",AA8="L5 Optimizado"),AND(AC8&lt;&gt;"",AC8&lt;&gt;"N/A")),"CONFORME - Control Efectivo ISO 27001","OBSERVACIÓN - Revisar Controles")))</f>
        <v/>
      </c>
    </row>
    <row r="9">
      <c r="A9" s="99"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c r="AD9">
        <f>IF(OR(T9="",Y9="",AA9=""),"",IF(AND(T9="ALTA",OR(AA9="L0 Inexistente",AA9="L1 Inicial / Ad Hoc",Y9="No Iniciado")),"CRÍTICO - Incumplimiento Normativo SEPS",IF(AND(OR(AA9="L4 Gestionado y Medible",AA9="L5 Optimizado"),AND(AC9&lt;&gt;"",AC9&lt;&gt;"N/A")),"CONFORME - Control Efectivo ISO 27001","OBSERVACIÓN - Revisar Controles")))</f>
        <v/>
      </c>
    </row>
    <row r="10">
      <c r="A10" s="99"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c r="AD10">
        <f>IF(OR(T10="",Y10="",AA10=""),"",IF(AND(T10="ALTA",OR(AA10="L0 Inexistente",AA10="L1 Inicial / Ad Hoc",Y10="No Iniciado")),"CRÍTICO - Incumplimiento Normativo SEPS",IF(AND(OR(AA10="L4 Gestionado y Medible",AA10="L5 Optimizado"),AND(AC10&lt;&gt;"",AC10&lt;&gt;"N/A")),"CONFORME - Control Efectivo ISO 27001","OBSERVACIÓN - Revisar Controles")))</f>
        <v/>
      </c>
    </row>
    <row r="11">
      <c r="A11" s="99"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c r="AD11">
        <f>IF(OR(T11="",Y11="",AA11=""),"",IF(AND(T11="ALTA",OR(AA11="L0 Inexistente",AA11="L1 Inicial / Ad Hoc",Y11="No Iniciado")),"CRÍTICO - Incumplimiento Normativo SEPS",IF(AND(OR(AA11="L4 Gestionado y Medible",AA11="L5 Optimizado"),AND(AC11&lt;&gt;"",AC11&lt;&gt;"N/A")),"CONFORME - Control Efectivo ISO 27001","OBSERVACIÓN - Revisar Controles")))</f>
        <v/>
      </c>
    </row>
    <row r="12">
      <c r="A12" s="99"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c r="AD12">
        <f>IF(OR(T12="",Y12="",AA12=""),"",IF(AND(T12="ALTA",OR(AA12="L0 Inexistente",AA12="L1 Inicial / Ad Hoc",Y12="No Iniciado")),"CRÍTICO - Incumplimiento Normativo SEPS",IF(AND(OR(AA12="L4 Gestionado y Medible",AA12="L5 Optimizado"),AND(AC12&lt;&gt;"",AC12&lt;&gt;"N/A")),"CONFORME - Control Efectivo ISO 27001","OBSERVACIÓN - Revisar Controles")))</f>
        <v/>
      </c>
    </row>
    <row r="13">
      <c r="A13" s="99"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c r="AD13">
        <f>IF(OR(T13="",Y13="",AA13=""),"",IF(AND(T13="ALTA",OR(AA13="L0 Inexistente",AA13="L1 Inicial / Ad Hoc",Y13="No Iniciado")),"CRÍTICO - Incumplimiento Normativo SEPS",IF(AND(OR(AA13="L4 Gestionado y Medible",AA13="L5 Optimizado"),AND(AC13&lt;&gt;"",AC13&lt;&gt;"N/A")),"CONFORME - Control Efectivo ISO 27001","OBSERVACIÓN - Revisar Controles")))</f>
        <v/>
      </c>
    </row>
    <row r="14">
      <c r="A14" s="99"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c r="AD14">
        <f>IF(OR(T14="",Y14="",AA14=""),"",IF(AND(T14="ALTA",OR(AA14="L0 Inexistente",AA14="L1 Inicial / Ad Hoc",Y14="No Iniciado")),"CRÍTICO - Incumplimiento Normativo SEPS",IF(AND(OR(AA14="L4 Gestionado y Medible",AA14="L5 Optimizado"),AND(AC14&lt;&gt;"",AC14&lt;&gt;"N/A")),"CONFORME - Control Efectivo ISO 27001","OBSERVACIÓN - Revisar Controles")))</f>
        <v/>
      </c>
    </row>
    <row r="15">
      <c r="A15" s="99"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c r="AD15">
        <f>IF(OR(T15="",Y15="",AA15=""),"",IF(AND(T15="ALTA",OR(AA15="L0 Inexistente",AA15="L1 Inicial / Ad Hoc",Y15="No Iniciado")),"CRÍTICO - Incumplimiento Normativo SEPS",IF(AND(OR(AA15="L4 Gestionado y Medible",AA15="L5 Optimizado"),AND(AC15&lt;&gt;"",AC15&lt;&gt;"N/A")),"CONFORME - Control Efectivo ISO 27001","OBSERVACIÓN - Revisar Controles")))</f>
        <v/>
      </c>
    </row>
    <row r="16">
      <c r="A16" s="99"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c r="AD16">
        <f>IF(OR(T16="",Y16="",AA16=""),"",IF(AND(T16="ALTA",OR(AA16="L0 Inexistente",AA16="L1 Inicial / Ad Hoc",Y16="No Iniciado")),"CRÍTICO - Incumplimiento Normativo SEPS",IF(AND(OR(AA16="L4 Gestionado y Medible",AA16="L5 Optimizado"),AND(AC16&lt;&gt;"",AC16&lt;&gt;"N/A")),"CONFORME - Control Efectivo ISO 27001","OBSERVACIÓN - Revisar Controles")))</f>
        <v/>
      </c>
    </row>
    <row r="17">
      <c r="A17" s="99"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c r="AD17">
        <f>IF(OR(T17="",Y17="",AA17=""),"",IF(AND(T17="ALTA",OR(AA17="L0 Inexistente",AA17="L1 Inicial / Ad Hoc",Y17="No Iniciado")),"CRÍTICO - Incumplimiento Normativo SEPS",IF(AND(OR(AA17="L4 Gestionado y Medible",AA17="L5 Optimizado"),AND(AC17&lt;&gt;"",AC17&lt;&gt;"N/A")),"CONFORME - Control Efectivo ISO 27001","OBSERVACIÓN - Revisar Controles")))</f>
        <v/>
      </c>
    </row>
    <row r="18">
      <c r="A18" s="99"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c r="AD18">
        <f>IF(OR(T18="",Y18="",AA18=""),"",IF(AND(T18="ALTA",OR(AA18="L0 Inexistente",AA18="L1 Inicial / Ad Hoc",Y18="No Iniciado")),"CRÍTICO - Incumplimiento Normativo SEPS",IF(AND(OR(AA18="L4 Gestionado y Medible",AA18="L5 Optimizado"),AND(AC18&lt;&gt;"",AC18&lt;&gt;"N/A")),"CONFORME - Control Efectivo ISO 27001","OBSERVACIÓN - Revisar Controles")))</f>
        <v/>
      </c>
    </row>
    <row r="19">
      <c r="A19" s="99"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c r="AD19">
        <f>IF(OR(T19="",Y19="",AA19=""),"",IF(AND(T19="ALTA",OR(AA19="L0 Inexistente",AA19="L1 Inicial / Ad Hoc",Y19="No Iniciado")),"CRÍTICO - Incumplimiento Normativo SEPS",IF(AND(OR(AA19="L4 Gestionado y Medible",AA19="L5 Optimizado"),AND(AC19&lt;&gt;"",AC19&lt;&gt;"N/A")),"CONFORME - Control Efectivo ISO 27001","OBSERVACIÓN - Revisar Controles")))</f>
        <v/>
      </c>
    </row>
    <row r="20">
      <c r="A20" s="99"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c r="AD20">
        <f>IF(OR(T20="",Y20="",AA20=""),"",IF(AND(T20="ALTA",OR(AA20="L0 Inexistente",AA20="L1 Inicial / Ad Hoc",Y20="No Iniciado")),"CRÍTICO - Incumplimiento Normativo SEPS",IF(AND(OR(AA20="L4 Gestionado y Medible",AA20="L5 Optimizado"),AND(AC20&lt;&gt;"",AC20&lt;&gt;"N/A")),"CONFORME - Control Efectivo ISO 27001","OBSERVACIÓN - Revisar Controles")))</f>
        <v/>
      </c>
    </row>
    <row r="21">
      <c r="A21" s="99"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c r="AD21">
        <f>IF(OR(T21="",Y21="",AA21=""),"",IF(AND(T21="ALTA",OR(AA21="L0 Inexistente",AA21="L1 Inicial / Ad Hoc",Y21="No Iniciado")),"CRÍTICO - Incumplimiento Normativo SEPS",IF(AND(OR(AA21="L4 Gestionado y Medible",AA21="L5 Optimizado"),AND(AC21&lt;&gt;"",AC21&lt;&gt;"N/A")),"CONFORME - Control Efectivo ISO 27001","OBSERVACIÓN - Revisar Controles")))</f>
        <v/>
      </c>
    </row>
    <row r="22">
      <c r="A22" s="99"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c r="AD22">
        <f>IF(OR(T22="",Y22="",AA22=""),"",IF(AND(T22="ALTA",OR(AA22="L0 Inexistente",AA22="L1 Inicial / Ad Hoc",Y22="No Iniciado")),"CRÍTICO - Incumplimiento Normativo SEPS",IF(AND(OR(AA22="L4 Gestionado y Medible",AA22="L5 Optimizado"),AND(AC22&lt;&gt;"",AC22&lt;&gt;"N/A")),"CONFORME - Control Efectivo ISO 27001","OBSERVACIÓN - Revisar Controles")))</f>
        <v/>
      </c>
    </row>
    <row r="23">
      <c r="A23" s="99"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c r="AD23">
        <f>IF(OR(T23="",Y23="",AA23=""),"",IF(AND(T23="ALTA",OR(AA23="L0 Inexistente",AA23="L1 Inicial / Ad Hoc",Y23="No Iniciado")),"CRÍTICO - Incumplimiento Normativo SEPS",IF(AND(OR(AA23="L4 Gestionado y Medible",AA23="L5 Optimizado"),AND(AC23&lt;&gt;"",AC23&lt;&gt;"N/A")),"CONFORME - Control Efectivo ISO 27001","OBSERVACIÓN - Revisar Controles")))</f>
        <v/>
      </c>
    </row>
    <row r="24">
      <c r="A24" s="99"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c r="AD24">
        <f>IF(OR(T24="",Y24="",AA24=""),"",IF(AND(T24="ALTA",OR(AA24="L0 Inexistente",AA24="L1 Inicial / Ad Hoc",Y24="No Iniciado")),"CRÍTICO - Incumplimiento Normativo SEPS",IF(AND(OR(AA24="L4 Gestionado y Medible",AA24="L5 Optimizado"),AND(AC24&lt;&gt;"",AC24&lt;&gt;"N/A")),"CONFORME - Control Efectivo ISO 27001","OBSERVACIÓN - Revisar Controles")))</f>
        <v/>
      </c>
    </row>
    <row r="25">
      <c r="A25" s="99"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c r="AD25">
        <f>IF(OR(T25="",Y25="",AA25=""),"",IF(AND(T25="ALTA",OR(AA25="L0 Inexistente",AA25="L1 Inicial / Ad Hoc",Y25="No Iniciado")),"CRÍTICO - Incumplimiento Normativo SEPS",IF(AND(OR(AA25="L4 Gestionado y Medible",AA25="L5 Optimizado"),AND(AC25&lt;&gt;"",AC25&lt;&gt;"N/A")),"CONFORME - Control Efectivo ISO 27001","OBSERVACIÓN - Revisar Controles")))</f>
        <v/>
      </c>
    </row>
    <row r="26">
      <c r="A26" s="99"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c r="AD26">
        <f>IF(OR(T26="",Y26="",AA26=""),"",IF(AND(T26="ALTA",OR(AA26="L0 Inexistente",AA26="L1 Inicial / Ad Hoc",Y26="No Iniciado")),"CRÍTICO - Incumplimiento Normativo SEPS",IF(AND(OR(AA26="L4 Gestionado y Medible",AA26="L5 Optimizado"),AND(AC26&lt;&gt;"",AC26&lt;&gt;"N/A")),"CONFORME - Control Efectivo ISO 27001","OBSERVACIÓN - Revisar Controles")))</f>
        <v/>
      </c>
    </row>
    <row r="27">
      <c r="A27" s="99"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c r="AD27">
        <f>IF(OR(T27="",Y27="",AA27=""),"",IF(AND(T27="ALTA",OR(AA27="L0 Inexistente",AA27="L1 Inicial / Ad Hoc",Y27="No Iniciado")),"CRÍTICO - Incumplimiento Normativo SEPS",IF(AND(OR(AA27="L4 Gestionado y Medible",AA27="L5 Optimizado"),AND(AC27&lt;&gt;"",AC27&lt;&gt;"N/A")),"CONFORME - Control Efectivo ISO 27001","OBSERVACIÓN - Revisar Controles")))</f>
        <v/>
      </c>
    </row>
    <row r="28">
      <c r="A28" s="99"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c r="AD28">
        <f>IF(OR(T28="",Y28="",AA28=""),"",IF(AND(T28="ALTA",OR(AA28="L0 Inexistente",AA28="L1 Inicial / Ad Hoc",Y28="No Iniciado")),"CRÍTICO - Incumplimiento Normativo SEPS",IF(AND(OR(AA28="L4 Gestionado y Medible",AA28="L5 Optimizado"),AND(AC28&lt;&gt;"",AC28&lt;&gt;"N/A")),"CONFORME - Control Efectivo ISO 27001","OBSERVACIÓN - Revisar Controles")))</f>
        <v/>
      </c>
    </row>
    <row r="29">
      <c r="A29" s="99"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c r="AD29">
        <f>IF(OR(T29="",Y29="",AA29=""),"",IF(AND(T29="ALTA",OR(AA29="L0 Inexistente",AA29="L1 Inicial / Ad Hoc",Y29="No Iniciado")),"CRÍTICO - Incumplimiento Normativo SEPS",IF(AND(OR(AA29="L4 Gestionado y Medible",AA29="L5 Optimizado"),AND(AC29&lt;&gt;"",AC29&lt;&gt;"N/A")),"CONFORME - Control Efectivo ISO 27001","OBSERVACIÓN - Revisar Controles")))</f>
        <v/>
      </c>
    </row>
    <row r="30">
      <c r="A30" s="99"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c r="AD30">
        <f>IF(OR(T30="",Y30="",AA30=""),"",IF(AND(T30="ALTA",OR(AA30="L0 Inexistente",AA30="L1 Inicial / Ad Hoc",Y30="No Iniciado")),"CRÍTICO - Incumplimiento Normativo SEPS",IF(AND(OR(AA30="L4 Gestionado y Medible",AA30="L5 Optimizado"),AND(AC30&lt;&gt;"",AC30&lt;&gt;"N/A")),"CONFORME - Control Efectivo ISO 27001","OBSERVACIÓN - Revisar Controles")))</f>
        <v/>
      </c>
    </row>
    <row r="31">
      <c r="A31" s="99"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c r="AD31">
        <f>IF(OR(T31="",Y31="",AA31=""),"",IF(AND(T31="ALTA",OR(AA31="L0 Inexistente",AA31="L1 Inicial / Ad Hoc",Y31="No Iniciado")),"CRÍTICO - Incumplimiento Normativo SEPS",IF(AND(OR(AA31="L4 Gestionado y Medible",AA31="L5 Optimizado"),AND(AC31&lt;&gt;"",AC31&lt;&gt;"N/A")),"CONFORME - Control Efectivo ISO 27001","OBSERVACIÓN - Revisar Controles")))</f>
        <v/>
      </c>
    </row>
    <row r="32">
      <c r="A32" s="99"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c r="AD32">
        <f>IF(OR(T32="",Y32="",AA32=""),"",IF(AND(T32="ALTA",OR(AA32="L0 Inexistente",AA32="L1 Inicial / Ad Hoc",Y32="No Iniciado")),"CRÍTICO - Incumplimiento Normativo SEPS",IF(AND(OR(AA32="L4 Gestionado y Medible",AA32="L5 Optimizado"),AND(AC32&lt;&gt;"",AC32&lt;&gt;"N/A")),"CONFORME - Control Efectivo ISO 27001","OBSERVACIÓN - Revisar Controles")))</f>
        <v/>
      </c>
    </row>
    <row r="33">
      <c r="A33" s="99"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c r="AD33">
        <f>IF(OR(T33="",Y33="",AA33=""),"",IF(AND(T33="ALTA",OR(AA33="L0 Inexistente",AA33="L1 Inicial / Ad Hoc",Y33="No Iniciado")),"CRÍTICO - Incumplimiento Normativo SEPS",IF(AND(OR(AA33="L4 Gestionado y Medible",AA33="L5 Optimizado"),AND(AC33&lt;&gt;"",AC33&lt;&gt;"N/A")),"CONFORME - Control Efectivo ISO 27001","OBSERVACIÓN - Revisar Controles")))</f>
        <v/>
      </c>
    </row>
    <row r="34">
      <c r="A34" s="99"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c r="AD34">
        <f>IF(OR(T34="",Y34="",AA34=""),"",IF(AND(T34="ALTA",OR(AA34="L0 Inexistente",AA34="L1 Inicial / Ad Hoc",Y34="No Iniciado")),"CRÍTICO - Incumplimiento Normativo SEPS",IF(AND(OR(AA34="L4 Gestionado y Medible",AA34="L5 Optimizado"),AND(AC34&lt;&gt;"",AC34&lt;&gt;"N/A")),"CONFORME - Control Efectivo ISO 27001","OBSERVACIÓN - Revisar Controles")))</f>
        <v/>
      </c>
    </row>
    <row r="35">
      <c r="A35" s="99"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c r="AD35">
        <f>IF(OR(T35="",Y35="",AA35=""),"",IF(AND(T35="ALTA",OR(AA35="L0 Inexistente",AA35="L1 Inicial / Ad Hoc",Y35="No Iniciado")),"CRÍTICO - Incumplimiento Normativo SEPS",IF(AND(OR(AA35="L4 Gestionado y Medible",AA35="L5 Optimizado"),AND(AC35&lt;&gt;"",AC35&lt;&gt;"N/A")),"CONFORME - Control Efectivo ISO 27001","OBSERVACIÓN - Revisar Controles")))</f>
        <v/>
      </c>
    </row>
    <row r="36">
      <c r="A36" s="99"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c r="AD36">
        <f>IF(OR(T36="",Y36="",AA36=""),"",IF(AND(T36="ALTA",OR(AA36="L0 Inexistente",AA36="L1 Inicial / Ad Hoc",Y36="No Iniciado")),"CRÍTICO - Incumplimiento Normativo SEPS",IF(AND(OR(AA36="L4 Gestionado y Medible",AA36="L5 Optimizado"),AND(AC36&lt;&gt;"",AC36&lt;&gt;"N/A")),"CONFORME - Control Efectivo ISO 27001","OBSERVACIÓN - Revisar Controles")))</f>
        <v/>
      </c>
    </row>
    <row r="37">
      <c r="A37" s="99"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c r="AD37">
        <f>IF(OR(T37="",Y37="",AA37=""),"",IF(AND(T37="ALTA",OR(AA37="L0 Inexistente",AA37="L1 Inicial / Ad Hoc",Y37="No Iniciado")),"CRÍTICO - Incumplimiento Normativo SEPS",IF(AND(OR(AA37="L4 Gestionado y Medible",AA37="L5 Optimizado"),AND(AC37&lt;&gt;"",AC37&lt;&gt;"N/A")),"CONFORME - Control Efectivo ISO 27001","OBSERVACIÓN - Revisar Controles")))</f>
        <v/>
      </c>
    </row>
    <row r="38">
      <c r="A38" s="99"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c r="AD38">
        <f>IF(OR(T38="",Y38="",AA38=""),"",IF(AND(T38="ALTA",OR(AA38="L0 Inexistente",AA38="L1 Inicial / Ad Hoc",Y38="No Iniciado")),"CRÍTICO - Incumplimiento Normativo SEPS",IF(AND(OR(AA38="L4 Gestionado y Medible",AA38="L5 Optimizado"),AND(AC38&lt;&gt;"",AC38&lt;&gt;"N/A")),"CONFORME - Control Efectivo ISO 27001","OBSERVACIÓN - Revisar Controles")))</f>
        <v/>
      </c>
    </row>
    <row r="39">
      <c r="A39" s="99"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c r="AD39">
        <f>IF(OR(T39="",Y39="",AA39=""),"",IF(AND(T39="ALTA",OR(AA39="L0 Inexistente",AA39="L1 Inicial / Ad Hoc",Y39="No Iniciado")),"CRÍTICO - Incumplimiento Normativo SEPS",IF(AND(OR(AA39="L4 Gestionado y Medible",AA39="L5 Optimizado"),AND(AC39&lt;&gt;"",AC39&lt;&gt;"N/A")),"CONFORME - Control Efectivo ISO 27001","OBSERVACIÓN - Revisar Controles")))</f>
        <v/>
      </c>
    </row>
    <row r="40">
      <c r="A40" s="99"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c r="AD40">
        <f>IF(OR(T40="",Y40="",AA40=""),"",IF(AND(T40="ALTA",OR(AA40="L0 Inexistente",AA40="L1 Inicial / Ad Hoc",Y40="No Iniciado")),"CRÍTICO - Incumplimiento Normativo SEPS",IF(AND(OR(AA40="L4 Gestionado y Medible",AA40="L5 Optimizado"),AND(AC40&lt;&gt;"",AC40&lt;&gt;"N/A")),"CONFORME - Control Efectivo ISO 27001","OBSERVACIÓN - Revisar Controles")))</f>
        <v/>
      </c>
    </row>
    <row r="41">
      <c r="A41" s="99"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c r="AD41">
        <f>IF(OR(T41="",Y41="",AA41=""),"",IF(AND(T41="ALTA",OR(AA41="L0 Inexistente",AA41="L1 Inicial / Ad Hoc",Y41="No Iniciado")),"CRÍTICO - Incumplimiento Normativo SEPS",IF(AND(OR(AA41="L4 Gestionado y Medible",AA41="L5 Optimizado"),AND(AC41&lt;&gt;"",AC41&lt;&gt;"N/A")),"CONFORME - Control Efectivo ISO 27001","OBSERVACIÓN - Revisar Controles")))</f>
        <v/>
      </c>
    </row>
    <row r="42">
      <c r="A42" s="99"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c r="AD42">
        <f>IF(OR(T42="",Y42="",AA42=""),"",IF(AND(T42="ALTA",OR(AA42="L0 Inexistente",AA42="L1 Inicial / Ad Hoc",Y42="No Iniciado")),"CRÍTICO - Incumplimiento Normativo SEPS",IF(AND(OR(AA42="L4 Gestionado y Medible",AA42="L5 Optimizado"),AND(AC42&lt;&gt;"",AC42&lt;&gt;"N/A")),"CONFORME - Control Efectivo ISO 27001","OBSERVACIÓN - Revisar Controles")))</f>
        <v/>
      </c>
    </row>
    <row r="43">
      <c r="A43" s="99"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c r="AD43">
        <f>IF(OR(T43="",Y43="",AA43=""),"",IF(AND(T43="ALTA",OR(AA43="L0 Inexistente",AA43="L1 Inicial / Ad Hoc",Y43="No Iniciado")),"CRÍTICO - Incumplimiento Normativo SEPS",IF(AND(OR(AA43="L4 Gestionado y Medible",AA43="L5 Optimizado"),AND(AC43&lt;&gt;"",AC43&lt;&gt;"N/A")),"CONFORME - Control Efectivo ISO 27001","OBSERVACIÓN - Revisar Controles")))</f>
        <v/>
      </c>
    </row>
    <row r="44">
      <c r="A44" s="99"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c r="AD44">
        <f>IF(OR(T44="",Y44="",AA44=""),"",IF(AND(T44="ALTA",OR(AA44="L0 Inexistente",AA44="L1 Inicial / Ad Hoc",Y44="No Iniciado")),"CRÍTICO - Incumplimiento Normativo SEPS",IF(AND(OR(AA44="L4 Gestionado y Medible",AA44="L5 Optimizado"),AND(AC44&lt;&gt;"",AC44&lt;&gt;"N/A")),"CONFORME - Control Efectivo ISO 27001","OBSERVACIÓN - Revisar Controles")))</f>
        <v/>
      </c>
    </row>
    <row r="45">
      <c r="A45" s="99"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c r="AD45">
        <f>IF(OR(T45="",Y45="",AA45=""),"",IF(AND(T45="ALTA",OR(AA45="L0 Inexistente",AA45="L1 Inicial / Ad Hoc",Y45="No Iniciado")),"CRÍTICO - Incumplimiento Normativo SEPS",IF(AND(OR(AA45="L4 Gestionado y Medible",AA45="L5 Optimizado"),AND(AC45&lt;&gt;"",AC45&lt;&gt;"N/A")),"CONFORME - Control Efectivo ISO 27001","OBSERVACIÓN - Revisar Controles")))</f>
        <v/>
      </c>
    </row>
    <row r="46">
      <c r="A46" s="99"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c r="AD46">
        <f>IF(OR(T46="",Y46="",AA46=""),"",IF(AND(T46="ALTA",OR(AA46="L0 Inexistente",AA46="L1 Inicial / Ad Hoc",Y46="No Iniciado")),"CRÍTICO - Incumplimiento Normativo SEPS",IF(AND(OR(AA46="L4 Gestionado y Medible",AA46="L5 Optimizado"),AND(AC46&lt;&gt;"",AC46&lt;&gt;"N/A")),"CONFORME - Control Efectivo ISO 27001","OBSERVACIÓN - Revisar Controles")))</f>
        <v/>
      </c>
    </row>
    <row r="47">
      <c r="A47" s="99"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c r="AD47">
        <f>IF(OR(T47="",Y47="",AA47=""),"",IF(AND(T47="ALTA",OR(AA47="L0 Inexistente",AA47="L1 Inicial / Ad Hoc",Y47="No Iniciado")),"CRÍTICO - Incumplimiento Normativo SEPS",IF(AND(OR(AA47="L4 Gestionado y Medible",AA47="L5 Optimizado"),AND(AC47&lt;&gt;"",AC47&lt;&gt;"N/A")),"CONFORME - Control Efectivo ISO 27001","OBSERVACIÓN - Revisar Controles")))</f>
        <v/>
      </c>
    </row>
    <row r="48">
      <c r="A48" s="99"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c r="AD48">
        <f>IF(OR(T48="",Y48="",AA48=""),"",IF(AND(T48="ALTA",OR(AA48="L0 Inexistente",AA48="L1 Inicial / Ad Hoc",Y48="No Iniciado")),"CRÍTICO - Incumplimiento Normativo SEPS",IF(AND(OR(AA48="L4 Gestionado y Medible",AA48="L5 Optimizado"),AND(AC48&lt;&gt;"",AC48&lt;&gt;"N/A")),"CONFORME - Control Efectivo ISO 27001","OBSERVACIÓN - Revisar Controles")))</f>
        <v/>
      </c>
    </row>
    <row r="49">
      <c r="A49" s="99"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c r="AD49">
        <f>IF(OR(T49="",Y49="",AA49=""),"",IF(AND(T49="ALTA",OR(AA49="L0 Inexistente",AA49="L1 Inicial / Ad Hoc",Y49="No Iniciado")),"CRÍTICO - Incumplimiento Normativo SEPS",IF(AND(OR(AA49="L4 Gestionado y Medible",AA49="L5 Optimizado"),AND(AC49&lt;&gt;"",AC49&lt;&gt;"N/A")),"CONFORME - Control Efectivo ISO 27001","OBSERVACIÓN - Revisar Controles")))</f>
        <v/>
      </c>
    </row>
    <row r="50">
      <c r="A50" s="99"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c r="AD50">
        <f>IF(OR(T50="",Y50="",AA50=""),"",IF(AND(T50="ALTA",OR(AA50="L0 Inexistente",AA50="L1 Inicial / Ad Hoc",Y50="No Iniciado")),"CRÍTICO - Incumplimiento Normativo SEPS",IF(AND(OR(AA50="L4 Gestionado y Medible",AA50="L5 Optimizado"),AND(AC50&lt;&gt;"",AC50&lt;&gt;"N/A")),"CONFORME - Control Efectivo ISO 27001","OBSERVACIÓN - Revisar Controles")))</f>
        <v/>
      </c>
    </row>
    <row r="51">
      <c r="A51" s="99"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c r="AD51">
        <f>IF(OR(T51="",Y51="",AA51=""),"",IF(AND(T51="ALTA",OR(AA51="L0 Inexistente",AA51="L1 Inicial / Ad Hoc",Y51="No Iniciado")),"CRÍTICO - Incumplimiento Normativo SEPS",IF(AND(OR(AA51="L4 Gestionado y Medible",AA51="L5 Optimizado"),AND(AC51&lt;&gt;"",AC51&lt;&gt;"N/A")),"CONFORME - Control Efectivo ISO 27001","OBSERVACIÓN - Revisar Controles")))</f>
        <v/>
      </c>
    </row>
    <row r="52">
      <c r="A52" s="99"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c r="AD52">
        <f>IF(OR(T52="",Y52="",AA52=""),"",IF(AND(T52="ALTA",OR(AA52="L0 Inexistente",AA52="L1 Inicial / Ad Hoc",Y52="No Iniciado")),"CRÍTICO - Incumplimiento Normativo SEPS",IF(AND(OR(AA52="L4 Gestionado y Medible",AA52="L5 Optimizado"),AND(AC52&lt;&gt;"",AC52&lt;&gt;"N/A")),"CONFORME - Control Efectivo ISO 27001","OBSERVACIÓN - Revisar Controles")))</f>
        <v/>
      </c>
    </row>
    <row r="53">
      <c r="A53" s="99"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c r="AD53">
        <f>IF(OR(T53="",Y53="",AA53=""),"",IF(AND(T53="ALTA",OR(AA53="L0 Inexistente",AA53="L1 Inicial / Ad Hoc",Y53="No Iniciado")),"CRÍTICO - Incumplimiento Normativo SEPS",IF(AND(OR(AA53="L4 Gestionado y Medible",AA53="L5 Optimizado"),AND(AC53&lt;&gt;"",AC53&lt;&gt;"N/A")),"CONFORME - Control Efectivo ISO 27001","OBSERVACIÓN - Revisar Controles")))</f>
        <v/>
      </c>
    </row>
    <row r="54">
      <c r="A54" s="99"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c r="AD54">
        <f>IF(OR(T54="",Y54="",AA54=""),"",IF(AND(T54="ALTA",OR(AA54="L0 Inexistente",AA54="L1 Inicial / Ad Hoc",Y54="No Iniciado")),"CRÍTICO - Incumplimiento Normativo SEPS",IF(AND(OR(AA54="L4 Gestionado y Medible",AA54="L5 Optimizado"),AND(AC54&lt;&gt;"",AC54&lt;&gt;"N/A")),"CONFORME - Control Efectivo ISO 27001","OBSERVACIÓN - Revisar Controles")))</f>
        <v/>
      </c>
    </row>
    <row r="55">
      <c r="A55" s="99"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c r="AD55">
        <f>IF(OR(T55="",Y55="",AA55=""),"",IF(AND(T55="ALTA",OR(AA55="L0 Inexistente",AA55="L1 Inicial / Ad Hoc",Y55="No Iniciado")),"CRÍTICO - Incumplimiento Normativo SEPS",IF(AND(OR(AA55="L4 Gestionado y Medible",AA55="L5 Optimizado"),AND(AC55&lt;&gt;"",AC55&lt;&gt;"N/A")),"CONFORME - Control Efectivo ISO 27001","OBSERVACIÓN - Revisar Controles")))</f>
        <v/>
      </c>
    </row>
    <row r="56">
      <c r="A56" s="99"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c r="AD56">
        <f>IF(OR(T56="",Y56="",AA56=""),"",IF(AND(T56="ALTA",OR(AA56="L0 Inexistente",AA56="L1 Inicial / Ad Hoc",Y56="No Iniciado")),"CRÍTICO - Incumplimiento Normativo SEPS",IF(AND(OR(AA56="L4 Gestionado y Medible",AA56="L5 Optimizado"),AND(AC56&lt;&gt;"",AC56&lt;&gt;"N/A")),"CONFORME - Control Efectivo ISO 27001","OBSERVACIÓN - Revisar Controles")))</f>
        <v/>
      </c>
    </row>
    <row r="57">
      <c r="A57" s="99"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c r="AD57">
        <f>IF(OR(T57="",Y57="",AA57=""),"",IF(AND(T57="ALTA",OR(AA57="L0 Inexistente",AA57="L1 Inicial / Ad Hoc",Y57="No Iniciado")),"CRÍTICO - Incumplimiento Normativo SEPS",IF(AND(OR(AA57="L4 Gestionado y Medible",AA57="L5 Optimizado"),AND(AC57&lt;&gt;"",AC57&lt;&gt;"N/A")),"CONFORME - Control Efectivo ISO 27001","OBSERVACIÓN - Revisar Controles")))</f>
        <v/>
      </c>
    </row>
    <row r="58">
      <c r="A58" s="99"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c r="AD58">
        <f>IF(OR(T58="",Y58="",AA58=""),"",IF(AND(T58="ALTA",OR(AA58="L0 Inexistente",AA58="L1 Inicial / Ad Hoc",Y58="No Iniciado")),"CRÍTICO - Incumplimiento Normativo SEPS",IF(AND(OR(AA58="L4 Gestionado y Medible",AA58="L5 Optimizado"),AND(AC58&lt;&gt;"",AC58&lt;&gt;"N/A")),"CONFORME - Control Efectivo ISO 27001","OBSERVACIÓN - Revisar Controles")))</f>
        <v/>
      </c>
    </row>
    <row r="59">
      <c r="A59" s="99"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c r="AD59">
        <f>IF(OR(T59="",Y59="",AA59=""),"",IF(AND(T59="ALTA",OR(AA59="L0 Inexistente",AA59="L1 Inicial / Ad Hoc",Y59="No Iniciado")),"CRÍTICO - Incumplimiento Normativo SEPS",IF(AND(OR(AA59="L4 Gestionado y Medible",AA59="L5 Optimizado"),AND(AC59&lt;&gt;"",AC59&lt;&gt;"N/A")),"CONFORME - Control Efectivo ISO 27001","OBSERVACIÓN - Revisar Controles")))</f>
        <v/>
      </c>
    </row>
    <row r="60">
      <c r="A60" s="99"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c r="AD60">
        <f>IF(OR(T60="",Y60="",AA60=""),"",IF(AND(T60="ALTA",OR(AA60="L0 Inexistente",AA60="L1 Inicial / Ad Hoc",Y60="No Iniciado")),"CRÍTICO - Incumplimiento Normativo SEPS",IF(AND(OR(AA60="L4 Gestionado y Medible",AA60="L5 Optimizado"),AND(AC60&lt;&gt;"",AC60&lt;&gt;"N/A")),"CONFORME - Control Efectivo ISO 27001","OBSERVACIÓN - Revisar Controles")))</f>
        <v/>
      </c>
    </row>
    <row r="61">
      <c r="A61" s="99"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c r="AD61">
        <f>IF(OR(T61="",Y61="",AA61=""),"",IF(AND(T61="ALTA",OR(AA61="L0 Inexistente",AA61="L1 Inicial / Ad Hoc",Y61="No Iniciado")),"CRÍTICO - Incumplimiento Normativo SEPS",IF(AND(OR(AA61="L4 Gestionado y Medible",AA61="L5 Optimizado"),AND(AC61&lt;&gt;"",AC61&lt;&gt;"N/A")),"CONFORME - Control Efectivo ISO 27001","OBSERVACIÓN - Revisar Controles")))</f>
        <v/>
      </c>
    </row>
    <row r="62">
      <c r="A62" s="99"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c r="AD62">
        <f>IF(OR(T62="",Y62="",AA62=""),"",IF(AND(T62="ALTA",OR(AA62="L0 Inexistente",AA62="L1 Inicial / Ad Hoc",Y62="No Iniciado")),"CRÍTICO - Incumplimiento Normativo SEPS",IF(AND(OR(AA62="L4 Gestionado y Medible",AA62="L5 Optimizado"),AND(AC62&lt;&gt;"",AC62&lt;&gt;"N/A")),"CONFORME - Control Efectivo ISO 27001","OBSERVACIÓN - Revisar Controles")))</f>
        <v/>
      </c>
    </row>
    <row r="63">
      <c r="A63" s="99"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c r="AD63">
        <f>IF(OR(T63="",Y63="",AA63=""),"",IF(AND(T63="ALTA",OR(AA63="L0 Inexistente",AA63="L1 Inicial / Ad Hoc",Y63="No Iniciado")),"CRÍTICO - Incumplimiento Normativo SEPS",IF(AND(OR(AA63="L4 Gestionado y Medible",AA63="L5 Optimizado"),AND(AC63&lt;&gt;"",AC63&lt;&gt;"N/A")),"CONFORME - Control Efectivo ISO 27001","OBSERVACIÓN - Revisar Controles")))</f>
        <v/>
      </c>
    </row>
    <row r="64">
      <c r="A64" s="99"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c r="AD64">
        <f>IF(OR(T64="",Y64="",AA64=""),"",IF(AND(T64="ALTA",OR(AA64="L0 Inexistente",AA64="L1 Inicial / Ad Hoc",Y64="No Iniciado")),"CRÍTICO - Incumplimiento Normativo SEPS",IF(AND(OR(AA64="L4 Gestionado y Medible",AA64="L5 Optimizado"),AND(AC64&lt;&gt;"",AC64&lt;&gt;"N/A")),"CONFORME - Control Efectivo ISO 27001","OBSERVACIÓN - Revisar Controles")))</f>
        <v/>
      </c>
    </row>
    <row r="65">
      <c r="A65" s="99"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c r="AD65">
        <f>IF(OR(T65="",Y65="",AA65=""),"",IF(AND(T65="ALTA",OR(AA65="L0 Inexistente",AA65="L1 Inicial / Ad Hoc",Y65="No Iniciado")),"CRÍTICO - Incumplimiento Normativo SEPS",IF(AND(OR(AA65="L4 Gestionado y Medible",AA65="L5 Optimizado"),AND(AC65&lt;&gt;"",AC65&lt;&gt;"N/A")),"CONFORME - Control Efectivo ISO 27001","OBSERVACIÓN - Revisar Controles")))</f>
        <v/>
      </c>
    </row>
    <row r="66">
      <c r="A66" s="99"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c r="AD66">
        <f>IF(OR(T66="",Y66="",AA66=""),"",IF(AND(T66="ALTA",OR(AA66="L0 Inexistente",AA66="L1 Inicial / Ad Hoc",Y66="No Iniciado")),"CRÍTICO - Incumplimiento Normativo SEPS",IF(AND(OR(AA66="L4 Gestionado y Medible",AA66="L5 Optimizado"),AND(AC66&lt;&gt;"",AC66&lt;&gt;"N/A")),"CONFORME - Control Efectivo ISO 27001","OBSERVACIÓN - Revisar Controles")))</f>
        <v/>
      </c>
    </row>
    <row r="67">
      <c r="A67" s="99"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c r="AD67">
        <f>IF(OR(T67="",Y67="",AA67=""),"",IF(AND(T67="ALTA",OR(AA67="L0 Inexistente",AA67="L1 Inicial / Ad Hoc",Y67="No Iniciado")),"CRÍTICO - Incumplimiento Normativo SEPS",IF(AND(OR(AA67="L4 Gestionado y Medible",AA67="L5 Optimizado"),AND(AC67&lt;&gt;"",AC67&lt;&gt;"N/A")),"CONFORME - Control Efectivo ISO 27001","OBSERVACIÓN - Revisar Controles")))</f>
        <v/>
      </c>
    </row>
    <row r="68">
      <c r="A68" s="99"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c r="AD68">
        <f>IF(OR(T68="",Y68="",AA68=""),"",IF(AND(T68="ALTA",OR(AA68="L0 Inexistente",AA68="L1 Inicial / Ad Hoc",Y68="No Iniciado")),"CRÍTICO - Incumplimiento Normativo SEPS",IF(AND(OR(AA68="L4 Gestionado y Medible",AA68="L5 Optimizado"),AND(AC68&lt;&gt;"",AC68&lt;&gt;"N/A")),"CONFORME - Control Efectivo ISO 27001","OBSERVACIÓN - Revisar Controles")))</f>
        <v/>
      </c>
    </row>
    <row r="69">
      <c r="A69" s="99"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c r="AD69">
        <f>IF(OR(T69="",Y69="",AA69=""),"",IF(AND(T69="ALTA",OR(AA69="L0 Inexistente",AA69="L1 Inicial / Ad Hoc",Y69="No Iniciado")),"CRÍTICO - Incumplimiento Normativo SEPS",IF(AND(OR(AA69="L4 Gestionado y Medible",AA69="L5 Optimizado"),AND(AC69&lt;&gt;"",AC69&lt;&gt;"N/A")),"CONFORME - Control Efectivo ISO 27001","OBSERVACIÓN - Revisar Controles")))</f>
        <v/>
      </c>
    </row>
    <row r="70">
      <c r="A70" s="99"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c r="AD70">
        <f>IF(OR(T70="",Y70="",AA70=""),"",IF(AND(T70="ALTA",OR(AA70="L0 Inexistente",AA70="L1 Inicial / Ad Hoc",Y70="No Iniciado")),"CRÍTICO - Incumplimiento Normativo SEPS",IF(AND(OR(AA70="L4 Gestionado y Medible",AA70="L5 Optimizado"),AND(AC70&lt;&gt;"",AC70&lt;&gt;"N/A")),"CONFORME - Control Efectivo ISO 27001","OBSERVACIÓN - Revisar Controles")))</f>
        <v/>
      </c>
    </row>
    <row r="71">
      <c r="A71" s="99"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c r="AD71">
        <f>IF(OR(T71="",Y71="",AA71=""),"",IF(AND(T71="ALTA",OR(AA71="L0 Inexistente",AA71="L1 Inicial / Ad Hoc",Y71="No Iniciado")),"CRÍTICO - Incumplimiento Normativo SEPS",IF(AND(OR(AA71="L4 Gestionado y Medible",AA71="L5 Optimizado"),AND(AC71&lt;&gt;"",AC71&lt;&gt;"N/A")),"CONFORME - Control Efectivo ISO 27001","OBSERVACIÓN - Revisar Controles")))</f>
        <v/>
      </c>
    </row>
    <row r="72">
      <c r="A72" s="99"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c r="AD72">
        <f>IF(OR(T72="",Y72="",AA72=""),"",IF(AND(T72="ALTA",OR(AA72="L0 Inexistente",AA72="L1 Inicial / Ad Hoc",Y72="No Iniciado")),"CRÍTICO - Incumplimiento Normativo SEPS",IF(AND(OR(AA72="L4 Gestionado y Medible",AA72="L5 Optimizado"),AND(AC72&lt;&gt;"",AC72&lt;&gt;"N/A")),"CONFORME - Control Efectivo ISO 27001","OBSERVACIÓN - Revisar Controles")))</f>
        <v/>
      </c>
    </row>
    <row r="73" ht="41.1" customHeight="1" s="106">
      <c r="A73" s="99"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c r="AD73">
        <f>IF(OR(T73="",Y73="",AA73=""),"",IF(AND(T73="ALTA",OR(AA73="L0 Inexistente",AA73="L1 Inicial / Ad Hoc",Y73="No Iniciado")),"CRÍTICO - Incumplimiento Normativo SEPS",IF(AND(OR(AA73="L4 Gestionado y Medible",AA73="L5 Optimizado"),AND(AC73&lt;&gt;"",AC73&lt;&gt;"N/A")),"CONFORME - Control Efectivo ISO 27001","OBSERVACIÓN - Revisar Controles")))</f>
        <v/>
      </c>
    </row>
    <row r="74">
      <c r="A74" s="99"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c r="AD74">
        <f>IF(OR(T74="",Y74="",AA74=""),"",IF(AND(T74="ALTA",OR(AA74="L0 Inexistente",AA74="L1 Inicial / Ad Hoc",Y74="No Iniciado")),"CRÍTICO - Incumplimiento Normativo SEPS",IF(AND(OR(AA74="L4 Gestionado y Medible",AA74="L5 Optimizado"),AND(AC74&lt;&gt;"",AC74&lt;&gt;"N/A")),"CONFORME - Control Efectivo ISO 27001","OBSERVACIÓN - Revisar Controles")))</f>
        <v/>
      </c>
    </row>
    <row r="75">
      <c r="A75" s="99"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c r="AD75">
        <f>IF(OR(T75="",Y75="",AA75=""),"",IF(AND(T75="ALTA",OR(AA75="L0 Inexistente",AA75="L1 Inicial / Ad Hoc",Y75="No Iniciado")),"CRÍTICO - Incumplimiento Normativo SEPS",IF(AND(OR(AA75="L4 Gestionado y Medible",AA75="L5 Optimizado"),AND(AC75&lt;&gt;"",AC75&lt;&gt;"N/A")),"CONFORME - Control Efectivo ISO 27001","OBSERVACIÓN - Revisar Controles")))</f>
        <v/>
      </c>
    </row>
    <row r="76">
      <c r="A76" s="99"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c r="AD76">
        <f>IF(OR(T76="",Y76="",AA76=""),"",IF(AND(T76="ALTA",OR(AA76="L0 Inexistente",AA76="L1 Inicial / Ad Hoc",Y76="No Iniciado")),"CRÍTICO - Incumplimiento Normativo SEPS",IF(AND(OR(AA76="L4 Gestionado y Medible",AA76="L5 Optimizado"),AND(AC76&lt;&gt;"",AC76&lt;&gt;"N/A")),"CONFORME - Control Efectivo ISO 27001","OBSERVACIÓN - Revisar Controles")))</f>
        <v/>
      </c>
    </row>
    <row r="77">
      <c r="A77" s="99"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c r="AD77">
        <f>IF(OR(T77="",Y77="",AA77=""),"",IF(AND(T77="ALTA",OR(AA77="L0 Inexistente",AA77="L1 Inicial / Ad Hoc",Y77="No Iniciado")),"CRÍTICO - Incumplimiento Normativo SEPS",IF(AND(OR(AA77="L4 Gestionado y Medible",AA77="L5 Optimizado"),AND(AC77&lt;&gt;"",AC77&lt;&gt;"N/A")),"CONFORME - Control Efectivo ISO 27001","OBSERVACIÓN - Revisar Controles")))</f>
        <v/>
      </c>
    </row>
    <row r="78">
      <c r="A78" s="99"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c r="AD78">
        <f>IF(OR(T78="",Y78="",AA78=""),"",IF(AND(T78="ALTA",OR(AA78="L0 Inexistente",AA78="L1 Inicial / Ad Hoc",Y78="No Iniciado")),"CRÍTICO - Incumplimiento Normativo SEPS",IF(AND(OR(AA78="L4 Gestionado y Medible",AA78="L5 Optimizado"),AND(AC78&lt;&gt;"",AC78&lt;&gt;"N/A")),"CONFORME - Control Efectivo ISO 27001","OBSERVACIÓN - Revisar Controles")))</f>
        <v/>
      </c>
    </row>
    <row r="79">
      <c r="A79" s="99"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c r="AD79">
        <f>IF(OR(T79="",Y79="",AA79=""),"",IF(AND(T79="ALTA",OR(AA79="L0 Inexistente",AA79="L1 Inicial / Ad Hoc",Y79="No Iniciado")),"CRÍTICO - Incumplimiento Normativo SEPS",IF(AND(OR(AA79="L4 Gestionado y Medible",AA79="L5 Optimizado"),AND(AC79&lt;&gt;"",AC79&lt;&gt;"N/A")),"CONFORME - Control Efectivo ISO 27001","OBSERVACIÓN - Revisar Controles")))</f>
        <v/>
      </c>
    </row>
    <row r="80">
      <c r="A80" s="99"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c r="AD80">
        <f>IF(OR(T80="",Y80="",AA80=""),"",IF(AND(T80="ALTA",OR(AA80="L0 Inexistente",AA80="L1 Inicial / Ad Hoc",Y80="No Iniciado")),"CRÍTICO - Incumplimiento Normativo SEPS",IF(AND(OR(AA80="L4 Gestionado y Medible",AA80="L5 Optimizado"),AND(AC80&lt;&gt;"",AC80&lt;&gt;"N/A")),"CONFORME - Control Efectivo ISO 27001","OBSERVACIÓN - Revisar Controles")))</f>
        <v/>
      </c>
    </row>
    <row r="81">
      <c r="A81" s="99"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c r="AD81">
        <f>IF(OR(T81="",Y81="",AA81=""),"",IF(AND(T81="ALTA",OR(AA81="L0 Inexistente",AA81="L1 Inicial / Ad Hoc",Y81="No Iniciado")),"CRÍTICO - Incumplimiento Normativo SEPS",IF(AND(OR(AA81="L4 Gestionado y Medible",AA81="L5 Optimizado"),AND(AC81&lt;&gt;"",AC81&lt;&gt;"N/A")),"CONFORME - Control Efectivo ISO 27001","OBSERVACIÓN - Revisar Controles")))</f>
        <v/>
      </c>
    </row>
    <row r="82">
      <c r="A82" s="99"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c r="AD82">
        <f>IF(OR(T82="",Y82="",AA82=""),"",IF(AND(T82="ALTA",OR(AA82="L0 Inexistente",AA82="L1 Inicial / Ad Hoc",Y82="No Iniciado")),"CRÍTICO - Incumplimiento Normativo SEPS",IF(AND(OR(AA82="L4 Gestionado y Medible",AA82="L5 Optimizado"),AND(AC82&lt;&gt;"",AC82&lt;&gt;"N/A")),"CONFORME - Control Efectivo ISO 27001","OBSERVACIÓN - Revisar Controles")))</f>
        <v/>
      </c>
    </row>
    <row r="83">
      <c r="A83" s="99"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c r="AD83">
        <f>IF(OR(T83="",Y83="",AA83=""),"",IF(AND(T83="ALTA",OR(AA83="L0 Inexistente",AA83="L1 Inicial / Ad Hoc",Y83="No Iniciado")),"CRÍTICO - Incumplimiento Normativo SEPS",IF(AND(OR(AA83="L4 Gestionado y Medible",AA83="L5 Optimizado"),AND(AC83&lt;&gt;"",AC83&lt;&gt;"N/A")),"CONFORME - Control Efectivo ISO 27001","OBSERVACIÓN - Revisar Controles")))</f>
        <v/>
      </c>
    </row>
    <row r="84">
      <c r="A84" s="99"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c r="AD84">
        <f>IF(OR(T84="",Y84="",AA84=""),"",IF(AND(T84="ALTA",OR(AA84="L0 Inexistente",AA84="L1 Inicial / Ad Hoc",Y84="No Iniciado")),"CRÍTICO - Incumplimiento Normativo SEPS",IF(AND(OR(AA84="L4 Gestionado y Medible",AA84="L5 Optimizado"),AND(AC84&lt;&gt;"",AC84&lt;&gt;"N/A")),"CONFORME - Control Efectivo ISO 27001","OBSERVACIÓN - Revisar Controles")))</f>
        <v/>
      </c>
    </row>
    <row r="85">
      <c r="A85" s="99"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c r="AD85">
        <f>IF(OR(T85="",Y85="",AA85=""),"",IF(AND(T85="ALTA",OR(AA85="L0 Inexistente",AA85="L1 Inicial / Ad Hoc",Y85="No Iniciado")),"CRÍTICO - Incumplimiento Normativo SEPS",IF(AND(OR(AA85="L4 Gestionado y Medible",AA85="L5 Optimizado"),AND(AC85&lt;&gt;"",AC85&lt;&gt;"N/A")),"CONFORME - Control Efectivo ISO 27001","OBSERVACIÓN - Revisar Controles")))</f>
        <v/>
      </c>
    </row>
    <row r="86">
      <c r="A86" s="99"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c r="AD86">
        <f>IF(OR(T86="",Y86="",AA86=""),"",IF(AND(T86="ALTA",OR(AA86="L0 Inexistente",AA86="L1 Inicial / Ad Hoc",Y86="No Iniciado")),"CRÍTICO - Incumplimiento Normativo SEPS",IF(AND(OR(AA86="L4 Gestionado y Medible",AA86="L5 Optimizado"),AND(AC86&lt;&gt;"",AC86&lt;&gt;"N/A")),"CONFORME - Control Efectivo ISO 27001","OBSERVACIÓN - Revisar Controles")))</f>
        <v/>
      </c>
    </row>
    <row r="87">
      <c r="A87" s="99"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c r="AD87">
        <f>IF(OR(T87="",Y87="",AA87=""),"",IF(AND(T87="ALTA",OR(AA87="L0 Inexistente",AA87="L1 Inicial / Ad Hoc",Y87="No Iniciado")),"CRÍTICO - Incumplimiento Normativo SEPS",IF(AND(OR(AA87="L4 Gestionado y Medible",AA87="L5 Optimizado"),AND(AC87&lt;&gt;"",AC87&lt;&gt;"N/A")),"CONFORME - Control Efectivo ISO 27001","OBSERVACIÓN - Revisar Controles")))</f>
        <v/>
      </c>
    </row>
    <row r="88">
      <c r="A88" s="99"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c r="AD88">
        <f>IF(OR(T88="",Y88="",AA88=""),"",IF(AND(T88="ALTA",OR(AA88="L0 Inexistente",AA88="L1 Inicial / Ad Hoc",Y88="No Iniciado")),"CRÍTICO - Incumplimiento Normativo SEPS",IF(AND(OR(AA88="L4 Gestionado y Medible",AA88="L5 Optimizado"),AND(AC88&lt;&gt;"",AC88&lt;&gt;"N/A")),"CONFORME - Control Efectivo ISO 27001","OBSERVACIÓN - Revisar Controles")))</f>
        <v/>
      </c>
    </row>
    <row r="89">
      <c r="A89" s="99"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c r="AD89">
        <f>IF(OR(T89="",Y89="",AA89=""),"",IF(AND(T89="ALTA",OR(AA89="L0 Inexistente",AA89="L1 Inicial / Ad Hoc",Y89="No Iniciado")),"CRÍTICO - Incumplimiento Normativo SEPS",IF(AND(OR(AA89="L4 Gestionado y Medible",AA89="L5 Optimizado"),AND(AC89&lt;&gt;"",AC89&lt;&gt;"N/A")),"CONFORME - Control Efectivo ISO 27001","OBSERVACIÓN - Revisar Controles")))</f>
        <v/>
      </c>
    </row>
    <row r="90">
      <c r="A90" s="99"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c r="AD90">
        <f>IF(OR(T90="",Y90="",AA90=""),"",IF(AND(T90="ALTA",OR(AA90="L0 Inexistente",AA90="L1 Inicial / Ad Hoc",Y90="No Iniciado")),"CRÍTICO - Incumplimiento Normativo SEPS",IF(AND(OR(AA90="L4 Gestionado y Medible",AA90="L5 Optimizado"),AND(AC90&lt;&gt;"",AC90&lt;&gt;"N/A")),"CONFORME - Control Efectivo ISO 27001","OBSERVACIÓN - Revisar Controles")))</f>
        <v/>
      </c>
    </row>
    <row r="91">
      <c r="A91" s="99"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c r="AD91">
        <f>IF(OR(T91="",Y91="",AA91=""),"",IF(AND(T91="ALTA",OR(AA91="L0 Inexistente",AA91="L1 Inicial / Ad Hoc",Y91="No Iniciado")),"CRÍTICO - Incumplimiento Normativo SEPS",IF(AND(OR(AA91="L4 Gestionado y Medible",AA91="L5 Optimizado"),AND(AC91&lt;&gt;"",AC91&lt;&gt;"N/A")),"CONFORME - Control Efectivo ISO 27001","OBSERVACIÓN - Revisar Controles")))</f>
        <v/>
      </c>
    </row>
    <row r="92">
      <c r="A92" s="99"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c r="AD92">
        <f>IF(OR(T92="",Y92="",AA92=""),"",IF(AND(T92="ALTA",OR(AA92="L0 Inexistente",AA92="L1 Inicial / Ad Hoc",Y92="No Iniciado")),"CRÍTICO - Incumplimiento Normativo SEPS",IF(AND(OR(AA92="L4 Gestionado y Medible",AA92="L5 Optimizado"),AND(AC92&lt;&gt;"",AC92&lt;&gt;"N/A")),"CONFORME - Control Efectivo ISO 27001","OBSERVACIÓN - Revisar Controles")))</f>
        <v/>
      </c>
    </row>
    <row r="93">
      <c r="A93" s="99"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c r="AD93">
        <f>IF(OR(T93="",Y93="",AA93=""),"",IF(AND(T93="ALTA",OR(AA93="L0 Inexistente",AA93="L1 Inicial / Ad Hoc",Y93="No Iniciado")),"CRÍTICO - Incumplimiento Normativo SEPS",IF(AND(OR(AA93="L4 Gestionado y Medible",AA93="L5 Optimizado"),AND(AC93&lt;&gt;"",AC93&lt;&gt;"N/A")),"CONFORME - Control Efectivo ISO 27001","OBSERVACIÓN - Revisar Controles")))</f>
        <v/>
      </c>
    </row>
    <row r="94">
      <c r="A94" s="99"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c r="AD94">
        <f>IF(OR(T94="",Y94="",AA94=""),"",IF(AND(T94="ALTA",OR(AA94="L0 Inexistente",AA94="L1 Inicial / Ad Hoc",Y94="No Iniciado")),"CRÍTICO - Incumplimiento Normativo SEPS",IF(AND(OR(AA94="L4 Gestionado y Medible",AA94="L5 Optimizado"),AND(AC94&lt;&gt;"",AC94&lt;&gt;"N/A")),"CONFORME - Control Efectivo ISO 27001","OBSERVACIÓN - Revisar Controles")))</f>
        <v/>
      </c>
    </row>
    <row r="95">
      <c r="A95" s="99"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c r="AD95">
        <f>IF(OR(T95="",Y95="",AA95=""),"",IF(AND(T95="ALTA",OR(AA95="L0 Inexistente",AA95="L1 Inicial / Ad Hoc",Y95="No Iniciado")),"CRÍTICO - Incumplimiento Normativo SEPS",IF(AND(OR(AA95="L4 Gestionado y Medible",AA95="L5 Optimizado"),AND(AC95&lt;&gt;"",AC95&lt;&gt;"N/A")),"CONFORME - Control Efectivo ISO 27001","OBSERVACIÓN - Revisar Controles")))</f>
        <v/>
      </c>
    </row>
    <row r="96">
      <c r="A96" s="99"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c r="AD96">
        <f>IF(OR(T96="",Y96="",AA96=""),"",IF(AND(T96="ALTA",OR(AA96="L0 Inexistente",AA96="L1 Inicial / Ad Hoc",Y96="No Iniciado")),"CRÍTICO - Incumplimiento Normativo SEPS",IF(AND(OR(AA96="L4 Gestionado y Medible",AA96="L5 Optimizado"),AND(AC96&lt;&gt;"",AC96&lt;&gt;"N/A")),"CONFORME - Control Efectivo ISO 27001","OBSERVACIÓN - Revisar Controles")))</f>
        <v/>
      </c>
    </row>
    <row r="97">
      <c r="A97" s="99"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c r="AD97">
        <f>IF(OR(T97="",Y97="",AA97=""),"",IF(AND(T97="ALTA",OR(AA97="L0 Inexistente",AA97="L1 Inicial / Ad Hoc",Y97="No Iniciado")),"CRÍTICO - Incumplimiento Normativo SEPS",IF(AND(OR(AA97="L4 Gestionado y Medible",AA97="L5 Optimizado"),AND(AC97&lt;&gt;"",AC97&lt;&gt;"N/A")),"CONFORME - Control Efectivo ISO 27001","OBSERVACIÓN - Revisar Controles")))</f>
        <v/>
      </c>
    </row>
    <row r="98">
      <c r="A98" s="99"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c r="AD98">
        <f>IF(OR(T98="",Y98="",AA98=""),"",IF(AND(T98="ALTA",OR(AA98="L0 Inexistente",AA98="L1 Inicial / Ad Hoc",Y98="No Iniciado")),"CRÍTICO - Incumplimiento Normativo SEPS",IF(AND(OR(AA98="L4 Gestionado y Medible",AA98="L5 Optimizado"),AND(AC98&lt;&gt;"",AC98&lt;&gt;"N/A")),"CONFORME - Control Efectivo ISO 27001","OBSERVACIÓN - Revisar Controles")))</f>
        <v/>
      </c>
    </row>
    <row r="99">
      <c r="A99" s="99"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c r="AD99">
        <f>IF(OR(T99="",Y99="",AA99=""),"",IF(AND(T99="ALTA",OR(AA99="L0 Inexistente",AA99="L1 Inicial / Ad Hoc",Y99="No Iniciado")),"CRÍTICO - Incumplimiento Normativo SEPS",IF(AND(OR(AA99="L4 Gestionado y Medible",AA99="L5 Optimizado"),AND(AC99&lt;&gt;"",AC99&lt;&gt;"N/A")),"CONFORME - Control Efectivo ISO 27001","OBSERVACIÓN - Revisar Controles")))</f>
        <v/>
      </c>
    </row>
    <row r="100">
      <c r="A100" s="99"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c r="AD100">
        <f>IF(OR(T100="",Y100="",AA100=""),"",IF(AND(T100="ALTA",OR(AA100="L0 Inexistente",AA100="L1 Inicial / Ad Hoc",Y100="No Iniciado")),"CRÍTICO - Incumplimiento Normativo SEPS",IF(AND(OR(AA100="L4 Gestionado y Medible",AA100="L5 Optimizado"),AND(AC100&lt;&gt;"",AC100&lt;&gt;"N/A")),"CONFORME - Control Efectivo ISO 27001","OBSERVACIÓN - Revisar Controles")))</f>
        <v/>
      </c>
    </row>
    <row r="101">
      <c r="A101" s="99"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c r="AD101">
        <f>IF(OR(T101="",Y101="",AA101=""),"",IF(AND(T101="ALTA",OR(AA101="L0 Inexistente",AA101="L1 Inicial / Ad Hoc",Y101="No Iniciado")),"CRÍTICO - Incumplimiento Normativo SEPS",IF(AND(OR(AA101="L4 Gestionado y Medible",AA101="L5 Optimizado"),AND(AC101&lt;&gt;"",AC101&lt;&gt;"N/A")),"CONFORME - Control Efectivo ISO 27001","OBSERVACIÓN - Revisar Controles")))</f>
        <v/>
      </c>
    </row>
    <row r="102">
      <c r="A102" s="99"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c r="AD102">
        <f>IF(OR(T102="",Y102="",AA102=""),"",IF(AND(T102="ALTA",OR(AA102="L0 Inexistente",AA102="L1 Inicial / Ad Hoc",Y102="No Iniciado")),"CRÍTICO - Incumplimiento Normativo SEPS",IF(AND(OR(AA102="L4 Gestionado y Medible",AA102="L5 Optimizado"),AND(AC102&lt;&gt;"",AC102&lt;&gt;"N/A")),"CONFORME - Control Efectivo ISO 27001","OBSERVACIÓN - Revisar Controles")))</f>
        <v/>
      </c>
    </row>
    <row r="103">
      <c r="A103" s="99"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c r="AD103">
        <f>IF(OR(T103="",Y103="",AA103=""),"",IF(AND(T103="ALTA",OR(AA103="L0 Inexistente",AA103="L1 Inicial / Ad Hoc",Y103="No Iniciado")),"CRÍTICO - Incumplimiento Normativo SEPS",IF(AND(OR(AA103="L4 Gestionado y Medible",AA103="L5 Optimizado"),AND(AC103&lt;&gt;"",AC103&lt;&gt;"N/A")),"CONFORME - Control Efectivo ISO 27001","OBSERVACIÓN - Revisar Controles")))</f>
        <v/>
      </c>
    </row>
    <row r="104">
      <c r="A104" s="99"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c r="AD104">
        <f>IF(OR(T104="",Y104="",AA104=""),"",IF(AND(T104="ALTA",OR(AA104="L0 Inexistente",AA104="L1 Inicial / Ad Hoc",Y104="No Iniciado")),"CRÍTICO - Incumplimiento Normativo SEPS",IF(AND(OR(AA104="L4 Gestionado y Medible",AA104="L5 Optimizado"),AND(AC104&lt;&gt;"",AC104&lt;&gt;"N/A")),"CONFORME - Control Efectivo ISO 27001","OBSERVACIÓN - Revisar Controles")))</f>
        <v/>
      </c>
    </row>
    <row r="105">
      <c r="A105" s="99"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c r="AD105">
        <f>IF(OR(T105="",Y105="",AA105=""),"",IF(AND(T105="ALTA",OR(AA105="L0 Inexistente",AA105="L1 Inicial / Ad Hoc",Y105="No Iniciado")),"CRÍTICO - Incumplimiento Normativo SEPS",IF(AND(OR(AA105="L4 Gestionado y Medible",AA105="L5 Optimizado"),AND(AC105&lt;&gt;"",AC105&lt;&gt;"N/A")),"CONFORME - Control Efectivo ISO 27001","OBSERVACIÓN - Revisar Controles")))</f>
        <v/>
      </c>
    </row>
    <row r="106">
      <c r="A106" s="99"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c r="AD106">
        <f>IF(OR(T106="",Y106="",AA106=""),"",IF(AND(T106="ALTA",OR(AA106="L0 Inexistente",AA106="L1 Inicial / Ad Hoc",Y106="No Iniciado")),"CRÍTICO - Incumplimiento Normativo SEPS",IF(AND(OR(AA106="L4 Gestionado y Medible",AA106="L5 Optimizado"),AND(AC106&lt;&gt;"",AC106&lt;&gt;"N/A")),"CONFORME - Control Efectivo ISO 27001","OBSERVACIÓN - Revisar Controles")))</f>
        <v/>
      </c>
    </row>
    <row r="107">
      <c r="A107" s="99"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c r="AD107">
        <f>IF(OR(T107="",Y107="",AA107=""),"",IF(AND(T107="ALTA",OR(AA107="L0 Inexistente",AA107="L1 Inicial / Ad Hoc",Y107="No Iniciado")),"CRÍTICO - Incumplimiento Normativo SEPS",IF(AND(OR(AA107="L4 Gestionado y Medible",AA107="L5 Optimizado"),AND(AC107&lt;&gt;"",AC107&lt;&gt;"N/A")),"CONFORME - Control Efectivo ISO 27001","OBSERVACIÓN - Revisar Controles")))</f>
        <v/>
      </c>
    </row>
    <row r="108">
      <c r="A108" s="99"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c r="AD108">
        <f>IF(OR(T108="",Y108="",AA108=""),"",IF(AND(T108="ALTA",OR(AA108="L0 Inexistente",AA108="L1 Inicial / Ad Hoc",Y108="No Iniciado")),"CRÍTICO - Incumplimiento Normativo SEPS",IF(AND(OR(AA108="L4 Gestionado y Medible",AA108="L5 Optimizado"),AND(AC108&lt;&gt;"",AC108&lt;&gt;"N/A")),"CONFORME - Control Efectivo ISO 27001","OBSERVACIÓN - Revisar Controles")))</f>
        <v/>
      </c>
    </row>
    <row r="109">
      <c r="A109" s="99"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c r="AD109">
        <f>IF(OR(T109="",Y109="",AA109=""),"",IF(AND(T109="ALTA",OR(AA109="L0 Inexistente",AA109="L1 Inicial / Ad Hoc",Y109="No Iniciado")),"CRÍTICO - Incumplimiento Normativo SEPS",IF(AND(OR(AA109="L4 Gestionado y Medible",AA109="L5 Optimizado"),AND(AC109&lt;&gt;"",AC109&lt;&gt;"N/A")),"CONFORME - Control Efectivo ISO 27001","OBSERVACIÓN - Revisar Controles")))</f>
        <v/>
      </c>
    </row>
    <row r="110">
      <c r="A110" s="99"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c r="AD110">
        <f>IF(OR(T110="",Y110="",AA110=""),"",IF(AND(T110="ALTA",OR(AA110="L0 Inexistente",AA110="L1 Inicial / Ad Hoc",Y110="No Iniciado")),"CRÍTICO - Incumplimiento Normativo SEPS",IF(AND(OR(AA110="L4 Gestionado y Medible",AA110="L5 Optimizado"),AND(AC110&lt;&gt;"",AC110&lt;&gt;"N/A")),"CONFORME - Control Efectivo ISO 27001","OBSERVACIÓN - Revisar Controles")))</f>
        <v/>
      </c>
    </row>
    <row r="111">
      <c r="A111" s="99"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c r="AD111">
        <f>IF(OR(T111="",Y111="",AA111=""),"",IF(AND(T111="ALTA",OR(AA111="L0 Inexistente",AA111="L1 Inicial / Ad Hoc",Y111="No Iniciado")),"CRÍTICO - Incumplimiento Normativo SEPS",IF(AND(OR(AA111="L4 Gestionado y Medible",AA111="L5 Optimizado"),AND(AC111&lt;&gt;"",AC111&lt;&gt;"N/A")),"CONFORME - Control Efectivo ISO 27001","OBSERVACIÓN - Revisar Controles")))</f>
        <v/>
      </c>
    </row>
    <row r="112">
      <c r="A112" s="99"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c r="AD112">
        <f>IF(OR(T112="",Y112="",AA112=""),"",IF(AND(T112="ALTA",OR(AA112="L0 Inexistente",AA112="L1 Inicial / Ad Hoc",Y112="No Iniciado")),"CRÍTICO - Incumplimiento Normativo SEPS",IF(AND(OR(AA112="L4 Gestionado y Medible",AA112="L5 Optimizado"),AND(AC112&lt;&gt;"",AC112&lt;&gt;"N/A")),"CONFORME - Control Efectivo ISO 27001","OBSERVACIÓN - Revisar Controles")))</f>
        <v/>
      </c>
    </row>
    <row r="113">
      <c r="A113" s="99"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c r="AD113">
        <f>IF(OR(T113="",Y113="",AA113=""),"",IF(AND(T113="ALTA",OR(AA113="L0 Inexistente",AA113="L1 Inicial / Ad Hoc",Y113="No Iniciado")),"CRÍTICO - Incumplimiento Normativo SEPS",IF(AND(OR(AA113="L4 Gestionado y Medible",AA113="L5 Optimizado"),AND(AC113&lt;&gt;"",AC113&lt;&gt;"N/A")),"CONFORME - Control Efectivo ISO 27001","OBSERVACIÓN - Revisar Controles")))</f>
        <v/>
      </c>
    </row>
    <row r="114">
      <c r="A114" s="99"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c r="AD114">
        <f>IF(OR(T114="",Y114="",AA114=""),"",IF(AND(T114="ALTA",OR(AA114="L0 Inexistente",AA114="L1 Inicial / Ad Hoc",Y114="No Iniciado")),"CRÍTICO - Incumplimiento Normativo SEPS",IF(AND(OR(AA114="L4 Gestionado y Medible",AA114="L5 Optimizado"),AND(AC114&lt;&gt;"",AC114&lt;&gt;"N/A")),"CONFORME - Control Efectivo ISO 27001","OBSERVACIÓN - Revisar Controles")))</f>
        <v/>
      </c>
    </row>
    <row r="115">
      <c r="A115" s="99"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c r="AD115">
        <f>IF(OR(T115="",Y115="",AA115=""),"",IF(AND(T115="ALTA",OR(AA115="L0 Inexistente",AA115="L1 Inicial / Ad Hoc",Y115="No Iniciado")),"CRÍTICO - Incumplimiento Normativo SEPS",IF(AND(OR(AA115="L4 Gestionado y Medible",AA115="L5 Optimizado"),AND(AC115&lt;&gt;"",AC115&lt;&gt;"N/A")),"CONFORME - Control Efectivo ISO 27001","OBSERVACIÓN - Revisar Controles")))</f>
        <v/>
      </c>
    </row>
    <row r="116">
      <c r="A116" s="99"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c r="AD116">
        <f>IF(OR(T116="",Y116="",AA116=""),"",IF(AND(T116="ALTA",OR(AA116="L0 Inexistente",AA116="L1 Inicial / Ad Hoc",Y116="No Iniciado")),"CRÍTICO - Incumplimiento Normativo SEPS",IF(AND(OR(AA116="L4 Gestionado y Medible",AA116="L5 Optimizado"),AND(AC116&lt;&gt;"",AC116&lt;&gt;"N/A")),"CONFORME - Control Efectivo ISO 27001","OBSERVACIÓN - Revisar Controles")))</f>
        <v/>
      </c>
    </row>
    <row r="117">
      <c r="A117" s="99"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c r="AD117">
        <f>IF(OR(T117="",Y117="",AA117=""),"",IF(AND(T117="ALTA",OR(AA117="L0 Inexistente",AA117="L1 Inicial / Ad Hoc",Y117="No Iniciado")),"CRÍTICO - Incumplimiento Normativo SEPS",IF(AND(OR(AA117="L4 Gestionado y Medible",AA117="L5 Optimizado"),AND(AC117&lt;&gt;"",AC117&lt;&gt;"N/A")),"CONFORME - Control Efectivo ISO 27001","OBSERVACIÓN - Revisar Controles")))</f>
        <v/>
      </c>
    </row>
    <row r="118">
      <c r="A118" s="99"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c r="AD118">
        <f>IF(OR(T118="",Y118="",AA118=""),"",IF(AND(T118="ALTA",OR(AA118="L0 Inexistente",AA118="L1 Inicial / Ad Hoc",Y118="No Iniciado")),"CRÍTICO - Incumplimiento Normativo SEPS",IF(AND(OR(AA118="L4 Gestionado y Medible",AA118="L5 Optimizado"),AND(AC118&lt;&gt;"",AC118&lt;&gt;"N/A")),"CONFORME - Control Efectivo ISO 27001","OBSERVACIÓN - Revisar Controles")))</f>
        <v/>
      </c>
    </row>
    <row r="119">
      <c r="A119" s="99"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c r="AD119">
        <f>IF(OR(T119="",Y119="",AA119=""),"",IF(AND(T119="ALTA",OR(AA119="L0 Inexistente",AA119="L1 Inicial / Ad Hoc",Y119="No Iniciado")),"CRÍTICO - Incumplimiento Normativo SEPS",IF(AND(OR(AA119="L4 Gestionado y Medible",AA119="L5 Optimizado"),AND(AC119&lt;&gt;"",AC119&lt;&gt;"N/A")),"CONFORME - Control Efectivo ISO 27001","OBSERVACIÓN - Revisar Controles")))</f>
        <v/>
      </c>
    </row>
    <row r="120">
      <c r="A120" s="99"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c r="AD120">
        <f>IF(OR(T120="",Y120="",AA120=""),"",IF(AND(T120="ALTA",OR(AA120="L0 Inexistente",AA120="L1 Inicial / Ad Hoc",Y120="No Iniciado")),"CRÍTICO - Incumplimiento Normativo SEPS",IF(AND(OR(AA120="L4 Gestionado y Medible",AA120="L5 Optimizado"),AND(AC120&lt;&gt;"",AC120&lt;&gt;"N/A")),"CONFORME - Control Efectivo ISO 27001","OBSERVACIÓN - Revisar Controles")))</f>
        <v/>
      </c>
    </row>
    <row r="121">
      <c r="A121" s="99"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c r="AD121">
        <f>IF(OR(T121="",Y121="",AA121=""),"",IF(AND(T121="ALTA",OR(AA121="L0 Inexistente",AA121="L1 Inicial / Ad Hoc",Y121="No Iniciado")),"CRÍTICO - Incumplimiento Normativo SEPS",IF(AND(OR(AA121="L4 Gestionado y Medible",AA121="L5 Optimizado"),AND(AC121&lt;&gt;"",AC121&lt;&gt;"N/A")),"CONFORME - Control Efectivo ISO 27001","OBSERVACIÓN - Revisar Controles")))</f>
        <v/>
      </c>
    </row>
    <row r="122">
      <c r="A122" s="99"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c r="AD122">
        <f>IF(OR(T122="",Y122="",AA122=""),"",IF(AND(T122="ALTA",OR(AA122="L0 Inexistente",AA122="L1 Inicial / Ad Hoc",Y122="No Iniciado")),"CRÍTICO - Incumplimiento Normativo SEPS",IF(AND(OR(AA122="L4 Gestionado y Medible",AA122="L5 Optimizado"),AND(AC122&lt;&gt;"",AC122&lt;&gt;"N/A")),"CONFORME - Control Efectivo ISO 27001","OBSERVACIÓN - Revisar Controles")))</f>
        <v/>
      </c>
    </row>
    <row r="123">
      <c r="A123" s="99"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c r="AD123">
        <f>IF(OR(T123="",Y123="",AA123=""),"",IF(AND(T123="ALTA",OR(AA123="L0 Inexistente",AA123="L1 Inicial / Ad Hoc",Y123="No Iniciado")),"CRÍTICO - Incumplimiento Normativo SEPS",IF(AND(OR(AA123="L4 Gestionado y Medible",AA123="L5 Optimizado"),AND(AC123&lt;&gt;"",AC123&lt;&gt;"N/A")),"CONFORME - Control Efectivo ISO 27001","OBSERVACIÓN - Revisar Controles")))</f>
        <v/>
      </c>
    </row>
    <row r="124">
      <c r="A124" s="99"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c r="AD124">
        <f>IF(OR(T124="",Y124="",AA124=""),"",IF(AND(T124="ALTA",OR(AA124="L0 Inexistente",AA124="L1 Inicial / Ad Hoc",Y124="No Iniciado")),"CRÍTICO - Incumplimiento Normativo SEPS",IF(AND(OR(AA124="L4 Gestionado y Medible",AA124="L5 Optimizado"),AND(AC124&lt;&gt;"",AC124&lt;&gt;"N/A")),"CONFORME - Control Efectivo ISO 27001","OBSERVACIÓN - Revisar Controles")))</f>
        <v/>
      </c>
    </row>
    <row r="125">
      <c r="A125" s="99"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c r="AD125">
        <f>IF(OR(T125="",Y125="",AA125=""),"",IF(AND(T125="ALTA",OR(AA125="L0 Inexistente",AA125="L1 Inicial / Ad Hoc",Y125="No Iniciado")),"CRÍTICO - Incumplimiento Normativo SEPS",IF(AND(OR(AA125="L4 Gestionado y Medible",AA125="L5 Optimizado"),AND(AC125&lt;&gt;"",AC125&lt;&gt;"N/A")),"CONFORME - Control Efectivo ISO 27001","OBSERVACIÓN - Revisar Controles")))</f>
        <v/>
      </c>
    </row>
    <row r="126">
      <c r="A126" s="99"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c r="AD126">
        <f>IF(OR(T126="",Y126="",AA126=""),"",IF(AND(T126="ALTA",OR(AA126="L0 Inexistente",AA126="L1 Inicial / Ad Hoc",Y126="No Iniciado")),"CRÍTICO - Incumplimiento Normativo SEPS",IF(AND(OR(AA126="L4 Gestionado y Medible",AA126="L5 Optimizado"),AND(AC126&lt;&gt;"",AC126&lt;&gt;"N/A")),"CONFORME - Control Efectivo ISO 27001","OBSERVACIÓN - Revisar Controles")))</f>
        <v/>
      </c>
    </row>
    <row r="127">
      <c r="A127" s="99"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c r="AD127">
        <f>IF(OR(T127="",Y127="",AA127=""),"",IF(AND(T127="ALTA",OR(AA127="L0 Inexistente",AA127="L1 Inicial / Ad Hoc",Y127="No Iniciado")),"CRÍTICO - Incumplimiento Normativo SEPS",IF(AND(OR(AA127="L4 Gestionado y Medible",AA127="L5 Optimizado"),AND(AC127&lt;&gt;"",AC127&lt;&gt;"N/A")),"CONFORME - Control Efectivo ISO 27001","OBSERVACIÓN - Revisar Controles")))</f>
        <v/>
      </c>
    </row>
    <row r="128">
      <c r="A128" s="99"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c r="AD128">
        <f>IF(OR(T128="",Y128="",AA128=""),"",IF(AND(T128="ALTA",OR(AA128="L0 Inexistente",AA128="L1 Inicial / Ad Hoc",Y128="No Iniciado")),"CRÍTICO - Incumplimiento Normativo SEPS",IF(AND(OR(AA128="L4 Gestionado y Medible",AA128="L5 Optimizado"),AND(AC128&lt;&gt;"",AC128&lt;&gt;"N/A")),"CONFORME - Control Efectivo ISO 27001","OBSERVACIÓN - Revisar Controles")))</f>
        <v/>
      </c>
    </row>
    <row r="129">
      <c r="A129" s="99"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c r="AD129">
        <f>IF(OR(T129="",Y129="",AA129=""),"",IF(AND(T129="ALTA",OR(AA129="L0 Inexistente",AA129="L1 Inicial / Ad Hoc",Y129="No Iniciado")),"CRÍTICO - Incumplimiento Normativo SEPS",IF(AND(OR(AA129="L4 Gestionado y Medible",AA129="L5 Optimizado"),AND(AC129&lt;&gt;"",AC129&lt;&gt;"N/A")),"CONFORME - Control Efectivo ISO 27001","OBSERVACIÓN - Revisar Controles")))</f>
        <v/>
      </c>
    </row>
    <row r="130">
      <c r="A130" s="99"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c r="AD130">
        <f>IF(OR(T130="",Y130="",AA130=""),"",IF(AND(T130="ALTA",OR(AA130="L0 Inexistente",AA130="L1 Inicial / Ad Hoc",Y130="No Iniciado")),"CRÍTICO - Incumplimiento Normativo SEPS",IF(AND(OR(AA130="L4 Gestionado y Medible",AA130="L5 Optimizado"),AND(AC130&lt;&gt;"",AC130&lt;&gt;"N/A")),"CONFORME - Control Efectivo ISO 27001","OBSERVACIÓN - Revisar Controles")))</f>
        <v/>
      </c>
    </row>
    <row r="131">
      <c r="A131" s="99"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c r="AD131">
        <f>IF(OR(T131="",Y131="",AA131=""),"",IF(AND(T131="ALTA",OR(AA131="L0 Inexistente",AA131="L1 Inicial / Ad Hoc",Y131="No Iniciado")),"CRÍTICO - Incumplimiento Normativo SEPS",IF(AND(OR(AA131="L4 Gestionado y Medible",AA131="L5 Optimizado"),AND(AC131&lt;&gt;"",AC131&lt;&gt;"N/A")),"CONFORME - Control Efectivo ISO 27001","OBSERVACIÓN - Revisar Controles")))</f>
        <v/>
      </c>
    </row>
    <row r="132">
      <c r="A132" s="99"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c r="AD132">
        <f>IF(OR(T132="",Y132="",AA132=""),"",IF(AND(T132="ALTA",OR(AA132="L0 Inexistente",AA132="L1 Inicial / Ad Hoc",Y132="No Iniciado")),"CRÍTICO - Incumplimiento Normativo SEPS",IF(AND(OR(AA132="L4 Gestionado y Medible",AA132="L5 Optimizado"),AND(AC132&lt;&gt;"",AC132&lt;&gt;"N/A")),"CONFORME - Control Efectivo ISO 27001","OBSERVACIÓN - Revisar Controles")))</f>
        <v/>
      </c>
    </row>
    <row r="133">
      <c r="A133" s="99"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c r="AD133">
        <f>IF(OR(T133="",Y133="",AA133=""),"",IF(AND(T133="ALTA",OR(AA133="L0 Inexistente",AA133="L1 Inicial / Ad Hoc",Y133="No Iniciado")),"CRÍTICO - Incumplimiento Normativo SEPS",IF(AND(OR(AA133="L4 Gestionado y Medible",AA133="L5 Optimizado"),AND(AC133&lt;&gt;"",AC133&lt;&gt;"N/A")),"CONFORME - Control Efectivo ISO 27001","OBSERVACIÓN - Revisar Controles")))</f>
        <v/>
      </c>
    </row>
    <row r="134">
      <c r="A134" s="99"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c r="AD134">
        <f>IF(OR(T134="",Y134="",AA134=""),"",IF(AND(T134="ALTA",OR(AA134="L0 Inexistente",AA134="L1 Inicial / Ad Hoc",Y134="No Iniciado")),"CRÍTICO - Incumplimiento Normativo SEPS",IF(AND(OR(AA134="L4 Gestionado y Medible",AA134="L5 Optimizado"),AND(AC134&lt;&gt;"",AC134&lt;&gt;"N/A")),"CONFORME - Control Efectivo ISO 27001","OBSERVACIÓN - Revisar Controles")))</f>
        <v/>
      </c>
    </row>
    <row r="135">
      <c r="A135" s="99"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c r="AD135">
        <f>IF(OR(T135="",Y135="",AA135=""),"",IF(AND(T135="ALTA",OR(AA135="L0 Inexistente",AA135="L1 Inicial / Ad Hoc",Y135="No Iniciado")),"CRÍTICO - Incumplimiento Normativo SEPS",IF(AND(OR(AA135="L4 Gestionado y Medible",AA135="L5 Optimizado"),AND(AC135&lt;&gt;"",AC135&lt;&gt;"N/A")),"CONFORME - Control Efectivo ISO 27001","OBSERVACIÓN - Revisar Controles")))</f>
        <v/>
      </c>
    </row>
    <row r="136">
      <c r="A136" s="99"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c r="AD136">
        <f>IF(OR(T136="",Y136="",AA136=""),"",IF(AND(T136="ALTA",OR(AA136="L0 Inexistente",AA136="L1 Inicial / Ad Hoc",Y136="No Iniciado")),"CRÍTICO - Incumplimiento Normativo SEPS",IF(AND(OR(AA136="L4 Gestionado y Medible",AA136="L5 Optimizado"),AND(AC136&lt;&gt;"",AC136&lt;&gt;"N/A")),"CONFORME - Control Efectivo ISO 27001","OBSERVACIÓN - Revisar Controles")))</f>
        <v/>
      </c>
    </row>
    <row r="137">
      <c r="A137" s="99"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c r="AD137">
        <f>IF(OR(T137="",Y137="",AA137=""),"",IF(AND(T137="ALTA",OR(AA137="L0 Inexistente",AA137="L1 Inicial / Ad Hoc",Y137="No Iniciado")),"CRÍTICO - Incumplimiento Normativo SEPS",IF(AND(OR(AA137="L4 Gestionado y Medible",AA137="L5 Optimizado"),AND(AC137&lt;&gt;"",AC137&lt;&gt;"N/A")),"CONFORME - Control Efectivo ISO 27001","OBSERVACIÓN - Revisar Controles")))</f>
        <v/>
      </c>
    </row>
    <row r="138">
      <c r="A138" s="99"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c r="AD138">
        <f>IF(OR(T138="",Y138="",AA138=""),"",IF(AND(T138="ALTA",OR(AA138="L0 Inexistente",AA138="L1 Inicial / Ad Hoc",Y138="No Iniciado")),"CRÍTICO - Incumplimiento Normativo SEPS",IF(AND(OR(AA138="L4 Gestionado y Medible",AA138="L5 Optimizado"),AND(AC138&lt;&gt;"",AC138&lt;&gt;"N/A")),"CONFORME - Control Efectivo ISO 27001","OBSERVACIÓN - Revisar Controles")))</f>
        <v/>
      </c>
    </row>
    <row r="139">
      <c r="A139" s="99"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c r="AD139">
        <f>IF(OR(T139="",Y139="",AA139=""),"",IF(AND(T139="ALTA",OR(AA139="L0 Inexistente",AA139="L1 Inicial / Ad Hoc",Y139="No Iniciado")),"CRÍTICO - Incumplimiento Normativo SEPS",IF(AND(OR(AA139="L4 Gestionado y Medible",AA139="L5 Optimizado"),AND(AC139&lt;&gt;"",AC139&lt;&gt;"N/A")),"CONFORME - Control Efectivo ISO 27001","OBSERVACIÓN - Revisar Controles")))</f>
        <v/>
      </c>
    </row>
    <row r="140">
      <c r="A140" s="99"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c r="AD140">
        <f>IF(OR(T140="",Y140="",AA140=""),"",IF(AND(T140="ALTA",OR(AA140="L0 Inexistente",AA140="L1 Inicial / Ad Hoc",Y140="No Iniciado")),"CRÍTICO - Incumplimiento Normativo SEPS",IF(AND(OR(AA140="L4 Gestionado y Medible",AA140="L5 Optimizado"),AND(AC140&lt;&gt;"",AC140&lt;&gt;"N/A")),"CONFORME - Control Efectivo ISO 27001","OBSERVACIÓN - Revisar Controles")))</f>
        <v/>
      </c>
    </row>
    <row r="141">
      <c r="A141" s="99"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c r="AD141">
        <f>IF(OR(T141="",Y141="",AA141=""),"",IF(AND(T141="ALTA",OR(AA141="L0 Inexistente",AA141="L1 Inicial / Ad Hoc",Y141="No Iniciado")),"CRÍTICO - Incumplimiento Normativo SEPS",IF(AND(OR(AA141="L4 Gestionado y Medible",AA141="L5 Optimizado"),AND(AC141&lt;&gt;"",AC141&lt;&gt;"N/A")),"CONFORME - Control Efectivo ISO 27001","OBSERVACIÓN - Revisar Controles")))</f>
        <v/>
      </c>
    </row>
    <row r="142">
      <c r="A142" s="99"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c r="AD142">
        <f>IF(OR(T142="",Y142="",AA142=""),"",IF(AND(T142="ALTA",OR(AA142="L0 Inexistente",AA142="L1 Inicial / Ad Hoc",Y142="No Iniciado")),"CRÍTICO - Incumplimiento Normativo SEPS",IF(AND(OR(AA142="L4 Gestionado y Medible",AA142="L5 Optimizado"),AND(AC142&lt;&gt;"",AC142&lt;&gt;"N/A")),"CONFORME - Control Efectivo ISO 27001","OBSERVACIÓN - Revisar Controles")))</f>
        <v/>
      </c>
    </row>
    <row r="143">
      <c r="A143" s="99"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c r="AD143">
        <f>IF(OR(T143="",Y143="",AA143=""),"",IF(AND(T143="ALTA",OR(AA143="L0 Inexistente",AA143="L1 Inicial / Ad Hoc",Y143="No Iniciado")),"CRÍTICO - Incumplimiento Normativo SEPS",IF(AND(OR(AA143="L4 Gestionado y Medible",AA143="L5 Optimizado"),AND(AC143&lt;&gt;"",AC143&lt;&gt;"N/A")),"CONFORME - Control Efectivo ISO 27001","OBSERVACIÓN - Revisar Controles")))</f>
        <v/>
      </c>
    </row>
    <row r="144">
      <c r="A144" s="99"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c r="AD144">
        <f>IF(OR(T144="",Y144="",AA144=""),"",IF(AND(T144="ALTA",OR(AA144="L0 Inexistente",AA144="L1 Inicial / Ad Hoc",Y144="No Iniciado")),"CRÍTICO - Incumplimiento Normativo SEPS",IF(AND(OR(AA144="L4 Gestionado y Medible",AA144="L5 Optimizado"),AND(AC144&lt;&gt;"",AC144&lt;&gt;"N/A")),"CONFORME - Control Efectivo ISO 27001","OBSERVACIÓN - Revisar Controles")))</f>
        <v/>
      </c>
    </row>
    <row r="145">
      <c r="A145" s="99"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c r="AD145">
        <f>IF(OR(T145="",Y145="",AA145=""),"",IF(AND(T145="ALTA",OR(AA145="L0 Inexistente",AA145="L1 Inicial / Ad Hoc",Y145="No Iniciado")),"CRÍTICO - Incumplimiento Normativo SEPS",IF(AND(OR(AA145="L4 Gestionado y Medible",AA145="L5 Optimizado"),AND(AC145&lt;&gt;"",AC145&lt;&gt;"N/A")),"CONFORME - Control Efectivo ISO 27001","OBSERVACIÓN - Revisar Controles")))</f>
        <v/>
      </c>
    </row>
    <row r="146">
      <c r="A146" s="99"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c r="AD146">
        <f>IF(OR(T146="",Y146="",AA146=""),"",IF(AND(T146="ALTA",OR(AA146="L0 Inexistente",AA146="L1 Inicial / Ad Hoc",Y146="No Iniciado")),"CRÍTICO - Incumplimiento Normativo SEPS",IF(AND(OR(AA146="L4 Gestionado y Medible",AA146="L5 Optimizado"),AND(AC146&lt;&gt;"",AC146&lt;&gt;"N/A")),"CONFORME - Control Efectivo ISO 27001","OBSERVACIÓN - Revisar Controles")))</f>
        <v/>
      </c>
    </row>
    <row r="147">
      <c r="A147" s="99"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c r="AD147">
        <f>IF(OR(T147="",Y147="",AA147=""),"",IF(AND(T147="ALTA",OR(AA147="L0 Inexistente",AA147="L1 Inicial / Ad Hoc",Y147="No Iniciado")),"CRÍTICO - Incumplimiento Normativo SEPS",IF(AND(OR(AA147="L4 Gestionado y Medible",AA147="L5 Optimizado"),AND(AC147&lt;&gt;"",AC147&lt;&gt;"N/A")),"CONFORME - Control Efectivo ISO 27001","OBSERVACIÓN - Revisar Controles")))</f>
        <v/>
      </c>
    </row>
    <row r="148">
      <c r="A148" s="99"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c r="AD148">
        <f>IF(OR(T148="",Y148="",AA148=""),"",IF(AND(T148="ALTA",OR(AA148="L0 Inexistente",AA148="L1 Inicial / Ad Hoc",Y148="No Iniciado")),"CRÍTICO - Incumplimiento Normativo SEPS",IF(AND(OR(AA148="L4 Gestionado y Medible",AA148="L5 Optimizado"),AND(AC148&lt;&gt;"",AC148&lt;&gt;"N/A")),"CONFORME - Control Efectivo ISO 27001","OBSERVACIÓN - Revisar Controles")))</f>
        <v/>
      </c>
    </row>
    <row r="149">
      <c r="A149" s="99"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c r="AD149">
        <f>IF(OR(T149="",Y149="",AA149=""),"",IF(AND(T149="ALTA",OR(AA149="L0 Inexistente",AA149="L1 Inicial / Ad Hoc",Y149="No Iniciado")),"CRÍTICO - Incumplimiento Normativo SEPS",IF(AND(OR(AA149="L4 Gestionado y Medible",AA149="L5 Optimizado"),AND(AC149&lt;&gt;"",AC149&lt;&gt;"N/A")),"CONFORME - Control Efectivo ISO 27001","OBSERVACIÓN - Revisar Controles")))</f>
        <v/>
      </c>
    </row>
    <row r="150">
      <c r="A150" s="99"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c r="AD150">
        <f>IF(OR(T150="",Y150="",AA150=""),"",IF(AND(T150="ALTA",OR(AA150="L0 Inexistente",AA150="L1 Inicial / Ad Hoc",Y150="No Iniciado")),"CRÍTICO - Incumplimiento Normativo SEPS",IF(AND(OR(AA150="L4 Gestionado y Medible",AA150="L5 Optimizado"),AND(AC150&lt;&gt;"",AC150&lt;&gt;"N/A")),"CONFORME - Control Efectivo ISO 27001","OBSERVACIÓN - Revisar Controles")))</f>
        <v/>
      </c>
    </row>
    <row r="151">
      <c r="A151" s="99"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c r="AD151">
        <f>IF(OR(T151="",Y151="",AA151=""),"",IF(AND(T151="ALTA",OR(AA151="L0 Inexistente",AA151="L1 Inicial / Ad Hoc",Y151="No Iniciado")),"CRÍTICO - Incumplimiento Normativo SEPS",IF(AND(OR(AA151="L4 Gestionado y Medible",AA151="L5 Optimizado"),AND(AC151&lt;&gt;"",AC151&lt;&gt;"N/A")),"CONFORME - Control Efectivo ISO 27001","OBSERVACIÓN - Revisar Controles")))</f>
        <v/>
      </c>
    </row>
    <row r="152">
      <c r="A152" s="99"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c r="AD152">
        <f>IF(OR(T152="",Y152="",AA152=""),"",IF(AND(T152="ALTA",OR(AA152="L0 Inexistente",AA152="L1 Inicial / Ad Hoc",Y152="No Iniciado")),"CRÍTICO - Incumplimiento Normativo SEPS",IF(AND(OR(AA152="L4 Gestionado y Medible",AA152="L5 Optimizado"),AND(AC152&lt;&gt;"",AC152&lt;&gt;"N/A")),"CONFORME - Control Efectivo ISO 27001","OBSERVACIÓN - Revisar Controles")))</f>
        <v/>
      </c>
    </row>
    <row r="153">
      <c r="A153" s="99"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c r="AD153">
        <f>IF(OR(T153="",Y153="",AA153=""),"",IF(AND(T153="ALTA",OR(AA153="L0 Inexistente",AA153="L1 Inicial / Ad Hoc",Y153="No Iniciado")),"CRÍTICO - Incumplimiento Normativo SEPS",IF(AND(OR(AA153="L4 Gestionado y Medible",AA153="L5 Optimizado"),AND(AC153&lt;&gt;"",AC153&lt;&gt;"N/A")),"CONFORME - Control Efectivo ISO 27001","OBSERVACIÓN - Revisar Controles")))</f>
        <v/>
      </c>
    </row>
    <row r="154">
      <c r="A154" s="99"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c r="AD154">
        <f>IF(OR(T154="",Y154="",AA154=""),"",IF(AND(T154="ALTA",OR(AA154="L0 Inexistente",AA154="L1 Inicial / Ad Hoc",Y154="No Iniciado")),"CRÍTICO - Incumplimiento Normativo SEPS",IF(AND(OR(AA154="L4 Gestionado y Medible",AA154="L5 Optimizado"),AND(AC154&lt;&gt;"",AC154&lt;&gt;"N/A")),"CONFORME - Control Efectivo ISO 27001","OBSERVACIÓN - Revisar Controles")))</f>
        <v/>
      </c>
    </row>
    <row r="155">
      <c r="A155" s="99"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c r="AD155">
        <f>IF(OR(T155="",Y155="",AA155=""),"",IF(AND(T155="ALTA",OR(AA155="L0 Inexistente",AA155="L1 Inicial / Ad Hoc",Y155="No Iniciado")),"CRÍTICO - Incumplimiento Normativo SEPS",IF(AND(OR(AA155="L4 Gestionado y Medible",AA155="L5 Optimizado"),AND(AC155&lt;&gt;"",AC155&lt;&gt;"N/A")),"CONFORME - Control Efectivo ISO 27001","OBSERVACIÓN - Revisar Controles")))</f>
        <v/>
      </c>
    </row>
    <row r="156">
      <c r="A156" s="99"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c r="AD156">
        <f>IF(OR(T156="",Y156="",AA156=""),"",IF(AND(T156="ALTA",OR(AA156="L0 Inexistente",AA156="L1 Inicial / Ad Hoc",Y156="No Iniciado")),"CRÍTICO - Incumplimiento Normativo SEPS",IF(AND(OR(AA156="L4 Gestionado y Medible",AA156="L5 Optimizado"),AND(AC156&lt;&gt;"",AC156&lt;&gt;"N/A")),"CONFORME - Control Efectivo ISO 27001","OBSERVACIÓN - Revisar Controles")))</f>
        <v/>
      </c>
    </row>
    <row r="157">
      <c r="A157" s="99"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c r="AD157">
        <f>IF(OR(T157="",Y157="",AA157=""),"",IF(AND(T157="ALTA",OR(AA157="L0 Inexistente",AA157="L1 Inicial / Ad Hoc",Y157="No Iniciado")),"CRÍTICO - Incumplimiento Normativo SEPS",IF(AND(OR(AA157="L4 Gestionado y Medible",AA157="L5 Optimizado"),AND(AC157&lt;&gt;"",AC157&lt;&gt;"N/A")),"CONFORME - Control Efectivo ISO 27001","OBSERVACIÓN - Revisar Controles")))</f>
        <v/>
      </c>
    </row>
    <row r="158">
      <c r="A158" s="99"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c r="AD158">
        <f>IF(OR(T158="",Y158="",AA158=""),"",IF(AND(T158="ALTA",OR(AA158="L0 Inexistente",AA158="L1 Inicial / Ad Hoc",Y158="No Iniciado")),"CRÍTICO - Incumplimiento Normativo SEPS",IF(AND(OR(AA158="L4 Gestionado y Medible",AA158="L5 Optimizado"),AND(AC158&lt;&gt;"",AC158&lt;&gt;"N/A")),"CONFORME - Control Efectivo ISO 27001","OBSERVACIÓN - Revisar Controles")))</f>
        <v/>
      </c>
    </row>
    <row r="159">
      <c r="A159" s="99"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c r="AD159">
        <f>IF(OR(T159="",Y159="",AA159=""),"",IF(AND(T159="ALTA",OR(AA159="L0 Inexistente",AA159="L1 Inicial / Ad Hoc",Y159="No Iniciado")),"CRÍTICO - Incumplimiento Normativo SEPS",IF(AND(OR(AA159="L4 Gestionado y Medible",AA159="L5 Optimizado"),AND(AC159&lt;&gt;"",AC159&lt;&gt;"N/A")),"CONFORME - Control Efectivo ISO 27001","OBSERVACIÓN - Revisar Controles")))</f>
        <v/>
      </c>
    </row>
    <row r="160">
      <c r="A160" s="99"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c r="AD160">
        <f>IF(OR(T160="",Y160="",AA160=""),"",IF(AND(T160="ALTA",OR(AA160="L0 Inexistente",AA160="L1 Inicial / Ad Hoc",Y160="No Iniciado")),"CRÍTICO - Incumplimiento Normativo SEPS",IF(AND(OR(AA160="L4 Gestionado y Medible",AA160="L5 Optimizado"),AND(AC160&lt;&gt;"",AC160&lt;&gt;"N/A")),"CONFORME - Control Efectivo ISO 27001","OBSERVACIÓN - Revisar Controles")))</f>
        <v/>
      </c>
    </row>
    <row r="161">
      <c r="A161" s="99"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c r="AD161">
        <f>IF(OR(T161="",Y161="",AA161=""),"",IF(AND(T161="ALTA",OR(AA161="L0 Inexistente",AA161="L1 Inicial / Ad Hoc",Y161="No Iniciado")),"CRÍTICO - Incumplimiento Normativo SEPS",IF(AND(OR(AA161="L4 Gestionado y Medible",AA161="L5 Optimizado"),AND(AC161&lt;&gt;"",AC161&lt;&gt;"N/A")),"CONFORME - Control Efectivo ISO 27001","OBSERVACIÓN - Revisar Controles")))</f>
        <v/>
      </c>
    </row>
    <row r="162">
      <c r="A162" s="99"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c r="AD162">
        <f>IF(OR(T162="",Y162="",AA162=""),"",IF(AND(T162="ALTA",OR(AA162="L0 Inexistente",AA162="L1 Inicial / Ad Hoc",Y162="No Iniciado")),"CRÍTICO - Incumplimiento Normativo SEPS",IF(AND(OR(AA162="L4 Gestionado y Medible",AA162="L5 Optimizado"),AND(AC162&lt;&gt;"",AC162&lt;&gt;"N/A")),"CONFORME - Control Efectivo ISO 27001","OBSERVACIÓN - Revisar Controles")))</f>
        <v/>
      </c>
    </row>
    <row r="163">
      <c r="A163" s="99"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c r="AD163">
        <f>IF(OR(T163="",Y163="",AA163=""),"",IF(AND(T163="ALTA",OR(AA163="L0 Inexistente",AA163="L1 Inicial / Ad Hoc",Y163="No Iniciado")),"CRÍTICO - Incumplimiento Normativo SEPS",IF(AND(OR(AA163="L4 Gestionado y Medible",AA163="L5 Optimizado"),AND(AC163&lt;&gt;"",AC163&lt;&gt;"N/A")),"CONFORME - Control Efectivo ISO 27001","OBSERVACIÓN - Revisar Controles")))</f>
        <v/>
      </c>
    </row>
    <row r="164">
      <c r="A164" s="99"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c r="AD164">
        <f>IF(OR(T164="",Y164="",AA164=""),"",IF(AND(T164="ALTA",OR(AA164="L0 Inexistente",AA164="L1 Inicial / Ad Hoc",Y164="No Iniciado")),"CRÍTICO - Incumplimiento Normativo SEPS",IF(AND(OR(AA164="L4 Gestionado y Medible",AA164="L5 Optimizado"),AND(AC164&lt;&gt;"",AC164&lt;&gt;"N/A")),"CONFORME - Control Efectivo ISO 27001","OBSERVACIÓN - Revisar Controles")))</f>
        <v/>
      </c>
    </row>
    <row r="165">
      <c r="A165" s="99"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c r="AD165">
        <f>IF(OR(T165="",Y165="",AA165=""),"",IF(AND(T165="ALTA",OR(AA165="L0 Inexistente",AA165="L1 Inicial / Ad Hoc",Y165="No Iniciado")),"CRÍTICO - Incumplimiento Normativo SEPS",IF(AND(OR(AA165="L4 Gestionado y Medible",AA165="L5 Optimizado"),AND(AC165&lt;&gt;"",AC165&lt;&gt;"N/A")),"CONFORME - Control Efectivo ISO 27001","OBSERVACIÓN - Revisar Controles")))</f>
        <v/>
      </c>
    </row>
    <row r="166">
      <c r="A166" s="99"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c r="AD166">
        <f>IF(OR(T166="",Y166="",AA166=""),"",IF(AND(T166="ALTA",OR(AA166="L0 Inexistente",AA166="L1 Inicial / Ad Hoc",Y166="No Iniciado")),"CRÍTICO - Incumplimiento Normativo SEPS",IF(AND(OR(AA166="L4 Gestionado y Medible",AA166="L5 Optimizado"),AND(AC166&lt;&gt;"",AC166&lt;&gt;"N/A")),"CONFORME - Control Efectivo ISO 27001","OBSERVACIÓN - Revisar Controles")))</f>
        <v/>
      </c>
    </row>
    <row r="167">
      <c r="A167" s="99"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c r="AD167">
        <f>IF(OR(T167="",Y167="",AA167=""),"",IF(AND(T167="ALTA",OR(AA167="L0 Inexistente",AA167="L1 Inicial / Ad Hoc",Y167="No Iniciado")),"CRÍTICO - Incumplimiento Normativo SEPS",IF(AND(OR(AA167="L4 Gestionado y Medible",AA167="L5 Optimizado"),AND(AC167&lt;&gt;"",AC167&lt;&gt;"N/A")),"CONFORME - Control Efectivo ISO 27001","OBSERVACIÓN - Revisar Controles")))</f>
        <v/>
      </c>
    </row>
    <row r="168">
      <c r="A168" s="99"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c r="AD168">
        <f>IF(OR(T168="",Y168="",AA168=""),"",IF(AND(T168="ALTA",OR(AA168="L0 Inexistente",AA168="L1 Inicial / Ad Hoc",Y168="No Iniciado")),"CRÍTICO - Incumplimiento Normativo SEPS",IF(AND(OR(AA168="L4 Gestionado y Medible",AA168="L5 Optimizado"),AND(AC168&lt;&gt;"",AC168&lt;&gt;"N/A")),"CONFORME - Control Efectivo ISO 27001","OBSERVACIÓN - Revisar Controles")))</f>
        <v/>
      </c>
    </row>
    <row r="169">
      <c r="A169" s="99"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c r="AD169">
        <f>IF(OR(T169="",Y169="",AA169=""),"",IF(AND(T169="ALTA",OR(AA169="L0 Inexistente",AA169="L1 Inicial / Ad Hoc",Y169="No Iniciado")),"CRÍTICO - Incumplimiento Normativo SEPS",IF(AND(OR(AA169="L4 Gestionado y Medible",AA169="L5 Optimizado"),AND(AC169&lt;&gt;"",AC169&lt;&gt;"N/A")),"CONFORME - Control Efectivo ISO 27001","OBSERVACIÓN - Revisar Controles")))</f>
        <v/>
      </c>
    </row>
    <row r="170">
      <c r="A170" s="99"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c r="AD170">
        <f>IF(OR(T170="",Y170="",AA170=""),"",IF(AND(T170="ALTA",OR(AA170="L0 Inexistente",AA170="L1 Inicial / Ad Hoc",Y170="No Iniciado")),"CRÍTICO - Incumplimiento Normativo SEPS",IF(AND(OR(AA170="L4 Gestionado y Medible",AA170="L5 Optimizado"),AND(AC170&lt;&gt;"",AC170&lt;&gt;"N/A")),"CONFORME - Control Efectivo ISO 27001","OBSERVACIÓN - Revisar Controles")))</f>
        <v/>
      </c>
    </row>
    <row r="171">
      <c r="A171" s="99"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c r="AD171">
        <f>IF(OR(T171="",Y171="",AA171=""),"",IF(AND(T171="ALTA",OR(AA171="L0 Inexistente",AA171="L1 Inicial / Ad Hoc",Y171="No Iniciado")),"CRÍTICO - Incumplimiento Normativo SEPS",IF(AND(OR(AA171="L4 Gestionado y Medible",AA171="L5 Optimizado"),AND(AC171&lt;&gt;"",AC171&lt;&gt;"N/A")),"CONFORME - Control Efectivo ISO 27001","OBSERVACIÓN - Revisar Controles")))</f>
        <v/>
      </c>
    </row>
    <row r="172">
      <c r="A172" s="99"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c r="AD172">
        <f>IF(OR(T172="",Y172="",AA172=""),"",IF(AND(T172="ALTA",OR(AA172="L0 Inexistente",AA172="L1 Inicial / Ad Hoc",Y172="No Iniciado")),"CRÍTICO - Incumplimiento Normativo SEPS",IF(AND(OR(AA172="L4 Gestionado y Medible",AA172="L5 Optimizado"),AND(AC172&lt;&gt;"",AC172&lt;&gt;"N/A")),"CONFORME - Control Efectivo ISO 27001","OBSERVACIÓN - Revisar Controles")))</f>
        <v/>
      </c>
    </row>
    <row r="173">
      <c r="A173" s="99"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c r="AD173">
        <f>IF(OR(T173="",Y173="",AA173=""),"",IF(AND(T173="ALTA",OR(AA173="L0 Inexistente",AA173="L1 Inicial / Ad Hoc",Y173="No Iniciado")),"CRÍTICO - Incumplimiento Normativo SEPS",IF(AND(OR(AA173="L4 Gestionado y Medible",AA173="L5 Optimizado"),AND(AC173&lt;&gt;"",AC173&lt;&gt;"N/A")),"CONFORME - Control Efectivo ISO 27001","OBSERVACIÓN - Revisar Controles")))</f>
        <v/>
      </c>
    </row>
    <row r="174">
      <c r="A174" s="99"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c r="AD174">
        <f>IF(OR(T174="",Y174="",AA174=""),"",IF(AND(T174="ALTA",OR(AA174="L0 Inexistente",AA174="L1 Inicial / Ad Hoc",Y174="No Iniciado")),"CRÍTICO - Incumplimiento Normativo SEPS",IF(AND(OR(AA174="L4 Gestionado y Medible",AA174="L5 Optimizado"),AND(AC174&lt;&gt;"",AC174&lt;&gt;"N/A")),"CONFORME - Control Efectivo ISO 27001","OBSERVACIÓN - Revisar Controles")))</f>
        <v/>
      </c>
    </row>
    <row r="175">
      <c r="A175" s="99"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c r="AD175">
        <f>IF(OR(T175="",Y175="",AA175=""),"",IF(AND(T175="ALTA",OR(AA175="L0 Inexistente",AA175="L1 Inicial / Ad Hoc",Y175="No Iniciado")),"CRÍTICO - Incumplimiento Normativo SEPS",IF(AND(OR(AA175="L4 Gestionado y Medible",AA175="L5 Optimizado"),AND(AC175&lt;&gt;"",AC175&lt;&gt;"N/A")),"CONFORME - Control Efectivo ISO 27001","OBSERVACIÓN - Revisar Controles")))</f>
        <v/>
      </c>
    </row>
    <row r="176">
      <c r="A176" s="99"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c r="AD176">
        <f>IF(OR(T176="",Y176="",AA176=""),"",IF(AND(T176="ALTA",OR(AA176="L0 Inexistente",AA176="L1 Inicial / Ad Hoc",Y176="No Iniciado")),"CRÍTICO - Incumplimiento Normativo SEPS",IF(AND(OR(AA176="L4 Gestionado y Medible",AA176="L5 Optimizado"),AND(AC176&lt;&gt;"",AC176&lt;&gt;"N/A")),"CONFORME - Control Efectivo ISO 27001","OBSERVACIÓN - Revisar Controles")))</f>
        <v/>
      </c>
    </row>
    <row r="177">
      <c r="A177" s="99"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c r="AD177">
        <f>IF(OR(T177="",Y177="",AA177=""),"",IF(AND(T177="ALTA",OR(AA177="L0 Inexistente",AA177="L1 Inicial / Ad Hoc",Y177="No Iniciado")),"CRÍTICO - Incumplimiento Normativo SEPS",IF(AND(OR(AA177="L4 Gestionado y Medible",AA177="L5 Optimizado"),AND(AC177&lt;&gt;"",AC177&lt;&gt;"N/A")),"CONFORME - Control Efectivo ISO 27001","OBSERVACIÓN - Revisar Controles")))</f>
        <v/>
      </c>
    </row>
    <row r="178">
      <c r="A178" s="99"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c r="AD178">
        <f>IF(OR(T178="",Y178="",AA178=""),"",IF(AND(T178="ALTA",OR(AA178="L0 Inexistente",AA178="L1 Inicial / Ad Hoc",Y178="No Iniciado")),"CRÍTICO - Incumplimiento Normativo SEPS",IF(AND(OR(AA178="L4 Gestionado y Medible",AA178="L5 Optimizado"),AND(AC178&lt;&gt;"",AC178&lt;&gt;"N/A")),"CONFORME - Control Efectivo ISO 27001","OBSERVACIÓN - Revisar Controles")))</f>
        <v/>
      </c>
    </row>
    <row r="179">
      <c r="A179" s="99"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c r="AD179">
        <f>IF(OR(T179="",Y179="",AA179=""),"",IF(AND(T179="ALTA",OR(AA179="L0 Inexistente",AA179="L1 Inicial / Ad Hoc",Y179="No Iniciado")),"CRÍTICO - Incumplimiento Normativo SEPS",IF(AND(OR(AA179="L4 Gestionado y Medible",AA179="L5 Optimizado"),AND(AC179&lt;&gt;"",AC179&lt;&gt;"N/A")),"CONFORME - Control Efectivo ISO 27001","OBSERVACIÓN - Revisar Controles")))</f>
        <v/>
      </c>
    </row>
    <row r="180">
      <c r="A180" s="99"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c r="AD180">
        <f>IF(OR(T180="",Y180="",AA180=""),"",IF(AND(T180="ALTA",OR(AA180="L0 Inexistente",AA180="L1 Inicial / Ad Hoc",Y180="No Iniciado")),"CRÍTICO - Incumplimiento Normativo SEPS",IF(AND(OR(AA180="L4 Gestionado y Medible",AA180="L5 Optimizado"),AND(AC180&lt;&gt;"",AC180&lt;&gt;"N/A")),"CONFORME - Control Efectivo ISO 27001","OBSERVACIÓN - Revisar Controles")))</f>
        <v/>
      </c>
    </row>
    <row r="181">
      <c r="A181" s="99"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c r="AD181">
        <f>IF(OR(T181="",Y181="",AA181=""),"",IF(AND(T181="ALTA",OR(AA181="L0 Inexistente",AA181="L1 Inicial / Ad Hoc",Y181="No Iniciado")),"CRÍTICO - Incumplimiento Normativo SEPS",IF(AND(OR(AA181="L4 Gestionado y Medible",AA181="L5 Optimizado"),AND(AC181&lt;&gt;"",AC181&lt;&gt;"N/A")),"CONFORME - Control Efectivo ISO 27001","OBSERVACIÓN - Revisar Controles")))</f>
        <v/>
      </c>
    </row>
    <row r="182">
      <c r="A182" s="99"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c r="AD182">
        <f>IF(OR(T182="",Y182="",AA182=""),"",IF(AND(T182="ALTA",OR(AA182="L0 Inexistente",AA182="L1 Inicial / Ad Hoc",Y182="No Iniciado")),"CRÍTICO - Incumplimiento Normativo SEPS",IF(AND(OR(AA182="L4 Gestionado y Medible",AA182="L5 Optimizado"),AND(AC182&lt;&gt;"",AC182&lt;&gt;"N/A")),"CONFORME - Control Efectivo ISO 27001","OBSERVACIÓN - Revisar Controles")))</f>
        <v/>
      </c>
    </row>
    <row r="183">
      <c r="A183" s="99"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c r="AD183">
        <f>IF(OR(T183="",Y183="",AA183=""),"",IF(AND(T183="ALTA",OR(AA183="L0 Inexistente",AA183="L1 Inicial / Ad Hoc",Y183="No Iniciado")),"CRÍTICO - Incumplimiento Normativo SEPS",IF(AND(OR(AA183="L4 Gestionado y Medible",AA183="L5 Optimizado"),AND(AC183&lt;&gt;"",AC183&lt;&gt;"N/A")),"CONFORME - Control Efectivo ISO 27001","OBSERVACIÓN - Revisar Controles")))</f>
        <v/>
      </c>
    </row>
    <row r="184">
      <c r="A184" s="99"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c r="AD184">
        <f>IF(OR(T184="",Y184="",AA184=""),"",IF(AND(T184="ALTA",OR(AA184="L0 Inexistente",AA184="L1 Inicial / Ad Hoc",Y184="No Iniciado")),"CRÍTICO - Incumplimiento Normativo SEPS",IF(AND(OR(AA184="L4 Gestionado y Medible",AA184="L5 Optimizado"),AND(AC184&lt;&gt;"",AC184&lt;&gt;"N/A")),"CONFORME - Control Efectivo ISO 27001","OBSERVACIÓN - Revisar Controles")))</f>
        <v/>
      </c>
    </row>
    <row r="185">
      <c r="A185" s="99"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c r="AD185">
        <f>IF(OR(T185="",Y185="",AA185=""),"",IF(AND(T185="ALTA",OR(AA185="L0 Inexistente",AA185="L1 Inicial / Ad Hoc",Y185="No Iniciado")),"CRÍTICO - Incumplimiento Normativo SEPS",IF(AND(OR(AA185="L4 Gestionado y Medible",AA185="L5 Optimizado"),AND(AC185&lt;&gt;"",AC185&lt;&gt;"N/A")),"CONFORME - Control Efectivo ISO 27001","OBSERVACIÓN - Revisar Controles")))</f>
        <v/>
      </c>
    </row>
    <row r="186">
      <c r="A186" s="99"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c r="AD186">
        <f>IF(OR(T186="",Y186="",AA186=""),"",IF(AND(T186="ALTA",OR(AA186="L0 Inexistente",AA186="L1 Inicial / Ad Hoc",Y186="No Iniciado")),"CRÍTICO - Incumplimiento Normativo SEPS",IF(AND(OR(AA186="L4 Gestionado y Medible",AA186="L5 Optimizado"),AND(AC186&lt;&gt;"",AC186&lt;&gt;"N/A")),"CONFORME - Control Efectivo ISO 27001","OBSERVACIÓN - Revisar Controles")))</f>
        <v/>
      </c>
    </row>
    <row r="187">
      <c r="A187" s="99"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c r="AD187">
        <f>IF(OR(T187="",Y187="",AA187=""),"",IF(AND(T187="ALTA",OR(AA187="L0 Inexistente",AA187="L1 Inicial / Ad Hoc",Y187="No Iniciado")),"CRÍTICO - Incumplimiento Normativo SEPS",IF(AND(OR(AA187="L4 Gestionado y Medible",AA187="L5 Optimizado"),AND(AC187&lt;&gt;"",AC187&lt;&gt;"N/A")),"CONFORME - Control Efectivo ISO 27001","OBSERVACIÓN - Revisar Controles")))</f>
        <v/>
      </c>
    </row>
    <row r="188">
      <c r="A188" s="99"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c r="AD188">
        <f>IF(OR(T188="",Y188="",AA188=""),"",IF(AND(T188="ALTA",OR(AA188="L0 Inexistente",AA188="L1 Inicial / Ad Hoc",Y188="No Iniciado")),"CRÍTICO - Incumplimiento Normativo SEPS",IF(AND(OR(AA188="L4 Gestionado y Medible",AA188="L5 Optimizado"),AND(AC188&lt;&gt;"",AC188&lt;&gt;"N/A")),"CONFORME - Control Efectivo ISO 27001","OBSERVACIÓN - Revisar Controles")))</f>
        <v/>
      </c>
    </row>
    <row r="189">
      <c r="A189" s="99"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c r="AD189">
        <f>IF(OR(T189="",Y189="",AA189=""),"",IF(AND(T189="ALTA",OR(AA189="L0 Inexistente",AA189="L1 Inicial / Ad Hoc",Y189="No Iniciado")),"CRÍTICO - Incumplimiento Normativo SEPS",IF(AND(OR(AA189="L4 Gestionado y Medible",AA189="L5 Optimizado"),AND(AC189&lt;&gt;"",AC189&lt;&gt;"N/A")),"CONFORME - Control Efectivo ISO 27001","OBSERVACIÓN - Revisar Controles")))</f>
        <v/>
      </c>
    </row>
    <row r="190">
      <c r="A190" s="99"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c r="AD190">
        <f>IF(OR(T190="",Y190="",AA190=""),"",IF(AND(T190="ALTA",OR(AA190="L0 Inexistente",AA190="L1 Inicial / Ad Hoc",Y190="No Iniciado")),"CRÍTICO - Incumplimiento Normativo SEPS",IF(AND(OR(AA190="L4 Gestionado y Medible",AA190="L5 Optimizado"),AND(AC190&lt;&gt;"",AC190&lt;&gt;"N/A")),"CONFORME - Control Efectivo ISO 27001","OBSERVACIÓN - Revisar Controles")))</f>
        <v/>
      </c>
    </row>
    <row r="191">
      <c r="A191" s="99"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c r="AD191">
        <f>IF(OR(T191="",Y191="",AA191=""),"",IF(AND(T191="ALTA",OR(AA191="L0 Inexistente",AA191="L1 Inicial / Ad Hoc",Y191="No Iniciado")),"CRÍTICO - Incumplimiento Normativo SEPS",IF(AND(OR(AA191="L4 Gestionado y Medible",AA191="L5 Optimizado"),AND(AC191&lt;&gt;"",AC191&lt;&gt;"N/A")),"CONFORME - Control Efectivo ISO 27001","OBSERVACIÓN - Revisar Controles")))</f>
        <v/>
      </c>
    </row>
    <row r="192">
      <c r="A192" s="99"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c r="AD192">
        <f>IF(OR(T192="",Y192="",AA192=""),"",IF(AND(T192="ALTA",OR(AA192="L0 Inexistente",AA192="L1 Inicial / Ad Hoc",Y192="No Iniciado")),"CRÍTICO - Incumplimiento Normativo SEPS",IF(AND(OR(AA192="L4 Gestionado y Medible",AA192="L5 Optimizado"),AND(AC192&lt;&gt;"",AC192&lt;&gt;"N/A")),"CONFORME - Control Efectivo ISO 27001","OBSERVACIÓN - Revisar Controles")))</f>
        <v/>
      </c>
    </row>
    <row r="193">
      <c r="A193" s="99"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c r="AD193">
        <f>IF(OR(T193="",Y193="",AA193=""),"",IF(AND(T193="ALTA",OR(AA193="L0 Inexistente",AA193="L1 Inicial / Ad Hoc",Y193="No Iniciado")),"CRÍTICO - Incumplimiento Normativo SEPS",IF(AND(OR(AA193="L4 Gestionado y Medible",AA193="L5 Optimizado"),AND(AC193&lt;&gt;"",AC193&lt;&gt;"N/A")),"CONFORME - Control Efectivo ISO 27001","OBSERVACIÓN - Revisar Controles")))</f>
        <v/>
      </c>
    </row>
    <row r="194">
      <c r="A194" s="99"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c r="AD194">
        <f>IF(OR(T194="",Y194="",AA194=""),"",IF(AND(T194="ALTA",OR(AA194="L0 Inexistente",AA194="L1 Inicial / Ad Hoc",Y194="No Iniciado")),"CRÍTICO - Incumplimiento Normativo SEPS",IF(AND(OR(AA194="L4 Gestionado y Medible",AA194="L5 Optimizado"),AND(AC194&lt;&gt;"",AC194&lt;&gt;"N/A")),"CONFORME - Control Efectivo ISO 27001","OBSERVACIÓN - Revisar Controles")))</f>
        <v/>
      </c>
    </row>
    <row r="195">
      <c r="A195" s="99"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c r="AD195">
        <f>IF(OR(T195="",Y195="",AA195=""),"",IF(AND(T195="ALTA",OR(AA195="L0 Inexistente",AA195="L1 Inicial / Ad Hoc",Y195="No Iniciado")),"CRÍTICO - Incumplimiento Normativo SEPS",IF(AND(OR(AA195="L4 Gestionado y Medible",AA195="L5 Optimizado"),AND(AC195&lt;&gt;"",AC195&lt;&gt;"N/A")),"CONFORME - Control Efectivo ISO 27001","OBSERVACIÓN - Revisar Controles")))</f>
        <v/>
      </c>
    </row>
    <row r="196">
      <c r="A196" s="99"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c r="AD196">
        <f>IF(OR(T196="",Y196="",AA196=""),"",IF(AND(T196="ALTA",OR(AA196="L0 Inexistente",AA196="L1 Inicial / Ad Hoc",Y196="No Iniciado")),"CRÍTICO - Incumplimiento Normativo SEPS",IF(AND(OR(AA196="L4 Gestionado y Medible",AA196="L5 Optimizado"),AND(AC196&lt;&gt;"",AC196&lt;&gt;"N/A")),"CONFORME - Control Efectivo ISO 27001","OBSERVACIÓN - Revisar Controles")))</f>
        <v/>
      </c>
    </row>
    <row r="197">
      <c r="A197" s="99"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c r="AD197">
        <f>IF(OR(T197="",Y197="",AA197=""),"",IF(AND(T197="ALTA",OR(AA197="L0 Inexistente",AA197="L1 Inicial / Ad Hoc",Y197="No Iniciado")),"CRÍTICO - Incumplimiento Normativo SEPS",IF(AND(OR(AA197="L4 Gestionado y Medible",AA197="L5 Optimizado"),AND(AC197&lt;&gt;"",AC197&lt;&gt;"N/A")),"CONFORME - Control Efectivo ISO 27001","OBSERVACIÓN - Revisar Controles")))</f>
        <v/>
      </c>
    </row>
    <row r="198">
      <c r="A198" s="99"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c r="AD198">
        <f>IF(OR(T198="",Y198="",AA198=""),"",IF(AND(T198="ALTA",OR(AA198="L0 Inexistente",AA198="L1 Inicial / Ad Hoc",Y198="No Iniciado")),"CRÍTICO - Incumplimiento Normativo SEPS",IF(AND(OR(AA198="L4 Gestionado y Medible",AA198="L5 Optimizado"),AND(AC198&lt;&gt;"",AC198&lt;&gt;"N/A")),"CONFORME - Control Efectivo ISO 27001","OBSERVACIÓN - Revisar Controles")))</f>
        <v/>
      </c>
    </row>
    <row r="199">
      <c r="A199" s="99"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c r="AD199">
        <f>IF(OR(T199="",Y199="",AA199=""),"",IF(AND(T199="ALTA",OR(AA199="L0 Inexistente",AA199="L1 Inicial / Ad Hoc",Y199="No Iniciado")),"CRÍTICO - Incumplimiento Normativo SEPS",IF(AND(OR(AA199="L4 Gestionado y Medible",AA199="L5 Optimizado"),AND(AC199&lt;&gt;"",AC199&lt;&gt;"N/A")),"CONFORME - Control Efectivo ISO 27001","OBSERVACIÓN - Revisar Controles")))</f>
        <v/>
      </c>
    </row>
    <row r="200">
      <c r="A200" s="99"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c r="AD200">
        <f>IF(OR(T200="",Y200="",AA200=""),"",IF(AND(T200="ALTA",OR(AA200="L0 Inexistente",AA200="L1 Inicial / Ad Hoc",Y200="No Iniciado")),"CRÍTICO - Incumplimiento Normativo SEPS",IF(AND(OR(AA200="L4 Gestionado y Medible",AA200="L5 Optimizado"),AND(AC200&lt;&gt;"",AC200&lt;&gt;"N/A")),"CONFORME - Control Efectivo ISO 27001","OBSERVACIÓN - Revisar Controles")))</f>
        <v/>
      </c>
    </row>
    <row r="201">
      <c r="A201" s="99"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c r="AD201">
        <f>IF(OR(T201="",Y201="",AA201=""),"",IF(AND(T201="ALTA",OR(AA201="L0 Inexistente",AA201="L1 Inicial / Ad Hoc",Y201="No Iniciado")),"CRÍTICO - Incumplimiento Normativo SEPS",IF(AND(OR(AA201="L4 Gestionado y Medible",AA201="L5 Optimizado"),AND(AC201&lt;&gt;"",AC201&lt;&gt;"N/A")),"CONFORME - Control Efectivo ISO 27001","OBSERVACIÓN - Revisar Controles")))</f>
        <v/>
      </c>
    </row>
    <row r="202">
      <c r="A202" s="99"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c r="AD202">
        <f>IF(OR(T202="",Y202="",AA202=""),"",IF(AND(T202="ALTA",OR(AA202="L0 Inexistente",AA202="L1 Inicial / Ad Hoc",Y202="No Iniciado")),"CRÍTICO - Incumplimiento Normativo SEPS",IF(AND(OR(AA202="L4 Gestionado y Medible",AA202="L5 Optimizado"),AND(AC202&lt;&gt;"",AC202&lt;&gt;"N/A")),"CONFORME - Control Efectivo ISO 27001","OBSERVACIÓN - Revisar Controles")))</f>
        <v/>
      </c>
    </row>
    <row r="203">
      <c r="A203" s="99"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c r="AD203">
        <f>IF(OR(T203="",Y203="",AA203=""),"",IF(AND(T203="ALTA",OR(AA203="L0 Inexistente",AA203="L1 Inicial / Ad Hoc",Y203="No Iniciado")),"CRÍTICO - Incumplimiento Normativo SEPS",IF(AND(OR(AA203="L4 Gestionado y Medible",AA203="L5 Optimizado"),AND(AC203&lt;&gt;"",AC203&lt;&gt;"N/A")),"CONFORME - Control Efectivo ISO 27001","OBSERVACIÓN - Revisar Controles")))</f>
        <v/>
      </c>
    </row>
    <row r="204">
      <c r="A204" s="99"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c r="AD204">
        <f>IF(OR(T204="",Y204="",AA204=""),"",IF(AND(T204="ALTA",OR(AA204="L0 Inexistente",AA204="L1 Inicial / Ad Hoc",Y204="No Iniciado")),"CRÍTICO - Incumplimiento Normativo SEPS",IF(AND(OR(AA204="L4 Gestionado y Medible",AA204="L5 Optimizado"),AND(AC204&lt;&gt;"",AC204&lt;&gt;"N/A")),"CONFORME - Control Efectivo ISO 27001","OBSERVACIÓN - Revisar Controles")))</f>
        <v/>
      </c>
    </row>
    <row r="205">
      <c r="A205" s="99"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c r="AD205">
        <f>IF(OR(T205="",Y205="",AA205=""),"",IF(AND(T205="ALTA",OR(AA205="L0 Inexistente",AA205="L1 Inicial / Ad Hoc",Y205="No Iniciado")),"CRÍTICO - Incumplimiento Normativo SEPS",IF(AND(OR(AA205="L4 Gestionado y Medible",AA205="L5 Optimizado"),AND(AC205&lt;&gt;"",AC205&lt;&gt;"N/A")),"CONFORME - Control Efectivo ISO 27001","OBSERVACIÓN - Revisar Controles")))</f>
        <v/>
      </c>
    </row>
    <row r="206">
      <c r="A206" s="99"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c r="AD206">
        <f>IF(OR(T206="",Y206="",AA206=""),"",IF(AND(T206="ALTA",OR(AA206="L0 Inexistente",AA206="L1 Inicial / Ad Hoc",Y206="No Iniciado")),"CRÍTICO - Incumplimiento Normativo SEPS",IF(AND(OR(AA206="L4 Gestionado y Medible",AA206="L5 Optimizado"),AND(AC206&lt;&gt;"",AC206&lt;&gt;"N/A")),"CONFORME - Control Efectivo ISO 27001","OBSERVACIÓN - Revisar Controles")))</f>
        <v/>
      </c>
    </row>
    <row r="207">
      <c r="A207" s="99"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c r="AD207">
        <f>IF(OR(T207="",Y207="",AA207=""),"",IF(AND(T207="ALTA",OR(AA207="L0 Inexistente",AA207="L1 Inicial / Ad Hoc",Y207="No Iniciado")),"CRÍTICO - Incumplimiento Normativo SEPS",IF(AND(OR(AA207="L4 Gestionado y Medible",AA207="L5 Optimizado"),AND(AC207&lt;&gt;"",AC207&lt;&gt;"N/A")),"CONFORME - Control Efectivo ISO 27001","OBSERVACIÓN - Revisar Controles")))</f>
        <v/>
      </c>
    </row>
    <row r="208">
      <c r="A208" s="99"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c r="AD208">
        <f>IF(OR(T208="",Y208="",AA208=""),"",IF(AND(T208="ALTA",OR(AA208="L0 Inexistente",AA208="L1 Inicial / Ad Hoc",Y208="No Iniciado")),"CRÍTICO - Incumplimiento Normativo SEPS",IF(AND(OR(AA208="L4 Gestionado y Medible",AA208="L5 Optimizado"),AND(AC208&lt;&gt;"",AC208&lt;&gt;"N/A")),"CONFORME - Control Efectivo ISO 27001","OBSERVACIÓN - Revisar Controles")))</f>
        <v/>
      </c>
    </row>
    <row r="209">
      <c r="A209" s="99"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c r="AD209">
        <f>IF(OR(T209="",Y209="",AA209=""),"",IF(AND(T209="ALTA",OR(AA209="L0 Inexistente",AA209="L1 Inicial / Ad Hoc",Y209="No Iniciado")),"CRÍTICO - Incumplimiento Normativo SEPS",IF(AND(OR(AA209="L4 Gestionado y Medible",AA209="L5 Optimizado"),AND(AC209&lt;&gt;"",AC209&lt;&gt;"N/A")),"CONFORME - Control Efectivo ISO 27001","OBSERVACIÓN - Revisar Controles")))</f>
        <v/>
      </c>
    </row>
    <row r="210">
      <c r="A210" s="99"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c r="AD210">
        <f>IF(OR(T210="",Y210="",AA210=""),"",IF(AND(T210="ALTA",OR(AA210="L0 Inexistente",AA210="L1 Inicial / Ad Hoc",Y210="No Iniciado")),"CRÍTICO - Incumplimiento Normativo SEPS",IF(AND(OR(AA210="L4 Gestionado y Medible",AA210="L5 Optimizado"),AND(AC210&lt;&gt;"",AC210&lt;&gt;"N/A")),"CONFORME - Control Efectivo ISO 27001","OBSERVACIÓN - Revisar Controles")))</f>
        <v/>
      </c>
    </row>
    <row r="211">
      <c r="A211" s="99"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c r="AD211">
        <f>IF(OR(T211="",Y211="",AA211=""),"",IF(AND(T211="ALTA",OR(AA211="L0 Inexistente",AA211="L1 Inicial / Ad Hoc",Y211="No Iniciado")),"CRÍTICO - Incumplimiento Normativo SEPS",IF(AND(OR(AA211="L4 Gestionado y Medible",AA211="L5 Optimizado"),AND(AC211&lt;&gt;"",AC211&lt;&gt;"N/A")),"CONFORME - Control Efectivo ISO 27001","OBSERVACIÓN - Revisar Controles")))</f>
        <v/>
      </c>
    </row>
    <row r="212">
      <c r="A212" s="99"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c r="AD212">
        <f>IF(OR(T212="",Y212="",AA212=""),"",IF(AND(T212="ALTA",OR(AA212="L0 Inexistente",AA212="L1 Inicial / Ad Hoc",Y212="No Iniciado")),"CRÍTICO - Incumplimiento Normativo SEPS",IF(AND(OR(AA212="L4 Gestionado y Medible",AA212="L5 Optimizado"),AND(AC212&lt;&gt;"",AC212&lt;&gt;"N/A")),"CONFORME - Control Efectivo ISO 27001","OBSERVACIÓN - Revisar Controles")))</f>
        <v/>
      </c>
    </row>
    <row r="213">
      <c r="A213" s="99"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c r="AD213">
        <f>IF(OR(T213="",Y213="",AA213=""),"",IF(AND(T213="ALTA",OR(AA213="L0 Inexistente",AA213="L1 Inicial / Ad Hoc",Y213="No Iniciado")),"CRÍTICO - Incumplimiento Normativo SEPS",IF(AND(OR(AA213="L4 Gestionado y Medible",AA213="L5 Optimizado"),AND(AC213&lt;&gt;"",AC213&lt;&gt;"N/A")),"CONFORME - Control Efectivo ISO 27001","OBSERVACIÓN - Revisar Controles")))</f>
        <v/>
      </c>
    </row>
    <row r="214">
      <c r="A214" s="99"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c r="AD214">
        <f>IF(OR(T214="",Y214="",AA214=""),"",IF(AND(T214="ALTA",OR(AA214="L0 Inexistente",AA214="L1 Inicial / Ad Hoc",Y214="No Iniciado")),"CRÍTICO - Incumplimiento Normativo SEPS",IF(AND(OR(AA214="L4 Gestionado y Medible",AA214="L5 Optimizado"),AND(AC214&lt;&gt;"",AC214&lt;&gt;"N/A")),"CONFORME - Control Efectivo ISO 27001","OBSERVACIÓN - Revisar Controles")))</f>
        <v/>
      </c>
    </row>
    <row r="215">
      <c r="A215" s="99"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c r="AD215">
        <f>IF(OR(T215="",Y215="",AA215=""),"",IF(AND(T215="ALTA",OR(AA215="L0 Inexistente",AA215="L1 Inicial / Ad Hoc",Y215="No Iniciado")),"CRÍTICO - Incumplimiento Normativo SEPS",IF(AND(OR(AA215="L4 Gestionado y Medible",AA215="L5 Optimizado"),AND(AC215&lt;&gt;"",AC215&lt;&gt;"N/A")),"CONFORME - Control Efectivo ISO 27001","OBSERVACIÓN - Revisar Controles")))</f>
        <v/>
      </c>
    </row>
    <row r="216">
      <c r="A216" s="99"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c r="AD216">
        <f>IF(OR(T216="",Y216="",AA216=""),"",IF(AND(T216="ALTA",OR(AA216="L0 Inexistente",AA216="L1 Inicial / Ad Hoc",Y216="No Iniciado")),"CRÍTICO - Incumplimiento Normativo SEPS",IF(AND(OR(AA216="L4 Gestionado y Medible",AA216="L5 Optimizado"),AND(AC216&lt;&gt;"",AC216&lt;&gt;"N/A")),"CONFORME - Control Efectivo ISO 27001","OBSERVACIÓN - Revisar Controles")))</f>
        <v/>
      </c>
    </row>
    <row r="217">
      <c r="A217" s="99"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c r="AD217">
        <f>IF(OR(T217="",Y217="",AA217=""),"",IF(AND(T217="ALTA",OR(AA217="L0 Inexistente",AA217="L1 Inicial / Ad Hoc",Y217="No Iniciado")),"CRÍTICO - Incumplimiento Normativo SEPS",IF(AND(OR(AA217="L4 Gestionado y Medible",AA217="L5 Optimizado"),AND(AC217&lt;&gt;"",AC217&lt;&gt;"N/A")),"CONFORME - Control Efectivo ISO 27001","OBSERVACIÓN - Revisar Controles")))</f>
        <v/>
      </c>
    </row>
    <row r="218">
      <c r="A218" s="99"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c r="AD218">
        <f>IF(OR(T218="",Y218="",AA218=""),"",IF(AND(T218="ALTA",OR(AA218="L0 Inexistente",AA218="L1 Inicial / Ad Hoc",Y218="No Iniciado")),"CRÍTICO - Incumplimiento Normativo SEPS",IF(AND(OR(AA218="L4 Gestionado y Medible",AA218="L5 Optimizado"),AND(AC218&lt;&gt;"",AC218&lt;&gt;"N/A")),"CONFORME - Control Efectivo ISO 27001","OBSERVACIÓN - Revisar Controles")))</f>
        <v/>
      </c>
    </row>
    <row r="219">
      <c r="A219" s="99"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c r="AD219">
        <f>IF(OR(T219="",Y219="",AA219=""),"",IF(AND(T219="ALTA",OR(AA219="L0 Inexistente",AA219="L1 Inicial / Ad Hoc",Y219="No Iniciado")),"CRÍTICO - Incumplimiento Normativo SEPS",IF(AND(OR(AA219="L4 Gestionado y Medible",AA219="L5 Optimizado"),AND(AC219&lt;&gt;"",AC219&lt;&gt;"N/A")),"CONFORME - Control Efectivo ISO 27001","OBSERVACIÓN - Revisar Controles")))</f>
        <v/>
      </c>
    </row>
    <row r="220">
      <c r="A220" s="99"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c r="AD220">
        <f>IF(OR(T220="",Y220="",AA220=""),"",IF(AND(T220="ALTA",OR(AA220="L0 Inexistente",AA220="L1 Inicial / Ad Hoc",Y220="No Iniciado")),"CRÍTICO - Incumplimiento Normativo SEPS",IF(AND(OR(AA220="L4 Gestionado y Medible",AA220="L5 Optimizado"),AND(AC220&lt;&gt;"",AC220&lt;&gt;"N/A")),"CONFORME - Control Efectivo ISO 27001","OBSERVACIÓN - Revisar Controles")))</f>
        <v/>
      </c>
    </row>
    <row r="221">
      <c r="A221" s="99"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c r="AD221">
        <f>IF(OR(T221="",Y221="",AA221=""),"",IF(AND(T221="ALTA",OR(AA221="L0 Inexistente",AA221="L1 Inicial / Ad Hoc",Y221="No Iniciado")),"CRÍTICO - Incumplimiento Normativo SEPS",IF(AND(OR(AA221="L4 Gestionado y Medible",AA221="L5 Optimizado"),AND(AC221&lt;&gt;"",AC221&lt;&gt;"N/A")),"CONFORME - Control Efectivo ISO 27001","OBSERVACIÓN - Revisar Controles")))</f>
        <v/>
      </c>
    </row>
    <row r="222">
      <c r="A222" s="99"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c r="AD222">
        <f>IF(OR(T222="",Y222="",AA222=""),"",IF(AND(T222="ALTA",OR(AA222="L0 Inexistente",AA222="L1 Inicial / Ad Hoc",Y222="No Iniciado")),"CRÍTICO - Incumplimiento Normativo SEPS",IF(AND(OR(AA222="L4 Gestionado y Medible",AA222="L5 Optimizado"),AND(AC222&lt;&gt;"",AC222&lt;&gt;"N/A")),"CONFORME - Control Efectivo ISO 27001","OBSERVACIÓN - Revisar Controles")))</f>
        <v/>
      </c>
    </row>
    <row r="223">
      <c r="A223" s="99"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c r="AD223">
        <f>IF(OR(T223="",Y223="",AA223=""),"",IF(AND(T223="ALTA",OR(AA223="L0 Inexistente",AA223="L1 Inicial / Ad Hoc",Y223="No Iniciado")),"CRÍTICO - Incumplimiento Normativo SEPS",IF(AND(OR(AA223="L4 Gestionado y Medible",AA223="L5 Optimizado"),AND(AC223&lt;&gt;"",AC223&lt;&gt;"N/A")),"CONFORME - Control Efectivo ISO 27001","OBSERVACIÓN - Revisar Controles")))</f>
        <v/>
      </c>
    </row>
    <row r="224">
      <c r="A224" s="99"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c r="AD224">
        <f>IF(OR(T224="",Y224="",AA224=""),"",IF(AND(T224="ALTA",OR(AA224="L0 Inexistente",AA224="L1 Inicial / Ad Hoc",Y224="No Iniciado")),"CRÍTICO - Incumplimiento Normativo SEPS",IF(AND(OR(AA224="L4 Gestionado y Medible",AA224="L5 Optimizado"),AND(AC224&lt;&gt;"",AC224&lt;&gt;"N/A")),"CONFORME - Control Efectivo ISO 27001","OBSERVACIÓN - Revisar Controles")))</f>
        <v/>
      </c>
    </row>
    <row r="225">
      <c r="A225" s="99"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c r="AD225">
        <f>IF(OR(T225="",Y225="",AA225=""),"",IF(AND(T225="ALTA",OR(AA225="L0 Inexistente",AA225="L1 Inicial / Ad Hoc",Y225="No Iniciado")),"CRÍTICO - Incumplimiento Normativo SEPS",IF(AND(OR(AA225="L4 Gestionado y Medible",AA225="L5 Optimizado"),AND(AC225&lt;&gt;"",AC225&lt;&gt;"N/A")),"CONFORME - Control Efectivo ISO 27001","OBSERVACIÓN - Revisar Controles")))</f>
        <v/>
      </c>
    </row>
    <row r="226">
      <c r="A226" s="99"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c r="AD226">
        <f>IF(OR(T226="",Y226="",AA226=""),"",IF(AND(T226="ALTA",OR(AA226="L0 Inexistente",AA226="L1 Inicial / Ad Hoc",Y226="No Iniciado")),"CRÍTICO - Incumplimiento Normativo SEPS",IF(AND(OR(AA226="L4 Gestionado y Medible",AA226="L5 Optimizado"),AND(AC226&lt;&gt;"",AC226&lt;&gt;"N/A")),"CONFORME - Control Efectivo ISO 27001","OBSERVACIÓN - Revisar Controles")))</f>
        <v/>
      </c>
    </row>
    <row r="227">
      <c r="A227" s="99"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c r="AD227">
        <f>IF(OR(T227="",Y227="",AA227=""),"",IF(AND(T227="ALTA",OR(AA227="L0 Inexistente",AA227="L1 Inicial / Ad Hoc",Y227="No Iniciado")),"CRÍTICO - Incumplimiento Normativo SEPS",IF(AND(OR(AA227="L4 Gestionado y Medible",AA227="L5 Optimizado"),AND(AC227&lt;&gt;"",AC227&lt;&gt;"N/A")),"CONFORME - Control Efectivo ISO 27001","OBSERVACIÓN - Revisar Controles")))</f>
        <v/>
      </c>
    </row>
    <row r="228">
      <c r="A228" s="99"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c r="AD228">
        <f>IF(OR(T228="",Y228="",AA228=""),"",IF(AND(T228="ALTA",OR(AA228="L0 Inexistente",AA228="L1 Inicial / Ad Hoc",Y228="No Iniciado")),"CRÍTICO - Incumplimiento Normativo SEPS",IF(AND(OR(AA228="L4 Gestionado y Medible",AA228="L5 Optimizado"),AND(AC228&lt;&gt;"",AC228&lt;&gt;"N/A")),"CONFORME - Control Efectivo ISO 27001","OBSERVACIÓN - Revisar Controles")))</f>
        <v/>
      </c>
    </row>
    <row r="229">
      <c r="A229" s="99"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c r="AD229">
        <f>IF(OR(T229="",Y229="",AA229=""),"",IF(AND(T229="ALTA",OR(AA229="L0 Inexistente",AA229="L1 Inicial / Ad Hoc",Y229="No Iniciado")),"CRÍTICO - Incumplimiento Normativo SEPS",IF(AND(OR(AA229="L4 Gestionado y Medible",AA229="L5 Optimizado"),AND(AC229&lt;&gt;"",AC229&lt;&gt;"N/A")),"CONFORME - Control Efectivo ISO 27001","OBSERVACIÓN - Revisar Controles")))</f>
        <v/>
      </c>
    </row>
    <row r="230">
      <c r="A230" s="99"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c r="AD230">
        <f>IF(OR(T230="",Y230="",AA230=""),"",IF(AND(T230="ALTA",OR(AA230="L0 Inexistente",AA230="L1 Inicial / Ad Hoc",Y230="No Iniciado")),"CRÍTICO - Incumplimiento Normativo SEPS",IF(AND(OR(AA230="L4 Gestionado y Medible",AA230="L5 Optimizado"),AND(AC230&lt;&gt;"",AC230&lt;&gt;"N/A")),"CONFORME - Control Efectivo ISO 27001","OBSERVACIÓN - Revisar Controles")))</f>
        <v/>
      </c>
    </row>
    <row r="231">
      <c r="A231" s="99"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c r="AD231">
        <f>IF(OR(T231="",Y231="",AA231=""),"",IF(AND(T231="ALTA",OR(AA231="L0 Inexistente",AA231="L1 Inicial / Ad Hoc",Y231="No Iniciado")),"CRÍTICO - Incumplimiento Normativo SEPS",IF(AND(OR(AA231="L4 Gestionado y Medible",AA231="L5 Optimizado"),AND(AC231&lt;&gt;"",AC231&lt;&gt;"N/A")),"CONFORME - Control Efectivo ISO 27001","OBSERVACIÓN - Revisar Controles")))</f>
        <v/>
      </c>
    </row>
    <row r="232">
      <c r="A232" s="99"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c r="AD232">
        <f>IF(OR(T232="",Y232="",AA232=""),"",IF(AND(T232="ALTA",OR(AA232="L0 Inexistente",AA232="L1 Inicial / Ad Hoc",Y232="No Iniciado")),"CRÍTICO - Incumplimiento Normativo SEPS",IF(AND(OR(AA232="L4 Gestionado y Medible",AA232="L5 Optimizado"),AND(AC232&lt;&gt;"",AC232&lt;&gt;"N/A")),"CONFORME - Control Efectivo ISO 27001","OBSERVACIÓN - Revisar Controles")))</f>
        <v/>
      </c>
    </row>
    <row r="233">
      <c r="A233" s="99"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c r="AD233">
        <f>IF(OR(T233="",Y233="",AA233=""),"",IF(AND(T233="ALTA",OR(AA233="L0 Inexistente",AA233="L1 Inicial / Ad Hoc",Y233="No Iniciado")),"CRÍTICO - Incumplimiento Normativo SEPS",IF(AND(OR(AA233="L4 Gestionado y Medible",AA233="L5 Optimizado"),AND(AC233&lt;&gt;"",AC233&lt;&gt;"N/A")),"CONFORME - Control Efectivo ISO 27001","OBSERVACIÓN - Revisar Controles")))</f>
        <v/>
      </c>
    </row>
    <row r="234">
      <c r="A234" s="99"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c r="AD234">
        <f>IF(OR(T234="",Y234="",AA234=""),"",IF(AND(T234="ALTA",OR(AA234="L0 Inexistente",AA234="L1 Inicial / Ad Hoc",Y234="No Iniciado")),"CRÍTICO - Incumplimiento Normativo SEPS",IF(AND(OR(AA234="L4 Gestionado y Medible",AA234="L5 Optimizado"),AND(AC234&lt;&gt;"",AC234&lt;&gt;"N/A")),"CONFORME - Control Efectivo ISO 27001","OBSERVACIÓN - Revisar Controles")))</f>
        <v/>
      </c>
    </row>
    <row r="235">
      <c r="A235" s="99"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c r="AD235">
        <f>IF(OR(T235="",Y235="",AA235=""),"",IF(AND(T235="ALTA",OR(AA235="L0 Inexistente",AA235="L1 Inicial / Ad Hoc",Y235="No Iniciado")),"CRÍTICO - Incumplimiento Normativo SEPS",IF(AND(OR(AA235="L4 Gestionado y Medible",AA235="L5 Optimizado"),AND(AC235&lt;&gt;"",AC235&lt;&gt;"N/A")),"CONFORME - Control Efectivo ISO 27001","OBSERVACIÓN - Revisar Controles")))</f>
        <v/>
      </c>
    </row>
    <row r="236">
      <c r="A236" s="99"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c r="AD236">
        <f>IF(OR(T236="",Y236="",AA236=""),"",IF(AND(T236="ALTA",OR(AA236="L0 Inexistente",AA236="L1 Inicial / Ad Hoc",Y236="No Iniciado")),"CRÍTICO - Incumplimiento Normativo SEPS",IF(AND(OR(AA236="L4 Gestionado y Medible",AA236="L5 Optimizado"),AND(AC236&lt;&gt;"",AC236&lt;&gt;"N/A")),"CONFORME - Control Efectivo ISO 27001","OBSERVACIÓN - Revisar Controles")))</f>
        <v/>
      </c>
    </row>
    <row r="237">
      <c r="A237" s="99"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c r="AD237">
        <f>IF(OR(T237="",Y237="",AA237=""),"",IF(AND(T237="ALTA",OR(AA237="L0 Inexistente",AA237="L1 Inicial / Ad Hoc",Y237="No Iniciado")),"CRÍTICO - Incumplimiento Normativo SEPS",IF(AND(OR(AA237="L4 Gestionado y Medible",AA237="L5 Optimizado"),AND(AC237&lt;&gt;"",AC237&lt;&gt;"N/A")),"CONFORME - Control Efectivo ISO 27001","OBSERVACIÓN - Revisar Controles")))</f>
        <v/>
      </c>
    </row>
    <row r="238">
      <c r="A238" s="99"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c r="AD238">
        <f>IF(OR(T238="",Y238="",AA238=""),"",IF(AND(T238="ALTA",OR(AA238="L0 Inexistente",AA238="L1 Inicial / Ad Hoc",Y238="No Iniciado")),"CRÍTICO - Incumplimiento Normativo SEPS",IF(AND(OR(AA238="L4 Gestionado y Medible",AA238="L5 Optimizado"),AND(AC238&lt;&gt;"",AC238&lt;&gt;"N/A")),"CONFORME - Control Efectivo ISO 27001","OBSERVACIÓN - Revisar Controles")))</f>
        <v/>
      </c>
    </row>
    <row r="239">
      <c r="A239" s="99"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c r="AD239">
        <f>IF(OR(T239="",Y239="",AA239=""),"",IF(AND(T239="ALTA",OR(AA239="L0 Inexistente",AA239="L1 Inicial / Ad Hoc",Y239="No Iniciado")),"CRÍTICO - Incumplimiento Normativo SEPS",IF(AND(OR(AA239="L4 Gestionado y Medible",AA239="L5 Optimizado"),AND(AC239&lt;&gt;"",AC239&lt;&gt;"N/A")),"CONFORME - Control Efectivo ISO 27001","OBSERVACIÓN - Revisar Controles")))</f>
        <v/>
      </c>
    </row>
    <row r="240">
      <c r="A240" s="99"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c r="AD240">
        <f>IF(OR(T240="",Y240="",AA240=""),"",IF(AND(T240="ALTA",OR(AA240="L0 Inexistente",AA240="L1 Inicial / Ad Hoc",Y240="No Iniciado")),"CRÍTICO - Incumplimiento Normativo SEPS",IF(AND(OR(AA240="L4 Gestionado y Medible",AA240="L5 Optimizado"),AND(AC240&lt;&gt;"",AC240&lt;&gt;"N/A")),"CONFORME - Control Efectivo ISO 27001","OBSERVACIÓN - Revisar Controles")))</f>
        <v/>
      </c>
    </row>
    <row r="241">
      <c r="A241" s="99"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c r="AD241">
        <f>IF(OR(T241="",Y241="",AA241=""),"",IF(AND(T241="ALTA",OR(AA241="L0 Inexistente",AA241="L1 Inicial / Ad Hoc",Y241="No Iniciado")),"CRÍTICO - Incumplimiento Normativo SEPS",IF(AND(OR(AA241="L4 Gestionado y Medible",AA241="L5 Optimizado"),AND(AC241&lt;&gt;"",AC241&lt;&gt;"N/A")),"CONFORME - Control Efectivo ISO 27001","OBSERVACIÓN - Revisar Controles")))</f>
        <v/>
      </c>
    </row>
    <row r="242">
      <c r="A242" s="99"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c r="AD242">
        <f>IF(OR(T242="",Y242="",AA242=""),"",IF(AND(T242="ALTA",OR(AA242="L0 Inexistente",AA242="L1 Inicial / Ad Hoc",Y242="No Iniciado")),"CRÍTICO - Incumplimiento Normativo SEPS",IF(AND(OR(AA242="L4 Gestionado y Medible",AA242="L5 Optimizado"),AND(AC242&lt;&gt;"",AC242&lt;&gt;"N/A")),"CONFORME - Control Efectivo ISO 27001","OBSERVACIÓN - Revisar Controles")))</f>
        <v/>
      </c>
    </row>
    <row r="243">
      <c r="A243" s="99"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c r="AD243">
        <f>IF(OR(T243="",Y243="",AA243=""),"",IF(AND(T243="ALTA",OR(AA243="L0 Inexistente",AA243="L1 Inicial / Ad Hoc",Y243="No Iniciado")),"CRÍTICO - Incumplimiento Normativo SEPS",IF(AND(OR(AA243="L4 Gestionado y Medible",AA243="L5 Optimizado"),AND(AC243&lt;&gt;"",AC243&lt;&gt;"N/A")),"CONFORME - Control Efectivo ISO 27001","OBSERVACIÓN - Revisar Controles")))</f>
        <v/>
      </c>
    </row>
    <row r="244">
      <c r="A244" s="99"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c r="AD244">
        <f>IF(OR(T244="",Y244="",AA244=""),"",IF(AND(T244="ALTA",OR(AA244="L0 Inexistente",AA244="L1 Inicial / Ad Hoc",Y244="No Iniciado")),"CRÍTICO - Incumplimiento Normativo SEPS",IF(AND(OR(AA244="L4 Gestionado y Medible",AA244="L5 Optimizado"),AND(AC244&lt;&gt;"",AC244&lt;&gt;"N/A")),"CONFORME - Control Efectivo ISO 27001","OBSERVACIÓN - Revisar Controles")))</f>
        <v/>
      </c>
    </row>
    <row r="245">
      <c r="A245" s="99"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c r="AD245">
        <f>IF(OR(T245="",Y245="",AA245=""),"",IF(AND(T245="ALTA",OR(AA245="L0 Inexistente",AA245="L1 Inicial / Ad Hoc",Y245="No Iniciado")),"CRÍTICO - Incumplimiento Normativo SEPS",IF(AND(OR(AA245="L4 Gestionado y Medible",AA245="L5 Optimizado"),AND(AC245&lt;&gt;"",AC245&lt;&gt;"N/A")),"CONFORME - Control Efectivo ISO 27001","OBSERVACIÓN - Revisar Controles")))</f>
        <v/>
      </c>
    </row>
    <row r="246">
      <c r="A246" s="99"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c r="AD246">
        <f>IF(OR(T246="",Y246="",AA246=""),"",IF(AND(T246="ALTA",OR(AA246="L0 Inexistente",AA246="L1 Inicial / Ad Hoc",Y246="No Iniciado")),"CRÍTICO - Incumplimiento Normativo SEPS",IF(AND(OR(AA246="L4 Gestionado y Medible",AA246="L5 Optimizado"),AND(AC246&lt;&gt;"",AC246&lt;&gt;"N/A")),"CONFORME - Control Efectivo ISO 27001","OBSERVACIÓN - Revisar Controles")))</f>
        <v/>
      </c>
    </row>
    <row r="247">
      <c r="A247" s="99"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c r="AD247">
        <f>IF(OR(T247="",Y247="",AA247=""),"",IF(AND(T247="ALTA",OR(AA247="L0 Inexistente",AA247="L1 Inicial / Ad Hoc",Y247="No Iniciado")),"CRÍTICO - Incumplimiento Normativo SEPS",IF(AND(OR(AA247="L4 Gestionado y Medible",AA247="L5 Optimizado"),AND(AC247&lt;&gt;"",AC247&lt;&gt;"N/A")),"CONFORME - Control Efectivo ISO 27001","OBSERVACIÓN - Revisar Controles")))</f>
        <v/>
      </c>
    </row>
    <row r="248">
      <c r="A248" s="99"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c r="AD248">
        <f>IF(OR(T248="",Y248="",AA248=""),"",IF(AND(T248="ALTA",OR(AA248="L0 Inexistente",AA248="L1 Inicial / Ad Hoc",Y248="No Iniciado")),"CRÍTICO - Incumplimiento Normativo SEPS",IF(AND(OR(AA248="L4 Gestionado y Medible",AA248="L5 Optimizado"),AND(AC248&lt;&gt;"",AC248&lt;&gt;"N/A")),"CONFORME - Control Efectivo ISO 27001","OBSERVACIÓN - Revisar Controles")))</f>
        <v/>
      </c>
    </row>
    <row r="249">
      <c r="A249" s="99"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c r="AD249">
        <f>IF(OR(T249="",Y249="",AA249=""),"",IF(AND(T249="ALTA",OR(AA249="L0 Inexistente",AA249="L1 Inicial / Ad Hoc",Y249="No Iniciado")),"CRÍTICO - Incumplimiento Normativo SEPS",IF(AND(OR(AA249="L4 Gestionado y Medible",AA249="L5 Optimizado"),AND(AC249&lt;&gt;"",AC249&lt;&gt;"N/A")),"CONFORME - Control Efectivo ISO 27001","OBSERVACIÓN - Revisar Controles")))</f>
        <v/>
      </c>
    </row>
    <row r="250">
      <c r="A250" s="99"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c r="AD250">
        <f>IF(OR(T250="",Y250="",AA250=""),"",IF(AND(T250="ALTA",OR(AA250="L0 Inexistente",AA250="L1 Inicial / Ad Hoc",Y250="No Iniciado")),"CRÍTICO - Incumplimiento Normativo SEPS",IF(AND(OR(AA250="L4 Gestionado y Medible",AA250="L5 Optimizado"),AND(AC250&lt;&gt;"",AC250&lt;&gt;"N/A")),"CONFORME - Control Efectivo ISO 27001","OBSERVACIÓN - Revisar Controles")))</f>
        <v/>
      </c>
    </row>
    <row r="251">
      <c r="A251" s="99"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c r="AD251">
        <f>IF(OR(T251="",Y251="",AA251=""),"",IF(AND(T251="ALTA",OR(AA251="L0 Inexistente",AA251="L1 Inicial / Ad Hoc",Y251="No Iniciado")),"CRÍTICO - Incumplimiento Normativo SEPS",IF(AND(OR(AA251="L4 Gestionado y Medible",AA251="L5 Optimizado"),AND(AC251&lt;&gt;"",AC251&lt;&gt;"N/A")),"CONFORME - Control Efectivo ISO 27001","OBSERVACIÓN - Revisar Controles")))</f>
        <v/>
      </c>
    </row>
    <row r="252">
      <c r="A252" s="99"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c r="AD252">
        <f>IF(OR(T252="",Y252="",AA252=""),"",IF(AND(T252="ALTA",OR(AA252="L0 Inexistente",AA252="L1 Inicial / Ad Hoc",Y252="No Iniciado")),"CRÍTICO - Incumplimiento Normativo SEPS",IF(AND(OR(AA252="L4 Gestionado y Medible",AA252="L5 Optimizado"),AND(AC252&lt;&gt;"",AC252&lt;&gt;"N/A")),"CONFORME - Control Efectivo ISO 27001","OBSERVACIÓN - Revisar Controles")))</f>
        <v/>
      </c>
    </row>
    <row r="253">
      <c r="A253" s="99"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c r="AD253">
        <f>IF(OR(T253="",Y253="",AA253=""),"",IF(AND(T253="ALTA",OR(AA253="L0 Inexistente",AA253="L1 Inicial / Ad Hoc",Y253="No Iniciado")),"CRÍTICO - Incumplimiento Normativo SEPS",IF(AND(OR(AA253="L4 Gestionado y Medible",AA253="L5 Optimizado"),AND(AC253&lt;&gt;"",AC253&lt;&gt;"N/A")),"CONFORME - Control Efectivo ISO 27001","OBSERVACIÓN - Revisar Controles")))</f>
        <v/>
      </c>
    </row>
    <row r="254">
      <c r="A254" s="99"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c r="AD254">
        <f>IF(OR(T254="",Y254="",AA254=""),"",IF(AND(T254="ALTA",OR(AA254="L0 Inexistente",AA254="L1 Inicial / Ad Hoc",Y254="No Iniciado")),"CRÍTICO - Incumplimiento Normativo SEPS",IF(AND(OR(AA254="L4 Gestionado y Medible",AA254="L5 Optimizado"),AND(AC254&lt;&gt;"",AC254&lt;&gt;"N/A")),"CONFORME - Control Efectivo ISO 27001","OBSERVACIÓN - Revisar Controles")))</f>
        <v/>
      </c>
    </row>
    <row r="255">
      <c r="A255" s="99"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c r="AD255">
        <f>IF(OR(T255="",Y255="",AA255=""),"",IF(AND(T255="ALTA",OR(AA255="L0 Inexistente",AA255="L1 Inicial / Ad Hoc",Y255="No Iniciado")),"CRÍTICO - Incumplimiento Normativo SEPS",IF(AND(OR(AA255="L4 Gestionado y Medible",AA255="L5 Optimizado"),AND(AC255&lt;&gt;"",AC255&lt;&gt;"N/A")),"CONFORME - Control Efectivo ISO 27001","OBSERVACIÓN - Revisar Controles")))</f>
        <v/>
      </c>
    </row>
    <row r="256">
      <c r="A256" s="99"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c r="AD256">
        <f>IF(OR(T256="",Y256="",AA256=""),"",IF(AND(T256="ALTA",OR(AA256="L0 Inexistente",AA256="L1 Inicial / Ad Hoc",Y256="No Iniciado")),"CRÍTICO - Incumplimiento Normativo SEPS",IF(AND(OR(AA256="L4 Gestionado y Medible",AA256="L5 Optimizado"),AND(AC256&lt;&gt;"",AC256&lt;&gt;"N/A")),"CONFORME - Control Efectivo ISO 27001","OBSERVACIÓN - Revisar Controles")))</f>
        <v/>
      </c>
    </row>
    <row r="257">
      <c r="A257" s="99"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c r="AD257">
        <f>IF(OR(T257="",Y257="",AA257=""),"",IF(AND(T257="ALTA",OR(AA257="L0 Inexistente",AA257="L1 Inicial / Ad Hoc",Y257="No Iniciado")),"CRÍTICO - Incumplimiento Normativo SEPS",IF(AND(OR(AA257="L4 Gestionado y Medible",AA257="L5 Optimizado"),AND(AC257&lt;&gt;"",AC257&lt;&gt;"N/A")),"CONFORME - Control Efectivo ISO 27001","OBSERVACIÓN - Revisar Controles")))</f>
        <v/>
      </c>
    </row>
    <row r="258">
      <c r="A258" s="99"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c r="AD258">
        <f>IF(OR(T258="",Y258="",AA258=""),"",IF(AND(T258="ALTA",OR(AA258="L0 Inexistente",AA258="L1 Inicial / Ad Hoc",Y258="No Iniciado")),"CRÍTICO - Incumplimiento Normativo SEPS",IF(AND(OR(AA258="L4 Gestionado y Medible",AA258="L5 Optimizado"),AND(AC258&lt;&gt;"",AC258&lt;&gt;"N/A")),"CONFORME - Control Efectivo ISO 27001","OBSERVACIÓN - Revisar Controles")))</f>
        <v/>
      </c>
    </row>
    <row r="259">
      <c r="A259" s="99"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c r="AD259">
        <f>IF(OR(T259="",Y259="",AA259=""),"",IF(AND(T259="ALTA",OR(AA259="L0 Inexistente",AA259="L1 Inicial / Ad Hoc",Y259="No Iniciado")),"CRÍTICO - Incumplimiento Normativo SEPS",IF(AND(OR(AA259="L4 Gestionado y Medible",AA259="L5 Optimizado"),AND(AC259&lt;&gt;"",AC259&lt;&gt;"N/A")),"CONFORME - Control Efectivo ISO 27001","OBSERVACIÓN - Revisar Controles")))</f>
        <v/>
      </c>
    </row>
    <row r="260">
      <c r="A260" s="99"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c r="AD260">
        <f>IF(OR(T260="",Y260="",AA260=""),"",IF(AND(T260="ALTA",OR(AA260="L0 Inexistente",AA260="L1 Inicial / Ad Hoc",Y260="No Iniciado")),"CRÍTICO - Incumplimiento Normativo SEPS",IF(AND(OR(AA260="L4 Gestionado y Medible",AA260="L5 Optimizado"),AND(AC260&lt;&gt;"",AC260&lt;&gt;"N/A")),"CONFORME - Control Efectivo ISO 27001","OBSERVACIÓN - Revisar Controles")))</f>
        <v/>
      </c>
    </row>
    <row r="261">
      <c r="A261" s="99"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c r="AD261">
        <f>IF(OR(T261="",Y261="",AA261=""),"",IF(AND(T261="ALTA",OR(AA261="L0 Inexistente",AA261="L1 Inicial / Ad Hoc",Y261="No Iniciado")),"CRÍTICO - Incumplimiento Normativo SEPS",IF(AND(OR(AA261="L4 Gestionado y Medible",AA261="L5 Optimizado"),AND(AC261&lt;&gt;"",AC261&lt;&gt;"N/A")),"CONFORME - Control Efectivo ISO 27001","OBSERVACIÓN - Revisar Controles")))</f>
        <v/>
      </c>
    </row>
    <row r="262">
      <c r="A262" s="99"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c r="AD262">
        <f>IF(OR(T262="",Y262="",AA262=""),"",IF(AND(T262="ALTA",OR(AA262="L0 Inexistente",AA262="L1 Inicial / Ad Hoc",Y262="No Iniciado")),"CRÍTICO - Incumplimiento Normativo SEPS",IF(AND(OR(AA262="L4 Gestionado y Medible",AA262="L5 Optimizado"),AND(AC262&lt;&gt;"",AC262&lt;&gt;"N/A")),"CONFORME - Control Efectivo ISO 27001","OBSERVACIÓN - Revisar Controles")))</f>
        <v/>
      </c>
    </row>
    <row r="263">
      <c r="A263" s="99"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c r="AD263">
        <f>IF(OR(T263="",Y263="",AA263=""),"",IF(AND(T263="ALTA",OR(AA263="L0 Inexistente",AA263="L1 Inicial / Ad Hoc",Y263="No Iniciado")),"CRÍTICO - Incumplimiento Normativo SEPS",IF(AND(OR(AA263="L4 Gestionado y Medible",AA263="L5 Optimizado"),AND(AC263&lt;&gt;"",AC263&lt;&gt;"N/A")),"CONFORME - Control Efectivo ISO 27001","OBSERVACIÓN - Revisar Controles")))</f>
        <v/>
      </c>
    </row>
    <row r="264" ht="20.45" customHeight="1" s="106">
      <c r="A264" s="99"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c r="AD264">
        <f>IF(OR(T264="",Y264="",AA264=""),"",IF(AND(T264="ALTA",OR(AA264="L0 Inexistente",AA264="L1 Inicial / Ad Hoc",Y264="No Iniciado")),"CRÍTICO - Incumplimiento Normativo SEPS",IF(AND(OR(AA264="L4 Gestionado y Medible",AA264="L5 Optimizado"),AND(AC264&lt;&gt;"",AC264&lt;&gt;"N/A")),"CONFORME - Control Efectivo ISO 27001","OBSERVACIÓN - Revisar Controles")))</f>
        <v/>
      </c>
    </row>
    <row r="265">
      <c r="A265" s="99"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c r="AD265">
        <f>IF(OR(T265="",Y265="",AA265=""),"",IF(AND(T265="ALTA",OR(AA265="L0 Inexistente",AA265="L1 Inicial / Ad Hoc",Y265="No Iniciado")),"CRÍTICO - Incumplimiento Normativo SEPS",IF(AND(OR(AA265="L4 Gestionado y Medible",AA265="L5 Optimizado"),AND(AC265&lt;&gt;"",AC265&lt;&gt;"N/A")),"CONFORME - Control Efectivo ISO 27001","OBSERVACIÓN - Revisar Controles")))</f>
        <v/>
      </c>
    </row>
    <row r="266">
      <c r="A266" s="99"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c r="AD266">
        <f>IF(OR(T266="",Y266="",AA266=""),"",IF(AND(T266="ALTA",OR(AA266="L0 Inexistente",AA266="L1 Inicial / Ad Hoc",Y266="No Iniciado")),"CRÍTICO - Incumplimiento Normativo SEPS",IF(AND(OR(AA266="L4 Gestionado y Medible",AA266="L5 Optimizado"),AND(AC266&lt;&gt;"",AC266&lt;&gt;"N/A")),"CONFORME - Control Efectivo ISO 27001","OBSERVACIÓN - Revisar Controles")))</f>
        <v/>
      </c>
    </row>
    <row r="267">
      <c r="A267" s="99"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c r="AD267">
        <f>IF(OR(T267="",Y267="",AA267=""),"",IF(AND(T267="ALTA",OR(AA267="L0 Inexistente",AA267="L1 Inicial / Ad Hoc",Y267="No Iniciado")),"CRÍTICO - Incumplimiento Normativo SEPS",IF(AND(OR(AA267="L4 Gestionado y Medible",AA267="L5 Optimizado"),AND(AC267&lt;&gt;"",AC267&lt;&gt;"N/A")),"CONFORME - Control Efectivo ISO 27001","OBSERVACIÓN - Revisar Controles")))</f>
        <v/>
      </c>
    </row>
    <row r="268">
      <c r="A268" s="99"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c r="AD268">
        <f>IF(OR(T268="",Y268="",AA268=""),"",IF(AND(T268="ALTA",OR(AA268="L0 Inexistente",AA268="L1 Inicial / Ad Hoc",Y268="No Iniciado")),"CRÍTICO - Incumplimiento Normativo SEPS",IF(AND(OR(AA268="L4 Gestionado y Medible",AA268="L5 Optimizado"),AND(AC268&lt;&gt;"",AC268&lt;&gt;"N/A")),"CONFORME - Control Efectivo ISO 27001","OBSERVACIÓN - Revisar Controles")))</f>
        <v/>
      </c>
    </row>
    <row r="269" ht="20.45" customHeight="1" s="106">
      <c r="A269" s="99"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c r="AD269">
        <f>IF(OR(T269="",Y269="",AA269=""),"",IF(AND(T269="ALTA",OR(AA269="L0 Inexistente",AA269="L1 Inicial / Ad Hoc",Y269="No Iniciado")),"CRÍTICO - Incumplimiento Normativo SEPS",IF(AND(OR(AA269="L4 Gestionado y Medible",AA269="L5 Optimizado"),AND(AC269&lt;&gt;"",AC269&lt;&gt;"N/A")),"CONFORME - Control Efectivo ISO 27001","OBSERVACIÓN - Revisar Controles")))</f>
        <v/>
      </c>
    </row>
    <row r="270">
      <c r="A270" s="99"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c r="AD270">
        <f>IF(OR(T270="",Y270="",AA270=""),"",IF(AND(T270="ALTA",OR(AA270="L0 Inexistente",AA270="L1 Inicial / Ad Hoc",Y270="No Iniciado")),"CRÍTICO - Incumplimiento Normativo SEPS",IF(AND(OR(AA270="L4 Gestionado y Medible",AA270="L5 Optimizado"),AND(AC270&lt;&gt;"",AC270&lt;&gt;"N/A")),"CONFORME - Control Efectivo ISO 27001","OBSERVACIÓN - Revisar Controles")))</f>
        <v/>
      </c>
    </row>
    <row r="271">
      <c r="A271" s="99"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c r="AD271">
        <f>IF(OR(T271="",Y271="",AA271=""),"",IF(AND(T271="ALTA",OR(AA271="L0 Inexistente",AA271="L1 Inicial / Ad Hoc",Y271="No Iniciado")),"CRÍTICO - Incumplimiento Normativo SEPS",IF(AND(OR(AA271="L4 Gestionado y Medible",AA271="L5 Optimizado"),AND(AC271&lt;&gt;"",AC271&lt;&gt;"N/A")),"CONFORME - Control Efectivo ISO 27001","OBSERVACIÓN - Revisar Controles")))</f>
        <v/>
      </c>
    </row>
    <row r="272">
      <c r="A272" s="99"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c r="AD272">
        <f>IF(OR(T272="",Y272="",AA272=""),"",IF(AND(T272="ALTA",OR(AA272="L0 Inexistente",AA272="L1 Inicial / Ad Hoc",Y272="No Iniciado")),"CRÍTICO - Incumplimiento Normativo SEPS",IF(AND(OR(AA272="L4 Gestionado y Medible",AA272="L5 Optimizado"),AND(AC272&lt;&gt;"",AC272&lt;&gt;"N/A")),"CONFORME - Control Efectivo ISO 27001","OBSERVACIÓN - Revisar Controles")))</f>
        <v/>
      </c>
    </row>
    <row r="273" ht="20.45" customHeight="1" s="106">
      <c r="A273" s="99"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c r="AD273">
        <f>IF(OR(T273="",Y273="",AA273=""),"",IF(AND(T273="ALTA",OR(AA273="L0 Inexistente",AA273="L1 Inicial / Ad Hoc",Y273="No Iniciado")),"CRÍTICO - Incumplimiento Normativo SEPS",IF(AND(OR(AA273="L4 Gestionado y Medible",AA273="L5 Optimizado"),AND(AC273&lt;&gt;"",AC273&lt;&gt;"N/A")),"CONFORME - Control Efectivo ISO 27001","OBSERVACIÓN - Revisar Controles")))</f>
        <v/>
      </c>
    </row>
    <row r="274">
      <c r="A274" s="99"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c r="AD274">
        <f>IF(OR(T274="",Y274="",AA274=""),"",IF(AND(T274="ALTA",OR(AA274="L0 Inexistente",AA274="L1 Inicial / Ad Hoc",Y274="No Iniciado")),"CRÍTICO - Incumplimiento Normativo SEPS",IF(AND(OR(AA274="L4 Gestionado y Medible",AA274="L5 Optimizado"),AND(AC274&lt;&gt;"",AC274&lt;&gt;"N/A")),"CONFORME - Control Efectivo ISO 27001","OBSERVACIÓN - Revisar Controles")))</f>
        <v/>
      </c>
    </row>
    <row r="275">
      <c r="A275" s="99"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c r="AD275">
        <f>IF(OR(T275="",Y275="",AA275=""),"",IF(AND(T275="ALTA",OR(AA275="L0 Inexistente",AA275="L1 Inicial / Ad Hoc",Y275="No Iniciado")),"CRÍTICO - Incumplimiento Normativo SEPS",IF(AND(OR(AA275="L4 Gestionado y Medible",AA275="L5 Optimizado"),AND(AC275&lt;&gt;"",AC275&lt;&gt;"N/A")),"CONFORME - Control Efectivo ISO 27001","OBSERVACIÓN - Revisar Controles")))</f>
        <v/>
      </c>
    </row>
    <row r="276">
      <c r="A276" s="99"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c r="AD276">
        <f>IF(OR(T276="",Y276="",AA276=""),"",IF(AND(T276="ALTA",OR(AA276="L0 Inexistente",AA276="L1 Inicial / Ad Hoc",Y276="No Iniciado")),"CRÍTICO - Incumplimiento Normativo SEPS",IF(AND(OR(AA276="L4 Gestionado y Medible",AA276="L5 Optimizado"),AND(AC276&lt;&gt;"",AC276&lt;&gt;"N/A")),"CONFORME - Control Efectivo ISO 27001","OBSERVACIÓN - Revisar Controles")))</f>
        <v/>
      </c>
    </row>
    <row r="277">
      <c r="A277" s="99"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c r="AD277">
        <f>IF(OR(T277="",Y277="",AA277=""),"",IF(AND(T277="ALTA",OR(AA277="L0 Inexistente",AA277="L1 Inicial / Ad Hoc",Y277="No Iniciado")),"CRÍTICO - Incumplimiento Normativo SEPS",IF(AND(OR(AA277="L4 Gestionado y Medible",AA277="L5 Optimizado"),AND(AC277&lt;&gt;"",AC277&lt;&gt;"N/A")),"CONFORME - Control Efectivo ISO 27001","OBSERVACIÓN - Revisar Controles")))</f>
        <v/>
      </c>
    </row>
    <row r="278">
      <c r="A278" s="99"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c r="AD278">
        <f>IF(OR(T278="",Y278="",AA278=""),"",IF(AND(T278="ALTA",OR(AA278="L0 Inexistente",AA278="L1 Inicial / Ad Hoc",Y278="No Iniciado")),"CRÍTICO - Incumplimiento Normativo SEPS",IF(AND(OR(AA278="L4 Gestionado y Medible",AA278="L5 Optimizado"),AND(AC278&lt;&gt;"",AC278&lt;&gt;"N/A")),"CONFORME - Control Efectivo ISO 27001","OBSERVACIÓN - Revisar Controles")))</f>
        <v/>
      </c>
    </row>
    <row r="279">
      <c r="A279" s="99"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c r="AD279">
        <f>IF(OR(T279="",Y279="",AA279=""),"",IF(AND(T279="ALTA",OR(AA279="L0 Inexistente",AA279="L1 Inicial / Ad Hoc",Y279="No Iniciado")),"CRÍTICO - Incumplimiento Normativo SEPS",IF(AND(OR(AA279="L4 Gestionado y Medible",AA279="L5 Optimizado"),AND(AC279&lt;&gt;"",AC279&lt;&gt;"N/A")),"CONFORME - Control Efectivo ISO 27001","OBSERVACIÓN - Revisar Controles")))</f>
        <v/>
      </c>
    </row>
    <row r="280" ht="20.45" customHeight="1" s="106">
      <c r="A280" s="99"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c r="AD280">
        <f>IF(OR(T280="",Y280="",AA280=""),"",IF(AND(T280="ALTA",OR(AA280="L0 Inexistente",AA280="L1 Inicial / Ad Hoc",Y280="No Iniciado")),"CRÍTICO - Incumplimiento Normativo SEPS",IF(AND(OR(AA280="L4 Gestionado y Medible",AA280="L5 Optimizado"),AND(AC280&lt;&gt;"",AC280&lt;&gt;"N/A")),"CONFORME - Control Efectivo ISO 27001","OBSERVACIÓN - Revisar Controles")))</f>
        <v/>
      </c>
    </row>
    <row r="281" ht="20.45" customHeight="1" s="106">
      <c r="A281" s="99"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c r="AD281">
        <f>IF(OR(T281="",Y281="",AA281=""),"",IF(AND(T281="ALTA",OR(AA281="L0 Inexistente",AA281="L1 Inicial / Ad Hoc",Y281="No Iniciado")),"CRÍTICO - Incumplimiento Normativo SEPS",IF(AND(OR(AA281="L4 Gestionado y Medible",AA281="L5 Optimizado"),AND(AC281&lt;&gt;"",AC281&lt;&gt;"N/A")),"CONFORME - Control Efectivo ISO 27001","OBSERVACIÓN - Revisar Controles")))</f>
        <v/>
      </c>
    </row>
    <row r="282">
      <c r="A282" s="99"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c r="AD282">
        <f>IF(OR(T282="",Y282="",AA282=""),"",IF(AND(T282="ALTA",OR(AA282="L0 Inexistente",AA282="L1 Inicial / Ad Hoc",Y282="No Iniciado")),"CRÍTICO - Incumplimiento Normativo SEPS",IF(AND(OR(AA282="L4 Gestionado y Medible",AA282="L5 Optimizado"),AND(AC282&lt;&gt;"",AC282&lt;&gt;"N/A")),"CONFORME - Control Efectivo ISO 27001","OBSERVACIÓN - Revisar Controles")))</f>
        <v/>
      </c>
    </row>
    <row r="283" ht="12" customHeight="1" s="106">
      <c r="A283" s="99"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c r="AD283">
        <f>IF(OR(T283="",Y283="",AA283=""),"",IF(AND(T283="ALTA",OR(AA283="L0 Inexistente",AA283="L1 Inicial / Ad Hoc",Y283="No Iniciado")),"CRÍTICO - Incumplimiento Normativo SEPS",IF(AND(OR(AA283="L4 Gestionado y Medible",AA283="L5 Optimizado"),AND(AC283&lt;&gt;"",AC283&lt;&gt;"N/A")),"CONFORME - Control Efectivo ISO 27001","OBSERVACIÓN - Revisar Controles")))</f>
        <v/>
      </c>
    </row>
    <row r="284">
      <c r="A284" s="99"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c r="AD284">
        <f>IF(OR(T284="",Y284="",AA284=""),"",IF(AND(T284="ALTA",OR(AA284="L0 Inexistente",AA284="L1 Inicial / Ad Hoc",Y284="No Iniciado")),"CRÍTICO - Incumplimiento Normativo SEPS",IF(AND(OR(AA284="L4 Gestionado y Medible",AA284="L5 Optimizado"),AND(AC284&lt;&gt;"",AC284&lt;&gt;"N/A")),"CONFORME - Control Efectivo ISO 27001","OBSERVACIÓN - Revisar Controles")))</f>
        <v/>
      </c>
    </row>
    <row r="285" ht="30.6" customHeight="1" s="106">
      <c r="A285" s="99"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c r="AD285">
        <f>IF(OR(T285="",Y285="",AA285=""),"",IF(AND(T285="ALTA",OR(AA285="L0 Inexistente",AA285="L1 Inicial / Ad Hoc",Y285="No Iniciado")),"CRÍTICO - Incumplimiento Normativo SEPS",IF(AND(OR(AA285="L4 Gestionado y Medible",AA285="L5 Optimizado"),AND(AC285&lt;&gt;"",AC285&lt;&gt;"N/A")),"CONFORME - Control Efectivo ISO 27001","OBSERVACIÓN - Revisar Controles")))</f>
        <v/>
      </c>
    </row>
    <row r="286" ht="12" customHeight="1" s="106">
      <c r="A286" s="99"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c r="AD286">
        <f>IF(OR(T286="",Y286="",AA286=""),"",IF(AND(T286="ALTA",OR(AA286="L0 Inexistente",AA286="L1 Inicial / Ad Hoc",Y286="No Iniciado")),"CRÍTICO - Incumplimiento Normativo SEPS",IF(AND(OR(AA286="L4 Gestionado y Medible",AA286="L5 Optimizado"),AND(AC286&lt;&gt;"",AC286&lt;&gt;"N/A")),"CONFORME - Control Efectivo ISO 27001","OBSERVACIÓN - Revisar Controles")))</f>
        <v/>
      </c>
    </row>
    <row r="287" ht="20.45" customHeight="1" s="106">
      <c r="A287" s="99"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c r="AD287">
        <f>IF(OR(T287="",Y287="",AA287=""),"",IF(AND(T287="ALTA",OR(AA287="L0 Inexistente",AA287="L1 Inicial / Ad Hoc",Y287="No Iniciado")),"CRÍTICO - Incumplimiento Normativo SEPS",IF(AND(OR(AA287="L4 Gestionado y Medible",AA287="L5 Optimizado"),AND(AC287&lt;&gt;"",AC287&lt;&gt;"N/A")),"CONFORME - Control Efectivo ISO 27001","OBSERVACIÓN - Revisar Controles")))</f>
        <v/>
      </c>
    </row>
    <row r="288">
      <c r="A288" s="99"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c r="AD288">
        <f>IF(OR(T288="",Y288="",AA288=""),"",IF(AND(T288="ALTA",OR(AA288="L0 Inexistente",AA288="L1 Inicial / Ad Hoc",Y288="No Iniciado")),"CRÍTICO - Incumplimiento Normativo SEPS",IF(AND(OR(AA288="L4 Gestionado y Medible",AA288="L5 Optimizado"),AND(AC288&lt;&gt;"",AC288&lt;&gt;"N/A")),"CONFORME - Control Efectivo ISO 27001","OBSERVACIÓN - Revisar Controles")))</f>
        <v/>
      </c>
    </row>
    <row r="289">
      <c r="A289" s="99"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c r="AD289">
        <f>IF(OR(T289="",Y289="",AA289=""),"",IF(AND(T289="ALTA",OR(AA289="L0 Inexistente",AA289="L1 Inicial / Ad Hoc",Y289="No Iniciado")),"CRÍTICO - Incumplimiento Normativo SEPS",IF(AND(OR(AA289="L4 Gestionado y Medible",AA289="L5 Optimizado"),AND(AC289&lt;&gt;"",AC289&lt;&gt;"N/A")),"CONFORME - Control Efectivo ISO 27001","OBSERVACIÓN - Revisar Controles")))</f>
        <v/>
      </c>
    </row>
    <row r="290">
      <c r="A290" s="99"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c r="AD290">
        <f>IF(OR(T290="",Y290="",AA290=""),"",IF(AND(T290="ALTA",OR(AA290="L0 Inexistente",AA290="L1 Inicial / Ad Hoc",Y290="No Iniciado")),"CRÍTICO - Incumplimiento Normativo SEPS",IF(AND(OR(AA290="L4 Gestionado y Medible",AA290="L5 Optimizado"),AND(AC290&lt;&gt;"",AC290&lt;&gt;"N/A")),"CONFORME - Control Efectivo ISO 27001","OBSERVACIÓN - Revisar Controles")))</f>
        <v/>
      </c>
    </row>
    <row r="291">
      <c r="A291" s="99"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c r="AD291">
        <f>IF(OR(T291="",Y291="",AA291=""),"",IF(AND(T291="ALTA",OR(AA291="L0 Inexistente",AA291="L1 Inicial / Ad Hoc",Y291="No Iniciado")),"CRÍTICO - Incumplimiento Normativo SEPS",IF(AND(OR(AA291="L4 Gestionado y Medible",AA291="L5 Optimizado"),AND(AC291&lt;&gt;"",AC291&lt;&gt;"N/A")),"CONFORME - Control Efectivo ISO 27001","OBSERVACIÓN - Revisar Controles")))</f>
        <v/>
      </c>
    </row>
    <row r="292">
      <c r="A292" s="99"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c r="AD292">
        <f>IF(OR(T292="",Y292="",AA292=""),"",IF(AND(T292="ALTA",OR(AA292="L0 Inexistente",AA292="L1 Inicial / Ad Hoc",Y292="No Iniciado")),"CRÍTICO - Incumplimiento Normativo SEPS",IF(AND(OR(AA292="L4 Gestionado y Medible",AA292="L5 Optimizado"),AND(AC292&lt;&gt;"",AC292&lt;&gt;"N/A")),"CONFORME - Control Efectivo ISO 27001","OBSERVACIÓN - Revisar Controles")))</f>
        <v/>
      </c>
    </row>
    <row r="293" ht="20.45" customHeight="1" s="106">
      <c r="A293" s="99"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c r="AD293">
        <f>IF(OR(T293="",Y293="",AA293=""),"",IF(AND(T293="ALTA",OR(AA293="L0 Inexistente",AA293="L1 Inicial / Ad Hoc",Y293="No Iniciado")),"CRÍTICO - Incumplimiento Normativo SEPS",IF(AND(OR(AA293="L4 Gestionado y Medible",AA293="L5 Optimizado"),AND(AC293&lt;&gt;"",AC293&lt;&gt;"N/A")),"CONFORME - Control Efectivo ISO 27001","OBSERVACIÓN - Revisar Controles")))</f>
        <v/>
      </c>
    </row>
    <row r="294">
      <c r="A294" s="99"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c r="AD294">
        <f>IF(OR(T294="",Y294="",AA294=""),"",IF(AND(T294="ALTA",OR(AA294="L0 Inexistente",AA294="L1 Inicial / Ad Hoc",Y294="No Iniciado")),"CRÍTICO - Incumplimiento Normativo SEPS",IF(AND(OR(AA294="L4 Gestionado y Medible",AA294="L5 Optimizado"),AND(AC294&lt;&gt;"",AC294&lt;&gt;"N/A")),"CONFORME - Control Efectivo ISO 27001","OBSERVACIÓN - Revisar Controles")))</f>
        <v/>
      </c>
    </row>
    <row r="295">
      <c r="A295" s="99"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c r="AD295">
        <f>IF(OR(T295="",Y295="",AA295=""),"",IF(AND(T295="ALTA",OR(AA295="L0 Inexistente",AA295="L1 Inicial / Ad Hoc",Y295="No Iniciado")),"CRÍTICO - Incumplimiento Normativo SEPS",IF(AND(OR(AA295="L4 Gestionado y Medible",AA295="L5 Optimizado"),AND(AC295&lt;&gt;"",AC295&lt;&gt;"N/A")),"CONFORME - Control Efectivo ISO 27001","OBSERVACIÓN - Revisar Controles")))</f>
        <v/>
      </c>
    </row>
    <row r="296">
      <c r="A296" s="99"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c r="AD296">
        <f>IF(OR(T296="",Y296="",AA296=""),"",IF(AND(T296="ALTA",OR(AA296="L0 Inexistente",AA296="L1 Inicial / Ad Hoc",Y296="No Iniciado")),"CRÍTICO - Incumplimiento Normativo SEPS",IF(AND(OR(AA296="L4 Gestionado y Medible",AA296="L5 Optimizado"),AND(AC296&lt;&gt;"",AC296&lt;&gt;"N/A")),"CONFORME - Control Efectivo ISO 27001","OBSERVACIÓN - Revisar Controles")))</f>
        <v/>
      </c>
    </row>
    <row r="297">
      <c r="A297" s="99"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c r="AD297">
        <f>IF(OR(T297="",Y297="",AA297=""),"",IF(AND(T297="ALTA",OR(AA297="L0 Inexistente",AA297="L1 Inicial / Ad Hoc",Y297="No Iniciado")),"CRÍTICO - Incumplimiento Normativo SEPS",IF(AND(OR(AA297="L4 Gestionado y Medible",AA297="L5 Optimizado"),AND(AC297&lt;&gt;"",AC297&lt;&gt;"N/A")),"CONFORME - Control Efectivo ISO 27001","OBSERVACIÓN - Revisar Controles")))</f>
        <v/>
      </c>
    </row>
    <row r="298">
      <c r="A298" s="99"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c r="AD298">
        <f>IF(OR(T298="",Y298="",AA298=""),"",IF(AND(T298="ALTA",OR(AA298="L0 Inexistente",AA298="L1 Inicial / Ad Hoc",Y298="No Iniciado")),"CRÍTICO - Incumplimiento Normativo SEPS",IF(AND(OR(AA298="L4 Gestionado y Medible",AA298="L5 Optimizado"),AND(AC298&lt;&gt;"",AC298&lt;&gt;"N/A")),"CONFORME - Control Efectivo ISO 27001","OBSERVACIÓN - Revisar Controles")))</f>
        <v/>
      </c>
    </row>
    <row r="299">
      <c r="A299" s="99"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c r="AD299">
        <f>IF(OR(T299="",Y299="",AA299=""),"",IF(AND(T299="ALTA",OR(AA299="L0 Inexistente",AA299="L1 Inicial / Ad Hoc",Y299="No Iniciado")),"CRÍTICO - Incumplimiento Normativo SEPS",IF(AND(OR(AA299="L4 Gestionado y Medible",AA299="L5 Optimizado"),AND(AC299&lt;&gt;"",AC299&lt;&gt;"N/A")),"CONFORME - Control Efectivo ISO 27001","OBSERVACIÓN - Revisar Controles")))</f>
        <v/>
      </c>
    </row>
    <row r="300">
      <c r="A300" s="99"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c r="AD300">
        <f>IF(OR(T300="",Y300="",AA300=""),"",IF(AND(T300="ALTA",OR(AA300="L0 Inexistente",AA300="L1 Inicial / Ad Hoc",Y300="No Iniciado")),"CRÍTICO - Incumplimiento Normativo SEPS",IF(AND(OR(AA300="L4 Gestionado y Medible",AA300="L5 Optimizado"),AND(AC300&lt;&gt;"",AC300&lt;&gt;"N/A")),"CONFORME - Control Efectivo ISO 27001","OBSERVACIÓN - Revisar Controles")))</f>
        <v/>
      </c>
    </row>
    <row r="301">
      <c r="A301" s="99"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c r="AD301">
        <f>IF(OR(T301="",Y301="",AA301=""),"",IF(AND(T301="ALTA",OR(AA301="L0 Inexistente",AA301="L1 Inicial / Ad Hoc",Y301="No Iniciado")),"CRÍTICO - Incumplimiento Normativo SEPS",IF(AND(OR(AA301="L4 Gestionado y Medible",AA301="L5 Optimizado"),AND(AC301&lt;&gt;"",AC301&lt;&gt;"N/A")),"CONFORME - Control Efectivo ISO 27001","OBSERVACIÓN - Revisar Controles")))</f>
        <v/>
      </c>
    </row>
    <row r="302">
      <c r="A302" s="99"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c r="AD302">
        <f>IF(OR(T302="",Y302="",AA302=""),"",IF(AND(T302="ALTA",OR(AA302="L0 Inexistente",AA302="L1 Inicial / Ad Hoc",Y302="No Iniciado")),"CRÍTICO - Incumplimiento Normativo SEPS",IF(AND(OR(AA302="L4 Gestionado y Medible",AA302="L5 Optimizado"),AND(AC302&lt;&gt;"",AC302&lt;&gt;"N/A")),"CONFORME - Control Efectivo ISO 27001","OBSERVACIÓN - Revisar Controles")))</f>
        <v/>
      </c>
    </row>
    <row r="303">
      <c r="A303" s="99"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c r="AD303">
        <f>IF(OR(T303="",Y303="",AA303=""),"",IF(AND(T303="ALTA",OR(AA303="L0 Inexistente",AA303="L1 Inicial / Ad Hoc",Y303="No Iniciado")),"CRÍTICO - Incumplimiento Normativo SEPS",IF(AND(OR(AA303="L4 Gestionado y Medible",AA303="L5 Optimizado"),AND(AC303&lt;&gt;"",AC303&lt;&gt;"N/A")),"CONFORME - Control Efectivo ISO 27001","OBSERVACIÓN - Revisar Controles")))</f>
        <v/>
      </c>
    </row>
    <row r="304">
      <c r="A304" s="99"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c r="AD304">
        <f>IF(OR(T304="",Y304="",AA304=""),"",IF(AND(T304="ALTA",OR(AA304="L0 Inexistente",AA304="L1 Inicial / Ad Hoc",Y304="No Iniciado")),"CRÍTICO - Incumplimiento Normativo SEPS",IF(AND(OR(AA304="L4 Gestionado y Medible",AA304="L5 Optimizado"),AND(AC304&lt;&gt;"",AC304&lt;&gt;"N/A")),"CONFORME - Control Efectivo ISO 27001","OBSERVACIÓN - Revisar Controles")))</f>
        <v/>
      </c>
    </row>
    <row r="305">
      <c r="A305" s="99"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c r="AD305">
        <f>IF(OR(T305="",Y305="",AA305=""),"",IF(AND(T305="ALTA",OR(AA305="L0 Inexistente",AA305="L1 Inicial / Ad Hoc",Y305="No Iniciado")),"CRÍTICO - Incumplimiento Normativo SEPS",IF(AND(OR(AA305="L4 Gestionado y Medible",AA305="L5 Optimizado"),AND(AC305&lt;&gt;"",AC305&lt;&gt;"N/A")),"CONFORME - Control Efectivo ISO 27001","OBSERVACIÓN - Revisar Controles")))</f>
        <v/>
      </c>
    </row>
    <row r="306">
      <c r="A306" s="99"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c r="AD306">
        <f>IF(OR(T306="",Y306="",AA306=""),"",IF(AND(T306="ALTA",OR(AA306="L0 Inexistente",AA306="L1 Inicial / Ad Hoc",Y306="No Iniciado")),"CRÍTICO - Incumplimiento Normativo SEPS",IF(AND(OR(AA306="L4 Gestionado y Medible",AA306="L5 Optimizado"),AND(AC306&lt;&gt;"",AC306&lt;&gt;"N/A")),"CONFORME - Control Efectivo ISO 27001","OBSERVACIÓN - Revisar Controles")))</f>
        <v/>
      </c>
    </row>
    <row r="307">
      <c r="A307" s="99"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c r="AD307">
        <f>IF(OR(T307="",Y307="",AA307=""),"",IF(AND(T307="ALTA",OR(AA307="L0 Inexistente",AA307="L1 Inicial / Ad Hoc",Y307="No Iniciado")),"CRÍTICO - Incumplimiento Normativo SEPS",IF(AND(OR(AA307="L4 Gestionado y Medible",AA307="L5 Optimizado"),AND(AC307&lt;&gt;"",AC307&lt;&gt;"N/A")),"CONFORME - Control Efectivo ISO 27001","OBSERVACIÓN - Revisar Controles")))</f>
        <v/>
      </c>
    </row>
    <row r="308">
      <c r="A308" s="99"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c r="AD308">
        <f>IF(OR(T308="",Y308="",AA308=""),"",IF(AND(T308="ALTA",OR(AA308="L0 Inexistente",AA308="L1 Inicial / Ad Hoc",Y308="No Iniciado")),"CRÍTICO - Incumplimiento Normativo SEPS",IF(AND(OR(AA308="L4 Gestionado y Medible",AA308="L5 Optimizado"),AND(AC308&lt;&gt;"",AC308&lt;&gt;"N/A")),"CONFORME - Control Efectivo ISO 27001","OBSERVACIÓN - Revisar Controles")))</f>
        <v/>
      </c>
    </row>
    <row r="309">
      <c r="A309" s="99"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c r="AD309">
        <f>IF(OR(T309="",Y309="",AA309=""),"",IF(AND(T309="ALTA",OR(AA309="L0 Inexistente",AA309="L1 Inicial / Ad Hoc",Y309="No Iniciado")),"CRÍTICO - Incumplimiento Normativo SEPS",IF(AND(OR(AA309="L4 Gestionado y Medible",AA309="L5 Optimizado"),AND(AC309&lt;&gt;"",AC309&lt;&gt;"N/A")),"CONFORME - Control Efectivo ISO 27001","OBSERVACIÓN - Revisar Controles")))</f>
        <v/>
      </c>
    </row>
    <row r="310">
      <c r="A310" s="99"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c r="AD310">
        <f>IF(OR(T310="",Y310="",AA310=""),"",IF(AND(T310="ALTA",OR(AA310="L0 Inexistente",AA310="L1 Inicial / Ad Hoc",Y310="No Iniciado")),"CRÍTICO - Incumplimiento Normativo SEPS",IF(AND(OR(AA310="L4 Gestionado y Medible",AA310="L5 Optimizado"),AND(AC310&lt;&gt;"",AC310&lt;&gt;"N/A")),"CONFORME - Control Efectivo ISO 27001","OBSERVACIÓN - Revisar Controles")))</f>
        <v/>
      </c>
    </row>
    <row r="311">
      <c r="A311" s="99"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c r="AD311">
        <f>IF(OR(T311="",Y311="",AA311=""),"",IF(AND(T311="ALTA",OR(AA311="L0 Inexistente",AA311="L1 Inicial / Ad Hoc",Y311="No Iniciado")),"CRÍTICO - Incumplimiento Normativo SEPS",IF(AND(OR(AA311="L4 Gestionado y Medible",AA311="L5 Optimizado"),AND(AC311&lt;&gt;"",AC311&lt;&gt;"N/A")),"CONFORME - Control Efectivo ISO 27001","OBSERVACIÓN - Revisar Controles")))</f>
        <v/>
      </c>
    </row>
    <row r="312">
      <c r="A312" s="99"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c r="AD312">
        <f>IF(OR(T312="",Y312="",AA312=""),"",IF(AND(T312="ALTA",OR(AA312="L0 Inexistente",AA312="L1 Inicial / Ad Hoc",Y312="No Iniciado")),"CRÍTICO - Incumplimiento Normativo SEPS",IF(AND(OR(AA312="L4 Gestionado y Medible",AA312="L5 Optimizado"),AND(AC312&lt;&gt;"",AC312&lt;&gt;"N/A")),"CONFORME - Control Efectivo ISO 27001","OBSERVACIÓN - Revisar Controles")))</f>
        <v/>
      </c>
    </row>
    <row r="313">
      <c r="A313" s="99"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c r="AD313">
        <f>IF(OR(T313="",Y313="",AA313=""),"",IF(AND(T313="ALTA",OR(AA313="L0 Inexistente",AA313="L1 Inicial / Ad Hoc",Y313="No Iniciado")),"CRÍTICO - Incumplimiento Normativo SEPS",IF(AND(OR(AA313="L4 Gestionado y Medible",AA313="L5 Optimizado"),AND(AC313&lt;&gt;"",AC313&lt;&gt;"N/A")),"CONFORME - Control Efectivo ISO 27001","OBSERVACIÓN - Revisar Controles")))</f>
        <v/>
      </c>
    </row>
    <row r="314">
      <c r="A314" s="99"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c r="AD314">
        <f>IF(OR(T314="",Y314="",AA314=""),"",IF(AND(T314="ALTA",OR(AA314="L0 Inexistente",AA314="L1 Inicial / Ad Hoc",Y314="No Iniciado")),"CRÍTICO - Incumplimiento Normativo SEPS",IF(AND(OR(AA314="L4 Gestionado y Medible",AA314="L5 Optimizado"),AND(AC314&lt;&gt;"",AC314&lt;&gt;"N/A")),"CONFORME - Control Efectivo ISO 27001","OBSERVACIÓN - Revisar Controles")))</f>
        <v/>
      </c>
    </row>
    <row r="315">
      <c r="A315" s="99"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c r="AD315">
        <f>IF(OR(T315="",Y315="",AA315=""),"",IF(AND(T315="ALTA",OR(AA315="L0 Inexistente",AA315="L1 Inicial / Ad Hoc",Y315="No Iniciado")),"CRÍTICO - Incumplimiento Normativo SEPS",IF(AND(OR(AA315="L4 Gestionado y Medible",AA315="L5 Optimizado"),AND(AC315&lt;&gt;"",AC315&lt;&gt;"N/A")),"CONFORME - Control Efectivo ISO 27001","OBSERVACIÓN - Revisar Controles")))</f>
        <v/>
      </c>
    </row>
    <row r="316">
      <c r="A316" s="99"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c r="AD316">
        <f>IF(OR(T316="",Y316="",AA316=""),"",IF(AND(T316="ALTA",OR(AA316="L0 Inexistente",AA316="L1 Inicial / Ad Hoc",Y316="No Iniciado")),"CRÍTICO - Incumplimiento Normativo SEPS",IF(AND(OR(AA316="L4 Gestionado y Medible",AA316="L5 Optimizado"),AND(AC316&lt;&gt;"",AC316&lt;&gt;"N/A")),"CONFORME - Control Efectivo ISO 27001","OBSERVACIÓN - Revisar Controles")))</f>
        <v/>
      </c>
    </row>
    <row r="317">
      <c r="A317" s="99"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c r="AD317">
        <f>IF(OR(T317="",Y317="",AA317=""),"",IF(AND(T317="ALTA",OR(AA317="L0 Inexistente",AA317="L1 Inicial / Ad Hoc",Y317="No Iniciado")),"CRÍTICO - Incumplimiento Normativo SEPS",IF(AND(OR(AA317="L4 Gestionado y Medible",AA317="L5 Optimizado"),AND(AC317&lt;&gt;"",AC317&lt;&gt;"N/A")),"CONFORME - Control Efectivo ISO 27001","OBSERVACIÓN - Revisar Controles")))</f>
        <v/>
      </c>
    </row>
    <row r="318">
      <c r="A318" s="99"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c r="AD318">
        <f>IF(OR(T318="",Y318="",AA318=""),"",IF(AND(T318="ALTA",OR(AA318="L0 Inexistente",AA318="L1 Inicial / Ad Hoc",Y318="No Iniciado")),"CRÍTICO - Incumplimiento Normativo SEPS",IF(AND(OR(AA318="L4 Gestionado y Medible",AA318="L5 Optimizado"),AND(AC318&lt;&gt;"",AC318&lt;&gt;"N/A")),"CONFORME - Control Efectivo ISO 27001","OBSERVACIÓN - Revisar Controles")))</f>
        <v/>
      </c>
    </row>
    <row r="319">
      <c r="A319" s="99"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c r="AD319">
        <f>IF(OR(T319="",Y319="",AA319=""),"",IF(AND(T319="ALTA",OR(AA319="L0 Inexistente",AA319="L1 Inicial / Ad Hoc",Y319="No Iniciado")),"CRÍTICO - Incumplimiento Normativo SEPS",IF(AND(OR(AA319="L4 Gestionado y Medible",AA319="L5 Optimizado"),AND(AC319&lt;&gt;"",AC319&lt;&gt;"N/A")),"CONFORME - Control Efectivo ISO 27001","OBSERVACIÓN - Revisar Controles")))</f>
        <v/>
      </c>
    </row>
    <row r="320">
      <c r="A320" s="99"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c r="AD320">
        <f>IF(OR(T320="",Y320="",AA320=""),"",IF(AND(T320="ALTA",OR(AA320="L0 Inexistente",AA320="L1 Inicial / Ad Hoc",Y320="No Iniciado")),"CRÍTICO - Incumplimiento Normativo SEPS",IF(AND(OR(AA320="L4 Gestionado y Medible",AA320="L5 Optimizado"),AND(AC320&lt;&gt;"",AC320&lt;&gt;"N/A")),"CONFORME - Control Efectivo ISO 27001","OBSERVACIÓN - Revisar Controles")))</f>
        <v/>
      </c>
    </row>
    <row r="321">
      <c r="A321" s="99"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c r="AD321">
        <f>IF(OR(T321="",Y321="",AA321=""),"",IF(AND(T321="ALTA",OR(AA321="L0 Inexistente",AA321="L1 Inicial / Ad Hoc",Y321="No Iniciado")),"CRÍTICO - Incumplimiento Normativo SEPS",IF(AND(OR(AA321="L4 Gestionado y Medible",AA321="L5 Optimizado"),AND(AC321&lt;&gt;"",AC321&lt;&gt;"N/A")),"CONFORME - Control Efectivo ISO 27001","OBSERVACIÓN - Revisar Controles")))</f>
        <v/>
      </c>
    </row>
    <row r="322">
      <c r="A322" s="99"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c r="AD322">
        <f>IF(OR(T322="",Y322="",AA322=""),"",IF(AND(T322="ALTA",OR(AA322="L0 Inexistente",AA322="L1 Inicial / Ad Hoc",Y322="No Iniciado")),"CRÍTICO - Incumplimiento Normativo SEPS",IF(AND(OR(AA322="L4 Gestionado y Medible",AA322="L5 Optimizado"),AND(AC322&lt;&gt;"",AC322&lt;&gt;"N/A")),"CONFORME - Control Efectivo ISO 27001","OBSERVACIÓN - Revisar Controles")))</f>
        <v/>
      </c>
    </row>
    <row r="323">
      <c r="A323" s="99"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c r="AD323">
        <f>IF(OR(T323="",Y323="",AA323=""),"",IF(AND(T323="ALTA",OR(AA323="L0 Inexistente",AA323="L1 Inicial / Ad Hoc",Y323="No Iniciado")),"CRÍTICO - Incumplimiento Normativo SEPS",IF(AND(OR(AA323="L4 Gestionado y Medible",AA323="L5 Optimizado"),AND(AC323&lt;&gt;"",AC323&lt;&gt;"N/A")),"CONFORME - Control Efectivo ISO 27001","OBSERVACIÓN - Revisar Controles")))</f>
        <v/>
      </c>
    </row>
    <row r="324">
      <c r="A324" s="99"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c r="AD324">
        <f>IF(OR(T324="",Y324="",AA324=""),"",IF(AND(T324="ALTA",OR(AA324="L0 Inexistente",AA324="L1 Inicial / Ad Hoc",Y324="No Iniciado")),"CRÍTICO - Incumplimiento Normativo SEPS",IF(AND(OR(AA324="L4 Gestionado y Medible",AA324="L5 Optimizado"),AND(AC324&lt;&gt;"",AC324&lt;&gt;"N/A")),"CONFORME - Control Efectivo ISO 27001","OBSERVACIÓN - Revisar Controles")))</f>
        <v/>
      </c>
    </row>
    <row r="325">
      <c r="A325" s="99"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c r="AD325">
        <f>IF(OR(T325="",Y325="",AA325=""),"",IF(AND(T325="ALTA",OR(AA325="L0 Inexistente",AA325="L1 Inicial / Ad Hoc",Y325="No Iniciado")),"CRÍTICO - Incumplimiento Normativo SEPS",IF(AND(OR(AA325="L4 Gestionado y Medible",AA325="L5 Optimizado"),AND(AC325&lt;&gt;"",AC325&lt;&gt;"N/A")),"CONFORME - Control Efectivo ISO 27001","OBSERVACIÓN - Revisar Controles")))</f>
        <v/>
      </c>
    </row>
    <row r="326">
      <c r="A326" s="99"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c r="AD326">
        <f>IF(OR(T326="",Y326="",AA326=""),"",IF(AND(T326="ALTA",OR(AA326="L0 Inexistente",AA326="L1 Inicial / Ad Hoc",Y326="No Iniciado")),"CRÍTICO - Incumplimiento Normativo SEPS",IF(AND(OR(AA326="L4 Gestionado y Medible",AA326="L5 Optimizado"),AND(AC326&lt;&gt;"",AC326&lt;&gt;"N/A")),"CONFORME - Control Efectivo ISO 27001","OBSERVACIÓN - Revisar Controles")))</f>
        <v/>
      </c>
    </row>
    <row r="327">
      <c r="A327" s="99"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c r="AD327">
        <f>IF(OR(T327="",Y327="",AA327=""),"",IF(AND(T327="ALTA",OR(AA327="L0 Inexistente",AA327="L1 Inicial / Ad Hoc",Y327="No Iniciado")),"CRÍTICO - Incumplimiento Normativo SEPS",IF(AND(OR(AA327="L4 Gestionado y Medible",AA327="L5 Optimizado"),AND(AC327&lt;&gt;"",AC327&lt;&gt;"N/A")),"CONFORME - Control Efectivo ISO 27001","OBSERVACIÓN - Revisar Controles")))</f>
        <v/>
      </c>
    </row>
    <row r="328" ht="20.45" customHeight="1" s="106">
      <c r="A328" s="99"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c r="AD328">
        <f>IF(OR(T328="",Y328="",AA328=""),"",IF(AND(T328="ALTA",OR(AA328="L0 Inexistente",AA328="L1 Inicial / Ad Hoc",Y328="No Iniciado")),"CRÍTICO - Incumplimiento Normativo SEPS",IF(AND(OR(AA328="L4 Gestionado y Medible",AA328="L5 Optimizado"),AND(AC328&lt;&gt;"",AC328&lt;&gt;"N/A")),"CONFORME - Control Efectivo ISO 27001","OBSERVACIÓN - Revisar Controles")))</f>
        <v/>
      </c>
    </row>
    <row r="329">
      <c r="A329" s="99"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c r="AD329">
        <f>IF(OR(T329="",Y329="",AA329=""),"",IF(AND(T329="ALTA",OR(AA329="L0 Inexistente",AA329="L1 Inicial / Ad Hoc",Y329="No Iniciado")),"CRÍTICO - Incumplimiento Normativo SEPS",IF(AND(OR(AA329="L4 Gestionado y Medible",AA329="L5 Optimizado"),AND(AC329&lt;&gt;"",AC329&lt;&gt;"N/A")),"CONFORME - Control Efectivo ISO 27001","OBSERVACIÓN - Revisar Controles")))</f>
        <v/>
      </c>
    </row>
    <row r="330" ht="20.45" customHeight="1" s="106">
      <c r="A330" s="99"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c r="AD330">
        <f>IF(OR(T330="",Y330="",AA330=""),"",IF(AND(T330="ALTA",OR(AA330="L0 Inexistente",AA330="L1 Inicial / Ad Hoc",Y330="No Iniciado")),"CRÍTICO - Incumplimiento Normativo SEPS",IF(AND(OR(AA330="L4 Gestionado y Medible",AA330="L5 Optimizado"),AND(AC330&lt;&gt;"",AC330&lt;&gt;"N/A")),"CONFORME - Control Efectivo ISO 27001","OBSERVACIÓN - Revisar Controles")))</f>
        <v/>
      </c>
    </row>
    <row r="331">
      <c r="A331" s="99"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c r="AD331">
        <f>IF(OR(T331="",Y331="",AA331=""),"",IF(AND(T331="ALTA",OR(AA331="L0 Inexistente",AA331="L1 Inicial / Ad Hoc",Y331="No Iniciado")),"CRÍTICO - Incumplimiento Normativo SEPS",IF(AND(OR(AA331="L4 Gestionado y Medible",AA331="L5 Optimizado"),AND(AC331&lt;&gt;"",AC331&lt;&gt;"N/A")),"CONFORME - Control Efectivo ISO 27001","OBSERVACIÓN - Revisar Controles")))</f>
        <v/>
      </c>
    </row>
    <row r="332">
      <c r="A332" s="99"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c r="AD332">
        <f>IF(OR(T332="",Y332="",AA332=""),"",IF(AND(T332="ALTA",OR(AA332="L0 Inexistente",AA332="L1 Inicial / Ad Hoc",Y332="No Iniciado")),"CRÍTICO - Incumplimiento Normativo SEPS",IF(AND(OR(AA332="L4 Gestionado y Medible",AA332="L5 Optimizado"),AND(AC332&lt;&gt;"",AC332&lt;&gt;"N/A")),"CONFORME - Control Efectivo ISO 27001","OBSERVACIÓN - Revisar Controles")))</f>
        <v/>
      </c>
    </row>
    <row r="333">
      <c r="A333" s="99"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c r="AD333">
        <f>IF(OR(T333="",Y333="",AA333=""),"",IF(AND(T333="ALTA",OR(AA333="L0 Inexistente",AA333="L1 Inicial / Ad Hoc",Y333="No Iniciado")),"CRÍTICO - Incumplimiento Normativo SEPS",IF(AND(OR(AA333="L4 Gestionado y Medible",AA333="L5 Optimizado"),AND(AC333&lt;&gt;"",AC333&lt;&gt;"N/A")),"CONFORME - Control Efectivo ISO 27001","OBSERVACIÓN - Revisar Controles")))</f>
        <v/>
      </c>
    </row>
    <row r="334">
      <c r="A334" s="99"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c r="AD334">
        <f>IF(OR(T334="",Y334="",AA334=""),"",IF(AND(T334="ALTA",OR(AA334="L0 Inexistente",AA334="L1 Inicial / Ad Hoc",Y334="No Iniciado")),"CRÍTICO - Incumplimiento Normativo SEPS",IF(AND(OR(AA334="L4 Gestionado y Medible",AA334="L5 Optimizado"),AND(AC334&lt;&gt;"",AC334&lt;&gt;"N/A")),"CONFORME - Control Efectivo ISO 27001","OBSERVACIÓN - Revisar Controles")))</f>
        <v/>
      </c>
    </row>
    <row r="335" ht="20.45" customHeight="1" s="106">
      <c r="A335" s="99"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c r="AD335">
        <f>IF(OR(T335="",Y335="",AA335=""),"",IF(AND(T335="ALTA",OR(AA335="L0 Inexistente",AA335="L1 Inicial / Ad Hoc",Y335="No Iniciado")),"CRÍTICO - Incumplimiento Normativo SEPS",IF(AND(OR(AA335="L4 Gestionado y Medible",AA335="L5 Optimizado"),AND(AC335&lt;&gt;"",AC335&lt;&gt;"N/A")),"CONFORME - Control Efectivo ISO 27001","OBSERVACIÓN - Revisar Controles")))</f>
        <v/>
      </c>
    </row>
    <row r="336">
      <c r="A336" s="99"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c r="AD336">
        <f>IF(OR(T336="",Y336="",AA336=""),"",IF(AND(T336="ALTA",OR(AA336="L0 Inexistente",AA336="L1 Inicial / Ad Hoc",Y336="No Iniciado")),"CRÍTICO - Incumplimiento Normativo SEPS",IF(AND(OR(AA336="L4 Gestionado y Medible",AA336="L5 Optimizado"),AND(AC336&lt;&gt;"",AC336&lt;&gt;"N/A")),"CONFORME - Control Efectivo ISO 27001","OBSERVACIÓN - Revisar Controles")))</f>
        <v/>
      </c>
    </row>
    <row r="337">
      <c r="A337" s="99"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c r="AD337">
        <f>IF(OR(T337="",Y337="",AA337=""),"",IF(AND(T337="ALTA",OR(AA337="L0 Inexistente",AA337="L1 Inicial / Ad Hoc",Y337="No Iniciado")),"CRÍTICO - Incumplimiento Normativo SEPS",IF(AND(OR(AA337="L4 Gestionado y Medible",AA337="L5 Optimizado"),AND(AC337&lt;&gt;"",AC337&lt;&gt;"N/A")),"CONFORME - Control Efectivo ISO 27001","OBSERVACIÓN - Revisar Controles")))</f>
        <v/>
      </c>
    </row>
    <row r="338" ht="20.45" customHeight="1" s="106">
      <c r="A338" s="99"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c r="AD338">
        <f>IF(OR(T338="",Y338="",AA338=""),"",IF(AND(T338="ALTA",OR(AA338="L0 Inexistente",AA338="L1 Inicial / Ad Hoc",Y338="No Iniciado")),"CRÍTICO - Incumplimiento Normativo SEPS",IF(AND(OR(AA338="L4 Gestionado y Medible",AA338="L5 Optimizado"),AND(AC338&lt;&gt;"",AC338&lt;&gt;"N/A")),"CONFORME - Control Efectivo ISO 27001","OBSERVACIÓN - Revisar Controles")))</f>
        <v/>
      </c>
    </row>
    <row r="339">
      <c r="A339" s="99"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c r="AD339">
        <f>IF(OR(T339="",Y339="",AA339=""),"",IF(AND(T339="ALTA",OR(AA339="L0 Inexistente",AA339="L1 Inicial / Ad Hoc",Y339="No Iniciado")),"CRÍTICO - Incumplimiento Normativo SEPS",IF(AND(OR(AA339="L4 Gestionado y Medible",AA339="L5 Optimizado"),AND(AC339&lt;&gt;"",AC339&lt;&gt;"N/A")),"CONFORME - Control Efectivo ISO 27001","OBSERVACIÓN - Revisar Controles")))</f>
        <v/>
      </c>
    </row>
    <row r="340">
      <c r="A340" s="99"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c r="AD340">
        <f>IF(OR(T340="",Y340="",AA340=""),"",IF(AND(T340="ALTA",OR(AA340="L0 Inexistente",AA340="L1 Inicial / Ad Hoc",Y340="No Iniciado")),"CRÍTICO - Incumplimiento Normativo SEPS",IF(AND(OR(AA340="L4 Gestionado y Medible",AA340="L5 Optimizado"),AND(AC340&lt;&gt;"",AC340&lt;&gt;"N/A")),"CONFORME - Control Efectivo ISO 27001","OBSERVACIÓN - Revisar Controles")))</f>
        <v/>
      </c>
    </row>
    <row r="341" ht="20.45" customHeight="1" s="106">
      <c r="A341" s="99"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c r="AD341">
        <f>IF(OR(T341="",Y341="",AA341=""),"",IF(AND(T341="ALTA",OR(AA341="L0 Inexistente",AA341="L1 Inicial / Ad Hoc",Y341="No Iniciado")),"CRÍTICO - Incumplimiento Normativo SEPS",IF(AND(OR(AA341="L4 Gestionado y Medible",AA341="L5 Optimizado"),AND(AC341&lt;&gt;"",AC341&lt;&gt;"N/A")),"CONFORME - Control Efectivo ISO 27001","OBSERVACIÓN - Revisar Controles")))</f>
        <v/>
      </c>
    </row>
    <row r="342" ht="20.45" customHeight="1" s="106">
      <c r="A342" s="99"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c r="AD342">
        <f>IF(OR(T342="",Y342="",AA342=""),"",IF(AND(T342="ALTA",OR(AA342="L0 Inexistente",AA342="L1 Inicial / Ad Hoc",Y342="No Iniciado")),"CRÍTICO - Incumplimiento Normativo SEPS",IF(AND(OR(AA342="L4 Gestionado y Medible",AA342="L5 Optimizado"),AND(AC342&lt;&gt;"",AC342&lt;&gt;"N/A")),"CONFORME - Control Efectivo ISO 27001","OBSERVACIÓN - Revisar Controles")))</f>
        <v/>
      </c>
    </row>
    <row r="343">
      <c r="A343" s="99"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c r="AD343">
        <f>IF(OR(T343="",Y343="",AA343=""),"",IF(AND(T343="ALTA",OR(AA343="L0 Inexistente",AA343="L1 Inicial / Ad Hoc",Y343="No Iniciado")),"CRÍTICO - Incumplimiento Normativo SEPS",IF(AND(OR(AA343="L4 Gestionado y Medible",AA343="L5 Optimizado"),AND(AC343&lt;&gt;"",AC343&lt;&gt;"N/A")),"CONFORME - Control Efectivo ISO 27001","OBSERVACIÓN - Revisar Controles")))</f>
        <v/>
      </c>
    </row>
    <row r="344" ht="20.45" customHeight="1" s="106">
      <c r="A344" s="99"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c r="AD344">
        <f>IF(OR(T344="",Y344="",AA344=""),"",IF(AND(T344="ALTA",OR(AA344="L0 Inexistente",AA344="L1 Inicial / Ad Hoc",Y344="No Iniciado")),"CRÍTICO - Incumplimiento Normativo SEPS",IF(AND(OR(AA344="L4 Gestionado y Medible",AA344="L5 Optimizado"),AND(AC344&lt;&gt;"",AC344&lt;&gt;"N/A")),"CONFORME - Control Efectivo ISO 27001","OBSERVACIÓN - Revisar Controles")))</f>
        <v/>
      </c>
    </row>
    <row r="345">
      <c r="A345" s="99"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c r="AD345">
        <f>IF(OR(T345="",Y345="",AA345=""),"",IF(AND(T345="ALTA",OR(AA345="L0 Inexistente",AA345="L1 Inicial / Ad Hoc",Y345="No Iniciado")),"CRÍTICO - Incumplimiento Normativo SEPS",IF(AND(OR(AA345="L4 Gestionado y Medible",AA345="L5 Optimizado"),AND(AC345&lt;&gt;"",AC345&lt;&gt;"N/A")),"CONFORME - Control Efectivo ISO 27001","OBSERVACIÓN - Revisar Controles")))</f>
        <v/>
      </c>
    </row>
    <row r="346">
      <c r="A346" s="99"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c r="AD346">
        <f>IF(OR(T346="",Y346="",AA346=""),"",IF(AND(T346="ALTA",OR(AA346="L0 Inexistente",AA346="L1 Inicial / Ad Hoc",Y346="No Iniciado")),"CRÍTICO - Incumplimiento Normativo SEPS",IF(AND(OR(AA346="L4 Gestionado y Medible",AA346="L5 Optimizado"),AND(AC346&lt;&gt;"",AC346&lt;&gt;"N/A")),"CONFORME - Control Efectivo ISO 27001","OBSERVACIÓN - Revisar Controles")))</f>
        <v/>
      </c>
    </row>
    <row r="347">
      <c r="A347" s="99"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c r="AD347">
        <f>IF(OR(T347="",Y347="",AA347=""),"",IF(AND(T347="ALTA",OR(AA347="L0 Inexistente",AA347="L1 Inicial / Ad Hoc",Y347="No Iniciado")),"CRÍTICO - Incumplimiento Normativo SEPS",IF(AND(OR(AA347="L4 Gestionado y Medible",AA347="L5 Optimizado"),AND(AC347&lt;&gt;"",AC347&lt;&gt;"N/A")),"CONFORME - Control Efectivo ISO 27001","OBSERVACIÓN - Revisar Controles")))</f>
        <v/>
      </c>
    </row>
    <row r="348">
      <c r="A348" s="99"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c r="AD348">
        <f>IF(OR(T348="",Y348="",AA348=""),"",IF(AND(T348="ALTA",OR(AA348="L0 Inexistente",AA348="L1 Inicial / Ad Hoc",Y348="No Iniciado")),"CRÍTICO - Incumplimiento Normativo SEPS",IF(AND(OR(AA348="L4 Gestionado y Medible",AA348="L5 Optimizado"),AND(AC348&lt;&gt;"",AC348&lt;&gt;"N/A")),"CONFORME - Control Efectivo ISO 27001","OBSERVACIÓN - Revisar Controles")))</f>
        <v/>
      </c>
    </row>
    <row r="349">
      <c r="A349" s="99"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c r="AD349">
        <f>IF(OR(T349="",Y349="",AA349=""),"",IF(AND(T349="ALTA",OR(AA349="L0 Inexistente",AA349="L1 Inicial / Ad Hoc",Y349="No Iniciado")),"CRÍTICO - Incumplimiento Normativo SEPS",IF(AND(OR(AA349="L4 Gestionado y Medible",AA349="L5 Optimizado"),AND(AC349&lt;&gt;"",AC349&lt;&gt;"N/A")),"CONFORME - Control Efectivo ISO 27001","OBSERVACIÓN - Revisar Controles")))</f>
        <v/>
      </c>
    </row>
    <row r="350">
      <c r="A350" s="99"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c r="AD350">
        <f>IF(OR(T350="",Y350="",AA350=""),"",IF(AND(T350="ALTA",OR(AA350="L0 Inexistente",AA350="L1 Inicial / Ad Hoc",Y350="No Iniciado")),"CRÍTICO - Incumplimiento Normativo SEPS",IF(AND(OR(AA350="L4 Gestionado y Medible",AA350="L5 Optimizado"),AND(AC350&lt;&gt;"",AC350&lt;&gt;"N/A")),"CONFORME - Control Efectivo ISO 27001","OBSERVACIÓN - Revisar Controles")))</f>
        <v/>
      </c>
    </row>
    <row r="351">
      <c r="A351" s="99"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c r="AD351">
        <f>IF(OR(T351="",Y351="",AA351=""),"",IF(AND(T351="ALTA",OR(AA351="L0 Inexistente",AA351="L1 Inicial / Ad Hoc",Y351="No Iniciado")),"CRÍTICO - Incumplimiento Normativo SEPS",IF(AND(OR(AA351="L4 Gestionado y Medible",AA351="L5 Optimizado"),AND(AC351&lt;&gt;"",AC351&lt;&gt;"N/A")),"CONFORME - Control Efectivo ISO 27001","OBSERVACIÓN - Revisar Controles")))</f>
        <v/>
      </c>
    </row>
    <row r="352">
      <c r="A352" s="99"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c r="AD352">
        <f>IF(OR(T352="",Y352="",AA352=""),"",IF(AND(T352="ALTA",OR(AA352="L0 Inexistente",AA352="L1 Inicial / Ad Hoc",Y352="No Iniciado")),"CRÍTICO - Incumplimiento Normativo SEPS",IF(AND(OR(AA352="L4 Gestionado y Medible",AA352="L5 Optimizado"),AND(AC352&lt;&gt;"",AC352&lt;&gt;"N/A")),"CONFORME - Control Efectivo ISO 27001","OBSERVACIÓN - Revisar Controles")))</f>
        <v/>
      </c>
    </row>
    <row r="353">
      <c r="A353" s="99"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c r="AD353">
        <f>IF(OR(T353="",Y353="",AA353=""),"",IF(AND(T353="ALTA",OR(AA353="L0 Inexistente",AA353="L1 Inicial / Ad Hoc",Y353="No Iniciado")),"CRÍTICO - Incumplimiento Normativo SEPS",IF(AND(OR(AA353="L4 Gestionado y Medible",AA353="L5 Optimizado"),AND(AC353&lt;&gt;"",AC353&lt;&gt;"N/A")),"CONFORME - Control Efectivo ISO 27001","OBSERVACIÓN - Revisar Controles")))</f>
        <v/>
      </c>
    </row>
    <row r="354">
      <c r="A354" s="99"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c r="AD354">
        <f>IF(OR(T354="",Y354="",AA354=""),"",IF(AND(T354="ALTA",OR(AA354="L0 Inexistente",AA354="L1 Inicial / Ad Hoc",Y354="No Iniciado")),"CRÍTICO - Incumplimiento Normativo SEPS",IF(AND(OR(AA354="L4 Gestionado y Medible",AA354="L5 Optimizado"),AND(AC354&lt;&gt;"",AC354&lt;&gt;"N/A")),"CONFORME - Control Efectivo ISO 27001","OBSERVACIÓN - Revisar Controles")))</f>
        <v/>
      </c>
    </row>
    <row r="355">
      <c r="A355" s="99"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c r="AD355">
        <f>IF(OR(T355="",Y355="",AA355=""),"",IF(AND(T355="ALTA",OR(AA355="L0 Inexistente",AA355="L1 Inicial / Ad Hoc",Y355="No Iniciado")),"CRÍTICO - Incumplimiento Normativo SEPS",IF(AND(OR(AA355="L4 Gestionado y Medible",AA355="L5 Optimizado"),AND(AC355&lt;&gt;"",AC355&lt;&gt;"N/A")),"CONFORME - Control Efectivo ISO 27001","OBSERVACIÓN - Revisar Controles")))</f>
        <v/>
      </c>
    </row>
    <row r="356">
      <c r="A356" s="99"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c r="AD356">
        <f>IF(OR(T356="",Y356="",AA356=""),"",IF(AND(T356="ALTA",OR(AA356="L0 Inexistente",AA356="L1 Inicial / Ad Hoc",Y356="No Iniciado")),"CRÍTICO - Incumplimiento Normativo SEPS",IF(AND(OR(AA356="L4 Gestionado y Medible",AA356="L5 Optimizado"),AND(AC356&lt;&gt;"",AC356&lt;&gt;"N/A")),"CONFORME - Control Efectivo ISO 27001","OBSERVACIÓN - Revisar Controles")))</f>
        <v/>
      </c>
    </row>
    <row r="357">
      <c r="A357" s="99"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c r="AD357">
        <f>IF(OR(T357="",Y357="",AA357=""),"",IF(AND(T357="ALTA",OR(AA357="L0 Inexistente",AA357="L1 Inicial / Ad Hoc",Y357="No Iniciado")),"CRÍTICO - Incumplimiento Normativo SEPS",IF(AND(OR(AA357="L4 Gestionado y Medible",AA357="L5 Optimizado"),AND(AC357&lt;&gt;"",AC357&lt;&gt;"N/A")),"CONFORME - Control Efectivo ISO 27001","OBSERVACIÓN - Revisar Controles")))</f>
        <v/>
      </c>
    </row>
    <row r="358">
      <c r="A358" s="99"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c r="AD358">
        <f>IF(OR(T358="",Y358="",AA358=""),"",IF(AND(T358="ALTA",OR(AA358="L0 Inexistente",AA358="L1 Inicial / Ad Hoc",Y358="No Iniciado")),"CRÍTICO - Incumplimiento Normativo SEPS",IF(AND(OR(AA358="L4 Gestionado y Medible",AA358="L5 Optimizado"),AND(AC358&lt;&gt;"",AC358&lt;&gt;"N/A")),"CONFORME - Control Efectivo ISO 27001","OBSERVACIÓN - Revisar Controles")))</f>
        <v/>
      </c>
    </row>
    <row r="359">
      <c r="A359" s="99"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c r="AD359">
        <f>IF(OR(T359="",Y359="",AA359=""),"",IF(AND(T359="ALTA",OR(AA359="L0 Inexistente",AA359="L1 Inicial / Ad Hoc",Y359="No Iniciado")),"CRÍTICO - Incumplimiento Normativo SEPS",IF(AND(OR(AA359="L4 Gestionado y Medible",AA359="L5 Optimizado"),AND(AC359&lt;&gt;"",AC359&lt;&gt;"N/A")),"CONFORME - Control Efectivo ISO 27001","OBSERVACIÓN - Revisar Controles")))</f>
        <v/>
      </c>
    </row>
    <row r="360">
      <c r="A360" s="99"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c r="AD360">
        <f>IF(OR(T360="",Y360="",AA360=""),"",IF(AND(T360="ALTA",OR(AA360="L0 Inexistente",AA360="L1 Inicial / Ad Hoc",Y360="No Iniciado")),"CRÍTICO - Incumplimiento Normativo SEPS",IF(AND(OR(AA360="L4 Gestionado y Medible",AA360="L5 Optimizado"),AND(AC360&lt;&gt;"",AC360&lt;&gt;"N/A")),"CONFORME - Control Efectivo ISO 27001","OBSERVACIÓN - Revisar Controles")))</f>
        <v/>
      </c>
    </row>
    <row r="361">
      <c r="A361" s="99"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c r="AD361">
        <f>IF(OR(T361="",Y361="",AA361=""),"",IF(AND(T361="ALTA",OR(AA361="L0 Inexistente",AA361="L1 Inicial / Ad Hoc",Y361="No Iniciado")),"CRÍTICO - Incumplimiento Normativo SEPS",IF(AND(OR(AA361="L4 Gestionado y Medible",AA361="L5 Optimizado"),AND(AC361&lt;&gt;"",AC361&lt;&gt;"N/A")),"CONFORME - Control Efectivo ISO 27001","OBSERVACIÓN - Revisar Controles")))</f>
        <v/>
      </c>
    </row>
    <row r="362">
      <c r="A362" s="99"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c r="AD362">
        <f>IF(OR(T362="",Y362="",AA362=""),"",IF(AND(T362="ALTA",OR(AA362="L0 Inexistente",AA362="L1 Inicial / Ad Hoc",Y362="No Iniciado")),"CRÍTICO - Incumplimiento Normativo SEPS",IF(AND(OR(AA362="L4 Gestionado y Medible",AA362="L5 Optimizado"),AND(AC362&lt;&gt;"",AC362&lt;&gt;"N/A")),"CONFORME - Control Efectivo ISO 27001","OBSERVACIÓN - Revisar Controles")))</f>
        <v/>
      </c>
    </row>
    <row r="363">
      <c r="A363" s="99"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c r="AD363">
        <f>IF(OR(T363="",Y363="",AA363=""),"",IF(AND(T363="ALTA",OR(AA363="L0 Inexistente",AA363="L1 Inicial / Ad Hoc",Y363="No Iniciado")),"CRÍTICO - Incumplimiento Normativo SEPS",IF(AND(OR(AA363="L4 Gestionado y Medible",AA363="L5 Optimizado"),AND(AC363&lt;&gt;"",AC363&lt;&gt;"N/A")),"CONFORME - Control Efectivo ISO 27001","OBSERVACIÓN - Revisar Controles")))</f>
        <v/>
      </c>
    </row>
    <row r="364">
      <c r="A364" s="99"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c r="AD364">
        <f>IF(OR(T364="",Y364="",AA364=""),"",IF(AND(T364="ALTA",OR(AA364="L0 Inexistente",AA364="L1 Inicial / Ad Hoc",Y364="No Iniciado")),"CRÍTICO - Incumplimiento Normativo SEPS",IF(AND(OR(AA364="L4 Gestionado y Medible",AA364="L5 Optimizado"),AND(AC364&lt;&gt;"",AC364&lt;&gt;"N/A")),"CONFORME - Control Efectivo ISO 27001","OBSERVACIÓN - Revisar Controles")))</f>
        <v/>
      </c>
    </row>
    <row r="365">
      <c r="A365" s="99"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c r="AD365">
        <f>IF(OR(T365="",Y365="",AA365=""),"",IF(AND(T365="ALTA",OR(AA365="L0 Inexistente",AA365="L1 Inicial / Ad Hoc",Y365="No Iniciado")),"CRÍTICO - Incumplimiento Normativo SEPS",IF(AND(OR(AA365="L4 Gestionado y Medible",AA365="L5 Optimizado"),AND(AC365&lt;&gt;"",AC365&lt;&gt;"N/A")),"CONFORME - Control Efectivo ISO 27001","OBSERVACIÓN - Revisar Controles")))</f>
        <v/>
      </c>
    </row>
    <row r="366">
      <c r="A366" s="99"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c r="AD366">
        <f>IF(OR(T366="",Y366="",AA366=""),"",IF(AND(T366="ALTA",OR(AA366="L0 Inexistente",AA366="L1 Inicial / Ad Hoc",Y366="No Iniciado")),"CRÍTICO - Incumplimiento Normativo SEPS",IF(AND(OR(AA366="L4 Gestionado y Medible",AA366="L5 Optimizado"),AND(AC366&lt;&gt;"",AC366&lt;&gt;"N/A")),"CONFORME - Control Efectivo ISO 27001","OBSERVACIÓN - Revisar Controles")))</f>
        <v/>
      </c>
    </row>
    <row r="367">
      <c r="A367" s="99"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c r="AD367">
        <f>IF(OR(T367="",Y367="",AA367=""),"",IF(AND(T367="ALTA",OR(AA367="L0 Inexistente",AA367="L1 Inicial / Ad Hoc",Y367="No Iniciado")),"CRÍTICO - Incumplimiento Normativo SEPS",IF(AND(OR(AA367="L4 Gestionado y Medible",AA367="L5 Optimizado"),AND(AC367&lt;&gt;"",AC367&lt;&gt;"N/A")),"CONFORME - Control Efectivo ISO 27001","OBSERVACIÓN - Revisar Controles")))</f>
        <v/>
      </c>
    </row>
    <row r="368">
      <c r="A368" s="99"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c r="AD368">
        <f>IF(OR(T368="",Y368="",AA368=""),"",IF(AND(T368="ALTA",OR(AA368="L0 Inexistente",AA368="L1 Inicial / Ad Hoc",Y368="No Iniciado")),"CRÍTICO - Incumplimiento Normativo SEPS",IF(AND(OR(AA368="L4 Gestionado y Medible",AA368="L5 Optimizado"),AND(AC368&lt;&gt;"",AC368&lt;&gt;"N/A")),"CONFORME - Control Efectivo ISO 27001","OBSERVACIÓN - Revisar Controles")))</f>
        <v/>
      </c>
    </row>
    <row r="369">
      <c r="A369" s="99"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c r="AD369">
        <f>IF(OR(T369="",Y369="",AA369=""),"",IF(AND(T369="ALTA",OR(AA369="L0 Inexistente",AA369="L1 Inicial / Ad Hoc",Y369="No Iniciado")),"CRÍTICO - Incumplimiento Normativo SEPS",IF(AND(OR(AA369="L4 Gestionado y Medible",AA369="L5 Optimizado"),AND(AC369&lt;&gt;"",AC369&lt;&gt;"N/A")),"CONFORME - Control Efectivo ISO 27001","OBSERVACIÓN - Revisar Controles")))</f>
        <v/>
      </c>
    </row>
    <row r="370">
      <c r="A370" s="99"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c r="AD370">
        <f>IF(OR(T370="",Y370="",AA370=""),"",IF(AND(T370="ALTA",OR(AA370="L0 Inexistente",AA370="L1 Inicial / Ad Hoc",Y370="No Iniciado")),"CRÍTICO - Incumplimiento Normativo SEPS",IF(AND(OR(AA370="L4 Gestionado y Medible",AA370="L5 Optimizado"),AND(AC370&lt;&gt;"",AC370&lt;&gt;"N/A")),"CONFORME - Control Efectivo ISO 27001","OBSERVACIÓN - Revisar Controles")))</f>
        <v/>
      </c>
    </row>
    <row r="371">
      <c r="A371" s="99"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c r="AD371">
        <f>IF(OR(T371="",Y371="",AA371=""),"",IF(AND(T371="ALTA",OR(AA371="L0 Inexistente",AA371="L1 Inicial / Ad Hoc",Y371="No Iniciado")),"CRÍTICO - Incumplimiento Normativo SEPS",IF(AND(OR(AA371="L4 Gestionado y Medible",AA371="L5 Optimizado"),AND(AC371&lt;&gt;"",AC371&lt;&gt;"N/A")),"CONFORME - Control Efectivo ISO 27001","OBSERVACIÓN - Revisar Controles")))</f>
        <v/>
      </c>
    </row>
    <row r="372">
      <c r="A372" s="99"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c r="AD372">
        <f>IF(OR(T372="",Y372="",AA372=""),"",IF(AND(T372="ALTA",OR(AA372="L0 Inexistente",AA372="L1 Inicial / Ad Hoc",Y372="No Iniciado")),"CRÍTICO - Incumplimiento Normativo SEPS",IF(AND(OR(AA372="L4 Gestionado y Medible",AA372="L5 Optimizado"),AND(AC372&lt;&gt;"",AC372&lt;&gt;"N/A")),"CONFORME - Control Efectivo ISO 27001","OBSERVACIÓN - Revisar Controles")))</f>
        <v/>
      </c>
    </row>
    <row r="373">
      <c r="A373" s="99"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c r="AD373">
        <f>IF(OR(T373="",Y373="",AA373=""),"",IF(AND(T373="ALTA",OR(AA373="L0 Inexistente",AA373="L1 Inicial / Ad Hoc",Y373="No Iniciado")),"CRÍTICO - Incumplimiento Normativo SEPS",IF(AND(OR(AA373="L4 Gestionado y Medible",AA373="L5 Optimizado"),AND(AC373&lt;&gt;"",AC373&lt;&gt;"N/A")),"CONFORME - Control Efectivo ISO 27001","OBSERVACIÓN - Revisar Controles")))</f>
        <v/>
      </c>
    </row>
    <row r="374">
      <c r="A374" s="99"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c r="AD374">
        <f>IF(OR(T374="",Y374="",AA374=""),"",IF(AND(T374="ALTA",OR(AA374="L0 Inexistente",AA374="L1 Inicial / Ad Hoc",Y374="No Iniciado")),"CRÍTICO - Incumplimiento Normativo SEPS",IF(AND(OR(AA374="L4 Gestionado y Medible",AA374="L5 Optimizado"),AND(AC374&lt;&gt;"",AC374&lt;&gt;"N/A")),"CONFORME - Control Efectivo ISO 27001","OBSERVACIÓN - Revisar Controles")))</f>
        <v/>
      </c>
    </row>
    <row r="375">
      <c r="A375" s="99"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c r="AD375">
        <f>IF(OR(T375="",Y375="",AA375=""),"",IF(AND(T375="ALTA",OR(AA375="L0 Inexistente",AA375="L1 Inicial / Ad Hoc",Y375="No Iniciado")),"CRÍTICO - Incumplimiento Normativo SEPS",IF(AND(OR(AA375="L4 Gestionado y Medible",AA375="L5 Optimizado"),AND(AC375&lt;&gt;"",AC375&lt;&gt;"N/A")),"CONFORME - Control Efectivo ISO 27001","OBSERVACIÓN - Revisar Controles")))</f>
        <v/>
      </c>
    </row>
    <row r="376">
      <c r="A376" s="99"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c r="AD376">
        <f>IF(OR(T376="",Y376="",AA376=""),"",IF(AND(T376="ALTA",OR(AA376="L0 Inexistente",AA376="L1 Inicial / Ad Hoc",Y376="No Iniciado")),"CRÍTICO - Incumplimiento Normativo SEPS",IF(AND(OR(AA376="L4 Gestionado y Medible",AA376="L5 Optimizado"),AND(AC376&lt;&gt;"",AC376&lt;&gt;"N/A")),"CONFORME - Control Efectivo ISO 27001","OBSERVACIÓN - Revisar Controles")))</f>
        <v/>
      </c>
    </row>
    <row r="377">
      <c r="A377" s="99"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c r="AD377">
        <f>IF(OR(T377="",Y377="",AA377=""),"",IF(AND(T377="ALTA",OR(AA377="L0 Inexistente",AA377="L1 Inicial / Ad Hoc",Y377="No Iniciado")),"CRÍTICO - Incumplimiento Normativo SEPS",IF(AND(OR(AA377="L4 Gestionado y Medible",AA377="L5 Optimizado"),AND(AC377&lt;&gt;"",AC377&lt;&gt;"N/A")),"CONFORME - Control Efectivo ISO 27001","OBSERVACIÓN - Revisar Controles")))</f>
        <v/>
      </c>
    </row>
    <row r="378">
      <c r="A378" s="99"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c r="AD378">
        <f>IF(OR(T378="",Y378="",AA378=""),"",IF(AND(T378="ALTA",OR(AA378="L0 Inexistente",AA378="L1 Inicial / Ad Hoc",Y378="No Iniciado")),"CRÍTICO - Incumplimiento Normativo SEPS",IF(AND(OR(AA378="L4 Gestionado y Medible",AA378="L5 Optimizado"),AND(AC378&lt;&gt;"",AC378&lt;&gt;"N/A")),"CONFORME - Control Efectivo ISO 27001","OBSERVACIÓN - Revisar Controles")))</f>
        <v/>
      </c>
    </row>
    <row r="379">
      <c r="A379" s="99"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c r="AD379">
        <f>IF(OR(T379="",Y379="",AA379=""),"",IF(AND(T379="ALTA",OR(AA379="L0 Inexistente",AA379="L1 Inicial / Ad Hoc",Y379="No Iniciado")),"CRÍTICO - Incumplimiento Normativo SEPS",IF(AND(OR(AA379="L4 Gestionado y Medible",AA379="L5 Optimizado"),AND(AC379&lt;&gt;"",AC379&lt;&gt;"N/A")),"CONFORME - Control Efectivo ISO 27001","OBSERVACIÓN - Revisar Controles")))</f>
        <v/>
      </c>
    </row>
    <row r="380">
      <c r="A380" s="99"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c r="AD380">
        <f>IF(OR(T380="",Y380="",AA380=""),"",IF(AND(T380="ALTA",OR(AA380="L0 Inexistente",AA380="L1 Inicial / Ad Hoc",Y380="No Iniciado")),"CRÍTICO - Incumplimiento Normativo SEPS",IF(AND(OR(AA380="L4 Gestionado y Medible",AA380="L5 Optimizado"),AND(AC380&lt;&gt;"",AC380&lt;&gt;"N/A")),"CONFORME - Control Efectivo ISO 27001","OBSERVACIÓN - Revisar Controles")))</f>
        <v/>
      </c>
    </row>
    <row r="381">
      <c r="A381" s="99"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c r="AD381">
        <f>IF(OR(T381="",Y381="",AA381=""),"",IF(AND(T381="ALTA",OR(AA381="L0 Inexistente",AA381="L1 Inicial / Ad Hoc",Y381="No Iniciado")),"CRÍTICO - Incumplimiento Normativo SEPS",IF(AND(OR(AA381="L4 Gestionado y Medible",AA381="L5 Optimizado"),AND(AC381&lt;&gt;"",AC381&lt;&gt;"N/A")),"CONFORME - Control Efectivo ISO 27001","OBSERVACIÓN - Revisar Controles")))</f>
        <v/>
      </c>
    </row>
    <row r="382">
      <c r="A382" s="99"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c r="AD382">
        <f>IF(OR(T382="",Y382="",AA382=""),"",IF(AND(T382="ALTA",OR(AA382="L0 Inexistente",AA382="L1 Inicial / Ad Hoc",Y382="No Iniciado")),"CRÍTICO - Incumplimiento Normativo SEPS",IF(AND(OR(AA382="L4 Gestionado y Medible",AA382="L5 Optimizado"),AND(AC382&lt;&gt;"",AC382&lt;&gt;"N/A")),"CONFORME - Control Efectivo ISO 27001","OBSERVACIÓN - Revisar Controles")))</f>
        <v/>
      </c>
    </row>
    <row r="383">
      <c r="A383" s="99"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c r="AD383">
        <f>IF(OR(T383="",Y383="",AA383=""),"",IF(AND(T383="ALTA",OR(AA383="L0 Inexistente",AA383="L1 Inicial / Ad Hoc",Y383="No Iniciado")),"CRÍTICO - Incumplimiento Normativo SEPS",IF(AND(OR(AA383="L4 Gestionado y Medible",AA383="L5 Optimizado"),AND(AC383&lt;&gt;"",AC383&lt;&gt;"N/A")),"CONFORME - Control Efectivo ISO 27001","OBSERVACIÓN - Revisar Controles")))</f>
        <v/>
      </c>
    </row>
    <row r="384">
      <c r="A384" s="99"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c r="AD384">
        <f>IF(OR(T384="",Y384="",AA384=""),"",IF(AND(T384="ALTA",OR(AA384="L0 Inexistente",AA384="L1 Inicial / Ad Hoc",Y384="No Iniciado")),"CRÍTICO - Incumplimiento Normativo SEPS",IF(AND(OR(AA384="L4 Gestionado y Medible",AA384="L5 Optimizado"),AND(AC384&lt;&gt;"",AC384&lt;&gt;"N/A")),"CONFORME - Control Efectivo ISO 27001","OBSERVACIÓN - Revisar Controles")))</f>
        <v/>
      </c>
    </row>
    <row r="385">
      <c r="A385" s="99"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c r="AD385">
        <f>IF(OR(T385="",Y385="",AA385=""),"",IF(AND(T385="ALTA",OR(AA385="L0 Inexistente",AA385="L1 Inicial / Ad Hoc",Y385="No Iniciado")),"CRÍTICO - Incumplimiento Normativo SEPS",IF(AND(OR(AA385="L4 Gestionado y Medible",AA385="L5 Optimizado"),AND(AC385&lt;&gt;"",AC385&lt;&gt;"N/A")),"CONFORME - Control Efectivo ISO 27001","OBSERVACIÓN - Revisar Controles")))</f>
        <v/>
      </c>
    </row>
    <row r="386">
      <c r="A386" s="99"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c r="AD386">
        <f>IF(OR(T386="",Y386="",AA386=""),"",IF(AND(T386="ALTA",OR(AA386="L0 Inexistente",AA386="L1 Inicial / Ad Hoc",Y386="No Iniciado")),"CRÍTICO - Incumplimiento Normativo SEPS",IF(AND(OR(AA386="L4 Gestionado y Medible",AA386="L5 Optimizado"),AND(AC386&lt;&gt;"",AC386&lt;&gt;"N/A")),"CONFORME - Control Efectivo ISO 27001","OBSERVACIÓN - Revisar Controles")))</f>
        <v/>
      </c>
    </row>
    <row r="387">
      <c r="A387" s="99"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c r="AD387">
        <f>IF(OR(T387="",Y387="",AA387=""),"",IF(AND(T387="ALTA",OR(AA387="L0 Inexistente",AA387="L1 Inicial / Ad Hoc",Y387="No Iniciado")),"CRÍTICO - Incumplimiento Normativo SEPS",IF(AND(OR(AA387="L4 Gestionado y Medible",AA387="L5 Optimizado"),AND(AC387&lt;&gt;"",AC387&lt;&gt;"N/A")),"CONFORME - Control Efectivo ISO 27001","OBSERVACIÓN - Revisar Controles")))</f>
        <v/>
      </c>
    </row>
    <row r="388">
      <c r="A388" s="99"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c r="AD388">
        <f>IF(OR(T388="",Y388="",AA388=""),"",IF(AND(T388="ALTA",OR(AA388="L0 Inexistente",AA388="L1 Inicial / Ad Hoc",Y388="No Iniciado")),"CRÍTICO - Incumplimiento Normativo SEPS",IF(AND(OR(AA388="L4 Gestionado y Medible",AA388="L5 Optimizado"),AND(AC388&lt;&gt;"",AC388&lt;&gt;"N/A")),"CONFORME - Control Efectivo ISO 27001","OBSERVACIÓN - Revisar Controles")))</f>
        <v/>
      </c>
    </row>
    <row r="389">
      <c r="A389" s="99"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c r="AD389">
        <f>IF(OR(T389="",Y389="",AA389=""),"",IF(AND(T389="ALTA",OR(AA389="L0 Inexistente",AA389="L1 Inicial / Ad Hoc",Y389="No Iniciado")),"CRÍTICO - Incumplimiento Normativo SEPS",IF(AND(OR(AA389="L4 Gestionado y Medible",AA389="L5 Optimizado"),AND(AC389&lt;&gt;"",AC389&lt;&gt;"N/A")),"CONFORME - Control Efectivo ISO 27001","OBSERVACIÓN - Revisar Controles")))</f>
        <v/>
      </c>
    </row>
    <row r="390">
      <c r="A390" s="99"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c r="AD390">
        <f>IF(OR(T390="",Y390="",AA390=""),"",IF(AND(T390="ALTA",OR(AA390="L0 Inexistente",AA390="L1 Inicial / Ad Hoc",Y390="No Iniciado")),"CRÍTICO - Incumplimiento Normativo SEPS",IF(AND(OR(AA390="L4 Gestionado y Medible",AA390="L5 Optimizado"),AND(AC390&lt;&gt;"",AC390&lt;&gt;"N/A")),"CONFORME - Control Efectivo ISO 27001","OBSERVACIÓN - Revisar Controles")))</f>
        <v/>
      </c>
    </row>
    <row r="391">
      <c r="A391" s="99"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c r="AD391">
        <f>IF(OR(T391="",Y391="",AA391=""),"",IF(AND(T391="ALTA",OR(AA391="L0 Inexistente",AA391="L1 Inicial / Ad Hoc",Y391="No Iniciado")),"CRÍTICO - Incumplimiento Normativo SEPS",IF(AND(OR(AA391="L4 Gestionado y Medible",AA391="L5 Optimizado"),AND(AC391&lt;&gt;"",AC391&lt;&gt;"N/A")),"CONFORME - Control Efectivo ISO 27001","OBSERVACIÓN - Revisar Controles")))</f>
        <v/>
      </c>
    </row>
    <row r="392">
      <c r="A392" s="99"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c r="AD392">
        <f>IF(OR(T392="",Y392="",AA392=""),"",IF(AND(T392="ALTA",OR(AA392="L0 Inexistente",AA392="L1 Inicial / Ad Hoc",Y392="No Iniciado")),"CRÍTICO - Incumplimiento Normativo SEPS",IF(AND(OR(AA392="L4 Gestionado y Medible",AA392="L5 Optimizado"),AND(AC392&lt;&gt;"",AC392&lt;&gt;"N/A")),"CONFORME - Control Efectivo ISO 27001","OBSERVACIÓN - Revisar Controles")))</f>
        <v/>
      </c>
    </row>
    <row r="393">
      <c r="A393" s="99"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c r="AD393">
        <f>IF(OR(T393="",Y393="",AA393=""),"",IF(AND(T393="ALTA",OR(AA393="L0 Inexistente",AA393="L1 Inicial / Ad Hoc",Y393="No Iniciado")),"CRÍTICO - Incumplimiento Normativo SEPS",IF(AND(OR(AA393="L4 Gestionado y Medible",AA393="L5 Optimizado"),AND(AC393&lt;&gt;"",AC393&lt;&gt;"N/A")),"CONFORME - Control Efectivo ISO 27001","OBSERVACIÓN - Revisar Controles")))</f>
        <v/>
      </c>
    </row>
    <row r="394">
      <c r="A394" s="99"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c r="AD394">
        <f>IF(OR(T394="",Y394="",AA394=""),"",IF(AND(T394="ALTA",OR(AA394="L0 Inexistente",AA394="L1 Inicial / Ad Hoc",Y394="No Iniciado")),"CRÍTICO - Incumplimiento Normativo SEPS",IF(AND(OR(AA394="L4 Gestionado y Medible",AA394="L5 Optimizado"),AND(AC394&lt;&gt;"",AC394&lt;&gt;"N/A")),"CONFORME - Control Efectivo ISO 27001","OBSERVACIÓN - Revisar Controles")))</f>
        <v/>
      </c>
    </row>
    <row r="395">
      <c r="A395" s="99"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c r="AD395">
        <f>IF(OR(T395="",Y395="",AA395=""),"",IF(AND(T395="ALTA",OR(AA395="L0 Inexistente",AA395="L1 Inicial / Ad Hoc",Y395="No Iniciado")),"CRÍTICO - Incumplimiento Normativo SEPS",IF(AND(OR(AA395="L4 Gestionado y Medible",AA395="L5 Optimizado"),AND(AC395&lt;&gt;"",AC395&lt;&gt;"N/A")),"CONFORME - Control Efectivo ISO 27001","OBSERVACIÓN - Revisar Controles")))</f>
        <v/>
      </c>
    </row>
    <row r="396">
      <c r="A396" s="99"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c r="AD396">
        <f>IF(OR(T396="",Y396="",AA396=""),"",IF(AND(T396="ALTA",OR(AA396="L0 Inexistente",AA396="L1 Inicial / Ad Hoc",Y396="No Iniciado")),"CRÍTICO - Incumplimiento Normativo SEPS",IF(AND(OR(AA396="L4 Gestionado y Medible",AA396="L5 Optimizado"),AND(AC396&lt;&gt;"",AC396&lt;&gt;"N/A")),"CONFORME - Control Efectivo ISO 27001","OBSERVACIÓN - Revisar Controles")))</f>
        <v/>
      </c>
    </row>
    <row r="397">
      <c r="A397" s="99"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c r="AD397">
        <f>IF(OR(T397="",Y397="",AA397=""),"",IF(AND(T397="ALTA",OR(AA397="L0 Inexistente",AA397="L1 Inicial / Ad Hoc",Y397="No Iniciado")),"CRÍTICO - Incumplimiento Normativo SEPS",IF(AND(OR(AA397="L4 Gestionado y Medible",AA397="L5 Optimizado"),AND(AC397&lt;&gt;"",AC397&lt;&gt;"N/A")),"CONFORME - Control Efectivo ISO 27001","OBSERVACIÓN - Revisar Controles")))</f>
        <v/>
      </c>
    </row>
    <row r="398">
      <c r="A398" s="99"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c r="AD398">
        <f>IF(OR(T398="",Y398="",AA398=""),"",IF(AND(T398="ALTA",OR(AA398="L0 Inexistente",AA398="L1 Inicial / Ad Hoc",Y398="No Iniciado")),"CRÍTICO - Incumplimiento Normativo SEPS",IF(AND(OR(AA398="L4 Gestionado y Medible",AA398="L5 Optimizado"),AND(AC398&lt;&gt;"",AC398&lt;&gt;"N/A")),"CONFORME - Control Efectivo ISO 27001","OBSERVACIÓN - Revisar Controles")))</f>
        <v/>
      </c>
    </row>
    <row r="399">
      <c r="A399" s="99"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c r="AD399">
        <f>IF(OR(T399="",Y399="",AA399=""),"",IF(AND(T399="ALTA",OR(AA399="L0 Inexistente",AA399="L1 Inicial / Ad Hoc",Y399="No Iniciado")),"CRÍTICO - Incumplimiento Normativo SEPS",IF(AND(OR(AA399="L4 Gestionado y Medible",AA399="L5 Optimizado"),AND(AC399&lt;&gt;"",AC399&lt;&gt;"N/A")),"CONFORME - Control Efectivo ISO 27001","OBSERVACIÓN - Revisar Controles")))</f>
        <v/>
      </c>
    </row>
    <row r="400">
      <c r="A400" s="99"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c r="AD400">
        <f>IF(OR(T400="",Y400="",AA400=""),"",IF(AND(T400="ALTA",OR(AA400="L0 Inexistente",AA400="L1 Inicial / Ad Hoc",Y400="No Iniciado")),"CRÍTICO - Incumplimiento Normativo SEPS",IF(AND(OR(AA400="L4 Gestionado y Medible",AA400="L5 Optimizado"),AND(AC400&lt;&gt;"",AC400&lt;&gt;"N/A")),"CONFORME - Control Efectivo ISO 27001","OBSERVACIÓN - Revisar Controles")))</f>
        <v/>
      </c>
    </row>
    <row r="401">
      <c r="A401" s="99"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c r="AD401">
        <f>IF(OR(T401="",Y401="",AA401=""),"",IF(AND(T401="ALTA",OR(AA401="L0 Inexistente",AA401="L1 Inicial / Ad Hoc",Y401="No Iniciado")),"CRÍTICO - Incumplimiento Normativo SEPS",IF(AND(OR(AA401="L4 Gestionado y Medible",AA401="L5 Optimizado"),AND(AC401&lt;&gt;"",AC401&lt;&gt;"N/A")),"CONFORME - Control Efectivo ISO 27001","OBSERVACIÓN - Revisar Controles")))</f>
        <v/>
      </c>
    </row>
    <row r="402">
      <c r="A402" s="99"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c r="AD402">
        <f>IF(OR(T402="",Y402="",AA402=""),"",IF(AND(T402="ALTA",OR(AA402="L0 Inexistente",AA402="L1 Inicial / Ad Hoc",Y402="No Iniciado")),"CRÍTICO - Incumplimiento Normativo SEPS",IF(AND(OR(AA402="L4 Gestionado y Medible",AA402="L5 Optimizado"),AND(AC402&lt;&gt;"",AC402&lt;&gt;"N/A")),"CONFORME - Control Efectivo ISO 27001","OBSERVACIÓN - Revisar Controles")))</f>
        <v/>
      </c>
    </row>
    <row r="403">
      <c r="A403" s="99"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c r="AD403">
        <f>IF(OR(T403="",Y403="",AA403=""),"",IF(AND(T403="ALTA",OR(AA403="L0 Inexistente",AA403="L1 Inicial / Ad Hoc",Y403="No Iniciado")),"CRÍTICO - Incumplimiento Normativo SEPS",IF(AND(OR(AA403="L4 Gestionado y Medible",AA403="L5 Optimizado"),AND(AC403&lt;&gt;"",AC403&lt;&gt;"N/A")),"CONFORME - Control Efectivo ISO 27001","OBSERVACIÓN - Revisar Controles")))</f>
        <v/>
      </c>
    </row>
    <row r="404">
      <c r="A404" s="99"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c r="AD404">
        <f>IF(OR(T404="",Y404="",AA404=""),"",IF(AND(T404="ALTA",OR(AA404="L0 Inexistente",AA404="L1 Inicial / Ad Hoc",Y404="No Iniciado")),"CRÍTICO - Incumplimiento Normativo SEPS",IF(AND(OR(AA404="L4 Gestionado y Medible",AA404="L5 Optimizado"),AND(AC404&lt;&gt;"",AC404&lt;&gt;"N/A")),"CONFORME - Control Efectivo ISO 27001","OBSERVACIÓN - Revisar Controles")))</f>
        <v/>
      </c>
    </row>
    <row r="405">
      <c r="A405" s="99"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c r="AD405">
        <f>IF(OR(T405="",Y405="",AA405=""),"",IF(AND(T405="ALTA",OR(AA405="L0 Inexistente",AA405="L1 Inicial / Ad Hoc",Y405="No Iniciado")),"CRÍTICO - Incumplimiento Normativo SEPS",IF(AND(OR(AA405="L4 Gestionado y Medible",AA405="L5 Optimizado"),AND(AC405&lt;&gt;"",AC405&lt;&gt;"N/A")),"CONFORME - Control Efectivo ISO 27001","OBSERVACIÓN - Revisar Controles")))</f>
        <v/>
      </c>
    </row>
    <row r="406">
      <c r="A406" s="99"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c r="AD406">
        <f>IF(OR(T406="",Y406="",AA406=""),"",IF(AND(T406="ALTA",OR(AA406="L0 Inexistente",AA406="L1 Inicial / Ad Hoc",Y406="No Iniciado")),"CRÍTICO - Incumplimiento Normativo SEPS",IF(AND(OR(AA406="L4 Gestionado y Medible",AA406="L5 Optimizado"),AND(AC406&lt;&gt;"",AC406&lt;&gt;"N/A")),"CONFORME - Control Efectivo ISO 27001","OBSERVACIÓN - Revisar Controles")))</f>
        <v/>
      </c>
    </row>
    <row r="407">
      <c r="A407" s="99"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c r="AD407">
        <f>IF(OR(T407="",Y407="",AA407=""),"",IF(AND(T407="ALTA",OR(AA407="L0 Inexistente",AA407="L1 Inicial / Ad Hoc",Y407="No Iniciado")),"CRÍTICO - Incumplimiento Normativo SEPS",IF(AND(OR(AA407="L4 Gestionado y Medible",AA407="L5 Optimizado"),AND(AC407&lt;&gt;"",AC407&lt;&gt;"N/A")),"CONFORME - Control Efectivo ISO 27001","OBSERVACIÓN - Revisar Controles")))</f>
        <v/>
      </c>
    </row>
    <row r="408">
      <c r="A408" s="99"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c r="AD408">
        <f>IF(OR(T408="",Y408="",AA408=""),"",IF(AND(T408="ALTA",OR(AA408="L0 Inexistente",AA408="L1 Inicial / Ad Hoc",Y408="No Iniciado")),"CRÍTICO - Incumplimiento Normativo SEPS",IF(AND(OR(AA408="L4 Gestionado y Medible",AA408="L5 Optimizado"),AND(AC408&lt;&gt;"",AC408&lt;&gt;"N/A")),"CONFORME - Control Efectivo ISO 27001","OBSERVACIÓN - Revisar Controles")))</f>
        <v/>
      </c>
    </row>
    <row r="409">
      <c r="A409" s="99"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c r="AD409">
        <f>IF(OR(T409="",Y409="",AA409=""),"",IF(AND(T409="ALTA",OR(AA409="L0 Inexistente",AA409="L1 Inicial / Ad Hoc",Y409="No Iniciado")),"CRÍTICO - Incumplimiento Normativo SEPS",IF(AND(OR(AA409="L4 Gestionado y Medible",AA409="L5 Optimizado"),AND(AC409&lt;&gt;"",AC409&lt;&gt;"N/A")),"CONFORME - Control Efectivo ISO 27001","OBSERVACIÓN - Revisar Controles")))</f>
        <v/>
      </c>
    </row>
    <row r="410">
      <c r="A410" s="99"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c r="AD410">
        <f>IF(OR(T410="",Y410="",AA410=""),"",IF(AND(T410="ALTA",OR(AA410="L0 Inexistente",AA410="L1 Inicial / Ad Hoc",Y410="No Iniciado")),"CRÍTICO - Incumplimiento Normativo SEPS",IF(AND(OR(AA410="L4 Gestionado y Medible",AA410="L5 Optimizado"),AND(AC410&lt;&gt;"",AC410&lt;&gt;"N/A")),"CONFORME - Control Efectivo ISO 27001","OBSERVACIÓN - Revisar Controles")))</f>
        <v/>
      </c>
    </row>
    <row r="411">
      <c r="A411" s="99"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c r="AD411">
        <f>IF(OR(T411="",Y411="",AA411=""),"",IF(AND(T411="ALTA",OR(AA411="L0 Inexistente",AA411="L1 Inicial / Ad Hoc",Y411="No Iniciado")),"CRÍTICO - Incumplimiento Normativo SEPS",IF(AND(OR(AA411="L4 Gestionado y Medible",AA411="L5 Optimizado"),AND(AC411&lt;&gt;"",AC411&lt;&gt;"N/A")),"CONFORME - Control Efectivo ISO 27001","OBSERVACIÓN - Revisar Controles")))</f>
        <v/>
      </c>
    </row>
    <row r="412">
      <c r="A412" s="99"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c r="AD412">
        <f>IF(OR(T412="",Y412="",AA412=""),"",IF(AND(T412="ALTA",OR(AA412="L0 Inexistente",AA412="L1 Inicial / Ad Hoc",Y412="No Iniciado")),"CRÍTICO - Incumplimiento Normativo SEPS",IF(AND(OR(AA412="L4 Gestionado y Medible",AA412="L5 Optimizado"),AND(AC412&lt;&gt;"",AC412&lt;&gt;"N/A")),"CONFORME - Control Efectivo ISO 27001","OBSERVACIÓN - Revisar Controles")))</f>
        <v/>
      </c>
    </row>
    <row r="413">
      <c r="A413" s="99"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c r="AD413">
        <f>IF(OR(T413="",Y413="",AA413=""),"",IF(AND(T413="ALTA",OR(AA413="L0 Inexistente",AA413="L1 Inicial / Ad Hoc",Y413="No Iniciado")),"CRÍTICO - Incumplimiento Normativo SEPS",IF(AND(OR(AA413="L4 Gestionado y Medible",AA413="L5 Optimizado"),AND(AC413&lt;&gt;"",AC413&lt;&gt;"N/A")),"CONFORME - Control Efectivo ISO 27001","OBSERVACIÓN - Revisar Controles")))</f>
        <v/>
      </c>
    </row>
    <row r="414">
      <c r="A414" s="99"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c r="AD414">
        <f>IF(OR(T414="",Y414="",AA414=""),"",IF(AND(T414="ALTA",OR(AA414="L0 Inexistente",AA414="L1 Inicial / Ad Hoc",Y414="No Iniciado")),"CRÍTICO - Incumplimiento Normativo SEPS",IF(AND(OR(AA414="L4 Gestionado y Medible",AA414="L5 Optimizado"),AND(AC414&lt;&gt;"",AC414&lt;&gt;"N/A")),"CONFORME - Control Efectivo ISO 27001","OBSERVACIÓN - Revisar Controles")))</f>
        <v/>
      </c>
    </row>
    <row r="415">
      <c r="A415" s="99"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c r="AD415">
        <f>IF(OR(T415="",Y415="",AA415=""),"",IF(AND(T415="ALTA",OR(AA415="L0 Inexistente",AA415="L1 Inicial / Ad Hoc",Y415="No Iniciado")),"CRÍTICO - Incumplimiento Normativo SEPS",IF(AND(OR(AA415="L4 Gestionado y Medible",AA415="L5 Optimizado"),AND(AC415&lt;&gt;"",AC415&lt;&gt;"N/A")),"CONFORME - Control Efectivo ISO 27001","OBSERVACIÓN - Revisar Controles")))</f>
        <v/>
      </c>
    </row>
    <row r="416">
      <c r="A416" s="99"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c r="AD416">
        <f>IF(OR(T416="",Y416="",AA416=""),"",IF(AND(T416="ALTA",OR(AA416="L0 Inexistente",AA416="L1 Inicial / Ad Hoc",Y416="No Iniciado")),"CRÍTICO - Incumplimiento Normativo SEPS",IF(AND(OR(AA416="L4 Gestionado y Medible",AA416="L5 Optimizado"),AND(AC416&lt;&gt;"",AC416&lt;&gt;"N/A")),"CONFORME - Control Efectivo ISO 27001","OBSERVACIÓN - Revisar Controles")))</f>
        <v/>
      </c>
    </row>
    <row r="417">
      <c r="A417" s="99"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c r="AD417">
        <f>IF(OR(T417="",Y417="",AA417=""),"",IF(AND(T417="ALTA",OR(AA417="L0 Inexistente",AA417="L1 Inicial / Ad Hoc",Y417="No Iniciado")),"CRÍTICO - Incumplimiento Normativo SEPS",IF(AND(OR(AA417="L4 Gestionado y Medible",AA417="L5 Optimizado"),AND(AC417&lt;&gt;"",AC417&lt;&gt;"N/A")),"CONFORME - Control Efectivo ISO 27001","OBSERVACIÓN - Revisar Controles")))</f>
        <v/>
      </c>
    </row>
    <row r="418">
      <c r="A418" s="99"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c r="AD418">
        <f>IF(OR(T418="",Y418="",AA418=""),"",IF(AND(T418="ALTA",OR(AA418="L0 Inexistente",AA418="L1 Inicial / Ad Hoc",Y418="No Iniciado")),"CRÍTICO - Incumplimiento Normativo SEPS",IF(AND(OR(AA418="L4 Gestionado y Medible",AA418="L5 Optimizado"),AND(AC418&lt;&gt;"",AC418&lt;&gt;"N/A")),"CONFORME - Control Efectivo ISO 27001","OBSERVACIÓN - Revisar Controles")))</f>
        <v/>
      </c>
    </row>
    <row r="419">
      <c r="A419" s="99"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c r="AD419">
        <f>IF(OR(T419="",Y419="",AA419=""),"",IF(AND(T419="ALTA",OR(AA419="L0 Inexistente",AA419="L1 Inicial / Ad Hoc",Y419="No Iniciado")),"CRÍTICO - Incumplimiento Normativo SEPS",IF(AND(OR(AA419="L4 Gestionado y Medible",AA419="L5 Optimizado"),AND(AC419&lt;&gt;"",AC419&lt;&gt;"N/A")),"CONFORME - Control Efectivo ISO 27001","OBSERVACIÓN - Revisar Controles")))</f>
        <v/>
      </c>
    </row>
    <row r="420">
      <c r="A420" s="99"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c r="AD420">
        <f>IF(OR(T420="",Y420="",AA420=""),"",IF(AND(T420="ALTA",OR(AA420="L0 Inexistente",AA420="L1 Inicial / Ad Hoc",Y420="No Iniciado")),"CRÍTICO - Incumplimiento Normativo SEPS",IF(AND(OR(AA420="L4 Gestionado y Medible",AA420="L5 Optimizado"),AND(AC420&lt;&gt;"",AC420&lt;&gt;"N/A")),"CONFORME - Control Efectivo ISO 27001","OBSERVACIÓN - Revisar Controles")))</f>
        <v/>
      </c>
    </row>
    <row r="421">
      <c r="A421" s="99"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c r="AD421">
        <f>IF(OR(T421="",Y421="",AA421=""),"",IF(AND(T421="ALTA",OR(AA421="L0 Inexistente",AA421="L1 Inicial / Ad Hoc",Y421="No Iniciado")),"CRÍTICO - Incumplimiento Normativo SEPS",IF(AND(OR(AA421="L4 Gestionado y Medible",AA421="L5 Optimizado"),AND(AC421&lt;&gt;"",AC421&lt;&gt;"N/A")),"CONFORME - Control Efectivo ISO 27001","OBSERVACIÓN - Revisar Controles")))</f>
        <v/>
      </c>
    </row>
    <row r="422">
      <c r="A422" s="99"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c r="AD422">
        <f>IF(OR(T422="",Y422="",AA422=""),"",IF(AND(T422="ALTA",OR(AA422="L0 Inexistente",AA422="L1 Inicial / Ad Hoc",Y422="No Iniciado")),"CRÍTICO - Incumplimiento Normativo SEPS",IF(AND(OR(AA422="L4 Gestionado y Medible",AA422="L5 Optimizado"),AND(AC422&lt;&gt;"",AC422&lt;&gt;"N/A")),"CONFORME - Control Efectivo ISO 27001","OBSERVACIÓN - Revisar Controles")))</f>
        <v/>
      </c>
    </row>
    <row r="423">
      <c r="A423" s="99"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c r="AD423">
        <f>IF(OR(T423="",Y423="",AA423=""),"",IF(AND(T423="ALTA",OR(AA423="L0 Inexistente",AA423="L1 Inicial / Ad Hoc",Y423="No Iniciado")),"CRÍTICO - Incumplimiento Normativo SEPS",IF(AND(OR(AA423="L4 Gestionado y Medible",AA423="L5 Optimizado"),AND(AC423&lt;&gt;"",AC423&lt;&gt;"N/A")),"CONFORME - Control Efectivo ISO 27001","OBSERVACIÓN - Revisar Controles")))</f>
        <v/>
      </c>
    </row>
    <row r="424">
      <c r="A424" s="99"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c r="AD424">
        <f>IF(OR(T424="",Y424="",AA424=""),"",IF(AND(T424="ALTA",OR(AA424="L0 Inexistente",AA424="L1 Inicial / Ad Hoc",Y424="No Iniciado")),"CRÍTICO - Incumplimiento Normativo SEPS",IF(AND(OR(AA424="L4 Gestionado y Medible",AA424="L5 Optimizado"),AND(AC424&lt;&gt;"",AC424&lt;&gt;"N/A")),"CONFORME - Control Efectivo ISO 27001","OBSERVACIÓN - Revisar Controles")))</f>
        <v/>
      </c>
    </row>
    <row r="425">
      <c r="A425" s="99"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c r="AD425">
        <f>IF(OR(T425="",Y425="",AA425=""),"",IF(AND(T425="ALTA",OR(AA425="L0 Inexistente",AA425="L1 Inicial / Ad Hoc",Y425="No Iniciado")),"CRÍTICO - Incumplimiento Normativo SEPS",IF(AND(OR(AA425="L4 Gestionado y Medible",AA425="L5 Optimizado"),AND(AC425&lt;&gt;"",AC425&lt;&gt;"N/A")),"CONFORME - Control Efectivo ISO 27001","OBSERVACIÓN - Revisar Controles")))</f>
        <v/>
      </c>
    </row>
    <row r="426">
      <c r="A426" s="99"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c r="AD426">
        <f>IF(OR(T426="",Y426="",AA426=""),"",IF(AND(T426="ALTA",OR(AA426="L0 Inexistente",AA426="L1 Inicial / Ad Hoc",Y426="No Iniciado")),"CRÍTICO - Incumplimiento Normativo SEPS",IF(AND(OR(AA426="L4 Gestionado y Medible",AA426="L5 Optimizado"),AND(AC426&lt;&gt;"",AC426&lt;&gt;"N/A")),"CONFORME - Control Efectivo ISO 27001","OBSERVACIÓN - Revisar Controles")))</f>
        <v/>
      </c>
    </row>
    <row r="427">
      <c r="A427" s="99"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c r="AD427">
        <f>IF(OR(T427="",Y427="",AA427=""),"",IF(AND(T427="ALTA",OR(AA427="L0 Inexistente",AA427="L1 Inicial / Ad Hoc",Y427="No Iniciado")),"CRÍTICO - Incumplimiento Normativo SEPS",IF(AND(OR(AA427="L4 Gestionado y Medible",AA427="L5 Optimizado"),AND(AC427&lt;&gt;"",AC427&lt;&gt;"N/A")),"CONFORME - Control Efectivo ISO 27001","OBSERVACIÓN - Revisar Controles")))</f>
        <v/>
      </c>
    </row>
    <row r="428">
      <c r="A428" s="99"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c r="AD428">
        <f>IF(OR(T428="",Y428="",AA428=""),"",IF(AND(T428="ALTA",OR(AA428="L0 Inexistente",AA428="L1 Inicial / Ad Hoc",Y428="No Iniciado")),"CRÍTICO - Incumplimiento Normativo SEPS",IF(AND(OR(AA428="L4 Gestionado y Medible",AA428="L5 Optimizado"),AND(AC428&lt;&gt;"",AC428&lt;&gt;"N/A")),"CONFORME - Control Efectivo ISO 27001","OBSERVACIÓN - Revisar Controles")))</f>
        <v/>
      </c>
    </row>
    <row r="429">
      <c r="A429" s="99"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c r="AD429">
        <f>IF(OR(T429="",Y429="",AA429=""),"",IF(AND(T429="ALTA",OR(AA429="L0 Inexistente",AA429="L1 Inicial / Ad Hoc",Y429="No Iniciado")),"CRÍTICO - Incumplimiento Normativo SEPS",IF(AND(OR(AA429="L4 Gestionado y Medible",AA429="L5 Optimizado"),AND(AC429&lt;&gt;"",AC429&lt;&gt;"N/A")),"CONFORME - Control Efectivo ISO 27001","OBSERVACIÓN - Revisar Controles")))</f>
        <v/>
      </c>
    </row>
    <row r="430">
      <c r="A430" s="99"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c r="AD430">
        <f>IF(OR(T430="",Y430="",AA430=""),"",IF(AND(T430="ALTA",OR(AA430="L0 Inexistente",AA430="L1 Inicial / Ad Hoc",Y430="No Iniciado")),"CRÍTICO - Incumplimiento Normativo SEPS",IF(AND(OR(AA430="L4 Gestionado y Medible",AA430="L5 Optimizado"),AND(AC430&lt;&gt;"",AC430&lt;&gt;"N/A")),"CONFORME - Control Efectivo ISO 27001","OBSERVACIÓN - Revisar Controles")))</f>
        <v/>
      </c>
    </row>
    <row r="431">
      <c r="A431" s="99"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c r="AD431">
        <f>IF(OR(T431="",Y431="",AA431=""),"",IF(AND(T431="ALTA",OR(AA431="L0 Inexistente",AA431="L1 Inicial / Ad Hoc",Y431="No Iniciado")),"CRÍTICO - Incumplimiento Normativo SEPS",IF(AND(OR(AA431="L4 Gestionado y Medible",AA431="L5 Optimizado"),AND(AC431&lt;&gt;"",AC431&lt;&gt;"N/A")),"CONFORME - Control Efectivo ISO 27001","OBSERVACIÓN - Revisar Controles")))</f>
        <v/>
      </c>
    </row>
    <row r="432">
      <c r="A432" s="99"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c r="AD432">
        <f>IF(OR(T432="",Y432="",AA432=""),"",IF(AND(T432="ALTA",OR(AA432="L0 Inexistente",AA432="L1 Inicial / Ad Hoc",Y432="No Iniciado")),"CRÍTICO - Incumplimiento Normativo SEPS",IF(AND(OR(AA432="L4 Gestionado y Medible",AA432="L5 Optimizado"),AND(AC432&lt;&gt;"",AC432&lt;&gt;"N/A")),"CONFORME - Control Efectivo ISO 27001","OBSERVACIÓN - Revisar Controles")))</f>
        <v/>
      </c>
    </row>
    <row r="433">
      <c r="A433" s="99"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c r="AD433">
        <f>IF(OR(T433="",Y433="",AA433=""),"",IF(AND(T433="ALTA",OR(AA433="L0 Inexistente",AA433="L1 Inicial / Ad Hoc",Y433="No Iniciado")),"CRÍTICO - Incumplimiento Normativo SEPS",IF(AND(OR(AA433="L4 Gestionado y Medible",AA433="L5 Optimizado"),AND(AC433&lt;&gt;"",AC433&lt;&gt;"N/A")),"CONFORME - Control Efectivo ISO 27001","OBSERVACIÓN - Revisar Controles")))</f>
        <v/>
      </c>
    </row>
    <row r="434">
      <c r="A434" s="99"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c r="AD434">
        <f>IF(OR(T434="",Y434="",AA434=""),"",IF(AND(T434="ALTA",OR(AA434="L0 Inexistente",AA434="L1 Inicial / Ad Hoc",Y434="No Iniciado")),"CRÍTICO - Incumplimiento Normativo SEPS",IF(AND(OR(AA434="L4 Gestionado y Medible",AA434="L5 Optimizado"),AND(AC434&lt;&gt;"",AC434&lt;&gt;"N/A")),"CONFORME - Control Efectivo ISO 27001","OBSERVACIÓN - Revisar Controles")))</f>
        <v/>
      </c>
    </row>
    <row r="435">
      <c r="A435" s="99"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c r="AD435">
        <f>IF(OR(T435="",Y435="",AA435=""),"",IF(AND(T435="ALTA",OR(AA435="L0 Inexistente",AA435="L1 Inicial / Ad Hoc",Y435="No Iniciado")),"CRÍTICO - Incumplimiento Normativo SEPS",IF(AND(OR(AA435="L4 Gestionado y Medible",AA435="L5 Optimizado"),AND(AC435&lt;&gt;"",AC435&lt;&gt;"N/A")),"CONFORME - Control Efectivo ISO 27001","OBSERVACIÓN - Revisar Controles")))</f>
        <v/>
      </c>
    </row>
    <row r="436">
      <c r="A436" s="99"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c r="AD436">
        <f>IF(OR(T436="",Y436="",AA436=""),"",IF(AND(T436="ALTA",OR(AA436="L0 Inexistente",AA436="L1 Inicial / Ad Hoc",Y436="No Iniciado")),"CRÍTICO - Incumplimiento Normativo SEPS",IF(AND(OR(AA436="L4 Gestionado y Medible",AA436="L5 Optimizado"),AND(AC436&lt;&gt;"",AC436&lt;&gt;"N/A")),"CONFORME - Control Efectivo ISO 27001","OBSERVACIÓN - Revisar Controles")))</f>
        <v/>
      </c>
    </row>
    <row r="437" ht="30.6" customHeight="1" s="106">
      <c r="A437" s="99"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c r="AD437">
        <f>IF(OR(T437="",Y437="",AA437=""),"",IF(AND(T437="ALTA",OR(AA437="L0 Inexistente",AA437="L1 Inicial / Ad Hoc",Y437="No Iniciado")),"CRÍTICO - Incumplimiento Normativo SEPS",IF(AND(OR(AA437="L4 Gestionado y Medible",AA437="L5 Optimizado"),AND(AC437&lt;&gt;"",AC437&lt;&gt;"N/A")),"CONFORME - Control Efectivo ISO 27001","OBSERVACIÓN - Revisar Controles")))</f>
        <v/>
      </c>
    </row>
    <row r="438">
      <c r="A438" s="99"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c r="AD438">
        <f>IF(OR(T438="",Y438="",AA438=""),"",IF(AND(T438="ALTA",OR(AA438="L0 Inexistente",AA438="L1 Inicial / Ad Hoc",Y438="No Iniciado")),"CRÍTICO - Incumplimiento Normativo SEPS",IF(AND(OR(AA438="L4 Gestionado y Medible",AA438="L5 Optimizado"),AND(AC438&lt;&gt;"",AC438&lt;&gt;"N/A")),"CONFORME - Control Efectivo ISO 27001","OBSERVACIÓN - Revisar Controles")))</f>
        <v/>
      </c>
    </row>
    <row r="439">
      <c r="A439" s="99"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c r="AD439">
        <f>IF(OR(T439="",Y439="",AA439=""),"",IF(AND(T439="ALTA",OR(AA439="L0 Inexistente",AA439="L1 Inicial / Ad Hoc",Y439="No Iniciado")),"CRÍTICO - Incumplimiento Normativo SEPS",IF(AND(OR(AA439="L4 Gestionado y Medible",AA439="L5 Optimizado"),AND(AC439&lt;&gt;"",AC439&lt;&gt;"N/A")),"CONFORME - Control Efectivo ISO 27001","OBSERVACIÓN - Revisar Controles")))</f>
        <v/>
      </c>
    </row>
    <row r="440">
      <c r="A440" s="99"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c r="AD440">
        <f>IF(OR(T440="",Y440="",AA440=""),"",IF(AND(T440="ALTA",OR(AA440="L0 Inexistente",AA440="L1 Inicial / Ad Hoc",Y440="No Iniciado")),"CRÍTICO - Incumplimiento Normativo SEPS",IF(AND(OR(AA440="L4 Gestionado y Medible",AA440="L5 Optimizado"),AND(AC440&lt;&gt;"",AC440&lt;&gt;"N/A")),"CONFORME - Control Efectivo ISO 27001","OBSERVACIÓN - Revisar Controles")))</f>
        <v/>
      </c>
    </row>
    <row r="441">
      <c r="A441" s="99"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c r="AD441">
        <f>IF(OR(T441="",Y441="",AA441=""),"",IF(AND(T441="ALTA",OR(AA441="L0 Inexistente",AA441="L1 Inicial / Ad Hoc",Y441="No Iniciado")),"CRÍTICO - Incumplimiento Normativo SEPS",IF(AND(OR(AA441="L4 Gestionado y Medible",AA441="L5 Optimizado"),AND(AC441&lt;&gt;"",AC441&lt;&gt;"N/A")),"CONFORME - Control Efectivo ISO 27001","OBSERVACIÓN - Revisar Controles")))</f>
        <v/>
      </c>
    </row>
    <row r="442">
      <c r="A442" s="99"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c r="AD442">
        <f>IF(OR(T442="",Y442="",AA442=""),"",IF(AND(T442="ALTA",OR(AA442="L0 Inexistente",AA442="L1 Inicial / Ad Hoc",Y442="No Iniciado")),"CRÍTICO - Incumplimiento Normativo SEPS",IF(AND(OR(AA442="L4 Gestionado y Medible",AA442="L5 Optimizado"),AND(AC442&lt;&gt;"",AC442&lt;&gt;"N/A")),"CONFORME - Control Efectivo ISO 27001","OBSERVACIÓN - Revisar Controles")))</f>
        <v/>
      </c>
    </row>
    <row r="443">
      <c r="A443" s="99"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c r="AD443">
        <f>IF(OR(T443="",Y443="",AA443=""),"",IF(AND(T443="ALTA",OR(AA443="L0 Inexistente",AA443="L1 Inicial / Ad Hoc",Y443="No Iniciado")),"CRÍTICO - Incumplimiento Normativo SEPS",IF(AND(OR(AA443="L4 Gestionado y Medible",AA443="L5 Optimizado"),AND(AC443&lt;&gt;"",AC443&lt;&gt;"N/A")),"CONFORME - Control Efectivo ISO 27001","OBSERVACIÓN - Revisar Controles")))</f>
        <v/>
      </c>
    </row>
    <row r="444">
      <c r="A444" s="99"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c r="AD444">
        <f>IF(OR(T444="",Y444="",AA444=""),"",IF(AND(T444="ALTA",OR(AA444="L0 Inexistente",AA444="L1 Inicial / Ad Hoc",Y444="No Iniciado")),"CRÍTICO - Incumplimiento Normativo SEPS",IF(AND(OR(AA444="L4 Gestionado y Medible",AA444="L5 Optimizado"),AND(AC444&lt;&gt;"",AC444&lt;&gt;"N/A")),"CONFORME - Control Efectivo ISO 27001","OBSERVACIÓN - Revisar Controles")))</f>
        <v/>
      </c>
    </row>
    <row r="445">
      <c r="A445" s="99"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c r="AD445">
        <f>IF(OR(T445="",Y445="",AA445=""),"",IF(AND(T445="ALTA",OR(AA445="L0 Inexistente",AA445="L1 Inicial / Ad Hoc",Y445="No Iniciado")),"CRÍTICO - Incumplimiento Normativo SEPS",IF(AND(OR(AA445="L4 Gestionado y Medible",AA445="L5 Optimizado"),AND(AC445&lt;&gt;"",AC445&lt;&gt;"N/A")),"CONFORME - Control Efectivo ISO 27001","OBSERVACIÓN - Revisar Controles")))</f>
        <v/>
      </c>
    </row>
    <row r="446" ht="30.6" customHeight="1" s="106">
      <c r="A446" s="99"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c r="AD446">
        <f>IF(OR(T446="",Y446="",AA446=""),"",IF(AND(T446="ALTA",OR(AA446="L0 Inexistente",AA446="L1 Inicial / Ad Hoc",Y446="No Iniciado")),"CRÍTICO - Incumplimiento Normativo SEPS",IF(AND(OR(AA446="L4 Gestionado y Medible",AA446="L5 Optimizado"),AND(AC446&lt;&gt;"",AC446&lt;&gt;"N/A")),"CONFORME - Control Efectivo ISO 27001","OBSERVACIÓN - Revisar Controles")))</f>
        <v/>
      </c>
    </row>
    <row r="447">
      <c r="A447" s="99"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c r="AD447">
        <f>IF(OR(T447="",Y447="",AA447=""),"",IF(AND(T447="ALTA",OR(AA447="L0 Inexistente",AA447="L1 Inicial / Ad Hoc",Y447="No Iniciado")),"CRÍTICO - Incumplimiento Normativo SEPS",IF(AND(OR(AA447="L4 Gestionado y Medible",AA447="L5 Optimizado"),AND(AC447&lt;&gt;"",AC447&lt;&gt;"N/A")),"CONFORME - Control Efectivo ISO 27001","OBSERVACIÓN - Revisar Controles")))</f>
        <v/>
      </c>
    </row>
    <row r="448">
      <c r="A448" s="99"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c r="AD448">
        <f>IF(OR(T448="",Y448="",AA448=""),"",IF(AND(T448="ALTA",OR(AA448="L0 Inexistente",AA448="L1 Inicial / Ad Hoc",Y448="No Iniciado")),"CRÍTICO - Incumplimiento Normativo SEPS",IF(AND(OR(AA448="L4 Gestionado y Medible",AA448="L5 Optimizado"),AND(AC448&lt;&gt;"",AC448&lt;&gt;"N/A")),"CONFORME - Control Efectivo ISO 27001","OBSERVACIÓN - Revisar Controles")))</f>
        <v/>
      </c>
    </row>
    <row r="449">
      <c r="A449" s="99"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c r="AD449">
        <f>IF(OR(T449="",Y449="",AA449=""),"",IF(AND(T449="ALTA",OR(AA449="L0 Inexistente",AA449="L1 Inicial / Ad Hoc",Y449="No Iniciado")),"CRÍTICO - Incumplimiento Normativo SEPS",IF(AND(OR(AA449="L4 Gestionado y Medible",AA449="L5 Optimizado"),AND(AC449&lt;&gt;"",AC449&lt;&gt;"N/A")),"CONFORME - Control Efectivo ISO 27001","OBSERVACIÓN - Revisar Controles")))</f>
        <v/>
      </c>
    </row>
    <row r="450">
      <c r="A450" s="99"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c r="AD450">
        <f>IF(OR(T450="",Y450="",AA450=""),"",IF(AND(T450="ALTA",OR(AA450="L0 Inexistente",AA450="L1 Inicial / Ad Hoc",Y450="No Iniciado")),"CRÍTICO - Incumplimiento Normativo SEPS",IF(AND(OR(AA450="L4 Gestionado y Medible",AA450="L5 Optimizado"),AND(AC450&lt;&gt;"",AC450&lt;&gt;"N/A")),"CONFORME - Control Efectivo ISO 27001","OBSERVACIÓN - Revisar Controles")))</f>
        <v/>
      </c>
    </row>
    <row r="451">
      <c r="A451" s="99"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c r="AD451">
        <f>IF(OR(T451="",Y451="",AA451=""),"",IF(AND(T451="ALTA",OR(AA451="L0 Inexistente",AA451="L1 Inicial / Ad Hoc",Y451="No Iniciado")),"CRÍTICO - Incumplimiento Normativo SEPS",IF(AND(OR(AA451="L4 Gestionado y Medible",AA451="L5 Optimizado"),AND(AC451&lt;&gt;"",AC451&lt;&gt;"N/A")),"CONFORME - Control Efectivo ISO 27001","OBSERVACIÓN - Revisar Controles")))</f>
        <v/>
      </c>
    </row>
    <row r="452">
      <c r="A452" s="99"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c r="AD452">
        <f>IF(OR(T452="",Y452="",AA452=""),"",IF(AND(T452="ALTA",OR(AA452="L0 Inexistente",AA452="L1 Inicial / Ad Hoc",Y452="No Iniciado")),"CRÍTICO - Incumplimiento Normativo SEPS",IF(AND(OR(AA452="L4 Gestionado y Medible",AA452="L5 Optimizado"),AND(AC452&lt;&gt;"",AC452&lt;&gt;"N/A")),"CONFORME - Control Efectivo ISO 27001","OBSERVACIÓN - Revisar Controles")))</f>
        <v/>
      </c>
    </row>
    <row r="453">
      <c r="A453" s="99"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c r="AD453">
        <f>IF(OR(T453="",Y453="",AA453=""),"",IF(AND(T453="ALTA",OR(AA453="L0 Inexistente",AA453="L1 Inicial / Ad Hoc",Y453="No Iniciado")),"CRÍTICO - Incumplimiento Normativo SEPS",IF(AND(OR(AA453="L4 Gestionado y Medible",AA453="L5 Optimizado"),AND(AC453&lt;&gt;"",AC453&lt;&gt;"N/A")),"CONFORME - Control Efectivo ISO 27001","OBSERVACIÓN - Revisar Controles")))</f>
        <v/>
      </c>
    </row>
    <row r="454" ht="12" customHeight="1" s="106">
      <c r="A454" s="99"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c r="AD454">
        <f>IF(OR(T454="",Y454="",AA454=""),"",IF(AND(T454="ALTA",OR(AA454="L0 Inexistente",AA454="L1 Inicial / Ad Hoc",Y454="No Iniciado")),"CRÍTICO - Incumplimiento Normativo SEPS",IF(AND(OR(AA454="L4 Gestionado y Medible",AA454="L5 Optimizado"),AND(AC454&lt;&gt;"",AC454&lt;&gt;"N/A")),"CONFORME - Control Efectivo ISO 27001","OBSERVACIÓN - Revisar Controles")))</f>
        <v/>
      </c>
    </row>
    <row r="455">
      <c r="A455" s="99"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c r="AD455">
        <f>IF(OR(T455="",Y455="",AA455=""),"",IF(AND(T455="ALTA",OR(AA455="L0 Inexistente",AA455="L1 Inicial / Ad Hoc",Y455="No Iniciado")),"CRÍTICO - Incumplimiento Normativo SEPS",IF(AND(OR(AA455="L4 Gestionado y Medible",AA455="L5 Optimizado"),AND(AC455&lt;&gt;"",AC455&lt;&gt;"N/A")),"CONFORME - Control Efectivo ISO 27001","OBSERVACIÓN - Revisar Controles")))</f>
        <v/>
      </c>
    </row>
    <row r="456">
      <c r="A456" s="99"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c r="AD456">
        <f>IF(OR(T456="",Y456="",AA456=""),"",IF(AND(T456="ALTA",OR(AA456="L0 Inexistente",AA456="L1 Inicial / Ad Hoc",Y456="No Iniciado")),"CRÍTICO - Incumplimiento Normativo SEPS",IF(AND(OR(AA456="L4 Gestionado y Medible",AA456="L5 Optimizado"),AND(AC456&lt;&gt;"",AC456&lt;&gt;"N/A")),"CONFORME - Control Efectivo ISO 27001","OBSERVACIÓN - Revisar Controles")))</f>
        <v/>
      </c>
    </row>
    <row r="457">
      <c r="A457" s="99"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c r="AD457">
        <f>IF(OR(T457="",Y457="",AA457=""),"",IF(AND(T457="ALTA",OR(AA457="L0 Inexistente",AA457="L1 Inicial / Ad Hoc",Y457="No Iniciado")),"CRÍTICO - Incumplimiento Normativo SEPS",IF(AND(OR(AA457="L4 Gestionado y Medible",AA457="L5 Optimizado"),AND(AC457&lt;&gt;"",AC457&lt;&gt;"N/A")),"CONFORME - Control Efectivo ISO 27001","OBSERVACIÓN - Revisar Controles")))</f>
        <v/>
      </c>
    </row>
    <row r="458">
      <c r="A458" s="99"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c r="AD458">
        <f>IF(OR(T458="",Y458="",AA458=""),"",IF(AND(T458="ALTA",OR(AA458="L0 Inexistente",AA458="L1 Inicial / Ad Hoc",Y458="No Iniciado")),"CRÍTICO - Incumplimiento Normativo SEPS",IF(AND(OR(AA458="L4 Gestionado y Medible",AA458="L5 Optimizado"),AND(AC458&lt;&gt;"",AC458&lt;&gt;"N/A")),"CONFORME - Control Efectivo ISO 27001","OBSERVACIÓN - Revisar Controles")))</f>
        <v/>
      </c>
    </row>
    <row r="459">
      <c r="A459" s="99"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c r="AD459">
        <f>IF(OR(T459="",Y459="",AA459=""),"",IF(AND(T459="ALTA",OR(AA459="L0 Inexistente",AA459="L1 Inicial / Ad Hoc",Y459="No Iniciado")),"CRÍTICO - Incumplimiento Normativo SEPS",IF(AND(OR(AA459="L4 Gestionado y Medible",AA459="L5 Optimizado"),AND(AC459&lt;&gt;"",AC459&lt;&gt;"N/A")),"CONFORME - Control Efectivo ISO 27001","OBSERVACIÓN - Revisar Controles")))</f>
        <v/>
      </c>
    </row>
    <row r="460">
      <c r="A460" s="99"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c r="AD460">
        <f>IF(OR(T460="",Y460="",AA460=""),"",IF(AND(T460="ALTA",OR(AA460="L0 Inexistente",AA460="L1 Inicial / Ad Hoc",Y460="No Iniciado")),"CRÍTICO - Incumplimiento Normativo SEPS",IF(AND(OR(AA460="L4 Gestionado y Medible",AA460="L5 Optimizado"),AND(AC460&lt;&gt;"",AC460&lt;&gt;"N/A")),"CONFORME - Control Efectivo ISO 27001","OBSERVACIÓN - Revisar Controles")))</f>
        <v/>
      </c>
    </row>
    <row r="461">
      <c r="A461" s="99"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c r="AD461">
        <f>IF(OR(T461="",Y461="",AA461=""),"",IF(AND(T461="ALTA",OR(AA461="L0 Inexistente",AA461="L1 Inicial / Ad Hoc",Y461="No Iniciado")),"CRÍTICO - Incumplimiento Normativo SEPS",IF(AND(OR(AA461="L4 Gestionado y Medible",AA461="L5 Optimizado"),AND(AC461&lt;&gt;"",AC461&lt;&gt;"N/A")),"CONFORME - Control Efectivo ISO 27001","OBSERVACIÓN - Revisar Controles")))</f>
        <v/>
      </c>
    </row>
    <row r="462">
      <c r="A462" s="99"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c r="AD462">
        <f>IF(OR(T462="",Y462="",AA462=""),"",IF(AND(T462="ALTA",OR(AA462="L0 Inexistente",AA462="L1 Inicial / Ad Hoc",Y462="No Iniciado")),"CRÍTICO - Incumplimiento Normativo SEPS",IF(AND(OR(AA462="L4 Gestionado y Medible",AA462="L5 Optimizado"),AND(AC462&lt;&gt;"",AC462&lt;&gt;"N/A")),"CONFORME - Control Efectivo ISO 27001","OBSERVACIÓN - Revisar Controles")))</f>
        <v/>
      </c>
    </row>
    <row r="463">
      <c r="A463" s="99"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c r="AD463">
        <f>IF(OR(T463="",Y463="",AA463=""),"",IF(AND(T463="ALTA",OR(AA463="L0 Inexistente",AA463="L1 Inicial / Ad Hoc",Y463="No Iniciado")),"CRÍTICO - Incumplimiento Normativo SEPS",IF(AND(OR(AA463="L4 Gestionado y Medible",AA463="L5 Optimizado"),AND(AC463&lt;&gt;"",AC463&lt;&gt;"N/A")),"CONFORME - Control Efectivo ISO 27001","OBSERVACIÓN - Revisar Controles")))</f>
        <v/>
      </c>
    </row>
    <row r="464">
      <c r="A464" s="99"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c r="AD464">
        <f>IF(OR(T464="",Y464="",AA464=""),"",IF(AND(T464="ALTA",OR(AA464="L0 Inexistente",AA464="L1 Inicial / Ad Hoc",Y464="No Iniciado")),"CRÍTICO - Incumplimiento Normativo SEPS",IF(AND(OR(AA464="L4 Gestionado y Medible",AA464="L5 Optimizado"),AND(AC464&lt;&gt;"",AC464&lt;&gt;"N/A")),"CONFORME - Control Efectivo ISO 27001","OBSERVACIÓN - Revisar Controles")))</f>
        <v/>
      </c>
    </row>
    <row r="465" ht="30.6" customHeight="1" s="106">
      <c r="A465" s="99"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c r="AD465">
        <f>IF(OR(T465="",Y465="",AA465=""),"",IF(AND(T465="ALTA",OR(AA465="L0 Inexistente",AA465="L1 Inicial / Ad Hoc",Y465="No Iniciado")),"CRÍTICO - Incumplimiento Normativo SEPS",IF(AND(OR(AA465="L4 Gestionado y Medible",AA465="L5 Optimizado"),AND(AC465&lt;&gt;"",AC465&lt;&gt;"N/A")),"CONFORME - Control Efectivo ISO 27001","OBSERVACIÓN - Revisar Controles")))</f>
        <v/>
      </c>
    </row>
    <row r="466">
      <c r="A466" s="99"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c r="AD466">
        <f>IF(OR(T466="",Y466="",AA466=""),"",IF(AND(T466="ALTA",OR(AA466="L0 Inexistente",AA466="L1 Inicial / Ad Hoc",Y466="No Iniciado")),"CRÍTICO - Incumplimiento Normativo SEPS",IF(AND(OR(AA466="L4 Gestionado y Medible",AA466="L5 Optimizado"),AND(AC466&lt;&gt;"",AC466&lt;&gt;"N/A")),"CONFORME - Control Efectivo ISO 27001","OBSERVACIÓN - Revisar Controles")))</f>
        <v/>
      </c>
    </row>
    <row r="467">
      <c r="A467" s="99"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c r="AD467">
        <f>IF(OR(T467="",Y467="",AA467=""),"",IF(AND(T467="ALTA",OR(AA467="L0 Inexistente",AA467="L1 Inicial / Ad Hoc",Y467="No Iniciado")),"CRÍTICO - Incumplimiento Normativo SEPS",IF(AND(OR(AA467="L4 Gestionado y Medible",AA467="L5 Optimizado"),AND(AC467&lt;&gt;"",AC467&lt;&gt;"N/A")),"CONFORME - Control Efectivo ISO 27001","OBSERVACIÓN - Revisar Controles")))</f>
        <v/>
      </c>
    </row>
    <row r="468">
      <c r="A468" s="99"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c r="AD468">
        <f>IF(OR(T468="",Y468="",AA468=""),"",IF(AND(T468="ALTA",OR(AA468="L0 Inexistente",AA468="L1 Inicial / Ad Hoc",Y468="No Iniciado")),"CRÍTICO - Incumplimiento Normativo SEPS",IF(AND(OR(AA468="L4 Gestionado y Medible",AA468="L5 Optimizado"),AND(AC468&lt;&gt;"",AC468&lt;&gt;"N/A")),"CONFORME - Control Efectivo ISO 27001","OBSERVACIÓN - Revisar Controles")))</f>
        <v/>
      </c>
    </row>
    <row r="469">
      <c r="A469" s="99"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c r="AD469">
        <f>IF(OR(T469="",Y469="",AA469=""),"",IF(AND(T469="ALTA",OR(AA469="L0 Inexistente",AA469="L1 Inicial / Ad Hoc",Y469="No Iniciado")),"CRÍTICO - Incumplimiento Normativo SEPS",IF(AND(OR(AA469="L4 Gestionado y Medible",AA469="L5 Optimizado"),AND(AC469&lt;&gt;"",AC469&lt;&gt;"N/A")),"CONFORME - Control Efectivo ISO 27001","OBSERVACIÓN - Revisar Controles")))</f>
        <v/>
      </c>
    </row>
    <row r="470">
      <c r="A470" s="99"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c r="AD470">
        <f>IF(OR(T470="",Y470="",AA470=""),"",IF(AND(T470="ALTA",OR(AA470="L0 Inexistente",AA470="L1 Inicial / Ad Hoc",Y470="No Iniciado")),"CRÍTICO - Incumplimiento Normativo SEPS",IF(AND(OR(AA470="L4 Gestionado y Medible",AA470="L5 Optimizado"),AND(AC470&lt;&gt;"",AC470&lt;&gt;"N/A")),"CONFORME - Control Efectivo ISO 27001","OBSERVACIÓN - Revisar Controles")))</f>
        <v/>
      </c>
    </row>
    <row r="471">
      <c r="A471" s="99"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c r="AD471">
        <f>IF(OR(T471="",Y471="",AA471=""),"",IF(AND(T471="ALTA",OR(AA471="L0 Inexistente",AA471="L1 Inicial / Ad Hoc",Y471="No Iniciado")),"CRÍTICO - Incumplimiento Normativo SEPS",IF(AND(OR(AA471="L4 Gestionado y Medible",AA471="L5 Optimizado"),AND(AC471&lt;&gt;"",AC471&lt;&gt;"N/A")),"CONFORME - Control Efectivo ISO 27001","OBSERVACIÓN - Revisar Controles")))</f>
        <v/>
      </c>
    </row>
    <row r="472">
      <c r="A472" s="99"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c r="AD472">
        <f>IF(OR(T472="",Y472="",AA472=""),"",IF(AND(T472="ALTA",OR(AA472="L0 Inexistente",AA472="L1 Inicial / Ad Hoc",Y472="No Iniciado")),"CRÍTICO - Incumplimiento Normativo SEPS",IF(AND(OR(AA472="L4 Gestionado y Medible",AA472="L5 Optimizado"),AND(AC472&lt;&gt;"",AC472&lt;&gt;"N/A")),"CONFORME - Control Efectivo ISO 27001","OBSERVACIÓN - Revisar Controles")))</f>
        <v/>
      </c>
    </row>
    <row r="473">
      <c r="A473" s="99"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c r="AD473">
        <f>IF(OR(T473="",Y473="",AA473=""),"",IF(AND(T473="ALTA",OR(AA473="L0 Inexistente",AA473="L1 Inicial / Ad Hoc",Y473="No Iniciado")),"CRÍTICO - Incumplimiento Normativo SEPS",IF(AND(OR(AA473="L4 Gestionado y Medible",AA473="L5 Optimizado"),AND(AC473&lt;&gt;"",AC473&lt;&gt;"N/A")),"CONFORME - Control Efectivo ISO 27001","OBSERVACIÓN - Revisar Controles")))</f>
        <v/>
      </c>
    </row>
    <row r="474">
      <c r="A474" s="99"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c r="AD474">
        <f>IF(OR(T474="",Y474="",AA474=""),"",IF(AND(T474="ALTA",OR(AA474="L0 Inexistente",AA474="L1 Inicial / Ad Hoc",Y474="No Iniciado")),"CRÍTICO - Incumplimiento Normativo SEPS",IF(AND(OR(AA474="L4 Gestionado y Medible",AA474="L5 Optimizado"),AND(AC474&lt;&gt;"",AC474&lt;&gt;"N/A")),"CONFORME - Control Efectivo ISO 27001","OBSERVACIÓN - Revisar Controles")))</f>
        <v/>
      </c>
    </row>
    <row r="475">
      <c r="A475" s="99"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c r="AD475">
        <f>IF(OR(T475="",Y475="",AA475=""),"",IF(AND(T475="ALTA",OR(AA475="L0 Inexistente",AA475="L1 Inicial / Ad Hoc",Y475="No Iniciado")),"CRÍTICO - Incumplimiento Normativo SEPS",IF(AND(OR(AA475="L4 Gestionado y Medible",AA475="L5 Optimizado"),AND(AC475&lt;&gt;"",AC475&lt;&gt;"N/A")),"CONFORME - Control Efectivo ISO 27001","OBSERVACIÓN - Revisar Controles")))</f>
        <v/>
      </c>
    </row>
    <row r="476">
      <c r="A476" s="99"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c r="AD476">
        <f>IF(OR(T476="",Y476="",AA476=""),"",IF(AND(T476="ALTA",OR(AA476="L0 Inexistente",AA476="L1 Inicial / Ad Hoc",Y476="No Iniciado")),"CRÍTICO - Incumplimiento Normativo SEPS",IF(AND(OR(AA476="L4 Gestionado y Medible",AA476="L5 Optimizado"),AND(AC476&lt;&gt;"",AC476&lt;&gt;"N/A")),"CONFORME - Control Efectivo ISO 27001","OBSERVACIÓN - Revisar Controles")))</f>
        <v/>
      </c>
    </row>
    <row r="477">
      <c r="A477" s="99"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c r="AD477">
        <f>IF(OR(T477="",Y477="",AA477=""),"",IF(AND(T477="ALTA",OR(AA477="L0 Inexistente",AA477="L1 Inicial / Ad Hoc",Y477="No Iniciado")),"CRÍTICO - Incumplimiento Normativo SEPS",IF(AND(OR(AA477="L4 Gestionado y Medible",AA477="L5 Optimizado"),AND(AC477&lt;&gt;"",AC477&lt;&gt;"N/A")),"CONFORME - Control Efectivo ISO 27001","OBSERVACIÓN - Revisar Controles")))</f>
        <v/>
      </c>
    </row>
    <row r="478">
      <c r="A478" s="99"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c r="AD478">
        <f>IF(OR(T478="",Y478="",AA478=""),"",IF(AND(T478="ALTA",OR(AA478="L0 Inexistente",AA478="L1 Inicial / Ad Hoc",Y478="No Iniciado")),"CRÍTICO - Incumplimiento Normativo SEPS",IF(AND(OR(AA478="L4 Gestionado y Medible",AA478="L5 Optimizado"),AND(AC478&lt;&gt;"",AC478&lt;&gt;"N/A")),"CONFORME - Control Efectivo ISO 27001","OBSERVACIÓN - Revisar Controles")))</f>
        <v/>
      </c>
    </row>
    <row r="479">
      <c r="A479" s="99"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c r="AD479">
        <f>IF(OR(T479="",Y479="",AA479=""),"",IF(AND(T479="ALTA",OR(AA479="L0 Inexistente",AA479="L1 Inicial / Ad Hoc",Y479="No Iniciado")),"CRÍTICO - Incumplimiento Normativo SEPS",IF(AND(OR(AA479="L4 Gestionado y Medible",AA479="L5 Optimizado"),AND(AC479&lt;&gt;"",AC479&lt;&gt;"N/A")),"CONFORME - Control Efectivo ISO 27001","OBSERVACIÓN - Revisar Controles")))</f>
        <v/>
      </c>
    </row>
    <row r="480">
      <c r="A480" s="99"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c r="AD480">
        <f>IF(OR(T480="",Y480="",AA480=""),"",IF(AND(T480="ALTA",OR(AA480="L0 Inexistente",AA480="L1 Inicial / Ad Hoc",Y480="No Iniciado")),"CRÍTICO - Incumplimiento Normativo SEPS",IF(AND(OR(AA480="L4 Gestionado y Medible",AA480="L5 Optimizado"),AND(AC480&lt;&gt;"",AC480&lt;&gt;"N/A")),"CONFORME - Control Efectivo ISO 27001","OBSERVACIÓN - Revisar Controles")))</f>
        <v/>
      </c>
    </row>
    <row r="481">
      <c r="A481" s="99"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c r="AD481">
        <f>IF(OR(T481="",Y481="",AA481=""),"",IF(AND(T481="ALTA",OR(AA481="L0 Inexistente",AA481="L1 Inicial / Ad Hoc",Y481="No Iniciado")),"CRÍTICO - Incumplimiento Normativo SEPS",IF(AND(OR(AA481="L4 Gestionado y Medible",AA481="L5 Optimizado"),AND(AC481&lt;&gt;"",AC481&lt;&gt;"N/A")),"CONFORME - Control Efectivo ISO 27001","OBSERVACIÓN - Revisar Controles")))</f>
        <v/>
      </c>
    </row>
    <row r="482">
      <c r="A482" s="99"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c r="AD482">
        <f>IF(OR(T482="",Y482="",AA482=""),"",IF(AND(T482="ALTA",OR(AA482="L0 Inexistente",AA482="L1 Inicial / Ad Hoc",Y482="No Iniciado")),"CRÍTICO - Incumplimiento Normativo SEPS",IF(AND(OR(AA482="L4 Gestionado y Medible",AA482="L5 Optimizado"),AND(AC482&lt;&gt;"",AC482&lt;&gt;"N/A")),"CONFORME - Control Efectivo ISO 27001","OBSERVACIÓN - Revisar Controles")))</f>
        <v/>
      </c>
    </row>
    <row r="483">
      <c r="A483" s="99"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c r="AD483">
        <f>IF(OR(T483="",Y483="",AA483=""),"",IF(AND(T483="ALTA",OR(AA483="L0 Inexistente",AA483="L1 Inicial / Ad Hoc",Y483="No Iniciado")),"CRÍTICO - Incumplimiento Normativo SEPS",IF(AND(OR(AA483="L4 Gestionado y Medible",AA483="L5 Optimizado"),AND(AC483&lt;&gt;"",AC483&lt;&gt;"N/A")),"CONFORME - Control Efectivo ISO 27001","OBSERVACIÓN - Revisar Controles")))</f>
        <v/>
      </c>
    </row>
    <row r="484">
      <c r="A484" s="99"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c r="AD484">
        <f>IF(OR(T484="",Y484="",AA484=""),"",IF(AND(T484="ALTA",OR(AA484="L0 Inexistente",AA484="L1 Inicial / Ad Hoc",Y484="No Iniciado")),"CRÍTICO - Incumplimiento Normativo SEPS",IF(AND(OR(AA484="L4 Gestionado y Medible",AA484="L5 Optimizado"),AND(AC484&lt;&gt;"",AC484&lt;&gt;"N/A")),"CONFORME - Control Efectivo ISO 27001","OBSERVACIÓN - Revisar Controles")))</f>
        <v/>
      </c>
    </row>
    <row r="485">
      <c r="A485" s="99"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c r="AD485">
        <f>IF(OR(T485="",Y485="",AA485=""),"",IF(AND(T485="ALTA",OR(AA485="L0 Inexistente",AA485="L1 Inicial / Ad Hoc",Y485="No Iniciado")),"CRÍTICO - Incumplimiento Normativo SEPS",IF(AND(OR(AA485="L4 Gestionado y Medible",AA485="L5 Optimizado"),AND(AC485&lt;&gt;"",AC485&lt;&gt;"N/A")),"CONFORME - Control Efectivo ISO 27001","OBSERVACIÓN - Revisar Controles")))</f>
        <v/>
      </c>
    </row>
    <row r="486">
      <c r="A486" s="99"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c r="AD486">
        <f>IF(OR(T486="",Y486="",AA486=""),"",IF(AND(T486="ALTA",OR(AA486="L0 Inexistente",AA486="L1 Inicial / Ad Hoc",Y486="No Iniciado")),"CRÍTICO - Incumplimiento Normativo SEPS",IF(AND(OR(AA486="L4 Gestionado y Medible",AA486="L5 Optimizado"),AND(AC486&lt;&gt;"",AC486&lt;&gt;"N/A")),"CONFORME - Control Efectivo ISO 27001","OBSERVACIÓN - Revisar Controles")))</f>
        <v/>
      </c>
    </row>
    <row r="487">
      <c r="A487" s="99"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c r="AD487">
        <f>IF(OR(T487="",Y487="",AA487=""),"",IF(AND(T487="ALTA",OR(AA487="L0 Inexistente",AA487="L1 Inicial / Ad Hoc",Y487="No Iniciado")),"CRÍTICO - Incumplimiento Normativo SEPS",IF(AND(OR(AA487="L4 Gestionado y Medible",AA487="L5 Optimizado"),AND(AC487&lt;&gt;"",AC487&lt;&gt;"N/A")),"CONFORME - Control Efectivo ISO 27001","OBSERVACIÓN - Revisar Controles")))</f>
        <v/>
      </c>
    </row>
    <row r="488">
      <c r="A488" s="99"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c r="AD488">
        <f>IF(OR(T488="",Y488="",AA488=""),"",IF(AND(T488="ALTA",OR(AA488="L0 Inexistente",AA488="L1 Inicial / Ad Hoc",Y488="No Iniciado")),"CRÍTICO - Incumplimiento Normativo SEPS",IF(AND(OR(AA488="L4 Gestionado y Medible",AA488="L5 Optimizado"),AND(AC488&lt;&gt;"",AC488&lt;&gt;"N/A")),"CONFORME - Control Efectivo ISO 27001","OBSERVACIÓN - Revisar Controles")))</f>
        <v/>
      </c>
    </row>
    <row r="489">
      <c r="A489" s="99"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c r="AD489">
        <f>IF(OR(T489="",Y489="",AA489=""),"",IF(AND(T489="ALTA",OR(AA489="L0 Inexistente",AA489="L1 Inicial / Ad Hoc",Y489="No Iniciado")),"CRÍTICO - Incumplimiento Normativo SEPS",IF(AND(OR(AA489="L4 Gestionado y Medible",AA489="L5 Optimizado"),AND(AC489&lt;&gt;"",AC489&lt;&gt;"N/A")),"CONFORME - Control Efectivo ISO 27001","OBSERVACIÓN - Revisar Controles")))</f>
        <v/>
      </c>
    </row>
    <row r="490">
      <c r="A490" s="99"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c r="AD490">
        <f>IF(OR(T490="",Y490="",AA490=""),"",IF(AND(T490="ALTA",OR(AA490="L0 Inexistente",AA490="L1 Inicial / Ad Hoc",Y490="No Iniciado")),"CRÍTICO - Incumplimiento Normativo SEPS",IF(AND(OR(AA490="L4 Gestionado y Medible",AA490="L5 Optimizado"),AND(AC490&lt;&gt;"",AC490&lt;&gt;"N/A")),"CONFORME - Control Efectivo ISO 27001","OBSERVACIÓN - Revisar Controles")))</f>
        <v/>
      </c>
    </row>
    <row r="491">
      <c r="A491" s="99"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c r="AD491">
        <f>IF(OR(T491="",Y491="",AA491=""),"",IF(AND(T491="ALTA",OR(AA491="L0 Inexistente",AA491="L1 Inicial / Ad Hoc",Y491="No Iniciado")),"CRÍTICO - Incumplimiento Normativo SEPS",IF(AND(OR(AA491="L4 Gestionado y Medible",AA491="L5 Optimizado"),AND(AC491&lt;&gt;"",AC491&lt;&gt;"N/A")),"CONFORME - Control Efectivo ISO 27001","OBSERVACIÓN - Revisar Controles")))</f>
        <v/>
      </c>
    </row>
    <row r="492">
      <c r="A492" s="99"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c r="AD492">
        <f>IF(OR(T492="",Y492="",AA492=""),"",IF(AND(T492="ALTA",OR(AA492="L0 Inexistente",AA492="L1 Inicial / Ad Hoc",Y492="No Iniciado")),"CRÍTICO - Incumplimiento Normativo SEPS",IF(AND(OR(AA492="L4 Gestionado y Medible",AA492="L5 Optimizado"),AND(AC492&lt;&gt;"",AC492&lt;&gt;"N/A")),"CONFORME - Control Efectivo ISO 27001","OBSERVACIÓN - Revisar Controles")))</f>
        <v/>
      </c>
    </row>
    <row r="493">
      <c r="A493" s="99"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c r="AD493">
        <f>IF(OR(T493="",Y493="",AA493=""),"",IF(AND(T493="ALTA",OR(AA493="L0 Inexistente",AA493="L1 Inicial / Ad Hoc",Y493="No Iniciado")),"CRÍTICO - Incumplimiento Normativo SEPS",IF(AND(OR(AA493="L4 Gestionado y Medible",AA493="L5 Optimizado"),AND(AC493&lt;&gt;"",AC493&lt;&gt;"N/A")),"CONFORME - Control Efectivo ISO 27001","OBSERVACIÓN - Revisar Controles")))</f>
        <v/>
      </c>
    </row>
    <row r="494">
      <c r="A494" s="99"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c r="AD494">
        <f>IF(OR(T494="",Y494="",AA494=""),"",IF(AND(T494="ALTA",OR(AA494="L0 Inexistente",AA494="L1 Inicial / Ad Hoc",Y494="No Iniciado")),"CRÍTICO - Incumplimiento Normativo SEPS",IF(AND(OR(AA494="L4 Gestionado y Medible",AA494="L5 Optimizado"),AND(AC494&lt;&gt;"",AC494&lt;&gt;"N/A")),"CONFORME - Control Efectivo ISO 27001","OBSERVACIÓN - Revisar Controles")))</f>
        <v/>
      </c>
    </row>
    <row r="495">
      <c r="A495" s="99"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c r="AD495">
        <f>IF(OR(T495="",Y495="",AA495=""),"",IF(AND(T495="ALTA",OR(AA495="L0 Inexistente",AA495="L1 Inicial / Ad Hoc",Y495="No Iniciado")),"CRÍTICO - Incumplimiento Normativo SEPS",IF(AND(OR(AA495="L4 Gestionado y Medible",AA495="L5 Optimizado"),AND(AC495&lt;&gt;"",AC495&lt;&gt;"N/A")),"CONFORME - Control Efectivo ISO 27001","OBSERVACIÓN - Revisar Controles")))</f>
        <v/>
      </c>
    </row>
    <row r="496">
      <c r="A496" s="99"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c r="AD496">
        <f>IF(OR(T496="",Y496="",AA496=""),"",IF(AND(T496="ALTA",OR(AA496="L0 Inexistente",AA496="L1 Inicial / Ad Hoc",Y496="No Iniciado")),"CRÍTICO - Incumplimiento Normativo SEPS",IF(AND(OR(AA496="L4 Gestionado y Medible",AA496="L5 Optimizado"),AND(AC496&lt;&gt;"",AC496&lt;&gt;"N/A")),"CONFORME - Control Efectivo ISO 27001","OBSERVACIÓN - Revisar Controles")))</f>
        <v/>
      </c>
    </row>
    <row r="497">
      <c r="A497" s="99"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c r="AD497">
        <f>IF(OR(T497="",Y497="",AA497=""),"",IF(AND(T497="ALTA",OR(AA497="L0 Inexistente",AA497="L1 Inicial / Ad Hoc",Y497="No Iniciado")),"CRÍTICO - Incumplimiento Normativo SEPS",IF(AND(OR(AA497="L4 Gestionado y Medible",AA497="L5 Optimizado"),AND(AC497&lt;&gt;"",AC497&lt;&gt;"N/A")),"CONFORME - Control Efectivo ISO 27001","OBSERVACIÓN - Revisar Controles")))</f>
        <v/>
      </c>
    </row>
    <row r="498">
      <c r="A498" s="99"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c r="AD498">
        <f>IF(OR(T498="",Y498="",AA498=""),"",IF(AND(T498="ALTA",OR(AA498="L0 Inexistente",AA498="L1 Inicial / Ad Hoc",Y498="No Iniciado")),"CRÍTICO - Incumplimiento Normativo SEPS",IF(AND(OR(AA498="L4 Gestionado y Medible",AA498="L5 Optimizado"),AND(AC498&lt;&gt;"",AC498&lt;&gt;"N/A")),"CONFORME - Control Efectivo ISO 27001","OBSERVACIÓN - Revisar Controles")))</f>
        <v/>
      </c>
    </row>
    <row r="499">
      <c r="A499" s="99"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c r="AD499">
        <f>IF(OR(T499="",Y499="",AA499=""),"",IF(AND(T499="ALTA",OR(AA499="L0 Inexistente",AA499="L1 Inicial / Ad Hoc",Y499="No Iniciado")),"CRÍTICO - Incumplimiento Normativo SEPS",IF(AND(OR(AA499="L4 Gestionado y Medible",AA499="L5 Optimizado"),AND(AC499&lt;&gt;"",AC499&lt;&gt;"N/A")),"CONFORME - Control Efectivo ISO 27001","OBSERVACIÓN - Revisar Controles")))</f>
        <v/>
      </c>
    </row>
    <row r="500">
      <c r="A500" s="99"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c r="AD500">
        <f>IF(OR(T500="",Y500="",AA500=""),"",IF(AND(T500="ALTA",OR(AA500="L0 Inexistente",AA500="L1 Inicial / Ad Hoc",Y500="No Iniciado")),"CRÍTICO - Incumplimiento Normativo SEPS",IF(AND(OR(AA500="L4 Gestionado y Medible",AA500="L5 Optimizado"),AND(AC500&lt;&gt;"",AC500&lt;&gt;"N/A")),"CONFORME - Control Efectivo ISO 27001","OBSERVACIÓN - Revisar Controles")))</f>
        <v/>
      </c>
    </row>
    <row r="501">
      <c r="A501" s="99"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c r="AD501">
        <f>IF(OR(T501="",Y501="",AA501=""),"",IF(AND(T501="ALTA",OR(AA501="L0 Inexistente",AA501="L1 Inicial / Ad Hoc",Y501="No Iniciado")),"CRÍTICO - Incumplimiento Normativo SEPS",IF(AND(OR(AA501="L4 Gestionado y Medible",AA501="L5 Optimizado"),AND(AC501&lt;&gt;"",AC501&lt;&gt;"N/A")),"CONFORME - Control Efectivo ISO 27001","OBSERVACIÓN - Revisar Controles")))</f>
        <v/>
      </c>
    </row>
    <row r="502">
      <c r="A502" s="99"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c r="AD502">
        <f>IF(OR(T502="",Y502="",AA502=""),"",IF(AND(T502="ALTA",OR(AA502="L0 Inexistente",AA502="L1 Inicial / Ad Hoc",Y502="No Iniciado")),"CRÍTICO - Incumplimiento Normativo SEPS",IF(AND(OR(AA502="L4 Gestionado y Medible",AA502="L5 Optimizado"),AND(AC502&lt;&gt;"",AC502&lt;&gt;"N/A")),"CONFORME - Control Efectivo ISO 27001","OBSERVACIÓN - Revisar Controles")))</f>
        <v/>
      </c>
    </row>
    <row r="503">
      <c r="A503" s="99"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c r="AD503">
        <f>IF(OR(T503="",Y503="",AA503=""),"",IF(AND(T503="ALTA",OR(AA503="L0 Inexistente",AA503="L1 Inicial / Ad Hoc",Y503="No Iniciado")),"CRÍTICO - Incumplimiento Normativo SEPS",IF(AND(OR(AA503="L4 Gestionado y Medible",AA503="L5 Optimizado"),AND(AC503&lt;&gt;"",AC503&lt;&gt;"N/A")),"CONFORME - Control Efectivo ISO 27001","OBSERVACIÓN - Revisar Controles")))</f>
        <v/>
      </c>
    </row>
    <row r="504">
      <c r="A504" s="99"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c r="AD504">
        <f>IF(OR(T504="",Y504="",AA504=""),"",IF(AND(T504="ALTA",OR(AA504="L0 Inexistente",AA504="L1 Inicial / Ad Hoc",Y504="No Iniciado")),"CRÍTICO - Incumplimiento Normativo SEPS",IF(AND(OR(AA504="L4 Gestionado y Medible",AA504="L5 Optimizado"),AND(AC504&lt;&gt;"",AC504&lt;&gt;"N/A")),"CONFORME - Control Efectivo ISO 27001","OBSERVACIÓN - Revisar Controles")))</f>
        <v/>
      </c>
    </row>
    <row r="505">
      <c r="A505" s="99"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c r="AD505">
        <f>IF(OR(T505="",Y505="",AA505=""),"",IF(AND(T505="ALTA",OR(AA505="L0 Inexistente",AA505="L1 Inicial / Ad Hoc",Y505="No Iniciado")),"CRÍTICO - Incumplimiento Normativo SEPS",IF(AND(OR(AA505="L4 Gestionado y Medible",AA505="L5 Optimizado"),AND(AC505&lt;&gt;"",AC505&lt;&gt;"N/A")),"CONFORME - Control Efectivo ISO 27001","OBSERVACIÓN - Revisar Controles")))</f>
        <v/>
      </c>
    </row>
    <row r="506">
      <c r="A506" s="99"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c r="AD506">
        <f>IF(OR(T506="",Y506="",AA506=""),"",IF(AND(T506="ALTA",OR(AA506="L0 Inexistente",AA506="L1 Inicial / Ad Hoc",Y506="No Iniciado")),"CRÍTICO - Incumplimiento Normativo SEPS",IF(AND(OR(AA506="L4 Gestionado y Medible",AA506="L5 Optimizado"),AND(AC506&lt;&gt;"",AC506&lt;&gt;"N/A")),"CONFORME - Control Efectivo ISO 27001","OBSERVACIÓN - Revisar Controles")))</f>
        <v/>
      </c>
    </row>
    <row r="507">
      <c r="A507" s="99"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c r="AD507">
        <f>IF(OR(T507="",Y507="",AA507=""),"",IF(AND(T507="ALTA",OR(AA507="L0 Inexistente",AA507="L1 Inicial / Ad Hoc",Y507="No Iniciado")),"CRÍTICO - Incumplimiento Normativo SEPS",IF(AND(OR(AA507="L4 Gestionado y Medible",AA507="L5 Optimizado"),AND(AC507&lt;&gt;"",AC507&lt;&gt;"N/A")),"CONFORME - Control Efectivo ISO 27001","OBSERVACIÓN - Revisar Controles")))</f>
        <v/>
      </c>
    </row>
    <row r="508">
      <c r="A508" s="99"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c r="AD508">
        <f>IF(OR(T508="",Y508="",AA508=""),"",IF(AND(T508="ALTA",OR(AA508="L0 Inexistente",AA508="L1 Inicial / Ad Hoc",Y508="No Iniciado")),"CRÍTICO - Incumplimiento Normativo SEPS",IF(AND(OR(AA508="L4 Gestionado y Medible",AA508="L5 Optimizado"),AND(AC508&lt;&gt;"",AC508&lt;&gt;"N/A")),"CONFORME - Control Efectivo ISO 27001","OBSERVACIÓN - Revisar Controles")))</f>
        <v/>
      </c>
    </row>
    <row r="509">
      <c r="A509" s="99"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c r="AD509">
        <f>IF(OR(T509="",Y509="",AA509=""),"",IF(AND(T509="ALTA",OR(AA509="L0 Inexistente",AA509="L1 Inicial / Ad Hoc",Y509="No Iniciado")),"CRÍTICO - Incumplimiento Normativo SEPS",IF(AND(OR(AA509="L4 Gestionado y Medible",AA509="L5 Optimizado"),AND(AC509&lt;&gt;"",AC509&lt;&gt;"N/A")),"CONFORME - Control Efectivo ISO 27001","OBSERVACIÓN - Revisar Controles")))</f>
        <v/>
      </c>
    </row>
    <row r="510">
      <c r="A510" s="99"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c r="AD510">
        <f>IF(OR(T510="",Y510="",AA510=""),"",IF(AND(T510="ALTA",OR(AA510="L0 Inexistente",AA510="L1 Inicial / Ad Hoc",Y510="No Iniciado")),"CRÍTICO - Incumplimiento Normativo SEPS",IF(AND(OR(AA510="L4 Gestionado y Medible",AA510="L5 Optimizado"),AND(AC510&lt;&gt;"",AC510&lt;&gt;"N/A")),"CONFORME - Control Efectivo ISO 27001","OBSERVACIÓN - Revisar Controles")))</f>
        <v/>
      </c>
    </row>
    <row r="511">
      <c r="A511" s="99"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c r="AD511">
        <f>IF(OR(T511="",Y511="",AA511=""),"",IF(AND(T511="ALTA",OR(AA511="L0 Inexistente",AA511="L1 Inicial / Ad Hoc",Y511="No Iniciado")),"CRÍTICO - Incumplimiento Normativo SEPS",IF(AND(OR(AA511="L4 Gestionado y Medible",AA511="L5 Optimizado"),AND(AC511&lt;&gt;"",AC511&lt;&gt;"N/A")),"CONFORME - Control Efectivo ISO 27001","OBSERVACIÓN - Revisar Controles")))</f>
        <v/>
      </c>
    </row>
    <row r="512">
      <c r="A512" s="99"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c r="AD512">
        <f>IF(OR(T512="",Y512="",AA512=""),"",IF(AND(T512="ALTA",OR(AA512="L0 Inexistente",AA512="L1 Inicial / Ad Hoc",Y512="No Iniciado")),"CRÍTICO - Incumplimiento Normativo SEPS",IF(AND(OR(AA512="L4 Gestionado y Medible",AA512="L5 Optimizado"),AND(AC512&lt;&gt;"",AC512&lt;&gt;"N/A")),"CONFORME - Control Efectivo ISO 27001","OBSERVACIÓN - Revisar Controles")))</f>
        <v/>
      </c>
    </row>
    <row r="513">
      <c r="A513" s="99"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c r="AD513">
        <f>IF(OR(T513="",Y513="",AA513=""),"",IF(AND(T513="ALTA",OR(AA513="L0 Inexistente",AA513="L1 Inicial / Ad Hoc",Y513="No Iniciado")),"CRÍTICO - Incumplimiento Normativo SEPS",IF(AND(OR(AA513="L4 Gestionado y Medible",AA513="L5 Optimizado"),AND(AC513&lt;&gt;"",AC513&lt;&gt;"N/A")),"CONFORME - Control Efectivo ISO 27001","OBSERVACIÓN - Revisar Controles")))</f>
        <v/>
      </c>
    </row>
    <row r="514">
      <c r="A514" s="99"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c r="AD514">
        <f>IF(OR(T514="",Y514="",AA514=""),"",IF(AND(T514="ALTA",OR(AA514="L0 Inexistente",AA514="L1 Inicial / Ad Hoc",Y514="No Iniciado")),"CRÍTICO - Incumplimiento Normativo SEPS",IF(AND(OR(AA514="L4 Gestionado y Medible",AA514="L5 Optimizado"),AND(AC514&lt;&gt;"",AC514&lt;&gt;"N/A")),"CONFORME - Control Efectivo ISO 27001","OBSERVACIÓN - Revisar Controles")))</f>
        <v/>
      </c>
    </row>
    <row r="515">
      <c r="A515" s="99"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c r="AD515">
        <f>IF(OR(T515="",Y515="",AA515=""),"",IF(AND(T515="ALTA",OR(AA515="L0 Inexistente",AA515="L1 Inicial / Ad Hoc",Y515="No Iniciado")),"CRÍTICO - Incumplimiento Normativo SEPS",IF(AND(OR(AA515="L4 Gestionado y Medible",AA515="L5 Optimizado"),AND(AC515&lt;&gt;"",AC515&lt;&gt;"N/A")),"CONFORME - Control Efectivo ISO 27001","OBSERVACIÓN - Revisar Controles")))</f>
        <v/>
      </c>
    </row>
    <row r="516">
      <c r="A516" s="99"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c r="AD516">
        <f>IF(OR(T516="",Y516="",AA516=""),"",IF(AND(T516="ALTA",OR(AA516="L0 Inexistente",AA516="L1 Inicial / Ad Hoc",Y516="No Iniciado")),"CRÍTICO - Incumplimiento Normativo SEPS",IF(AND(OR(AA516="L4 Gestionado y Medible",AA516="L5 Optimizado"),AND(AC516&lt;&gt;"",AC516&lt;&gt;"N/A")),"CONFORME - Control Efectivo ISO 27001","OBSERVACIÓN - Revisar Controles")))</f>
        <v/>
      </c>
    </row>
    <row r="517">
      <c r="A517" s="99"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c r="AD517">
        <f>IF(OR(T517="",Y517="",AA517=""),"",IF(AND(T517="ALTA",OR(AA517="L0 Inexistente",AA517="L1 Inicial / Ad Hoc",Y517="No Iniciado")),"CRÍTICO - Incumplimiento Normativo SEPS",IF(AND(OR(AA517="L4 Gestionado y Medible",AA517="L5 Optimizado"),AND(AC517&lt;&gt;"",AC517&lt;&gt;"N/A")),"CONFORME - Control Efectivo ISO 27001","OBSERVACIÓN - Revisar Controles")))</f>
        <v/>
      </c>
    </row>
    <row r="518">
      <c r="A518" s="99"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c r="AD518">
        <f>IF(OR(T518="",Y518="",AA518=""),"",IF(AND(T518="ALTA",OR(AA518="L0 Inexistente",AA518="L1 Inicial / Ad Hoc",Y518="No Iniciado")),"CRÍTICO - Incumplimiento Normativo SEPS",IF(AND(OR(AA518="L4 Gestionado y Medible",AA518="L5 Optimizado"),AND(AC518&lt;&gt;"",AC518&lt;&gt;"N/A")),"CONFORME - Control Efectivo ISO 27001","OBSERVACIÓN - Revisar Controles")))</f>
        <v/>
      </c>
    </row>
    <row r="519">
      <c r="A519" s="99"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c r="AD519">
        <f>IF(OR(T519="",Y519="",AA519=""),"",IF(AND(T519="ALTA",OR(AA519="L0 Inexistente",AA519="L1 Inicial / Ad Hoc",Y519="No Iniciado")),"CRÍTICO - Incumplimiento Normativo SEPS",IF(AND(OR(AA519="L4 Gestionado y Medible",AA519="L5 Optimizado"),AND(AC519&lt;&gt;"",AC519&lt;&gt;"N/A")),"CONFORME - Control Efectivo ISO 27001","OBSERVACIÓN - Revisar Controles")))</f>
        <v/>
      </c>
    </row>
    <row r="520">
      <c r="A520" s="99"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c r="AD520">
        <f>IF(OR(T520="",Y520="",AA520=""),"",IF(AND(T520="ALTA",OR(AA520="L0 Inexistente",AA520="L1 Inicial / Ad Hoc",Y520="No Iniciado")),"CRÍTICO - Incumplimiento Normativo SEPS",IF(AND(OR(AA520="L4 Gestionado y Medible",AA520="L5 Optimizado"),AND(AC520&lt;&gt;"",AC520&lt;&gt;"N/A")),"CONFORME - Control Efectivo ISO 27001","OBSERVACIÓN - Revisar Controles")))</f>
        <v/>
      </c>
    </row>
    <row r="521">
      <c r="A521" s="99"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c r="AD521">
        <f>IF(OR(T521="",Y521="",AA521=""),"",IF(AND(T521="ALTA",OR(AA521="L0 Inexistente",AA521="L1 Inicial / Ad Hoc",Y521="No Iniciado")),"CRÍTICO - Incumplimiento Normativo SEPS",IF(AND(OR(AA521="L4 Gestionado y Medible",AA521="L5 Optimizado"),AND(AC521&lt;&gt;"",AC521&lt;&gt;"N/A")),"CONFORME - Control Efectivo ISO 27001","OBSERVACIÓN - Revisar Controles")))</f>
        <v/>
      </c>
    </row>
    <row r="522">
      <c r="A522" s="99"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c r="AD522">
        <f>IF(OR(T522="",Y522="",AA522=""),"",IF(AND(T522="ALTA",OR(AA522="L0 Inexistente",AA522="L1 Inicial / Ad Hoc",Y522="No Iniciado")),"CRÍTICO - Incumplimiento Normativo SEPS",IF(AND(OR(AA522="L4 Gestionado y Medible",AA522="L5 Optimizado"),AND(AC522&lt;&gt;"",AC522&lt;&gt;"N/A")),"CONFORME - Control Efectivo ISO 27001","OBSERVACIÓN - Revisar Controles")))</f>
        <v/>
      </c>
    </row>
    <row r="523">
      <c r="A523" s="99"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c r="AD523">
        <f>IF(OR(T523="",Y523="",AA523=""),"",IF(AND(T523="ALTA",OR(AA523="L0 Inexistente",AA523="L1 Inicial / Ad Hoc",Y523="No Iniciado")),"CRÍTICO - Incumplimiento Normativo SEPS",IF(AND(OR(AA523="L4 Gestionado y Medible",AA523="L5 Optimizado"),AND(AC523&lt;&gt;"",AC523&lt;&gt;"N/A")),"CONFORME - Control Efectivo ISO 27001","OBSERVACIÓN - Revisar Controles")))</f>
        <v/>
      </c>
    </row>
    <row r="524">
      <c r="A524" s="99"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c r="AD524">
        <f>IF(OR(T524="",Y524="",AA524=""),"",IF(AND(T524="ALTA",OR(AA524="L0 Inexistente",AA524="L1 Inicial / Ad Hoc",Y524="No Iniciado")),"CRÍTICO - Incumplimiento Normativo SEPS",IF(AND(OR(AA524="L4 Gestionado y Medible",AA524="L5 Optimizado"),AND(AC524&lt;&gt;"",AC524&lt;&gt;"N/A")),"CONFORME - Control Efectivo ISO 27001","OBSERVACIÓN - Revisar Controles")))</f>
        <v/>
      </c>
    </row>
    <row r="525">
      <c r="A525" s="99"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c r="AD525">
        <f>IF(OR(T525="",Y525="",AA525=""),"",IF(AND(T525="ALTA",OR(AA525="L0 Inexistente",AA525="L1 Inicial / Ad Hoc",Y525="No Iniciado")),"CRÍTICO - Incumplimiento Normativo SEPS",IF(AND(OR(AA525="L4 Gestionado y Medible",AA525="L5 Optimizado"),AND(AC525&lt;&gt;"",AC525&lt;&gt;"N/A")),"CONFORME - Control Efectivo ISO 27001","OBSERVACIÓN - Revisar Controles")))</f>
        <v/>
      </c>
    </row>
    <row r="526">
      <c r="A526" s="99"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c r="AD526">
        <f>IF(OR(T526="",Y526="",AA526=""),"",IF(AND(T526="ALTA",OR(AA526="L0 Inexistente",AA526="L1 Inicial / Ad Hoc",Y526="No Iniciado")),"CRÍTICO - Incumplimiento Normativo SEPS",IF(AND(OR(AA526="L4 Gestionado y Medible",AA526="L5 Optimizado"),AND(AC526&lt;&gt;"",AC526&lt;&gt;"N/A")),"CONFORME - Control Efectivo ISO 27001","OBSERVACIÓN - Revisar Controles")))</f>
        <v/>
      </c>
    </row>
    <row r="527">
      <c r="A527" s="99"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c r="AD527">
        <f>IF(OR(T527="",Y527="",AA527=""),"",IF(AND(T527="ALTA",OR(AA527="L0 Inexistente",AA527="L1 Inicial / Ad Hoc",Y527="No Iniciado")),"CRÍTICO - Incumplimiento Normativo SEPS",IF(AND(OR(AA527="L4 Gestionado y Medible",AA527="L5 Optimizado"),AND(AC527&lt;&gt;"",AC527&lt;&gt;"N/A")),"CONFORME - Control Efectivo ISO 27001","OBSERVACIÓN - Revisar Controles")))</f>
        <v/>
      </c>
    </row>
    <row r="528">
      <c r="A528" s="99"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c r="AD528">
        <f>IF(OR(T528="",Y528="",AA528=""),"",IF(AND(T528="ALTA",OR(AA528="L0 Inexistente",AA528="L1 Inicial / Ad Hoc",Y528="No Iniciado")),"CRÍTICO - Incumplimiento Normativo SEPS",IF(AND(OR(AA528="L4 Gestionado y Medible",AA528="L5 Optimizado"),AND(AC528&lt;&gt;"",AC528&lt;&gt;"N/A")),"CONFORME - Control Efectivo ISO 27001","OBSERVACIÓN - Revisar Controles")))</f>
        <v/>
      </c>
    </row>
    <row r="529">
      <c r="A529" s="99"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c r="AD529">
        <f>IF(OR(T529="",Y529="",AA529=""),"",IF(AND(T529="ALTA",OR(AA529="L0 Inexistente",AA529="L1 Inicial / Ad Hoc",Y529="No Iniciado")),"CRÍTICO - Incumplimiento Normativo SEPS",IF(AND(OR(AA529="L4 Gestionado y Medible",AA529="L5 Optimizado"),AND(AC529&lt;&gt;"",AC529&lt;&gt;"N/A")),"CONFORME - Control Efectivo ISO 27001","OBSERVACIÓN - Revisar Controles")))</f>
        <v/>
      </c>
    </row>
    <row r="530">
      <c r="A530" s="99"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c r="AD530">
        <f>IF(OR(T530="",Y530="",AA530=""),"",IF(AND(T530="ALTA",OR(AA530="L0 Inexistente",AA530="L1 Inicial / Ad Hoc",Y530="No Iniciado")),"CRÍTICO - Incumplimiento Normativo SEPS",IF(AND(OR(AA530="L4 Gestionado y Medible",AA530="L5 Optimizado"),AND(AC530&lt;&gt;"",AC530&lt;&gt;"N/A")),"CONFORME - Control Efectivo ISO 27001","OBSERVACIÓN - Revisar Controles")))</f>
        <v/>
      </c>
    </row>
    <row r="531">
      <c r="A531" s="99"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c r="AD531">
        <f>IF(OR(T531="",Y531="",AA531=""),"",IF(AND(T531="ALTA",OR(AA531="L0 Inexistente",AA531="L1 Inicial / Ad Hoc",Y531="No Iniciado")),"CRÍTICO - Incumplimiento Normativo SEPS",IF(AND(OR(AA531="L4 Gestionado y Medible",AA531="L5 Optimizado"),AND(AC531&lt;&gt;"",AC531&lt;&gt;"N/A")),"CONFORME - Control Efectivo ISO 27001","OBSERVACIÓN - Revisar Controles")))</f>
        <v/>
      </c>
    </row>
    <row r="532">
      <c r="A532" s="99"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c r="AD532">
        <f>IF(OR(T532="",Y532="",AA532=""),"",IF(AND(T532="ALTA",OR(AA532="L0 Inexistente",AA532="L1 Inicial / Ad Hoc",Y532="No Iniciado")),"CRÍTICO - Incumplimiento Normativo SEPS",IF(AND(OR(AA532="L4 Gestionado y Medible",AA532="L5 Optimizado"),AND(AC532&lt;&gt;"",AC532&lt;&gt;"N/A")),"CONFORME - Control Efectivo ISO 27001","OBSERVACIÓN - Revisar Controles")))</f>
        <v/>
      </c>
    </row>
    <row r="533">
      <c r="A533" s="99"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c r="AD533">
        <f>IF(OR(T533="",Y533="",AA533=""),"",IF(AND(T533="ALTA",OR(AA533="L0 Inexistente",AA533="L1 Inicial / Ad Hoc",Y533="No Iniciado")),"CRÍTICO - Incumplimiento Normativo SEPS",IF(AND(OR(AA533="L4 Gestionado y Medible",AA533="L5 Optimizado"),AND(AC533&lt;&gt;"",AC533&lt;&gt;"N/A")),"CONFORME - Control Efectivo ISO 27001","OBSERVACIÓN - Revisar Controles")))</f>
        <v/>
      </c>
    </row>
    <row r="534">
      <c r="A534" s="99"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c r="AD534">
        <f>IF(OR(T534="",Y534="",AA534=""),"",IF(AND(T534="ALTA",OR(AA534="L0 Inexistente",AA534="L1 Inicial / Ad Hoc",Y534="No Iniciado")),"CRÍTICO - Incumplimiento Normativo SEPS",IF(AND(OR(AA534="L4 Gestionado y Medible",AA534="L5 Optimizado"),AND(AC534&lt;&gt;"",AC534&lt;&gt;"N/A")),"CONFORME - Control Efectivo ISO 27001","OBSERVACIÓN - Revisar Controles")))</f>
        <v/>
      </c>
    </row>
    <row r="535">
      <c r="A535" s="99"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c r="AD535">
        <f>IF(OR(T535="",Y535="",AA535=""),"",IF(AND(T535="ALTA",OR(AA535="L0 Inexistente",AA535="L1 Inicial / Ad Hoc",Y535="No Iniciado")),"CRÍTICO - Incumplimiento Normativo SEPS",IF(AND(OR(AA535="L4 Gestionado y Medible",AA535="L5 Optimizado"),AND(AC535&lt;&gt;"",AC535&lt;&gt;"N/A")),"CONFORME - Control Efectivo ISO 27001","OBSERVACIÓN - Revisar Controles")))</f>
        <v/>
      </c>
    </row>
    <row r="536">
      <c r="A536" s="99"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c r="AD536">
        <f>IF(OR(T536="",Y536="",AA536=""),"",IF(AND(T536="ALTA",OR(AA536="L0 Inexistente",AA536="L1 Inicial / Ad Hoc",Y536="No Iniciado")),"CRÍTICO - Incumplimiento Normativo SEPS",IF(AND(OR(AA536="L4 Gestionado y Medible",AA536="L5 Optimizado"),AND(AC536&lt;&gt;"",AC536&lt;&gt;"N/A")),"CONFORME - Control Efectivo ISO 27001","OBSERVACIÓN - Revisar Controles")))</f>
        <v/>
      </c>
    </row>
    <row r="537">
      <c r="A537" s="99"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c r="AD537">
        <f>IF(OR(T537="",Y537="",AA537=""),"",IF(AND(T537="ALTA",OR(AA537="L0 Inexistente",AA537="L1 Inicial / Ad Hoc",Y537="No Iniciado")),"CRÍTICO - Incumplimiento Normativo SEPS",IF(AND(OR(AA537="L4 Gestionado y Medible",AA537="L5 Optimizado"),AND(AC537&lt;&gt;"",AC537&lt;&gt;"N/A")),"CONFORME - Control Efectivo ISO 27001","OBSERVACIÓN - Revisar Controles")))</f>
        <v/>
      </c>
    </row>
    <row r="538">
      <c r="A538" s="99"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c r="AD538">
        <f>IF(OR(T538="",Y538="",AA538=""),"",IF(AND(T538="ALTA",OR(AA538="L0 Inexistente",AA538="L1 Inicial / Ad Hoc",Y538="No Iniciado")),"CRÍTICO - Incumplimiento Normativo SEPS",IF(AND(OR(AA538="L4 Gestionado y Medible",AA538="L5 Optimizado"),AND(AC538&lt;&gt;"",AC538&lt;&gt;"N/A")),"CONFORME - Control Efectivo ISO 27001","OBSERVACIÓN - Revisar Controles")))</f>
        <v/>
      </c>
    </row>
    <row r="539" ht="20.45" customHeight="1" s="106">
      <c r="A539" s="99"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c r="AD539">
        <f>IF(OR(T539="",Y539="",AA539=""),"",IF(AND(T539="ALTA",OR(AA539="L0 Inexistente",AA539="L1 Inicial / Ad Hoc",Y539="No Iniciado")),"CRÍTICO - Incumplimiento Normativo SEPS",IF(AND(OR(AA539="L4 Gestionado y Medible",AA539="L5 Optimizado"),AND(AC539&lt;&gt;"",AC539&lt;&gt;"N/A")),"CONFORME - Control Efectivo ISO 27001","OBSERVACIÓN - Revisar Controles")))</f>
        <v/>
      </c>
    </row>
    <row r="540">
      <c r="A540" s="99"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c r="AD540">
        <f>IF(OR(T540="",Y540="",AA540=""),"",IF(AND(T540="ALTA",OR(AA540="L0 Inexistente",AA540="L1 Inicial / Ad Hoc",Y540="No Iniciado")),"CRÍTICO - Incumplimiento Normativo SEPS",IF(AND(OR(AA540="L4 Gestionado y Medible",AA540="L5 Optimizado"),AND(AC540&lt;&gt;"",AC540&lt;&gt;"N/A")),"CONFORME - Control Efectivo ISO 27001","OBSERVACIÓN - Revisar Controles")))</f>
        <v/>
      </c>
    </row>
    <row r="541">
      <c r="A541" s="99"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c r="AD541">
        <f>IF(OR(T541="",Y541="",AA541=""),"",IF(AND(T541="ALTA",OR(AA541="L0 Inexistente",AA541="L1 Inicial / Ad Hoc",Y541="No Iniciado")),"CRÍTICO - Incumplimiento Normativo SEPS",IF(AND(OR(AA541="L4 Gestionado y Medible",AA541="L5 Optimizado"),AND(AC541&lt;&gt;"",AC541&lt;&gt;"N/A")),"CONFORME - Control Efectivo ISO 27001","OBSERVACIÓN - Revisar Controles")))</f>
        <v/>
      </c>
    </row>
    <row r="542">
      <c r="A542" s="99"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c r="AD542">
        <f>IF(OR(T542="",Y542="",AA542=""),"",IF(AND(T542="ALTA",OR(AA542="L0 Inexistente",AA542="L1 Inicial / Ad Hoc",Y542="No Iniciado")),"CRÍTICO - Incumplimiento Normativo SEPS",IF(AND(OR(AA542="L4 Gestionado y Medible",AA542="L5 Optimizado"),AND(AC542&lt;&gt;"",AC542&lt;&gt;"N/A")),"CONFORME - Control Efectivo ISO 27001","OBSERVACIÓN - Revisar Controles")))</f>
        <v/>
      </c>
    </row>
    <row r="543" ht="30.6" customHeight="1" s="106">
      <c r="A543" s="99"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c r="AD543">
        <f>IF(OR(T543="",Y543="",AA543=""),"",IF(AND(T543="ALTA",OR(AA543="L0 Inexistente",AA543="L1 Inicial / Ad Hoc",Y543="No Iniciado")),"CRÍTICO - Incumplimiento Normativo SEPS",IF(AND(OR(AA543="L4 Gestionado y Medible",AA543="L5 Optimizado"),AND(AC543&lt;&gt;"",AC543&lt;&gt;"N/A")),"CONFORME - Control Efectivo ISO 27001","OBSERVACIÓN - Revisar Controles")))</f>
        <v/>
      </c>
    </row>
    <row r="544">
      <c r="A544" s="99"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c r="AD544">
        <f>IF(OR(T544="",Y544="",AA544=""),"",IF(AND(T544="ALTA",OR(AA544="L0 Inexistente",AA544="L1 Inicial / Ad Hoc",Y544="No Iniciado")),"CRÍTICO - Incumplimiento Normativo SEPS",IF(AND(OR(AA544="L4 Gestionado y Medible",AA544="L5 Optimizado"),AND(AC544&lt;&gt;"",AC544&lt;&gt;"N/A")),"CONFORME - Control Efectivo ISO 27001","OBSERVACIÓN - Revisar Controles")))</f>
        <v/>
      </c>
    </row>
    <row r="545">
      <c r="A545" s="99"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c r="AD545">
        <f>IF(OR(T545="",Y545="",AA545=""),"",IF(AND(T545="ALTA",OR(AA545="L0 Inexistente",AA545="L1 Inicial / Ad Hoc",Y545="No Iniciado")),"CRÍTICO - Incumplimiento Normativo SEPS",IF(AND(OR(AA545="L4 Gestionado y Medible",AA545="L5 Optimizado"),AND(AC545&lt;&gt;"",AC545&lt;&gt;"N/A")),"CONFORME - Control Efectivo ISO 27001","OBSERVACIÓN - Revisar Controles")))</f>
        <v/>
      </c>
    </row>
    <row r="546" ht="41.1" customHeight="1" s="106">
      <c r="A546" s="99"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c r="AD546">
        <f>IF(OR(T546="",Y546="",AA546=""),"",IF(AND(T546="ALTA",OR(AA546="L0 Inexistente",AA546="L1 Inicial / Ad Hoc",Y546="No Iniciado")),"CRÍTICO - Incumplimiento Normativo SEPS",IF(AND(OR(AA546="L4 Gestionado y Medible",AA546="L5 Optimizado"),AND(AC546&lt;&gt;"",AC546&lt;&gt;"N/A")),"CONFORME - Control Efectivo ISO 27001","OBSERVACIÓN - Revisar Controles")))</f>
        <v/>
      </c>
    </row>
    <row r="547" ht="20.45" customHeight="1" s="106">
      <c r="A547" s="99"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c r="AD547">
        <f>IF(OR(T547="",Y547="",AA547=""),"",IF(AND(T547="ALTA",OR(AA547="L0 Inexistente",AA547="L1 Inicial / Ad Hoc",Y547="No Iniciado")),"CRÍTICO - Incumplimiento Normativo SEPS",IF(AND(OR(AA547="L4 Gestionado y Medible",AA547="L5 Optimizado"),AND(AC547&lt;&gt;"",AC547&lt;&gt;"N/A")),"CONFORME - Control Efectivo ISO 27001","OBSERVACIÓN - Revisar Controles")))</f>
        <v/>
      </c>
    </row>
    <row r="548">
      <c r="A548" s="99"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c r="AD548">
        <f>IF(OR(T548="",Y548="",AA548=""),"",IF(AND(T548="ALTA",OR(AA548="L0 Inexistente",AA548="L1 Inicial / Ad Hoc",Y548="No Iniciado")),"CRÍTICO - Incumplimiento Normativo SEPS",IF(AND(OR(AA548="L4 Gestionado y Medible",AA548="L5 Optimizado"),AND(AC548&lt;&gt;"",AC548&lt;&gt;"N/A")),"CONFORME - Control Efectivo ISO 27001","OBSERVACIÓN - Revisar Controles")))</f>
        <v/>
      </c>
    </row>
    <row r="549">
      <c r="A549" s="99"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c r="AD549">
        <f>IF(OR(T549="",Y549="",AA549=""),"",IF(AND(T549="ALTA",OR(AA549="L0 Inexistente",AA549="L1 Inicial / Ad Hoc",Y549="No Iniciado")),"CRÍTICO - Incumplimiento Normativo SEPS",IF(AND(OR(AA549="L4 Gestionado y Medible",AA549="L5 Optimizado"),AND(AC549&lt;&gt;"",AC549&lt;&gt;"N/A")),"CONFORME - Control Efectivo ISO 27001","OBSERVACIÓN - Revisar Controles")))</f>
        <v/>
      </c>
    </row>
    <row r="550" ht="12" customHeight="1" s="106">
      <c r="A550" s="99"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c r="AD550">
        <f>IF(OR(T550="",Y550="",AA550=""),"",IF(AND(T550="ALTA",OR(AA550="L0 Inexistente",AA550="L1 Inicial / Ad Hoc",Y550="No Iniciado")),"CRÍTICO - Incumplimiento Normativo SEPS",IF(AND(OR(AA550="L4 Gestionado y Medible",AA550="L5 Optimizado"),AND(AC550&lt;&gt;"",AC550&lt;&gt;"N/A")),"CONFORME - Control Efectivo ISO 27001","OBSERVACIÓN - Revisar Controles")))</f>
        <v/>
      </c>
    </row>
    <row r="551">
      <c r="A551" s="99"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c r="AD551">
        <f>IF(OR(T551="",Y551="",AA551=""),"",IF(AND(T551="ALTA",OR(AA551="L0 Inexistente",AA551="L1 Inicial / Ad Hoc",Y551="No Iniciado")),"CRÍTICO - Incumplimiento Normativo SEPS",IF(AND(OR(AA551="L4 Gestionado y Medible",AA551="L5 Optimizado"),AND(AC551&lt;&gt;"",AC551&lt;&gt;"N/A")),"CONFORME - Control Efectivo ISO 27001","OBSERVACIÓN - Revisar Controles")))</f>
        <v/>
      </c>
    </row>
    <row r="552">
      <c r="A552" s="99"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c r="AD552">
        <f>IF(OR(T552="",Y552="",AA552=""),"",IF(AND(T552="ALTA",OR(AA552="L0 Inexistente",AA552="L1 Inicial / Ad Hoc",Y552="No Iniciado")),"CRÍTICO - Incumplimiento Normativo SEPS",IF(AND(OR(AA552="L4 Gestionado y Medible",AA552="L5 Optimizado"),AND(AC552&lt;&gt;"",AC552&lt;&gt;"N/A")),"CONFORME - Control Efectivo ISO 27001","OBSERVACIÓN - Revisar Controles")))</f>
        <v/>
      </c>
    </row>
    <row r="553">
      <c r="A553" s="99"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c r="AD553">
        <f>IF(OR(T553="",Y553="",AA553=""),"",IF(AND(T553="ALTA",OR(AA553="L0 Inexistente",AA553="L1 Inicial / Ad Hoc",Y553="No Iniciado")),"CRÍTICO - Incumplimiento Normativo SEPS",IF(AND(OR(AA553="L4 Gestionado y Medible",AA553="L5 Optimizado"),AND(AC553&lt;&gt;"",AC553&lt;&gt;"N/A")),"CONFORME - Control Efectivo ISO 27001","OBSERVACIÓN - Revisar Controles")))</f>
        <v/>
      </c>
    </row>
    <row r="554">
      <c r="A554" s="99"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c r="AD554">
        <f>IF(OR(T554="",Y554="",AA554=""),"",IF(AND(T554="ALTA",OR(AA554="L0 Inexistente",AA554="L1 Inicial / Ad Hoc",Y554="No Iniciado")),"CRÍTICO - Incumplimiento Normativo SEPS",IF(AND(OR(AA554="L4 Gestionado y Medible",AA554="L5 Optimizado"),AND(AC554&lt;&gt;"",AC554&lt;&gt;"N/A")),"CONFORME - Control Efectivo ISO 27001","OBSERVACIÓN - Revisar Controles")))</f>
        <v/>
      </c>
    </row>
    <row r="555">
      <c r="A555" s="99"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c r="AD555">
        <f>IF(OR(T555="",Y555="",AA555=""),"",IF(AND(T555="ALTA",OR(AA555="L0 Inexistente",AA555="L1 Inicial / Ad Hoc",Y555="No Iniciado")),"CRÍTICO - Incumplimiento Normativo SEPS",IF(AND(OR(AA555="L4 Gestionado y Medible",AA555="L5 Optimizado"),AND(AC555&lt;&gt;"",AC555&lt;&gt;"N/A")),"CONFORME - Control Efectivo ISO 27001","OBSERVACIÓN - Revisar Controles")))</f>
        <v/>
      </c>
    </row>
    <row r="556">
      <c r="A556" s="99"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c r="AD556">
        <f>IF(OR(T556="",Y556="",AA556=""),"",IF(AND(T556="ALTA",OR(AA556="L0 Inexistente",AA556="L1 Inicial / Ad Hoc",Y556="No Iniciado")),"CRÍTICO - Incumplimiento Normativo SEPS",IF(AND(OR(AA556="L4 Gestionado y Medible",AA556="L5 Optimizado"),AND(AC556&lt;&gt;"",AC556&lt;&gt;"N/A")),"CONFORME - Control Efectivo ISO 27001","OBSERVACIÓN - Revisar Controles")))</f>
        <v/>
      </c>
    </row>
    <row r="557">
      <c r="A557" s="99"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c r="AD557">
        <f>IF(OR(T557="",Y557="",AA557=""),"",IF(AND(T557="ALTA",OR(AA557="L0 Inexistente",AA557="L1 Inicial / Ad Hoc",Y557="No Iniciado")),"CRÍTICO - Incumplimiento Normativo SEPS",IF(AND(OR(AA557="L4 Gestionado y Medible",AA557="L5 Optimizado"),AND(AC557&lt;&gt;"",AC557&lt;&gt;"N/A")),"CONFORME - Control Efectivo ISO 27001","OBSERVACIÓN - Revisar Controles")))</f>
        <v/>
      </c>
    </row>
    <row r="558" ht="20.45" customHeight="1" s="106">
      <c r="A558" s="99"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c r="AD558">
        <f>IF(OR(T558="",Y558="",AA558=""),"",IF(AND(T558="ALTA",OR(AA558="L0 Inexistente",AA558="L1 Inicial / Ad Hoc",Y558="No Iniciado")),"CRÍTICO - Incumplimiento Normativo SEPS",IF(AND(OR(AA558="L4 Gestionado y Medible",AA558="L5 Optimizado"),AND(AC558&lt;&gt;"",AC558&lt;&gt;"N/A")),"CONFORME - Control Efectivo ISO 27001","OBSERVACIÓN - Revisar Controles")))</f>
        <v/>
      </c>
    </row>
    <row r="559">
      <c r="A559" s="99"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c r="AD559">
        <f>IF(OR(T559="",Y559="",AA559=""),"",IF(AND(T559="ALTA",OR(AA559="L0 Inexistente",AA559="L1 Inicial / Ad Hoc",Y559="No Iniciado")),"CRÍTICO - Incumplimiento Normativo SEPS",IF(AND(OR(AA559="L4 Gestionado y Medible",AA559="L5 Optimizado"),AND(AC559&lt;&gt;"",AC559&lt;&gt;"N/A")),"CONFORME - Control Efectivo ISO 27001","OBSERVACIÓN - Revisar Controles")))</f>
        <v/>
      </c>
    </row>
    <row r="560">
      <c r="A560" s="99"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c r="AD560">
        <f>IF(OR(T560="",Y560="",AA560=""),"",IF(AND(T560="ALTA",OR(AA560="L0 Inexistente",AA560="L1 Inicial / Ad Hoc",Y560="No Iniciado")),"CRÍTICO - Incumplimiento Normativo SEPS",IF(AND(OR(AA560="L4 Gestionado y Medible",AA560="L5 Optimizado"),AND(AC560&lt;&gt;"",AC560&lt;&gt;"N/A")),"CONFORME - Control Efectivo ISO 27001","OBSERVACIÓN - Revisar Controles")))</f>
        <v/>
      </c>
    </row>
    <row r="561">
      <c r="A561" s="99"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c r="AD561">
        <f>IF(OR(T561="",Y561="",AA561=""),"",IF(AND(T561="ALTA",OR(AA561="L0 Inexistente",AA561="L1 Inicial / Ad Hoc",Y561="No Iniciado")),"CRÍTICO - Incumplimiento Normativo SEPS",IF(AND(OR(AA561="L4 Gestionado y Medible",AA561="L5 Optimizado"),AND(AC561&lt;&gt;"",AC561&lt;&gt;"N/A")),"CONFORME - Control Efectivo ISO 27001","OBSERVACIÓN - Revisar Controles")))</f>
        <v/>
      </c>
    </row>
    <row r="562">
      <c r="A562" s="99"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c r="AD562">
        <f>IF(OR(T562="",Y562="",AA562=""),"",IF(AND(T562="ALTA",OR(AA562="L0 Inexistente",AA562="L1 Inicial / Ad Hoc",Y562="No Iniciado")),"CRÍTICO - Incumplimiento Normativo SEPS",IF(AND(OR(AA562="L4 Gestionado y Medible",AA562="L5 Optimizado"),AND(AC562&lt;&gt;"",AC562&lt;&gt;"N/A")),"CONFORME - Control Efectivo ISO 27001","OBSERVACIÓN - Revisar Controles")))</f>
        <v/>
      </c>
    </row>
    <row r="563">
      <c r="A563" s="99"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c r="AD563">
        <f>IF(OR(T563="",Y563="",AA563=""),"",IF(AND(T563="ALTA",OR(AA563="L0 Inexistente",AA563="L1 Inicial / Ad Hoc",Y563="No Iniciado")),"CRÍTICO - Incumplimiento Normativo SEPS",IF(AND(OR(AA563="L4 Gestionado y Medible",AA563="L5 Optimizado"),AND(AC563&lt;&gt;"",AC563&lt;&gt;"N/A")),"CONFORME - Control Efectivo ISO 27001","OBSERVACIÓN - Revisar Controles")))</f>
        <v/>
      </c>
    </row>
    <row r="564">
      <c r="A564" s="99"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c r="AD564">
        <f>IF(OR(T564="",Y564="",AA564=""),"",IF(AND(T564="ALTA",OR(AA564="L0 Inexistente",AA564="L1 Inicial / Ad Hoc",Y564="No Iniciado")),"CRÍTICO - Incumplimiento Normativo SEPS",IF(AND(OR(AA564="L4 Gestionado y Medible",AA564="L5 Optimizado"),AND(AC564&lt;&gt;"",AC564&lt;&gt;"N/A")),"CONFORME - Control Efectivo ISO 27001","OBSERVACIÓN - Revisar Controles")))</f>
        <v/>
      </c>
    </row>
    <row r="565">
      <c r="A565" s="99"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c r="AD565">
        <f>IF(OR(T565="",Y565="",AA565=""),"",IF(AND(T565="ALTA",OR(AA565="L0 Inexistente",AA565="L1 Inicial / Ad Hoc",Y565="No Iniciado")),"CRÍTICO - Incumplimiento Normativo SEPS",IF(AND(OR(AA565="L4 Gestionado y Medible",AA565="L5 Optimizado"),AND(AC565&lt;&gt;"",AC565&lt;&gt;"N/A")),"CONFORME - Control Efectivo ISO 27001","OBSERVACIÓN - Revisar Controles")))</f>
        <v/>
      </c>
    </row>
    <row r="566">
      <c r="A566" s="99"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c r="AD566">
        <f>IF(OR(T566="",Y566="",AA566=""),"",IF(AND(T566="ALTA",OR(AA566="L0 Inexistente",AA566="L1 Inicial / Ad Hoc",Y566="No Iniciado")),"CRÍTICO - Incumplimiento Normativo SEPS",IF(AND(OR(AA566="L4 Gestionado y Medible",AA566="L5 Optimizado"),AND(AC566&lt;&gt;"",AC566&lt;&gt;"N/A")),"CONFORME - Control Efectivo ISO 27001","OBSERVACIÓN - Revisar Controles")))</f>
        <v/>
      </c>
    </row>
    <row r="567">
      <c r="A567" s="99"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c r="AD567">
        <f>IF(OR(T567="",Y567="",AA567=""),"",IF(AND(T567="ALTA",OR(AA567="L0 Inexistente",AA567="L1 Inicial / Ad Hoc",Y567="No Iniciado")),"CRÍTICO - Incumplimiento Normativo SEPS",IF(AND(OR(AA567="L4 Gestionado y Medible",AA567="L5 Optimizado"),AND(AC567&lt;&gt;"",AC567&lt;&gt;"N/A")),"CONFORME - Control Efectivo ISO 27001","OBSERVACIÓN - Revisar Controles")))</f>
        <v/>
      </c>
    </row>
    <row r="568">
      <c r="A568" s="99"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c r="AD568">
        <f>IF(OR(T568="",Y568="",AA568=""),"",IF(AND(T568="ALTA",OR(AA568="L0 Inexistente",AA568="L1 Inicial / Ad Hoc",Y568="No Iniciado")),"CRÍTICO - Incumplimiento Normativo SEPS",IF(AND(OR(AA568="L4 Gestionado y Medible",AA568="L5 Optimizado"),AND(AC568&lt;&gt;"",AC568&lt;&gt;"N/A")),"CONFORME - Control Efectivo ISO 27001","OBSERVACIÓN - Revisar Controles")))</f>
        <v/>
      </c>
    </row>
    <row r="569">
      <c r="A569" s="99"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c r="AD569">
        <f>IF(OR(T569="",Y569="",AA569=""),"",IF(AND(T569="ALTA",OR(AA569="L0 Inexistente",AA569="L1 Inicial / Ad Hoc",Y569="No Iniciado")),"CRÍTICO - Incumplimiento Normativo SEPS",IF(AND(OR(AA569="L4 Gestionado y Medible",AA569="L5 Optimizado"),AND(AC569&lt;&gt;"",AC569&lt;&gt;"N/A")),"CONFORME - Control Efectivo ISO 27001","OBSERVACIÓN - Revisar Controles")))</f>
        <v/>
      </c>
    </row>
    <row r="570">
      <c r="A570" s="99"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c r="AD570">
        <f>IF(OR(T570="",Y570="",AA570=""),"",IF(AND(T570="ALTA",OR(AA570="L0 Inexistente",AA570="L1 Inicial / Ad Hoc",Y570="No Iniciado")),"CRÍTICO - Incumplimiento Normativo SEPS",IF(AND(OR(AA570="L4 Gestionado y Medible",AA570="L5 Optimizado"),AND(AC570&lt;&gt;"",AC570&lt;&gt;"N/A")),"CONFORME - Control Efectivo ISO 27001","OBSERVACIÓN - Revisar Controles")))</f>
        <v/>
      </c>
    </row>
    <row r="571">
      <c r="A571" s="99"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c r="AD571">
        <f>IF(OR(T571="",Y571="",AA571=""),"",IF(AND(T571="ALTA",OR(AA571="L0 Inexistente",AA571="L1 Inicial / Ad Hoc",Y571="No Iniciado")),"CRÍTICO - Incumplimiento Normativo SEPS",IF(AND(OR(AA571="L4 Gestionado y Medible",AA571="L5 Optimizado"),AND(AC571&lt;&gt;"",AC571&lt;&gt;"N/A")),"CONFORME - Control Efectivo ISO 27001","OBSERVACIÓN - Revisar Controles")))</f>
        <v/>
      </c>
    </row>
    <row r="572">
      <c r="A572" s="99"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c r="AD572">
        <f>IF(OR(T572="",Y572="",AA572=""),"",IF(AND(T572="ALTA",OR(AA572="L0 Inexistente",AA572="L1 Inicial / Ad Hoc",Y572="No Iniciado")),"CRÍTICO - Incumplimiento Normativo SEPS",IF(AND(OR(AA572="L4 Gestionado y Medible",AA572="L5 Optimizado"),AND(AC572&lt;&gt;"",AC572&lt;&gt;"N/A")),"CONFORME - Control Efectivo ISO 27001","OBSERVACIÓN - Revisar Controles")))</f>
        <v/>
      </c>
    </row>
    <row r="573">
      <c r="A573" s="99"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c r="AD573">
        <f>IF(OR(T573="",Y573="",AA573=""),"",IF(AND(T573="ALTA",OR(AA573="L0 Inexistente",AA573="L1 Inicial / Ad Hoc",Y573="No Iniciado")),"CRÍTICO - Incumplimiento Normativo SEPS",IF(AND(OR(AA573="L4 Gestionado y Medible",AA573="L5 Optimizado"),AND(AC573&lt;&gt;"",AC573&lt;&gt;"N/A")),"CONFORME - Control Efectivo ISO 27001","OBSERVACIÓN - Revisar Controles")))</f>
        <v/>
      </c>
    </row>
    <row r="574">
      <c r="A574" s="99"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c r="AD574">
        <f>IF(OR(T574="",Y574="",AA574=""),"",IF(AND(T574="ALTA",OR(AA574="L0 Inexistente",AA574="L1 Inicial / Ad Hoc",Y574="No Iniciado")),"CRÍTICO - Incumplimiento Normativo SEPS",IF(AND(OR(AA574="L4 Gestionado y Medible",AA574="L5 Optimizado"),AND(AC574&lt;&gt;"",AC574&lt;&gt;"N/A")),"CONFORME - Control Efectivo ISO 27001","OBSERVACIÓN - Revisar Controles")))</f>
        <v/>
      </c>
    </row>
    <row r="575">
      <c r="A575" s="99"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c r="AD575">
        <f>IF(OR(T575="",Y575="",AA575=""),"",IF(AND(T575="ALTA",OR(AA575="L0 Inexistente",AA575="L1 Inicial / Ad Hoc",Y575="No Iniciado")),"CRÍTICO - Incumplimiento Normativo SEPS",IF(AND(OR(AA575="L4 Gestionado y Medible",AA575="L5 Optimizado"),AND(AC575&lt;&gt;"",AC575&lt;&gt;"N/A")),"CONFORME - Control Efectivo ISO 27001","OBSERVACIÓN - Revisar Controles")))</f>
        <v/>
      </c>
    </row>
    <row r="576">
      <c r="A576" s="99"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c r="AD576">
        <f>IF(OR(T576="",Y576="",AA576=""),"",IF(AND(T576="ALTA",OR(AA576="L0 Inexistente",AA576="L1 Inicial / Ad Hoc",Y576="No Iniciado")),"CRÍTICO - Incumplimiento Normativo SEPS",IF(AND(OR(AA576="L4 Gestionado y Medible",AA576="L5 Optimizado"),AND(AC576&lt;&gt;"",AC576&lt;&gt;"N/A")),"CONFORME - Control Efectivo ISO 27001","OBSERVACIÓN - Revisar Controles")))</f>
        <v/>
      </c>
    </row>
    <row r="577">
      <c r="A577" s="99"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c r="AD577">
        <f>IF(OR(T577="",Y577="",AA577=""),"",IF(AND(T577="ALTA",OR(AA577="L0 Inexistente",AA577="L1 Inicial / Ad Hoc",Y577="No Iniciado")),"CRÍTICO - Incumplimiento Normativo SEPS",IF(AND(OR(AA577="L4 Gestionado y Medible",AA577="L5 Optimizado"),AND(AC577&lt;&gt;"",AC577&lt;&gt;"N/A")),"CONFORME - Control Efectivo ISO 27001","OBSERVACIÓN - Revisar Controles")))</f>
        <v/>
      </c>
    </row>
    <row r="578">
      <c r="A578" s="99"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c r="AD578">
        <f>IF(OR(T578="",Y578="",AA578=""),"",IF(AND(T578="ALTA",OR(AA578="L0 Inexistente",AA578="L1 Inicial / Ad Hoc",Y578="No Iniciado")),"CRÍTICO - Incumplimiento Normativo SEPS",IF(AND(OR(AA578="L4 Gestionado y Medible",AA578="L5 Optimizado"),AND(AC578&lt;&gt;"",AC578&lt;&gt;"N/A")),"CONFORME - Control Efectivo ISO 27001","OBSERVACIÓN - Revisar Controles")))</f>
        <v/>
      </c>
    </row>
    <row r="579">
      <c r="A579" s="99"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c r="AD579">
        <f>IF(OR(T579="",Y579="",AA579=""),"",IF(AND(T579="ALTA",OR(AA579="L0 Inexistente",AA579="L1 Inicial / Ad Hoc",Y579="No Iniciado")),"CRÍTICO - Incumplimiento Normativo SEPS",IF(AND(OR(AA579="L4 Gestionado y Medible",AA579="L5 Optimizado"),AND(AC579&lt;&gt;"",AC579&lt;&gt;"N/A")),"CONFORME - Control Efectivo ISO 27001","OBSERVACIÓN - Revisar Controles")))</f>
        <v/>
      </c>
    </row>
    <row r="580">
      <c r="A580" s="99"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c r="AD580">
        <f>IF(OR(T580="",Y580="",AA580=""),"",IF(AND(T580="ALTA",OR(AA580="L0 Inexistente",AA580="L1 Inicial / Ad Hoc",Y580="No Iniciado")),"CRÍTICO - Incumplimiento Normativo SEPS",IF(AND(OR(AA580="L4 Gestionado y Medible",AA580="L5 Optimizado"),AND(AC580&lt;&gt;"",AC580&lt;&gt;"N/A")),"CONFORME - Control Efectivo ISO 27001","OBSERVACIÓN - Revisar Controles")))</f>
        <v/>
      </c>
    </row>
    <row r="581">
      <c r="A581" s="99"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c r="AD581">
        <f>IF(OR(T581="",Y581="",AA581=""),"",IF(AND(T581="ALTA",OR(AA581="L0 Inexistente",AA581="L1 Inicial / Ad Hoc",Y581="No Iniciado")),"CRÍTICO - Incumplimiento Normativo SEPS",IF(AND(OR(AA581="L4 Gestionado y Medible",AA581="L5 Optimizado"),AND(AC581&lt;&gt;"",AC581&lt;&gt;"N/A")),"CONFORME - Control Efectivo ISO 27001","OBSERVACIÓN - Revisar Controles")))</f>
        <v/>
      </c>
    </row>
    <row r="582">
      <c r="A582" s="99"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c r="AD582">
        <f>IF(OR(T582="",Y582="",AA582=""),"",IF(AND(T582="ALTA",OR(AA582="L0 Inexistente",AA582="L1 Inicial / Ad Hoc",Y582="No Iniciado")),"CRÍTICO - Incumplimiento Normativo SEPS",IF(AND(OR(AA582="L4 Gestionado y Medible",AA582="L5 Optimizado"),AND(AC582&lt;&gt;"",AC582&lt;&gt;"N/A")),"CONFORME - Control Efectivo ISO 27001","OBSERVACIÓN - Revisar Controles")))</f>
        <v/>
      </c>
    </row>
    <row r="583">
      <c r="A583" s="99"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c r="AD583">
        <f>IF(OR(T583="",Y583="",AA583=""),"",IF(AND(T583="ALTA",OR(AA583="L0 Inexistente",AA583="L1 Inicial / Ad Hoc",Y583="No Iniciado")),"CRÍTICO - Incumplimiento Normativo SEPS",IF(AND(OR(AA583="L4 Gestionado y Medible",AA583="L5 Optimizado"),AND(AC583&lt;&gt;"",AC583&lt;&gt;"N/A")),"CONFORME - Control Efectivo ISO 27001","OBSERVACIÓN - Revisar Controles")))</f>
        <v/>
      </c>
    </row>
    <row r="584">
      <c r="A584" s="99"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c r="AD584">
        <f>IF(OR(T584="",Y584="",AA584=""),"",IF(AND(T584="ALTA",OR(AA584="L0 Inexistente",AA584="L1 Inicial / Ad Hoc",Y584="No Iniciado")),"CRÍTICO - Incumplimiento Normativo SEPS",IF(AND(OR(AA584="L4 Gestionado y Medible",AA584="L5 Optimizado"),AND(AC584&lt;&gt;"",AC584&lt;&gt;"N/A")),"CONFORME - Control Efectivo ISO 27001","OBSERVACIÓN - Revisar Controles")))</f>
        <v/>
      </c>
    </row>
    <row r="585">
      <c r="A585" s="99"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c r="AD585">
        <f>IF(OR(T585="",Y585="",AA585=""),"",IF(AND(T585="ALTA",OR(AA585="L0 Inexistente",AA585="L1 Inicial / Ad Hoc",Y585="No Iniciado")),"CRÍTICO - Incumplimiento Normativo SEPS",IF(AND(OR(AA585="L4 Gestionado y Medible",AA585="L5 Optimizado"),AND(AC585&lt;&gt;"",AC585&lt;&gt;"N/A")),"CONFORME - Control Efectivo ISO 27001","OBSERVACIÓN - Revisar Controles")))</f>
        <v/>
      </c>
    </row>
    <row r="586">
      <c r="A586" s="99"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c r="AD586">
        <f>IF(OR(T586="",Y586="",AA586=""),"",IF(AND(T586="ALTA",OR(AA586="L0 Inexistente",AA586="L1 Inicial / Ad Hoc",Y586="No Iniciado")),"CRÍTICO - Incumplimiento Normativo SEPS",IF(AND(OR(AA586="L4 Gestionado y Medible",AA586="L5 Optimizado"),AND(AC586&lt;&gt;"",AC586&lt;&gt;"N/A")),"CONFORME - Control Efectivo ISO 27001","OBSERVACIÓN - Revisar Controles")))</f>
        <v/>
      </c>
    </row>
    <row r="587">
      <c r="A587" s="99"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c r="AD587">
        <f>IF(OR(T587="",Y587="",AA587=""),"",IF(AND(T587="ALTA",OR(AA587="L0 Inexistente",AA587="L1 Inicial / Ad Hoc",Y587="No Iniciado")),"CRÍTICO - Incumplimiento Normativo SEPS",IF(AND(OR(AA587="L4 Gestionado y Medible",AA587="L5 Optimizado"),AND(AC587&lt;&gt;"",AC587&lt;&gt;"N/A")),"CONFORME - Control Efectivo ISO 27001","OBSERVACIÓN - Revisar Controles")))</f>
        <v/>
      </c>
    </row>
    <row r="588">
      <c r="A588" s="99"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c r="AD588">
        <f>IF(OR(T588="",Y588="",AA588=""),"",IF(AND(T588="ALTA",OR(AA588="L0 Inexistente",AA588="L1 Inicial / Ad Hoc",Y588="No Iniciado")),"CRÍTICO - Incumplimiento Normativo SEPS",IF(AND(OR(AA588="L4 Gestionado y Medible",AA588="L5 Optimizado"),AND(AC588&lt;&gt;"",AC588&lt;&gt;"N/A")),"CONFORME - Control Efectivo ISO 27001","OBSERVACIÓN - Revisar Controles")))</f>
        <v/>
      </c>
    </row>
    <row r="589">
      <c r="A589" s="99"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c r="AD589">
        <f>IF(OR(T589="",Y589="",AA589=""),"",IF(AND(T589="ALTA",OR(AA589="L0 Inexistente",AA589="L1 Inicial / Ad Hoc",Y589="No Iniciado")),"CRÍTICO - Incumplimiento Normativo SEPS",IF(AND(OR(AA589="L4 Gestionado y Medible",AA589="L5 Optimizado"),AND(AC589&lt;&gt;"",AC589&lt;&gt;"N/A")),"CONFORME - Control Efectivo ISO 27001","OBSERVACIÓN - Revisar Controles")))</f>
        <v/>
      </c>
    </row>
    <row r="590">
      <c r="A590" s="99"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c r="AD590">
        <f>IF(OR(T590="",Y590="",AA590=""),"",IF(AND(T590="ALTA",OR(AA590="L0 Inexistente",AA590="L1 Inicial / Ad Hoc",Y590="No Iniciado")),"CRÍTICO - Incumplimiento Normativo SEPS",IF(AND(OR(AA590="L4 Gestionado y Medible",AA590="L5 Optimizado"),AND(AC590&lt;&gt;"",AC590&lt;&gt;"N/A")),"CONFORME - Control Efectivo ISO 27001","OBSERVACIÓN - Revisar Controles")))</f>
        <v/>
      </c>
    </row>
    <row r="591">
      <c r="A591" s="99"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c r="AD591">
        <f>IF(OR(T591="",Y591="",AA591=""),"",IF(AND(T591="ALTA",OR(AA591="L0 Inexistente",AA591="L1 Inicial / Ad Hoc",Y591="No Iniciado")),"CRÍTICO - Incumplimiento Normativo SEPS",IF(AND(OR(AA591="L4 Gestionado y Medible",AA591="L5 Optimizado"),AND(AC591&lt;&gt;"",AC591&lt;&gt;"N/A")),"CONFORME - Control Efectivo ISO 27001","OBSERVACIÓN - Revisar Controles")))</f>
        <v/>
      </c>
    </row>
    <row r="592">
      <c r="A592" s="99"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c r="AD592">
        <f>IF(OR(T592="",Y592="",AA592=""),"",IF(AND(T592="ALTA",OR(AA592="L0 Inexistente",AA592="L1 Inicial / Ad Hoc",Y592="No Iniciado")),"CRÍTICO - Incumplimiento Normativo SEPS",IF(AND(OR(AA592="L4 Gestionado y Medible",AA592="L5 Optimizado"),AND(AC592&lt;&gt;"",AC592&lt;&gt;"N/A")),"CONFORME - Control Efectivo ISO 27001","OBSERVACIÓN - Revisar Controles")))</f>
        <v/>
      </c>
    </row>
    <row r="593">
      <c r="A593" s="99"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c r="AD593">
        <f>IF(OR(T593="",Y593="",AA593=""),"",IF(AND(T593="ALTA",OR(AA593="L0 Inexistente",AA593="L1 Inicial / Ad Hoc",Y593="No Iniciado")),"CRÍTICO - Incumplimiento Normativo SEPS",IF(AND(OR(AA593="L4 Gestionado y Medible",AA593="L5 Optimizado"),AND(AC593&lt;&gt;"",AC593&lt;&gt;"N/A")),"CONFORME - Control Efectivo ISO 27001","OBSERVACIÓN - Revisar Controles")))</f>
        <v/>
      </c>
    </row>
    <row r="594">
      <c r="A594" s="99"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c r="AD594">
        <f>IF(OR(T594="",Y594="",AA594=""),"",IF(AND(T594="ALTA",OR(AA594="L0 Inexistente",AA594="L1 Inicial / Ad Hoc",Y594="No Iniciado")),"CRÍTICO - Incumplimiento Normativo SEPS",IF(AND(OR(AA594="L4 Gestionado y Medible",AA594="L5 Optimizado"),AND(AC594&lt;&gt;"",AC594&lt;&gt;"N/A")),"CONFORME - Control Efectivo ISO 27001","OBSERVACIÓN - Revisar Controles")))</f>
        <v/>
      </c>
    </row>
    <row r="595">
      <c r="A595" s="99"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c r="AD595">
        <f>IF(OR(T595="",Y595="",AA595=""),"",IF(AND(T595="ALTA",OR(AA595="L0 Inexistente",AA595="L1 Inicial / Ad Hoc",Y595="No Iniciado")),"CRÍTICO - Incumplimiento Normativo SEPS",IF(AND(OR(AA595="L4 Gestionado y Medible",AA595="L5 Optimizado"),AND(AC595&lt;&gt;"",AC595&lt;&gt;"N/A")),"CONFORME - Control Efectivo ISO 27001","OBSERVACIÓN - Revisar Controles")))</f>
        <v/>
      </c>
    </row>
    <row r="596">
      <c r="A596" s="99"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c r="AD596">
        <f>IF(OR(T596="",Y596="",AA596=""),"",IF(AND(T596="ALTA",OR(AA596="L0 Inexistente",AA596="L1 Inicial / Ad Hoc",Y596="No Iniciado")),"CRÍTICO - Incumplimiento Normativo SEPS",IF(AND(OR(AA596="L4 Gestionado y Medible",AA596="L5 Optimizado"),AND(AC596&lt;&gt;"",AC596&lt;&gt;"N/A")),"CONFORME - Control Efectivo ISO 27001","OBSERVACIÓN - Revisar Controles")))</f>
        <v/>
      </c>
    </row>
    <row r="597">
      <c r="A597" s="99"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c r="AD597">
        <f>IF(OR(T597="",Y597="",AA597=""),"",IF(AND(T597="ALTA",OR(AA597="L0 Inexistente",AA597="L1 Inicial / Ad Hoc",Y597="No Iniciado")),"CRÍTICO - Incumplimiento Normativo SEPS",IF(AND(OR(AA597="L4 Gestionado y Medible",AA597="L5 Optimizado"),AND(AC597&lt;&gt;"",AC597&lt;&gt;"N/A")),"CONFORME - Control Efectivo ISO 27001","OBSERVACIÓN - Revisar Controles")))</f>
        <v/>
      </c>
    </row>
    <row r="598">
      <c r="A598" s="99"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c r="AD598">
        <f>IF(OR(T598="",Y598="",AA598=""),"",IF(AND(T598="ALTA",OR(AA598="L0 Inexistente",AA598="L1 Inicial / Ad Hoc",Y598="No Iniciado")),"CRÍTICO - Incumplimiento Normativo SEPS",IF(AND(OR(AA598="L4 Gestionado y Medible",AA598="L5 Optimizado"),AND(AC598&lt;&gt;"",AC598&lt;&gt;"N/A")),"CONFORME - Control Efectivo ISO 27001","OBSERVACIÓN - Revisar Controles")))</f>
        <v/>
      </c>
    </row>
    <row r="599">
      <c r="A599" s="99"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c r="AD599">
        <f>IF(OR(T599="",Y599="",AA599=""),"",IF(AND(T599="ALTA",OR(AA599="L0 Inexistente",AA599="L1 Inicial / Ad Hoc",Y599="No Iniciado")),"CRÍTICO - Incumplimiento Normativo SEPS",IF(AND(OR(AA599="L4 Gestionado y Medible",AA599="L5 Optimizado"),AND(AC599&lt;&gt;"",AC599&lt;&gt;"N/A")),"CONFORME - Control Efectivo ISO 27001","OBSERVACIÓN - Revisar Controles")))</f>
        <v/>
      </c>
    </row>
    <row r="600">
      <c r="A600" s="99"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c r="AD600">
        <f>IF(OR(T600="",Y600="",AA600=""),"",IF(AND(T600="ALTA",OR(AA600="L0 Inexistente",AA600="L1 Inicial / Ad Hoc",Y600="No Iniciado")),"CRÍTICO - Incumplimiento Normativo SEPS",IF(AND(OR(AA600="L4 Gestionado y Medible",AA600="L5 Optimizado"),AND(AC600&lt;&gt;"",AC600&lt;&gt;"N/A")),"CONFORME - Control Efectivo ISO 27001","OBSERVACIÓN - Revisar Controles")))</f>
        <v/>
      </c>
    </row>
    <row r="601">
      <c r="A601" s="99"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c r="AD601">
        <f>IF(OR(T601="",Y601="",AA601=""),"",IF(AND(T601="ALTA",OR(AA601="L0 Inexistente",AA601="L1 Inicial / Ad Hoc",Y601="No Iniciado")),"CRÍTICO - Incumplimiento Normativo SEPS",IF(AND(OR(AA601="L4 Gestionado y Medible",AA601="L5 Optimizado"),AND(AC601&lt;&gt;"",AC601&lt;&gt;"N/A")),"CONFORME - Control Efectivo ISO 27001","OBSERVACIÓN - Revisar Controles")))</f>
        <v/>
      </c>
    </row>
    <row r="602">
      <c r="A602" s="99"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c r="AD602">
        <f>IF(OR(T602="",Y602="",AA602=""),"",IF(AND(T602="ALTA",OR(AA602="L0 Inexistente",AA602="L1 Inicial / Ad Hoc",Y602="No Iniciado")),"CRÍTICO - Incumplimiento Normativo SEPS",IF(AND(OR(AA602="L4 Gestionado y Medible",AA602="L5 Optimizado"),AND(AC602&lt;&gt;"",AC602&lt;&gt;"N/A")),"CONFORME - Control Efectivo ISO 27001","OBSERVACIÓN - Revisar Controles")))</f>
        <v/>
      </c>
    </row>
    <row r="603">
      <c r="A603" s="99"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c r="AD603">
        <f>IF(OR(T603="",Y603="",AA603=""),"",IF(AND(T603="ALTA",OR(AA603="L0 Inexistente",AA603="L1 Inicial / Ad Hoc",Y603="No Iniciado")),"CRÍTICO - Incumplimiento Normativo SEPS",IF(AND(OR(AA603="L4 Gestionado y Medible",AA603="L5 Optimizado"),AND(AC603&lt;&gt;"",AC603&lt;&gt;"N/A")),"CONFORME - Control Efectivo ISO 27001","OBSERVACIÓN - Revisar Controles")))</f>
        <v/>
      </c>
    </row>
    <row r="604">
      <c r="A604" s="99"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c r="AD604">
        <f>IF(OR(T604="",Y604="",AA604=""),"",IF(AND(T604="ALTA",OR(AA604="L0 Inexistente",AA604="L1 Inicial / Ad Hoc",Y604="No Iniciado")),"CRÍTICO - Incumplimiento Normativo SEPS",IF(AND(OR(AA604="L4 Gestionado y Medible",AA604="L5 Optimizado"),AND(AC604&lt;&gt;"",AC604&lt;&gt;"N/A")),"CONFORME - Control Efectivo ISO 27001","OBSERVACIÓN - Revisar Controles")))</f>
        <v/>
      </c>
    </row>
    <row r="605">
      <c r="A605" s="99"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c r="AD605">
        <f>IF(OR(T605="",Y605="",AA605=""),"",IF(AND(T605="ALTA",OR(AA605="L0 Inexistente",AA605="L1 Inicial / Ad Hoc",Y605="No Iniciado")),"CRÍTICO - Incumplimiento Normativo SEPS",IF(AND(OR(AA605="L4 Gestionado y Medible",AA605="L5 Optimizado"),AND(AC605&lt;&gt;"",AC605&lt;&gt;"N/A")),"CONFORME - Control Efectivo ISO 27001","OBSERVACIÓN - Revisar Controles")))</f>
        <v/>
      </c>
    </row>
    <row r="606">
      <c r="A606" s="99"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c r="AD606">
        <f>IF(OR(T606="",Y606="",AA606=""),"",IF(AND(T606="ALTA",OR(AA606="L0 Inexistente",AA606="L1 Inicial / Ad Hoc",Y606="No Iniciado")),"CRÍTICO - Incumplimiento Normativo SEPS",IF(AND(OR(AA606="L4 Gestionado y Medible",AA606="L5 Optimizado"),AND(AC606&lt;&gt;"",AC606&lt;&gt;"N/A")),"CONFORME - Control Efectivo ISO 27001","OBSERVACIÓN - Revisar Controles")))</f>
        <v/>
      </c>
    </row>
    <row r="607">
      <c r="A607" s="99"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c r="AD607">
        <f>IF(OR(T607="",Y607="",AA607=""),"",IF(AND(T607="ALTA",OR(AA607="L0 Inexistente",AA607="L1 Inicial / Ad Hoc",Y607="No Iniciado")),"CRÍTICO - Incumplimiento Normativo SEPS",IF(AND(OR(AA607="L4 Gestionado y Medible",AA607="L5 Optimizado"),AND(AC607&lt;&gt;"",AC607&lt;&gt;"N/A")),"CONFORME - Control Efectivo ISO 27001","OBSERVACIÓN - Revisar Controles")))</f>
        <v/>
      </c>
    </row>
    <row r="608">
      <c r="A608" s="99"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c r="AD608">
        <f>IF(OR(T608="",Y608="",AA608=""),"",IF(AND(T608="ALTA",OR(AA608="L0 Inexistente",AA608="L1 Inicial / Ad Hoc",Y608="No Iniciado")),"CRÍTICO - Incumplimiento Normativo SEPS",IF(AND(OR(AA608="L4 Gestionado y Medible",AA608="L5 Optimizado"),AND(AC608&lt;&gt;"",AC608&lt;&gt;"N/A")),"CONFORME - Control Efectivo ISO 27001","OBSERVACIÓN - Revisar Controles")))</f>
        <v/>
      </c>
    </row>
    <row r="609">
      <c r="A609" s="99"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c r="AD609">
        <f>IF(OR(T609="",Y609="",AA609=""),"",IF(AND(T609="ALTA",OR(AA609="L0 Inexistente",AA609="L1 Inicial / Ad Hoc",Y609="No Iniciado")),"CRÍTICO - Incumplimiento Normativo SEPS",IF(AND(OR(AA609="L4 Gestionado y Medible",AA609="L5 Optimizado"),AND(AC609&lt;&gt;"",AC609&lt;&gt;"N/A")),"CONFORME - Control Efectivo ISO 27001","OBSERVACIÓN - Revisar Controles")))</f>
        <v/>
      </c>
    </row>
    <row r="610">
      <c r="A610" s="99"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c r="AD610">
        <f>IF(OR(T610="",Y610="",AA610=""),"",IF(AND(T610="ALTA",OR(AA610="L0 Inexistente",AA610="L1 Inicial / Ad Hoc",Y610="No Iniciado")),"CRÍTICO - Incumplimiento Normativo SEPS",IF(AND(OR(AA610="L4 Gestionado y Medible",AA610="L5 Optimizado"),AND(AC610&lt;&gt;"",AC610&lt;&gt;"N/A")),"CONFORME - Control Efectivo ISO 27001","OBSERVACIÓN - Revisar Controles")))</f>
        <v/>
      </c>
    </row>
    <row r="611">
      <c r="A611" s="99"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c r="AD611">
        <f>IF(OR(T611="",Y611="",AA611=""),"",IF(AND(T611="ALTA",OR(AA611="L0 Inexistente",AA611="L1 Inicial / Ad Hoc",Y611="No Iniciado")),"CRÍTICO - Incumplimiento Normativo SEPS",IF(AND(OR(AA611="L4 Gestionado y Medible",AA611="L5 Optimizado"),AND(AC611&lt;&gt;"",AC611&lt;&gt;"N/A")),"CONFORME - Control Efectivo ISO 27001","OBSERVACIÓN - Revisar Controles")))</f>
        <v/>
      </c>
    </row>
    <row r="612">
      <c r="A612" s="99"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c r="AD612">
        <f>IF(OR(T612="",Y612="",AA612=""),"",IF(AND(T612="ALTA",OR(AA612="L0 Inexistente",AA612="L1 Inicial / Ad Hoc",Y612="No Iniciado")),"CRÍTICO - Incumplimiento Normativo SEPS",IF(AND(OR(AA612="L4 Gestionado y Medible",AA612="L5 Optimizado"),AND(AC612&lt;&gt;"",AC612&lt;&gt;"N/A")),"CONFORME - Control Efectivo ISO 27001","OBSERVACIÓN - Revisar Controles")))</f>
        <v/>
      </c>
    </row>
    <row r="613">
      <c r="A613" s="99"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c r="AD613">
        <f>IF(OR(T613="",Y613="",AA613=""),"",IF(AND(T613="ALTA",OR(AA613="L0 Inexistente",AA613="L1 Inicial / Ad Hoc",Y613="No Iniciado")),"CRÍTICO - Incumplimiento Normativo SEPS",IF(AND(OR(AA613="L4 Gestionado y Medible",AA613="L5 Optimizado"),AND(AC613&lt;&gt;"",AC613&lt;&gt;"N/A")),"CONFORME - Control Efectivo ISO 27001","OBSERVACIÓN - Revisar Controles")))</f>
        <v/>
      </c>
    </row>
    <row r="614">
      <c r="A614" s="99"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c r="AD614">
        <f>IF(OR(T614="",Y614="",AA614=""),"",IF(AND(T614="ALTA",OR(AA614="L0 Inexistente",AA614="L1 Inicial / Ad Hoc",Y614="No Iniciado")),"CRÍTICO - Incumplimiento Normativo SEPS",IF(AND(OR(AA614="L4 Gestionado y Medible",AA614="L5 Optimizado"),AND(AC614&lt;&gt;"",AC614&lt;&gt;"N/A")),"CONFORME - Control Efectivo ISO 27001","OBSERVACIÓN - Revisar Controles")))</f>
        <v/>
      </c>
    </row>
    <row r="615">
      <c r="A615" s="99"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c r="AD615">
        <f>IF(OR(T615="",Y615="",AA615=""),"",IF(AND(T615="ALTA",OR(AA615="L0 Inexistente",AA615="L1 Inicial / Ad Hoc",Y615="No Iniciado")),"CRÍTICO - Incumplimiento Normativo SEPS",IF(AND(OR(AA615="L4 Gestionado y Medible",AA615="L5 Optimizado"),AND(AC615&lt;&gt;"",AC615&lt;&gt;"N/A")),"CONFORME - Control Efectivo ISO 27001","OBSERVACIÓN - Revisar Controles")))</f>
        <v/>
      </c>
    </row>
    <row r="616">
      <c r="A616" s="99"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c r="AD616">
        <f>IF(OR(T616="",Y616="",AA616=""),"",IF(AND(T616="ALTA",OR(AA616="L0 Inexistente",AA616="L1 Inicial / Ad Hoc",Y616="No Iniciado")),"CRÍTICO - Incumplimiento Normativo SEPS",IF(AND(OR(AA616="L4 Gestionado y Medible",AA616="L5 Optimizado"),AND(AC616&lt;&gt;"",AC616&lt;&gt;"N/A")),"CONFORME - Control Efectivo ISO 27001","OBSERVACIÓN - Revisar Controles")))</f>
        <v/>
      </c>
    </row>
    <row r="617">
      <c r="A617" s="99"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c r="AD617">
        <f>IF(OR(T617="",Y617="",AA617=""),"",IF(AND(T617="ALTA",OR(AA617="L0 Inexistente",AA617="L1 Inicial / Ad Hoc",Y617="No Iniciado")),"CRÍTICO - Incumplimiento Normativo SEPS",IF(AND(OR(AA617="L4 Gestionado y Medible",AA617="L5 Optimizado"),AND(AC617&lt;&gt;"",AC617&lt;&gt;"N/A")),"CONFORME - Control Efectivo ISO 27001","OBSERVACIÓN - Revisar Controles")))</f>
        <v/>
      </c>
    </row>
    <row r="618">
      <c r="A618" s="99"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c r="AD618">
        <f>IF(OR(T618="",Y618="",AA618=""),"",IF(AND(T618="ALTA",OR(AA618="L0 Inexistente",AA618="L1 Inicial / Ad Hoc",Y618="No Iniciado")),"CRÍTICO - Incumplimiento Normativo SEPS",IF(AND(OR(AA618="L4 Gestionado y Medible",AA618="L5 Optimizado"),AND(AC618&lt;&gt;"",AC618&lt;&gt;"N/A")),"CONFORME - Control Efectivo ISO 27001","OBSERVACIÓN - Revisar Controles")))</f>
        <v/>
      </c>
    </row>
    <row r="619">
      <c r="A619" s="99"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c r="AD619">
        <f>IF(OR(T619="",Y619="",AA619=""),"",IF(AND(T619="ALTA",OR(AA619="L0 Inexistente",AA619="L1 Inicial / Ad Hoc",Y619="No Iniciado")),"CRÍTICO - Incumplimiento Normativo SEPS",IF(AND(OR(AA619="L4 Gestionado y Medible",AA619="L5 Optimizado"),AND(AC619&lt;&gt;"",AC619&lt;&gt;"N/A")),"CONFORME - Control Efectivo ISO 27001","OBSERVACIÓN - Revisar Controles")))</f>
        <v/>
      </c>
    </row>
    <row r="620">
      <c r="A620" s="99"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c r="AD620">
        <f>IF(OR(T620="",Y620="",AA620=""),"",IF(AND(T620="ALTA",OR(AA620="L0 Inexistente",AA620="L1 Inicial / Ad Hoc",Y620="No Iniciado")),"CRÍTICO - Incumplimiento Normativo SEPS",IF(AND(OR(AA620="L4 Gestionado y Medible",AA620="L5 Optimizado"),AND(AC620&lt;&gt;"",AC620&lt;&gt;"N/A")),"CONFORME - Control Efectivo ISO 27001","OBSERVACIÓN - Revisar Controles")))</f>
        <v/>
      </c>
    </row>
    <row r="621">
      <c r="A621" s="99"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c r="AD621">
        <f>IF(OR(T621="",Y621="",AA621=""),"",IF(AND(T621="ALTA",OR(AA621="L0 Inexistente",AA621="L1 Inicial / Ad Hoc",Y621="No Iniciado")),"CRÍTICO - Incumplimiento Normativo SEPS",IF(AND(OR(AA621="L4 Gestionado y Medible",AA621="L5 Optimizado"),AND(AC621&lt;&gt;"",AC621&lt;&gt;"N/A")),"CONFORME - Control Efectivo ISO 27001","OBSERVACIÓN - Revisar Controles")))</f>
        <v/>
      </c>
    </row>
    <row r="622">
      <c r="A622" s="99"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c r="AD622">
        <f>IF(OR(T622="",Y622="",AA622=""),"",IF(AND(T622="ALTA",OR(AA622="L0 Inexistente",AA622="L1 Inicial / Ad Hoc",Y622="No Iniciado")),"CRÍTICO - Incumplimiento Normativo SEPS",IF(AND(OR(AA622="L4 Gestionado y Medible",AA622="L5 Optimizado"),AND(AC622&lt;&gt;"",AC622&lt;&gt;"N/A")),"CONFORME - Control Efectivo ISO 27001","OBSERVACIÓN - Revisar Controles")))</f>
        <v/>
      </c>
    </row>
    <row r="623">
      <c r="A623" s="99"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c r="AD623">
        <f>IF(OR(T623="",Y623="",AA623=""),"",IF(AND(T623="ALTA",OR(AA623="L0 Inexistente",AA623="L1 Inicial / Ad Hoc",Y623="No Iniciado")),"CRÍTICO - Incumplimiento Normativo SEPS",IF(AND(OR(AA623="L4 Gestionado y Medible",AA623="L5 Optimizado"),AND(AC623&lt;&gt;"",AC623&lt;&gt;"N/A")),"CONFORME - Control Efectivo ISO 27001","OBSERVACIÓN - Revisar Controles")))</f>
        <v/>
      </c>
    </row>
    <row r="624">
      <c r="A624" s="99"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c r="AD624">
        <f>IF(OR(T624="",Y624="",AA624=""),"",IF(AND(T624="ALTA",OR(AA624="L0 Inexistente",AA624="L1 Inicial / Ad Hoc",Y624="No Iniciado")),"CRÍTICO - Incumplimiento Normativo SEPS",IF(AND(OR(AA624="L4 Gestionado y Medible",AA624="L5 Optimizado"),AND(AC624&lt;&gt;"",AC624&lt;&gt;"N/A")),"CONFORME - Control Efectivo ISO 27001","OBSERVACIÓN - Revisar Controles")))</f>
        <v/>
      </c>
    </row>
    <row r="625">
      <c r="A625" s="99"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c r="AD625">
        <f>IF(OR(T625="",Y625="",AA625=""),"",IF(AND(T625="ALTA",OR(AA625="L0 Inexistente",AA625="L1 Inicial / Ad Hoc",Y625="No Iniciado")),"CRÍTICO - Incumplimiento Normativo SEPS",IF(AND(OR(AA625="L4 Gestionado y Medible",AA625="L5 Optimizado"),AND(AC625&lt;&gt;"",AC625&lt;&gt;"N/A")),"CONFORME - Control Efectivo ISO 27001","OBSERVACIÓN - Revisar Controles")))</f>
        <v/>
      </c>
    </row>
    <row r="626">
      <c r="A626" s="99"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c r="AD626">
        <f>IF(OR(T626="",Y626="",AA626=""),"",IF(AND(T626="ALTA",OR(AA626="L0 Inexistente",AA626="L1 Inicial / Ad Hoc",Y626="No Iniciado")),"CRÍTICO - Incumplimiento Normativo SEPS",IF(AND(OR(AA626="L4 Gestionado y Medible",AA626="L5 Optimizado"),AND(AC626&lt;&gt;"",AC626&lt;&gt;"N/A")),"CONFORME - Control Efectivo ISO 27001","OBSERVACIÓN - Revisar Controles")))</f>
        <v/>
      </c>
    </row>
    <row r="627">
      <c r="A627" s="99"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c r="AD627">
        <f>IF(OR(T627="",Y627="",AA627=""),"",IF(AND(T627="ALTA",OR(AA627="L0 Inexistente",AA627="L1 Inicial / Ad Hoc",Y627="No Iniciado")),"CRÍTICO - Incumplimiento Normativo SEPS",IF(AND(OR(AA627="L4 Gestionado y Medible",AA627="L5 Optimizado"),AND(AC627&lt;&gt;"",AC627&lt;&gt;"N/A")),"CONFORME - Control Efectivo ISO 27001","OBSERVACIÓN - Revisar Controles")))</f>
        <v/>
      </c>
    </row>
    <row r="628">
      <c r="A628" s="99"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c r="AD628">
        <f>IF(OR(T628="",Y628="",AA628=""),"",IF(AND(T628="ALTA",OR(AA628="L0 Inexistente",AA628="L1 Inicial / Ad Hoc",Y628="No Iniciado")),"CRÍTICO - Incumplimiento Normativo SEPS",IF(AND(OR(AA628="L4 Gestionado y Medible",AA628="L5 Optimizado"),AND(AC628&lt;&gt;"",AC628&lt;&gt;"N/A")),"CONFORME - Control Efectivo ISO 27001","OBSERVACIÓN - Revisar Controles")))</f>
        <v/>
      </c>
    </row>
    <row r="629">
      <c r="A629" s="99"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c r="AD629">
        <f>IF(OR(T629="",Y629="",AA629=""),"",IF(AND(T629="ALTA",OR(AA629="L0 Inexistente",AA629="L1 Inicial / Ad Hoc",Y629="No Iniciado")),"CRÍTICO - Incumplimiento Normativo SEPS",IF(AND(OR(AA629="L4 Gestionado y Medible",AA629="L5 Optimizado"),AND(AC629&lt;&gt;"",AC629&lt;&gt;"N/A")),"CONFORME - Control Efectivo ISO 27001","OBSERVACIÓN - Revisar Controles")))</f>
        <v/>
      </c>
    </row>
    <row r="630">
      <c r="A630" s="99"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c r="AD630">
        <f>IF(OR(T630="",Y630="",AA630=""),"",IF(AND(T630="ALTA",OR(AA630="L0 Inexistente",AA630="L1 Inicial / Ad Hoc",Y630="No Iniciado")),"CRÍTICO - Incumplimiento Normativo SEPS",IF(AND(OR(AA630="L4 Gestionado y Medible",AA630="L5 Optimizado"),AND(AC630&lt;&gt;"",AC630&lt;&gt;"N/A")),"CONFORME - Control Efectivo ISO 27001","OBSERVACIÓN - Revisar Controles")))</f>
        <v/>
      </c>
    </row>
    <row r="631">
      <c r="A631" s="99"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c r="AD631">
        <f>IF(OR(T631="",Y631="",AA631=""),"",IF(AND(T631="ALTA",OR(AA631="L0 Inexistente",AA631="L1 Inicial / Ad Hoc",Y631="No Iniciado")),"CRÍTICO - Incumplimiento Normativo SEPS",IF(AND(OR(AA631="L4 Gestionado y Medible",AA631="L5 Optimizado"),AND(AC631&lt;&gt;"",AC631&lt;&gt;"N/A")),"CONFORME - Control Efectivo ISO 27001","OBSERVACIÓN - Revisar Controles")))</f>
        <v/>
      </c>
    </row>
    <row r="632">
      <c r="A632" s="99"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c r="AD632">
        <f>IF(OR(T632="",Y632="",AA632=""),"",IF(AND(T632="ALTA",OR(AA632="L0 Inexistente",AA632="L1 Inicial / Ad Hoc",Y632="No Iniciado")),"CRÍTICO - Incumplimiento Normativo SEPS",IF(AND(OR(AA632="L4 Gestionado y Medible",AA632="L5 Optimizado"),AND(AC632&lt;&gt;"",AC632&lt;&gt;"N/A")),"CONFORME - Control Efectivo ISO 27001","OBSERVACIÓN - Revisar Controles")))</f>
        <v/>
      </c>
    </row>
    <row r="633">
      <c r="A633" s="99"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c r="AD633">
        <f>IF(OR(T633="",Y633="",AA633=""),"",IF(AND(T633="ALTA",OR(AA633="L0 Inexistente",AA633="L1 Inicial / Ad Hoc",Y633="No Iniciado")),"CRÍTICO - Incumplimiento Normativo SEPS",IF(AND(OR(AA633="L4 Gestionado y Medible",AA633="L5 Optimizado"),AND(AC633&lt;&gt;"",AC633&lt;&gt;"N/A")),"CONFORME - Control Efectivo ISO 27001","OBSERVACIÓN - Revisar Controles")))</f>
        <v/>
      </c>
    </row>
    <row r="634">
      <c r="A634" s="99"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c r="AD634">
        <f>IF(OR(T634="",Y634="",AA634=""),"",IF(AND(T634="ALTA",OR(AA634="L0 Inexistente",AA634="L1 Inicial / Ad Hoc",Y634="No Iniciado")),"CRÍTICO - Incumplimiento Normativo SEPS",IF(AND(OR(AA634="L4 Gestionado y Medible",AA634="L5 Optimizado"),AND(AC634&lt;&gt;"",AC634&lt;&gt;"N/A")),"CONFORME - Control Efectivo ISO 27001","OBSERVACIÓN - Revisar Controles")))</f>
        <v/>
      </c>
    </row>
    <row r="635">
      <c r="A635" s="99"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c r="AD635">
        <f>IF(OR(T635="",Y635="",AA635=""),"",IF(AND(T635="ALTA",OR(AA635="L0 Inexistente",AA635="L1 Inicial / Ad Hoc",Y635="No Iniciado")),"CRÍTICO - Incumplimiento Normativo SEPS",IF(AND(OR(AA635="L4 Gestionado y Medible",AA635="L5 Optimizado"),AND(AC635&lt;&gt;"",AC635&lt;&gt;"N/A")),"CONFORME - Control Efectivo ISO 27001","OBSERVACIÓN - Revisar Controles")))</f>
        <v/>
      </c>
    </row>
    <row r="636">
      <c r="A636" s="99"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c r="AD636">
        <f>IF(OR(T636="",Y636="",AA636=""),"",IF(AND(T636="ALTA",OR(AA636="L0 Inexistente",AA636="L1 Inicial / Ad Hoc",Y636="No Iniciado")),"CRÍTICO - Incumplimiento Normativo SEPS",IF(AND(OR(AA636="L4 Gestionado y Medible",AA636="L5 Optimizado"),AND(AC636&lt;&gt;"",AC636&lt;&gt;"N/A")),"CONFORME - Control Efectivo ISO 27001","OBSERVACIÓN - Revisar Controles")))</f>
        <v/>
      </c>
    </row>
    <row r="637">
      <c r="A637" s="99"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c r="AD637">
        <f>IF(OR(T637="",Y637="",AA637=""),"",IF(AND(T637="ALTA",OR(AA637="L0 Inexistente",AA637="L1 Inicial / Ad Hoc",Y637="No Iniciado")),"CRÍTICO - Incumplimiento Normativo SEPS",IF(AND(OR(AA637="L4 Gestionado y Medible",AA637="L5 Optimizado"),AND(AC637&lt;&gt;"",AC637&lt;&gt;"N/A")),"CONFORME - Control Efectivo ISO 27001","OBSERVACIÓN - Revisar Controles")))</f>
        <v/>
      </c>
    </row>
    <row r="638">
      <c r="A638" s="99"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c r="AD638">
        <f>IF(OR(T638="",Y638="",AA638=""),"",IF(AND(T638="ALTA",OR(AA638="L0 Inexistente",AA638="L1 Inicial / Ad Hoc",Y638="No Iniciado")),"CRÍTICO - Incumplimiento Normativo SEPS",IF(AND(OR(AA638="L4 Gestionado y Medible",AA638="L5 Optimizado"),AND(AC638&lt;&gt;"",AC638&lt;&gt;"N/A")),"CONFORME - Control Efectivo ISO 27001","OBSERVACIÓN - Revisar Controles")))</f>
        <v/>
      </c>
    </row>
    <row r="639">
      <c r="A639" s="99"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c r="AD639">
        <f>IF(OR(T639="",Y639="",AA639=""),"",IF(AND(T639="ALTA",OR(AA639="L0 Inexistente",AA639="L1 Inicial / Ad Hoc",Y639="No Iniciado")),"CRÍTICO - Incumplimiento Normativo SEPS",IF(AND(OR(AA639="L4 Gestionado y Medible",AA639="L5 Optimizado"),AND(AC639&lt;&gt;"",AC639&lt;&gt;"N/A")),"CONFORME - Control Efectivo ISO 27001","OBSERVACIÓN - Revisar Controles")))</f>
        <v/>
      </c>
    </row>
    <row r="640">
      <c r="A640" s="99"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c r="AD640">
        <f>IF(OR(T640="",Y640="",AA640=""),"",IF(AND(T640="ALTA",OR(AA640="L0 Inexistente",AA640="L1 Inicial / Ad Hoc",Y640="No Iniciado")),"CRÍTICO - Incumplimiento Normativo SEPS",IF(AND(OR(AA640="L4 Gestionado y Medible",AA640="L5 Optimizado"),AND(AC640&lt;&gt;"",AC640&lt;&gt;"N/A")),"CONFORME - Control Efectivo ISO 27001","OBSERVACIÓN - Revisar Controles")))</f>
        <v/>
      </c>
    </row>
    <row r="641">
      <c r="A641" s="99"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c r="AD641">
        <f>IF(OR(T641="",Y641="",AA641=""),"",IF(AND(T641="ALTA",OR(AA641="L0 Inexistente",AA641="L1 Inicial / Ad Hoc",Y641="No Iniciado")),"CRÍTICO - Incumplimiento Normativo SEPS",IF(AND(OR(AA641="L4 Gestionado y Medible",AA641="L5 Optimizado"),AND(AC641&lt;&gt;"",AC641&lt;&gt;"N/A")),"CONFORME - Control Efectivo ISO 27001","OBSERVACIÓN - Revisar Controles")))</f>
        <v/>
      </c>
    </row>
    <row r="642">
      <c r="A642" s="99"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c r="AD642">
        <f>IF(OR(T642="",Y642="",AA642=""),"",IF(AND(T642="ALTA",OR(AA642="L0 Inexistente",AA642="L1 Inicial / Ad Hoc",Y642="No Iniciado")),"CRÍTICO - Incumplimiento Normativo SEPS",IF(AND(OR(AA642="L4 Gestionado y Medible",AA642="L5 Optimizado"),AND(AC642&lt;&gt;"",AC642&lt;&gt;"N/A")),"CONFORME - Control Efectivo ISO 27001","OBSERVACIÓN - Revisar Controles")))</f>
        <v/>
      </c>
    </row>
    <row r="643">
      <c r="A643" s="99"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c r="AD643">
        <f>IF(OR(T643="",Y643="",AA643=""),"",IF(AND(T643="ALTA",OR(AA643="L0 Inexistente",AA643="L1 Inicial / Ad Hoc",Y643="No Iniciado")),"CRÍTICO - Incumplimiento Normativo SEPS",IF(AND(OR(AA643="L4 Gestionado y Medible",AA643="L5 Optimizado"),AND(AC643&lt;&gt;"",AC643&lt;&gt;"N/A")),"CONFORME - Control Efectivo ISO 27001","OBSERVACIÓN - Revisar Controles")))</f>
        <v/>
      </c>
    </row>
    <row r="644">
      <c r="A644" s="99"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c r="AD644">
        <f>IF(OR(T644="",Y644="",AA644=""),"",IF(AND(T644="ALTA",OR(AA644="L0 Inexistente",AA644="L1 Inicial / Ad Hoc",Y644="No Iniciado")),"CRÍTICO - Incumplimiento Normativo SEPS",IF(AND(OR(AA644="L4 Gestionado y Medible",AA644="L5 Optimizado"),AND(AC644&lt;&gt;"",AC644&lt;&gt;"N/A")),"CONFORME - Control Efectivo ISO 27001","OBSERVACIÓN - Revisar Controles")))</f>
        <v/>
      </c>
    </row>
    <row r="645">
      <c r="A645" s="99"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c r="AD645">
        <f>IF(OR(T645="",Y645="",AA645=""),"",IF(AND(T645="ALTA",OR(AA645="L0 Inexistente",AA645="L1 Inicial / Ad Hoc",Y645="No Iniciado")),"CRÍTICO - Incumplimiento Normativo SEPS",IF(AND(OR(AA645="L4 Gestionado y Medible",AA645="L5 Optimizado"),AND(AC645&lt;&gt;"",AC645&lt;&gt;"N/A")),"CONFORME - Control Efectivo ISO 27001","OBSERVACIÓN - Revisar Controles")))</f>
        <v/>
      </c>
    </row>
    <row r="646">
      <c r="A646" s="99"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c r="AD646">
        <f>IF(OR(T646="",Y646="",AA646=""),"",IF(AND(T646="ALTA",OR(AA646="L0 Inexistente",AA646="L1 Inicial / Ad Hoc",Y646="No Iniciado")),"CRÍTICO - Incumplimiento Normativo SEPS",IF(AND(OR(AA646="L4 Gestionado y Medible",AA646="L5 Optimizado"),AND(AC646&lt;&gt;"",AC646&lt;&gt;"N/A")),"CONFORME - Control Efectivo ISO 27001","OBSERVACIÓN - Revisar Controles")))</f>
        <v/>
      </c>
    </row>
    <row r="647">
      <c r="A647" s="99"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c r="AD647">
        <f>IF(OR(T647="",Y647="",AA647=""),"",IF(AND(T647="ALTA",OR(AA647="L0 Inexistente",AA647="L1 Inicial / Ad Hoc",Y647="No Iniciado")),"CRÍTICO - Incumplimiento Normativo SEPS",IF(AND(OR(AA647="L4 Gestionado y Medible",AA647="L5 Optimizado"),AND(AC647&lt;&gt;"",AC647&lt;&gt;"N/A")),"CONFORME - Control Efectivo ISO 27001","OBSERVACIÓN - Revisar Controles")))</f>
        <v/>
      </c>
    </row>
    <row r="648">
      <c r="A648" s="99"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c r="AD648">
        <f>IF(OR(T648="",Y648="",AA648=""),"",IF(AND(T648="ALTA",OR(AA648="L0 Inexistente",AA648="L1 Inicial / Ad Hoc",Y648="No Iniciado")),"CRÍTICO - Incumplimiento Normativo SEPS",IF(AND(OR(AA648="L4 Gestionado y Medible",AA648="L5 Optimizado"),AND(AC648&lt;&gt;"",AC648&lt;&gt;"N/A")),"CONFORME - Control Efectivo ISO 27001","OBSERVACIÓN - Revisar Controles")))</f>
        <v/>
      </c>
    </row>
    <row r="649">
      <c r="A649" s="99"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c r="AD649">
        <f>IF(OR(T649="",Y649="",AA649=""),"",IF(AND(T649="ALTA",OR(AA649="L0 Inexistente",AA649="L1 Inicial / Ad Hoc",Y649="No Iniciado")),"CRÍTICO - Incumplimiento Normativo SEPS",IF(AND(OR(AA649="L4 Gestionado y Medible",AA649="L5 Optimizado"),AND(AC649&lt;&gt;"",AC649&lt;&gt;"N/A")),"CONFORME - Control Efectivo ISO 27001","OBSERVACIÓN - Revisar Controles")))</f>
        <v/>
      </c>
    </row>
    <row r="650">
      <c r="A650" s="99"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c r="AD650">
        <f>IF(OR(T650="",Y650="",AA650=""),"",IF(AND(T650="ALTA",OR(AA650="L0 Inexistente",AA650="L1 Inicial / Ad Hoc",Y650="No Iniciado")),"CRÍTICO - Incumplimiento Normativo SEPS",IF(AND(OR(AA650="L4 Gestionado y Medible",AA650="L5 Optimizado"),AND(AC650&lt;&gt;"",AC650&lt;&gt;"N/A")),"CONFORME - Control Efectivo ISO 27001","OBSERVACIÓN - Revisar Controles")))</f>
        <v/>
      </c>
    </row>
    <row r="651">
      <c r="A651" s="99"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c r="AD651">
        <f>IF(OR(T651="",Y651="",AA651=""),"",IF(AND(T651="ALTA",OR(AA651="L0 Inexistente",AA651="L1 Inicial / Ad Hoc",Y651="No Iniciado")),"CRÍTICO - Incumplimiento Normativo SEPS",IF(AND(OR(AA651="L4 Gestionado y Medible",AA651="L5 Optimizado"),AND(AC651&lt;&gt;"",AC651&lt;&gt;"N/A")),"CONFORME - Control Efectivo ISO 27001","OBSERVACIÓN - Revisar Controles")))</f>
        <v/>
      </c>
    </row>
    <row r="652">
      <c r="A652" s="99"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c r="AD652">
        <f>IF(OR(T652="",Y652="",AA652=""),"",IF(AND(T652="ALTA",OR(AA652="L0 Inexistente",AA652="L1 Inicial / Ad Hoc",Y652="No Iniciado")),"CRÍTICO - Incumplimiento Normativo SEPS",IF(AND(OR(AA652="L4 Gestionado y Medible",AA652="L5 Optimizado"),AND(AC652&lt;&gt;"",AC652&lt;&gt;"N/A")),"CONFORME - Control Efectivo ISO 27001","OBSERVACIÓN - Revisar Controles")))</f>
        <v/>
      </c>
    </row>
    <row r="653">
      <c r="A653" s="99"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c r="AD653">
        <f>IF(OR(T653="",Y653="",AA653=""),"",IF(AND(T653="ALTA",OR(AA653="L0 Inexistente",AA653="L1 Inicial / Ad Hoc",Y653="No Iniciado")),"CRÍTICO - Incumplimiento Normativo SEPS",IF(AND(OR(AA653="L4 Gestionado y Medible",AA653="L5 Optimizado"),AND(AC653&lt;&gt;"",AC653&lt;&gt;"N/A")),"CONFORME - Control Efectivo ISO 27001","OBSERVACIÓN - Revisar Controles")))</f>
        <v/>
      </c>
    </row>
    <row r="654">
      <c r="A654" s="99"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c r="AD654">
        <f>IF(OR(T654="",Y654="",AA654=""),"",IF(AND(T654="ALTA",OR(AA654="L0 Inexistente",AA654="L1 Inicial / Ad Hoc",Y654="No Iniciado")),"CRÍTICO - Incumplimiento Normativo SEPS",IF(AND(OR(AA654="L4 Gestionado y Medible",AA654="L5 Optimizado"),AND(AC654&lt;&gt;"",AC654&lt;&gt;"N/A")),"CONFORME - Control Efectivo ISO 27001","OBSERVACIÓN - Revisar Controles")))</f>
        <v/>
      </c>
    </row>
    <row r="655">
      <c r="A655" s="99"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c r="AD655">
        <f>IF(OR(T655="",Y655="",AA655=""),"",IF(AND(T655="ALTA",OR(AA655="L0 Inexistente",AA655="L1 Inicial / Ad Hoc",Y655="No Iniciado")),"CRÍTICO - Incumplimiento Normativo SEPS",IF(AND(OR(AA655="L4 Gestionado y Medible",AA655="L5 Optimizado"),AND(AC655&lt;&gt;"",AC655&lt;&gt;"N/A")),"CONFORME - Control Efectivo ISO 27001","OBSERVACIÓN - Revisar Controles")))</f>
        <v/>
      </c>
    </row>
    <row r="656">
      <c r="A656" s="99"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c r="AD656">
        <f>IF(OR(T656="",Y656="",AA656=""),"",IF(AND(T656="ALTA",OR(AA656="L0 Inexistente",AA656="L1 Inicial / Ad Hoc",Y656="No Iniciado")),"CRÍTICO - Incumplimiento Normativo SEPS",IF(AND(OR(AA656="L4 Gestionado y Medible",AA656="L5 Optimizado"),AND(AC656&lt;&gt;"",AC656&lt;&gt;"N/A")),"CONFORME - Control Efectivo ISO 27001","OBSERVACIÓN - Revisar Controles")))</f>
        <v/>
      </c>
    </row>
    <row r="657">
      <c r="A657" s="99"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c r="AD657">
        <f>IF(OR(T657="",Y657="",AA657=""),"",IF(AND(T657="ALTA",OR(AA657="L0 Inexistente",AA657="L1 Inicial / Ad Hoc",Y657="No Iniciado")),"CRÍTICO - Incumplimiento Normativo SEPS",IF(AND(OR(AA657="L4 Gestionado y Medible",AA657="L5 Optimizado"),AND(AC657&lt;&gt;"",AC657&lt;&gt;"N/A")),"CONFORME - Control Efectivo ISO 27001","OBSERVACIÓN - Revisar Controles")))</f>
        <v/>
      </c>
    </row>
    <row r="658">
      <c r="A658" s="99"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c r="AD658">
        <f>IF(OR(T658="",Y658="",AA658=""),"",IF(AND(T658="ALTA",OR(AA658="L0 Inexistente",AA658="L1 Inicial / Ad Hoc",Y658="No Iniciado")),"CRÍTICO - Incumplimiento Normativo SEPS",IF(AND(OR(AA658="L4 Gestionado y Medible",AA658="L5 Optimizado"),AND(AC658&lt;&gt;"",AC658&lt;&gt;"N/A")),"CONFORME - Control Efectivo ISO 27001","OBSERVACIÓN - Revisar Controles")))</f>
        <v/>
      </c>
    </row>
    <row r="659">
      <c r="A659" s="99"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c r="AD659">
        <f>IF(OR(T659="",Y659="",AA659=""),"",IF(AND(T659="ALTA",OR(AA659="L0 Inexistente",AA659="L1 Inicial / Ad Hoc",Y659="No Iniciado")),"CRÍTICO - Incumplimiento Normativo SEPS",IF(AND(OR(AA659="L4 Gestionado y Medible",AA659="L5 Optimizado"),AND(AC659&lt;&gt;"",AC659&lt;&gt;"N/A")),"CONFORME - Control Efectivo ISO 27001","OBSERVACIÓN - Revisar Controles")))</f>
        <v/>
      </c>
    </row>
    <row r="660">
      <c r="A660" s="99"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c r="AD660">
        <f>IF(OR(T660="",Y660="",AA660=""),"",IF(AND(T660="ALTA",OR(AA660="L0 Inexistente",AA660="L1 Inicial / Ad Hoc",Y660="No Iniciado")),"CRÍTICO - Incumplimiento Normativo SEPS",IF(AND(OR(AA660="L4 Gestionado y Medible",AA660="L5 Optimizado"),AND(AC660&lt;&gt;"",AC660&lt;&gt;"N/A")),"CONFORME - Control Efectivo ISO 27001","OBSERVACIÓN - Revisar Controles")))</f>
        <v/>
      </c>
    </row>
    <row r="661">
      <c r="A661" s="99"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c r="AD661">
        <f>IF(OR(T661="",Y661="",AA661=""),"",IF(AND(T661="ALTA",OR(AA661="L0 Inexistente",AA661="L1 Inicial / Ad Hoc",Y661="No Iniciado")),"CRÍTICO - Incumplimiento Normativo SEPS",IF(AND(OR(AA661="L4 Gestionado y Medible",AA661="L5 Optimizado"),AND(AC661&lt;&gt;"",AC661&lt;&gt;"N/A")),"CONFORME - Control Efectivo ISO 27001","OBSERVACIÓN - Revisar Controles")))</f>
        <v/>
      </c>
    </row>
    <row r="662">
      <c r="A662" s="99"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c r="AD662">
        <f>IF(OR(T662="",Y662="",AA662=""),"",IF(AND(T662="ALTA",OR(AA662="L0 Inexistente",AA662="L1 Inicial / Ad Hoc",Y662="No Iniciado")),"CRÍTICO - Incumplimiento Normativo SEPS",IF(AND(OR(AA662="L4 Gestionado y Medible",AA662="L5 Optimizado"),AND(AC662&lt;&gt;"",AC662&lt;&gt;"N/A")),"CONFORME - Control Efectivo ISO 27001","OBSERVACIÓN - Revisar Controles")))</f>
        <v/>
      </c>
    </row>
    <row r="663">
      <c r="A663" s="99"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c r="AD663">
        <f>IF(OR(T663="",Y663="",AA663=""),"",IF(AND(T663="ALTA",OR(AA663="L0 Inexistente",AA663="L1 Inicial / Ad Hoc",Y663="No Iniciado")),"CRÍTICO - Incumplimiento Normativo SEPS",IF(AND(OR(AA663="L4 Gestionado y Medible",AA663="L5 Optimizado"),AND(AC663&lt;&gt;"",AC663&lt;&gt;"N/A")),"CONFORME - Control Efectivo ISO 27001","OBSERVACIÓN - Revisar Controles")))</f>
        <v/>
      </c>
    </row>
    <row r="664">
      <c r="A664" s="99"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c r="AD664">
        <f>IF(OR(T664="",Y664="",AA664=""),"",IF(AND(T664="ALTA",OR(AA664="L0 Inexistente",AA664="L1 Inicial / Ad Hoc",Y664="No Iniciado")),"CRÍTICO - Incumplimiento Normativo SEPS",IF(AND(OR(AA664="L4 Gestionado y Medible",AA664="L5 Optimizado"),AND(AC664&lt;&gt;"",AC664&lt;&gt;"N/A")),"CONFORME - Control Efectivo ISO 27001","OBSERVACIÓN - Revisar Controles")))</f>
        <v/>
      </c>
    </row>
    <row r="665">
      <c r="A665" s="99"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c r="AD665">
        <f>IF(OR(T665="",Y665="",AA665=""),"",IF(AND(T665="ALTA",OR(AA665="L0 Inexistente",AA665="L1 Inicial / Ad Hoc",Y665="No Iniciado")),"CRÍTICO - Incumplimiento Normativo SEPS",IF(AND(OR(AA665="L4 Gestionado y Medible",AA665="L5 Optimizado"),AND(AC665&lt;&gt;"",AC665&lt;&gt;"N/A")),"CONFORME - Control Efectivo ISO 27001","OBSERVACIÓN - Revisar Controles")))</f>
        <v/>
      </c>
    </row>
    <row r="666">
      <c r="A666" s="99"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c r="AD666">
        <f>IF(OR(T666="",Y666="",AA666=""),"",IF(AND(T666="ALTA",OR(AA666="L0 Inexistente",AA666="L1 Inicial / Ad Hoc",Y666="No Iniciado")),"CRÍTICO - Incumplimiento Normativo SEPS",IF(AND(OR(AA666="L4 Gestionado y Medible",AA666="L5 Optimizado"),AND(AC666&lt;&gt;"",AC666&lt;&gt;"N/A")),"CONFORME - Control Efectivo ISO 27001","OBSERVACIÓN - Revisar Controles")))</f>
        <v/>
      </c>
    </row>
    <row r="667">
      <c r="A667" s="99"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c r="AD667">
        <f>IF(OR(T667="",Y667="",AA667=""),"",IF(AND(T667="ALTA",OR(AA667="L0 Inexistente",AA667="L1 Inicial / Ad Hoc",Y667="No Iniciado")),"CRÍTICO - Incumplimiento Normativo SEPS",IF(AND(OR(AA667="L4 Gestionado y Medible",AA667="L5 Optimizado"),AND(AC667&lt;&gt;"",AC667&lt;&gt;"N/A")),"CONFORME - Control Efectivo ISO 27001","OBSERVACIÓN - Revisar Controles")))</f>
        <v/>
      </c>
    </row>
    <row r="668">
      <c r="A668" s="99"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c r="AD668">
        <f>IF(OR(T668="",Y668="",AA668=""),"",IF(AND(T668="ALTA",OR(AA668="L0 Inexistente",AA668="L1 Inicial / Ad Hoc",Y668="No Iniciado")),"CRÍTICO - Incumplimiento Normativo SEPS",IF(AND(OR(AA668="L4 Gestionado y Medible",AA668="L5 Optimizado"),AND(AC668&lt;&gt;"",AC668&lt;&gt;"N/A")),"CONFORME - Control Efectivo ISO 27001","OBSERVACIÓN - Revisar Controles")))</f>
        <v/>
      </c>
    </row>
    <row r="669">
      <c r="A669" s="99"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c r="AD669">
        <f>IF(OR(T669="",Y669="",AA669=""),"",IF(AND(T669="ALTA",OR(AA669="L0 Inexistente",AA669="L1 Inicial / Ad Hoc",Y669="No Iniciado")),"CRÍTICO - Incumplimiento Normativo SEPS",IF(AND(OR(AA669="L4 Gestionado y Medible",AA669="L5 Optimizado"),AND(AC669&lt;&gt;"",AC669&lt;&gt;"N/A")),"CONFORME - Control Efectivo ISO 27001","OBSERVACIÓN - Revisar Controles")))</f>
        <v/>
      </c>
    </row>
    <row r="670">
      <c r="A670" s="99"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c r="AD670">
        <f>IF(OR(T670="",Y670="",AA670=""),"",IF(AND(T670="ALTA",OR(AA670="L0 Inexistente",AA670="L1 Inicial / Ad Hoc",Y670="No Iniciado")),"CRÍTICO - Incumplimiento Normativo SEPS",IF(AND(OR(AA670="L4 Gestionado y Medible",AA670="L5 Optimizado"),AND(AC670&lt;&gt;"",AC670&lt;&gt;"N/A")),"CONFORME - Control Efectivo ISO 27001","OBSERVACIÓN - Revisar Controles")))</f>
        <v/>
      </c>
    </row>
    <row r="671">
      <c r="A671" s="99"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c r="AD671">
        <f>IF(OR(T671="",Y671="",AA671=""),"",IF(AND(T671="ALTA",OR(AA671="L0 Inexistente",AA671="L1 Inicial / Ad Hoc",Y671="No Iniciado")),"CRÍTICO - Incumplimiento Normativo SEPS",IF(AND(OR(AA671="L4 Gestionado y Medible",AA671="L5 Optimizado"),AND(AC671&lt;&gt;"",AC671&lt;&gt;"N/A")),"CONFORME - Control Efectivo ISO 27001","OBSERVACIÓN - Revisar Controles")))</f>
        <v/>
      </c>
    </row>
    <row r="672">
      <c r="A672" s="99"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c r="AD672">
        <f>IF(OR(T672="",Y672="",AA672=""),"",IF(AND(T672="ALTA",OR(AA672="L0 Inexistente",AA672="L1 Inicial / Ad Hoc",Y672="No Iniciado")),"CRÍTICO - Incumplimiento Normativo SEPS",IF(AND(OR(AA672="L4 Gestionado y Medible",AA672="L5 Optimizado"),AND(AC672&lt;&gt;"",AC672&lt;&gt;"N/A")),"CONFORME - Control Efectivo ISO 27001","OBSERVACIÓN - Revisar Controles")))</f>
        <v/>
      </c>
    </row>
    <row r="673">
      <c r="A673" s="99"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c r="AD673">
        <f>IF(OR(T673="",Y673="",AA673=""),"",IF(AND(T673="ALTA",OR(AA673="L0 Inexistente",AA673="L1 Inicial / Ad Hoc",Y673="No Iniciado")),"CRÍTICO - Incumplimiento Normativo SEPS",IF(AND(OR(AA673="L4 Gestionado y Medible",AA673="L5 Optimizado"),AND(AC673&lt;&gt;"",AC673&lt;&gt;"N/A")),"CONFORME - Control Efectivo ISO 27001","OBSERVACIÓN - Revisar Controles")))</f>
        <v/>
      </c>
    </row>
    <row r="674">
      <c r="A674" s="99"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c r="AD674">
        <f>IF(OR(T674="",Y674="",AA674=""),"",IF(AND(T674="ALTA",OR(AA674="L0 Inexistente",AA674="L1 Inicial / Ad Hoc",Y674="No Iniciado")),"CRÍTICO - Incumplimiento Normativo SEPS",IF(AND(OR(AA674="L4 Gestionado y Medible",AA674="L5 Optimizado"),AND(AC674&lt;&gt;"",AC674&lt;&gt;"N/A")),"CONFORME - Control Efectivo ISO 27001","OBSERVACIÓN - Revisar Controles")))</f>
        <v/>
      </c>
    </row>
    <row r="675">
      <c r="A675" s="99"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c r="AD675">
        <f>IF(OR(T675="",Y675="",AA675=""),"",IF(AND(T675="ALTA",OR(AA675="L0 Inexistente",AA675="L1 Inicial / Ad Hoc",Y675="No Iniciado")),"CRÍTICO - Incumplimiento Normativo SEPS",IF(AND(OR(AA675="L4 Gestionado y Medible",AA675="L5 Optimizado"),AND(AC675&lt;&gt;"",AC675&lt;&gt;"N/A")),"CONFORME - Control Efectivo ISO 27001","OBSERVACIÓN - Revisar Controles")))</f>
        <v/>
      </c>
    </row>
    <row r="676">
      <c r="A676" s="99"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c r="AD676">
        <f>IF(OR(T676="",Y676="",AA676=""),"",IF(AND(T676="ALTA",OR(AA676="L0 Inexistente",AA676="L1 Inicial / Ad Hoc",Y676="No Iniciado")),"CRÍTICO - Incumplimiento Normativo SEPS",IF(AND(OR(AA676="L4 Gestionado y Medible",AA676="L5 Optimizado"),AND(AC676&lt;&gt;"",AC676&lt;&gt;"N/A")),"CONFORME - Control Efectivo ISO 27001","OBSERVACIÓN - Revisar Controles")))</f>
        <v/>
      </c>
    </row>
    <row r="677">
      <c r="A677" s="99"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c r="AD677">
        <f>IF(OR(T677="",Y677="",AA677=""),"",IF(AND(T677="ALTA",OR(AA677="L0 Inexistente",AA677="L1 Inicial / Ad Hoc",Y677="No Iniciado")),"CRÍTICO - Incumplimiento Normativo SEPS",IF(AND(OR(AA677="L4 Gestionado y Medible",AA677="L5 Optimizado"),AND(AC677&lt;&gt;"",AC677&lt;&gt;"N/A")),"CONFORME - Control Efectivo ISO 27001","OBSERVACIÓN - Revisar Controles")))</f>
        <v/>
      </c>
    </row>
    <row r="678">
      <c r="A678" s="99"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c r="AD678">
        <f>IF(OR(T678="",Y678="",AA678=""),"",IF(AND(T678="ALTA",OR(AA678="L0 Inexistente",AA678="L1 Inicial / Ad Hoc",Y678="No Iniciado")),"CRÍTICO - Incumplimiento Normativo SEPS",IF(AND(OR(AA678="L4 Gestionado y Medible",AA678="L5 Optimizado"),AND(AC678&lt;&gt;"",AC678&lt;&gt;"N/A")),"CONFORME - Control Efectivo ISO 27001","OBSERVACIÓN - Revisar Controles")))</f>
        <v/>
      </c>
    </row>
    <row r="679">
      <c r="A679" s="99"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c r="AD679">
        <f>IF(OR(T679="",Y679="",AA679=""),"",IF(AND(T679="ALTA",OR(AA679="L0 Inexistente",AA679="L1 Inicial / Ad Hoc",Y679="No Iniciado")),"CRÍTICO - Incumplimiento Normativo SEPS",IF(AND(OR(AA679="L4 Gestionado y Medible",AA679="L5 Optimizado"),AND(AC679&lt;&gt;"",AC679&lt;&gt;"N/A")),"CONFORME - Control Efectivo ISO 27001","OBSERVACIÓN - Revisar Controles")))</f>
        <v/>
      </c>
    </row>
    <row r="680">
      <c r="A680" s="99"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c r="AD680">
        <f>IF(OR(T680="",Y680="",AA680=""),"",IF(AND(T680="ALTA",OR(AA680="L0 Inexistente",AA680="L1 Inicial / Ad Hoc",Y680="No Iniciado")),"CRÍTICO - Incumplimiento Normativo SEPS",IF(AND(OR(AA680="L4 Gestionado y Medible",AA680="L5 Optimizado"),AND(AC680&lt;&gt;"",AC680&lt;&gt;"N/A")),"CONFORME - Control Efectivo ISO 27001","OBSERVACIÓN - Revisar Controles")))</f>
        <v/>
      </c>
    </row>
    <row r="681">
      <c r="A681" s="99"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c r="AD681">
        <f>IF(OR(T681="",Y681="",AA681=""),"",IF(AND(T681="ALTA",OR(AA681="L0 Inexistente",AA681="L1 Inicial / Ad Hoc",Y681="No Iniciado")),"CRÍTICO - Incumplimiento Normativo SEPS",IF(AND(OR(AA681="L4 Gestionado y Medible",AA681="L5 Optimizado"),AND(AC681&lt;&gt;"",AC681&lt;&gt;"N/A")),"CONFORME - Control Efectivo ISO 27001","OBSERVACIÓN - Revisar Controles")))</f>
        <v/>
      </c>
    </row>
    <row r="682">
      <c r="A682" s="99"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c r="AD682">
        <f>IF(OR(T682="",Y682="",AA682=""),"",IF(AND(T682="ALTA",OR(AA682="L0 Inexistente",AA682="L1 Inicial / Ad Hoc",Y682="No Iniciado")),"CRÍTICO - Incumplimiento Normativo SEPS",IF(AND(OR(AA682="L4 Gestionado y Medible",AA682="L5 Optimizado"),AND(AC682&lt;&gt;"",AC682&lt;&gt;"N/A")),"CONFORME - Control Efectivo ISO 27001","OBSERVACIÓN - Revisar Controles")))</f>
        <v/>
      </c>
    </row>
    <row r="683">
      <c r="A683" s="99"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c r="AD683">
        <f>IF(OR(T683="",Y683="",AA683=""),"",IF(AND(T683="ALTA",OR(AA683="L0 Inexistente",AA683="L1 Inicial / Ad Hoc",Y683="No Iniciado")),"CRÍTICO - Incumplimiento Normativo SEPS",IF(AND(OR(AA683="L4 Gestionado y Medible",AA683="L5 Optimizado"),AND(AC683&lt;&gt;"",AC683&lt;&gt;"N/A")),"CONFORME - Control Efectivo ISO 27001","OBSERVACIÓN - Revisar Controles")))</f>
        <v/>
      </c>
    </row>
    <row r="684">
      <c r="A684" s="99"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c r="AD684">
        <f>IF(OR(T684="",Y684="",AA684=""),"",IF(AND(T684="ALTA",OR(AA684="L0 Inexistente",AA684="L1 Inicial / Ad Hoc",Y684="No Iniciado")),"CRÍTICO - Incumplimiento Normativo SEPS",IF(AND(OR(AA684="L4 Gestionado y Medible",AA684="L5 Optimizado"),AND(AC684&lt;&gt;"",AC684&lt;&gt;"N/A")),"CONFORME - Control Efectivo ISO 27001","OBSERVACIÓN - Revisar Controles")))</f>
        <v/>
      </c>
    </row>
    <row r="685">
      <c r="A685" s="99"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c r="AD685">
        <f>IF(OR(T685="",Y685="",AA685=""),"",IF(AND(T685="ALTA",OR(AA685="L0 Inexistente",AA685="L1 Inicial / Ad Hoc",Y685="No Iniciado")),"CRÍTICO - Incumplimiento Normativo SEPS",IF(AND(OR(AA685="L4 Gestionado y Medible",AA685="L5 Optimizado"),AND(AC685&lt;&gt;"",AC685&lt;&gt;"N/A")),"CONFORME - Control Efectivo ISO 27001","OBSERVACIÓN - Revisar Controles")))</f>
        <v/>
      </c>
    </row>
    <row r="686">
      <c r="A686" s="99"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c r="AD686">
        <f>IF(OR(T686="",Y686="",AA686=""),"",IF(AND(T686="ALTA",OR(AA686="L0 Inexistente",AA686="L1 Inicial / Ad Hoc",Y686="No Iniciado")),"CRÍTICO - Incumplimiento Normativo SEPS",IF(AND(OR(AA686="L4 Gestionado y Medible",AA686="L5 Optimizado"),AND(AC686&lt;&gt;"",AC686&lt;&gt;"N/A")),"CONFORME - Control Efectivo ISO 27001","OBSERVACIÓN - Revisar Controles")))</f>
        <v/>
      </c>
    </row>
    <row r="687">
      <c r="A687" s="99"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c r="AD687">
        <f>IF(OR(T687="",Y687="",AA687=""),"",IF(AND(T687="ALTA",OR(AA687="L0 Inexistente",AA687="L1 Inicial / Ad Hoc",Y687="No Iniciado")),"CRÍTICO - Incumplimiento Normativo SEPS",IF(AND(OR(AA687="L4 Gestionado y Medible",AA687="L5 Optimizado"),AND(AC687&lt;&gt;"",AC687&lt;&gt;"N/A")),"CONFORME - Control Efectivo ISO 27001","OBSERVACIÓN - Revisar Controles")))</f>
        <v/>
      </c>
    </row>
    <row r="688">
      <c r="A688" s="99"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c r="AD688">
        <f>IF(OR(T688="",Y688="",AA688=""),"",IF(AND(T688="ALTA",OR(AA688="L0 Inexistente",AA688="L1 Inicial / Ad Hoc",Y688="No Iniciado")),"CRÍTICO - Incumplimiento Normativo SEPS",IF(AND(OR(AA688="L4 Gestionado y Medible",AA688="L5 Optimizado"),AND(AC688&lt;&gt;"",AC688&lt;&gt;"N/A")),"CONFORME - Control Efectivo ISO 27001","OBSERVACIÓN - Revisar Controles")))</f>
        <v/>
      </c>
    </row>
    <row r="689">
      <c r="A689" s="99"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c r="AD689">
        <f>IF(OR(T689="",Y689="",AA689=""),"",IF(AND(T689="ALTA",OR(AA689="L0 Inexistente",AA689="L1 Inicial / Ad Hoc",Y689="No Iniciado")),"CRÍTICO - Incumplimiento Normativo SEPS",IF(AND(OR(AA689="L4 Gestionado y Medible",AA689="L5 Optimizado"),AND(AC689&lt;&gt;"",AC689&lt;&gt;"N/A")),"CONFORME - Control Efectivo ISO 27001","OBSERVACIÓN - Revisar Controles")))</f>
        <v/>
      </c>
    </row>
    <row r="690">
      <c r="A690" s="99"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c r="AD690">
        <f>IF(OR(T690="",Y690="",AA690=""),"",IF(AND(T690="ALTA",OR(AA690="L0 Inexistente",AA690="L1 Inicial / Ad Hoc",Y690="No Iniciado")),"CRÍTICO - Incumplimiento Normativo SEPS",IF(AND(OR(AA690="L4 Gestionado y Medible",AA690="L5 Optimizado"),AND(AC690&lt;&gt;"",AC690&lt;&gt;"N/A")),"CONFORME - Control Efectivo ISO 27001","OBSERVACIÓN - Revisar Controles")))</f>
        <v/>
      </c>
    </row>
    <row r="691">
      <c r="A691" s="99"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c r="AD691">
        <f>IF(OR(T691="",Y691="",AA691=""),"",IF(AND(T691="ALTA",OR(AA691="L0 Inexistente",AA691="L1 Inicial / Ad Hoc",Y691="No Iniciado")),"CRÍTICO - Incumplimiento Normativo SEPS",IF(AND(OR(AA691="L4 Gestionado y Medible",AA691="L5 Optimizado"),AND(AC691&lt;&gt;"",AC691&lt;&gt;"N/A")),"CONFORME - Control Efectivo ISO 27001","OBSERVACIÓN - Revisar Controles")))</f>
        <v/>
      </c>
    </row>
    <row r="692">
      <c r="A692" s="99"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c r="AD692">
        <f>IF(OR(T692="",Y692="",AA692=""),"",IF(AND(T692="ALTA",OR(AA692="L0 Inexistente",AA692="L1 Inicial / Ad Hoc",Y692="No Iniciado")),"CRÍTICO - Incumplimiento Normativo SEPS",IF(AND(OR(AA692="L4 Gestionado y Medible",AA692="L5 Optimizado"),AND(AC692&lt;&gt;"",AC692&lt;&gt;"N/A")),"CONFORME - Control Efectivo ISO 27001","OBSERVACIÓN - Revisar Controles")))</f>
        <v/>
      </c>
    </row>
    <row r="693">
      <c r="A693" s="99"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c r="AD693">
        <f>IF(OR(T693="",Y693="",AA693=""),"",IF(AND(T693="ALTA",OR(AA693="L0 Inexistente",AA693="L1 Inicial / Ad Hoc",Y693="No Iniciado")),"CRÍTICO - Incumplimiento Normativo SEPS",IF(AND(OR(AA693="L4 Gestionado y Medible",AA693="L5 Optimizado"),AND(AC693&lt;&gt;"",AC693&lt;&gt;"N/A")),"CONFORME - Control Efectivo ISO 27001","OBSERVACIÓN - Revisar Controles")))</f>
        <v/>
      </c>
    </row>
    <row r="694">
      <c r="A694" s="99"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c r="AD694">
        <f>IF(OR(T694="",Y694="",AA694=""),"",IF(AND(T694="ALTA",OR(AA694="L0 Inexistente",AA694="L1 Inicial / Ad Hoc",Y694="No Iniciado")),"CRÍTICO - Incumplimiento Normativo SEPS",IF(AND(OR(AA694="L4 Gestionado y Medible",AA694="L5 Optimizado"),AND(AC694&lt;&gt;"",AC694&lt;&gt;"N/A")),"CONFORME - Control Efectivo ISO 27001","OBSERVACIÓN - Revisar Controles")))</f>
        <v/>
      </c>
    </row>
    <row r="695">
      <c r="A695" s="99"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c r="AD695">
        <f>IF(OR(T695="",Y695="",AA695=""),"",IF(AND(T695="ALTA",OR(AA695="L0 Inexistente",AA695="L1 Inicial / Ad Hoc",Y695="No Iniciado")),"CRÍTICO - Incumplimiento Normativo SEPS",IF(AND(OR(AA695="L4 Gestionado y Medible",AA695="L5 Optimizado"),AND(AC695&lt;&gt;"",AC695&lt;&gt;"N/A")),"CONFORME - Control Efectivo ISO 27001","OBSERVACIÓN - Revisar Controles")))</f>
        <v/>
      </c>
    </row>
    <row r="696">
      <c r="A696" s="99"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c r="AD696">
        <f>IF(OR(T696="",Y696="",AA696=""),"",IF(AND(T696="ALTA",OR(AA696="L0 Inexistente",AA696="L1 Inicial / Ad Hoc",Y696="No Iniciado")),"CRÍTICO - Incumplimiento Normativo SEPS",IF(AND(OR(AA696="L4 Gestionado y Medible",AA696="L5 Optimizado"),AND(AC696&lt;&gt;"",AC696&lt;&gt;"N/A")),"CONFORME - Control Efectivo ISO 27001","OBSERVACIÓN - Revisar Controles")))</f>
        <v/>
      </c>
    </row>
    <row r="697">
      <c r="A697" s="99"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c r="AD697">
        <f>IF(OR(T697="",Y697="",AA697=""),"",IF(AND(T697="ALTA",OR(AA697="L0 Inexistente",AA697="L1 Inicial / Ad Hoc",Y697="No Iniciado")),"CRÍTICO - Incumplimiento Normativo SEPS",IF(AND(OR(AA697="L4 Gestionado y Medible",AA697="L5 Optimizado"),AND(AC697&lt;&gt;"",AC697&lt;&gt;"N/A")),"CONFORME - Control Efectivo ISO 27001","OBSERVACIÓN - Revisar Controles")))</f>
        <v/>
      </c>
    </row>
    <row r="698">
      <c r="A698" s="99"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c r="AD698">
        <f>IF(OR(T698="",Y698="",AA698=""),"",IF(AND(T698="ALTA",OR(AA698="L0 Inexistente",AA698="L1 Inicial / Ad Hoc",Y698="No Iniciado")),"CRÍTICO - Incumplimiento Normativo SEPS",IF(AND(OR(AA698="L4 Gestionado y Medible",AA698="L5 Optimizado"),AND(AC698&lt;&gt;"",AC698&lt;&gt;"N/A")),"CONFORME - Control Efectivo ISO 27001","OBSERVACIÓN - Revisar Controles")))</f>
        <v/>
      </c>
    </row>
    <row r="699">
      <c r="A699" s="99"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c r="AD699">
        <f>IF(OR(T699="",Y699="",AA699=""),"",IF(AND(T699="ALTA",OR(AA699="L0 Inexistente",AA699="L1 Inicial / Ad Hoc",Y699="No Iniciado")),"CRÍTICO - Incumplimiento Normativo SEPS",IF(AND(OR(AA699="L4 Gestionado y Medible",AA699="L5 Optimizado"),AND(AC699&lt;&gt;"",AC699&lt;&gt;"N/A")),"CONFORME - Control Efectivo ISO 27001","OBSERVACIÓN - Revisar Controles")))</f>
        <v/>
      </c>
    </row>
    <row r="700">
      <c r="A700" s="99"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c r="AD700">
        <f>IF(OR(T700="",Y700="",AA700=""),"",IF(AND(T700="ALTA",OR(AA700="L0 Inexistente",AA700="L1 Inicial / Ad Hoc",Y700="No Iniciado")),"CRÍTICO - Incumplimiento Normativo SEPS",IF(AND(OR(AA700="L4 Gestionado y Medible",AA700="L5 Optimizado"),AND(AC700&lt;&gt;"",AC700&lt;&gt;"N/A")),"CONFORME - Control Efectivo ISO 27001","OBSERVACIÓN - Revisar Controles")))</f>
        <v/>
      </c>
    </row>
    <row r="701">
      <c r="A701" s="99"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c r="AD701">
        <f>IF(OR(T701="",Y701="",AA701=""),"",IF(AND(T701="ALTA",OR(AA701="L0 Inexistente",AA701="L1 Inicial / Ad Hoc",Y701="No Iniciado")),"CRÍTICO - Incumplimiento Normativo SEPS",IF(AND(OR(AA701="L4 Gestionado y Medible",AA701="L5 Optimizado"),AND(AC701&lt;&gt;"",AC701&lt;&gt;"N/A")),"CONFORME - Control Efectivo ISO 27001","OBSERVACIÓN - Revisar Controles")))</f>
        <v/>
      </c>
    </row>
    <row r="702">
      <c r="A702" s="99"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c r="AD702">
        <f>IF(OR(T702="",Y702="",AA702=""),"",IF(AND(T702="ALTA",OR(AA702="L0 Inexistente",AA702="L1 Inicial / Ad Hoc",Y702="No Iniciado")),"CRÍTICO - Incumplimiento Normativo SEPS",IF(AND(OR(AA702="L4 Gestionado y Medible",AA702="L5 Optimizado"),AND(AC702&lt;&gt;"",AC702&lt;&gt;"N/A")),"CONFORME - Control Efectivo ISO 27001","OBSERVACIÓN - Revisar Controles")))</f>
        <v/>
      </c>
    </row>
    <row r="703">
      <c r="A703" s="99"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c r="AD703">
        <f>IF(OR(T703="",Y703="",AA703=""),"",IF(AND(T703="ALTA",OR(AA703="L0 Inexistente",AA703="L1 Inicial / Ad Hoc",Y703="No Iniciado")),"CRÍTICO - Incumplimiento Normativo SEPS",IF(AND(OR(AA703="L4 Gestionado y Medible",AA703="L5 Optimizado"),AND(AC703&lt;&gt;"",AC703&lt;&gt;"N/A")),"CONFORME - Control Efectivo ISO 27001","OBSERVACIÓN - Revisar Controles")))</f>
        <v/>
      </c>
    </row>
    <row r="704">
      <c r="A704" s="99"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c r="AD704">
        <f>IF(OR(T704="",Y704="",AA704=""),"",IF(AND(T704="ALTA",OR(AA704="L0 Inexistente",AA704="L1 Inicial / Ad Hoc",Y704="No Iniciado")),"CRÍTICO - Incumplimiento Normativo SEPS",IF(AND(OR(AA704="L4 Gestionado y Medible",AA704="L5 Optimizado"),AND(AC704&lt;&gt;"",AC704&lt;&gt;"N/A")),"CONFORME - Control Efectivo ISO 27001","OBSERVACIÓN - Revisar Controles")))</f>
        <v/>
      </c>
    </row>
    <row r="705">
      <c r="A705" s="99"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c r="AD705">
        <f>IF(OR(T705="",Y705="",AA705=""),"",IF(AND(T705="ALTA",OR(AA705="L0 Inexistente",AA705="L1 Inicial / Ad Hoc",Y705="No Iniciado")),"CRÍTICO - Incumplimiento Normativo SEPS",IF(AND(OR(AA705="L4 Gestionado y Medible",AA705="L5 Optimizado"),AND(AC705&lt;&gt;"",AC705&lt;&gt;"N/A")),"CONFORME - Control Efectivo ISO 27001","OBSERVACIÓN - Revisar Controles")))</f>
        <v/>
      </c>
    </row>
    <row r="706">
      <c r="A706" s="99"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c r="AD706">
        <f>IF(OR(T706="",Y706="",AA706=""),"",IF(AND(T706="ALTA",OR(AA706="L0 Inexistente",AA706="L1 Inicial / Ad Hoc",Y706="No Iniciado")),"CRÍTICO - Incumplimiento Normativo SEPS",IF(AND(OR(AA706="L4 Gestionado y Medible",AA706="L5 Optimizado"),AND(AC706&lt;&gt;"",AC706&lt;&gt;"N/A")),"CONFORME - Control Efectivo ISO 27001","OBSERVACIÓN - Revisar Controles")))</f>
        <v/>
      </c>
    </row>
    <row r="707">
      <c r="A707" s="99"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c r="AD707">
        <f>IF(OR(T707="",Y707="",AA707=""),"",IF(AND(T707="ALTA",OR(AA707="L0 Inexistente",AA707="L1 Inicial / Ad Hoc",Y707="No Iniciado")),"CRÍTICO - Incumplimiento Normativo SEPS",IF(AND(OR(AA707="L4 Gestionado y Medible",AA707="L5 Optimizado"),AND(AC707&lt;&gt;"",AC707&lt;&gt;"N/A")),"CONFORME - Control Efectivo ISO 27001","OBSERVACIÓN - Revisar Controles")))</f>
        <v/>
      </c>
    </row>
    <row r="708">
      <c r="A708" s="99"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c r="AD708">
        <f>IF(OR(T708="",Y708="",AA708=""),"",IF(AND(T708="ALTA",OR(AA708="L0 Inexistente",AA708="L1 Inicial / Ad Hoc",Y708="No Iniciado")),"CRÍTICO - Incumplimiento Normativo SEPS",IF(AND(OR(AA708="L4 Gestionado y Medible",AA708="L5 Optimizado"),AND(AC708&lt;&gt;"",AC708&lt;&gt;"N/A")),"CONFORME - Control Efectivo ISO 27001","OBSERVACIÓN - Revisar Controles")))</f>
        <v/>
      </c>
    </row>
    <row r="709">
      <c r="A709" s="99"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c r="AD709">
        <f>IF(OR(T709="",Y709="",AA709=""),"",IF(AND(T709="ALTA",OR(AA709="L0 Inexistente",AA709="L1 Inicial / Ad Hoc",Y709="No Iniciado")),"CRÍTICO - Incumplimiento Normativo SEPS",IF(AND(OR(AA709="L4 Gestionado y Medible",AA709="L5 Optimizado"),AND(AC709&lt;&gt;"",AC709&lt;&gt;"N/A")),"CONFORME - Control Efectivo ISO 27001","OBSERVACIÓN - Revisar Controles")))</f>
        <v/>
      </c>
    </row>
    <row r="710">
      <c r="A710" s="99"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c r="AD710">
        <f>IF(OR(T710="",Y710="",AA710=""),"",IF(AND(T710="ALTA",OR(AA710="L0 Inexistente",AA710="L1 Inicial / Ad Hoc",Y710="No Iniciado")),"CRÍTICO - Incumplimiento Normativo SEPS",IF(AND(OR(AA710="L4 Gestionado y Medible",AA710="L5 Optimizado"),AND(AC710&lt;&gt;"",AC710&lt;&gt;"N/A")),"CONFORME - Control Efectivo ISO 27001","OBSERVACIÓN - Revisar Controles")))</f>
        <v/>
      </c>
    </row>
    <row r="711">
      <c r="A711" s="99"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c r="AD711">
        <f>IF(OR(T711="",Y711="",AA711=""),"",IF(AND(T711="ALTA",OR(AA711="L0 Inexistente",AA711="L1 Inicial / Ad Hoc",Y711="No Iniciado")),"CRÍTICO - Incumplimiento Normativo SEPS",IF(AND(OR(AA711="L4 Gestionado y Medible",AA711="L5 Optimizado"),AND(AC711&lt;&gt;"",AC711&lt;&gt;"N/A")),"CONFORME - Control Efectivo ISO 27001","OBSERVACIÓN - Revisar Controles")))</f>
        <v/>
      </c>
    </row>
    <row r="712">
      <c r="A712" s="99"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c r="AD712">
        <f>IF(OR(T712="",Y712="",AA712=""),"",IF(AND(T712="ALTA",OR(AA712="L0 Inexistente",AA712="L1 Inicial / Ad Hoc",Y712="No Iniciado")),"CRÍTICO - Incumplimiento Normativo SEPS",IF(AND(OR(AA712="L4 Gestionado y Medible",AA712="L5 Optimizado"),AND(AC712&lt;&gt;"",AC712&lt;&gt;"N/A")),"CONFORME - Control Efectivo ISO 27001","OBSERVACIÓN - Revisar Controles")))</f>
        <v/>
      </c>
    </row>
    <row r="713">
      <c r="A713" s="99"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c r="AD713">
        <f>IF(OR(T713="",Y713="",AA713=""),"",IF(AND(T713="ALTA",OR(AA713="L0 Inexistente",AA713="L1 Inicial / Ad Hoc",Y713="No Iniciado")),"CRÍTICO - Incumplimiento Normativo SEPS",IF(AND(OR(AA713="L4 Gestionado y Medible",AA713="L5 Optimizado"),AND(AC713&lt;&gt;"",AC713&lt;&gt;"N/A")),"CONFORME - Control Efectivo ISO 27001","OBSERVACIÓN - Revisar Controles")))</f>
        <v/>
      </c>
    </row>
    <row r="714">
      <c r="A714" s="99"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c r="AD714">
        <f>IF(OR(T714="",Y714="",AA714=""),"",IF(AND(T714="ALTA",OR(AA714="L0 Inexistente",AA714="L1 Inicial / Ad Hoc",Y714="No Iniciado")),"CRÍTICO - Incumplimiento Normativo SEPS",IF(AND(OR(AA714="L4 Gestionado y Medible",AA714="L5 Optimizado"),AND(AC714&lt;&gt;"",AC714&lt;&gt;"N/A")),"CONFORME - Control Efectivo ISO 27001","OBSERVACIÓN - Revisar Controles")))</f>
        <v/>
      </c>
    </row>
    <row r="715">
      <c r="A715" s="99"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c r="AD715">
        <f>IF(OR(T715="",Y715="",AA715=""),"",IF(AND(T715="ALTA",OR(AA715="L0 Inexistente",AA715="L1 Inicial / Ad Hoc",Y715="No Iniciado")),"CRÍTICO - Incumplimiento Normativo SEPS",IF(AND(OR(AA715="L4 Gestionado y Medible",AA715="L5 Optimizado"),AND(AC715&lt;&gt;"",AC715&lt;&gt;"N/A")),"CONFORME - Control Efectivo ISO 27001","OBSERVACIÓN - Revisar Controles")))</f>
        <v/>
      </c>
    </row>
    <row r="716">
      <c r="A716" s="99"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c r="AD716">
        <f>IF(OR(T716="",Y716="",AA716=""),"",IF(AND(T716="ALTA",OR(AA716="L0 Inexistente",AA716="L1 Inicial / Ad Hoc",Y716="No Iniciado")),"CRÍTICO - Incumplimiento Normativo SEPS",IF(AND(OR(AA716="L4 Gestionado y Medible",AA716="L5 Optimizado"),AND(AC716&lt;&gt;"",AC716&lt;&gt;"N/A")),"CONFORME - Control Efectivo ISO 27001","OBSERVACIÓN - Revisar Controles")))</f>
        <v/>
      </c>
    </row>
    <row r="717">
      <c r="A717" s="99"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c r="AD717">
        <f>IF(OR(T717="",Y717="",AA717=""),"",IF(AND(T717="ALTA",OR(AA717="L0 Inexistente",AA717="L1 Inicial / Ad Hoc",Y717="No Iniciado")),"CRÍTICO - Incumplimiento Normativo SEPS",IF(AND(OR(AA717="L4 Gestionado y Medible",AA717="L5 Optimizado"),AND(AC717&lt;&gt;"",AC717&lt;&gt;"N/A")),"CONFORME - Control Efectivo ISO 27001","OBSERVACIÓN - Revisar Controles")))</f>
        <v/>
      </c>
    </row>
    <row r="718">
      <c r="A718" s="99"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c r="AD718">
        <f>IF(OR(T718="",Y718="",AA718=""),"",IF(AND(T718="ALTA",OR(AA718="L0 Inexistente",AA718="L1 Inicial / Ad Hoc",Y718="No Iniciado")),"CRÍTICO - Incumplimiento Normativo SEPS",IF(AND(OR(AA718="L4 Gestionado y Medible",AA718="L5 Optimizado"),AND(AC718&lt;&gt;"",AC718&lt;&gt;"N/A")),"CONFORME - Control Efectivo ISO 27001","OBSERVACIÓN - Revisar Controles")))</f>
        <v/>
      </c>
    </row>
    <row r="719" ht="12" customHeight="1" s="106">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c r="AD719">
        <f>IF(OR(T719="",Y719="",AA719=""),"",IF(AND(T719="ALTA",OR(AA719="L0 Inexistente",AA719="L1 Inicial / Ad Hoc",Y719="No Iniciado")),"CRÍTICO - Incumplimiento Normativo SEPS",IF(AND(OR(AA719="L4 Gestionado y Medible",AA719="L5 Optimizado"),AND(AC719&lt;&gt;"",AC719&lt;&gt;"N/A")),"CONFORME - Control Efectivo ISO 27001","OBSERVACIÓN - Revisar Controles")))</f>
        <v/>
      </c>
    </row>
    <row r="720">
      <c r="A720" s="99"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c r="AD720">
        <f>IF(OR(T720="",Y720="",AA720=""),"",IF(AND(T720="ALTA",OR(AA720="L0 Inexistente",AA720="L1 Inicial / Ad Hoc",Y720="No Iniciado")),"CRÍTICO - Incumplimiento Normativo SEPS",IF(AND(OR(AA720="L4 Gestionado y Medible",AA720="L5 Optimizado"),AND(AC720&lt;&gt;"",AC720&lt;&gt;"N/A")),"CONFORME - Control Efectivo ISO 27001","OBSERVACIÓN - Revisar Controles")))</f>
        <v/>
      </c>
    </row>
    <row r="721">
      <c r="A721" s="99"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c r="AD721">
        <f>IF(OR(T721="",Y721="",AA721=""),"",IF(AND(T721="ALTA",OR(AA721="L0 Inexistente",AA721="L1 Inicial / Ad Hoc",Y721="No Iniciado")),"CRÍTICO - Incumplimiento Normativo SEPS",IF(AND(OR(AA721="L4 Gestionado y Medible",AA721="L5 Optimizado"),AND(AC721&lt;&gt;"",AC721&lt;&gt;"N/A")),"CONFORME - Control Efectivo ISO 27001","OBSERVACIÓN - Revisar Controles")))</f>
        <v/>
      </c>
    </row>
    <row r="722">
      <c r="A722" s="99"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c r="AD722">
        <f>IF(OR(T722="",Y722="",AA722=""),"",IF(AND(T722="ALTA",OR(AA722="L0 Inexistente",AA722="L1 Inicial / Ad Hoc",Y722="No Iniciado")),"CRÍTICO - Incumplimiento Normativo SEPS",IF(AND(OR(AA722="L4 Gestionado y Medible",AA722="L5 Optimizado"),AND(AC722&lt;&gt;"",AC722&lt;&gt;"N/A")),"CONFORME - Control Efectivo ISO 27001","OBSERVACIÓN - Revisar Controles")))</f>
        <v/>
      </c>
    </row>
    <row r="723">
      <c r="A723" s="99"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c r="AD723">
        <f>IF(OR(T723="",Y723="",AA723=""),"",IF(AND(T723="ALTA",OR(AA723="L0 Inexistente",AA723="L1 Inicial / Ad Hoc",Y723="No Iniciado")),"CRÍTICO - Incumplimiento Normativo SEPS",IF(AND(OR(AA723="L4 Gestionado y Medible",AA723="L5 Optimizado"),AND(AC723&lt;&gt;"",AC723&lt;&gt;"N/A")),"CONFORME - Control Efectivo ISO 27001","OBSERVACIÓN - Revisar Controles")))</f>
        <v/>
      </c>
    </row>
    <row r="724" ht="20.45" customHeight="1" s="106">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c r="AD724">
        <f>IF(OR(T724="",Y724="",AA724=""),"",IF(AND(T724="ALTA",OR(AA724="L0 Inexistente",AA724="L1 Inicial / Ad Hoc",Y724="No Iniciado")),"CRÍTICO - Incumplimiento Normativo SEPS",IF(AND(OR(AA724="L4 Gestionado y Medible",AA724="L5 Optimizado"),AND(AC724&lt;&gt;"",AC724&lt;&gt;"N/A")),"CONFORME - Control Efectivo ISO 27001","OBSERVACIÓN - Revisar Controles")))</f>
        <v/>
      </c>
    </row>
    <row r="725">
      <c r="A725" s="99"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c r="AD725">
        <f>IF(OR(T725="",Y725="",AA725=""),"",IF(AND(T725="ALTA",OR(AA725="L0 Inexistente",AA725="L1 Inicial / Ad Hoc",Y725="No Iniciado")),"CRÍTICO - Incumplimiento Normativo SEPS",IF(AND(OR(AA725="L4 Gestionado y Medible",AA725="L5 Optimizado"),AND(AC725&lt;&gt;"",AC725&lt;&gt;"N/A")),"CONFORME - Control Efectivo ISO 27001","OBSERVACIÓN - Revisar Controles")))</f>
        <v/>
      </c>
    </row>
    <row r="726">
      <c r="A726" s="99"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c r="AD726">
        <f>IF(OR(T726="",Y726="",AA726=""),"",IF(AND(T726="ALTA",OR(AA726="L0 Inexistente",AA726="L1 Inicial / Ad Hoc",Y726="No Iniciado")),"CRÍTICO - Incumplimiento Normativo SEPS",IF(AND(OR(AA726="L4 Gestionado y Medible",AA726="L5 Optimizado"),AND(AC726&lt;&gt;"",AC726&lt;&gt;"N/A")),"CONFORME - Control Efectivo ISO 27001","OBSERVACIÓN - Revisar Controles")))</f>
        <v/>
      </c>
    </row>
    <row r="727">
      <c r="A727" s="99"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c r="AD727">
        <f>IF(OR(T727="",Y727="",AA727=""),"",IF(AND(T727="ALTA",OR(AA727="L0 Inexistente",AA727="L1 Inicial / Ad Hoc",Y727="No Iniciado")),"CRÍTICO - Incumplimiento Normativo SEPS",IF(AND(OR(AA727="L4 Gestionado y Medible",AA727="L5 Optimizado"),AND(AC727&lt;&gt;"",AC727&lt;&gt;"N/A")),"CONFORME - Control Efectivo ISO 27001","OBSERVACIÓN - Revisar Controles")))</f>
        <v/>
      </c>
    </row>
    <row r="728">
      <c r="A728" s="99"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c r="AD728">
        <f>IF(OR(T728="",Y728="",AA728=""),"",IF(AND(T728="ALTA",OR(AA728="L0 Inexistente",AA728="L1 Inicial / Ad Hoc",Y728="No Iniciado")),"CRÍTICO - Incumplimiento Normativo SEPS",IF(AND(OR(AA728="L4 Gestionado y Medible",AA728="L5 Optimizado"),AND(AC728&lt;&gt;"",AC728&lt;&gt;"N/A")),"CONFORME - Control Efectivo ISO 27001","OBSERVACIÓN - Revisar Controles")))</f>
        <v/>
      </c>
    </row>
    <row r="729">
      <c r="A729" s="99"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c r="AD729">
        <f>IF(OR(T729="",Y729="",AA729=""),"",IF(AND(T729="ALTA",OR(AA729="L0 Inexistente",AA729="L1 Inicial / Ad Hoc",Y729="No Iniciado")),"CRÍTICO - Incumplimiento Normativo SEPS",IF(AND(OR(AA729="L4 Gestionado y Medible",AA729="L5 Optimizado"),AND(AC729&lt;&gt;"",AC729&lt;&gt;"N/A")),"CONFORME - Control Efectivo ISO 27001","OBSERVACIÓN - Revisar Controles")))</f>
        <v/>
      </c>
    </row>
    <row r="730">
      <c r="A730" s="99"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c r="AD730">
        <f>IF(OR(T730="",Y730="",AA730=""),"",IF(AND(T730="ALTA",OR(AA730="L0 Inexistente",AA730="L1 Inicial / Ad Hoc",Y730="No Iniciado")),"CRÍTICO - Incumplimiento Normativo SEPS",IF(AND(OR(AA730="L4 Gestionado y Medible",AA730="L5 Optimizado"),AND(AC730&lt;&gt;"",AC730&lt;&gt;"N/A")),"CONFORME - Control Efectivo ISO 27001","OBSERVACIÓN - Revisar Controles")))</f>
        <v/>
      </c>
    </row>
    <row r="731">
      <c r="A731" s="99"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c r="AD731">
        <f>IF(OR(T731="",Y731="",AA731=""),"",IF(AND(T731="ALTA",OR(AA731="L0 Inexistente",AA731="L1 Inicial / Ad Hoc",Y731="No Iniciado")),"CRÍTICO - Incumplimiento Normativo SEPS",IF(AND(OR(AA731="L4 Gestionado y Medible",AA731="L5 Optimizado"),AND(AC731&lt;&gt;"",AC731&lt;&gt;"N/A")),"CONFORME - Control Efectivo ISO 27001","OBSERVACIÓN - Revisar Controles")))</f>
        <v/>
      </c>
    </row>
    <row r="732">
      <c r="A732" s="99"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c r="AD732">
        <f>IF(OR(T732="",Y732="",AA732=""),"",IF(AND(T732="ALTA",OR(AA732="L0 Inexistente",AA732="L1 Inicial / Ad Hoc",Y732="No Iniciado")),"CRÍTICO - Incumplimiento Normativo SEPS",IF(AND(OR(AA732="L4 Gestionado y Medible",AA732="L5 Optimizado"),AND(AC732&lt;&gt;"",AC732&lt;&gt;"N/A")),"CONFORME - Control Efectivo ISO 27001","OBSERVACIÓN - Revisar Controles")))</f>
        <v/>
      </c>
    </row>
    <row r="733">
      <c r="A733" s="99"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c r="AD733">
        <f>IF(OR(T733="",Y733="",AA733=""),"",IF(AND(T733="ALTA",OR(AA733="L0 Inexistente",AA733="L1 Inicial / Ad Hoc",Y733="No Iniciado")),"CRÍTICO - Incumplimiento Normativo SEPS",IF(AND(OR(AA733="L4 Gestionado y Medible",AA733="L5 Optimizado"),AND(AC733&lt;&gt;"",AC733&lt;&gt;"N/A")),"CONFORME - Control Efectivo ISO 27001","OBSERVACIÓN - Revisar Controles")))</f>
        <v/>
      </c>
    </row>
    <row r="734">
      <c r="A734" s="99"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c r="AD734">
        <f>IF(OR(T734="",Y734="",AA734=""),"",IF(AND(T734="ALTA",OR(AA734="L0 Inexistente",AA734="L1 Inicial / Ad Hoc",Y734="No Iniciado")),"CRÍTICO - Incumplimiento Normativo SEPS",IF(AND(OR(AA734="L4 Gestionado y Medible",AA734="L5 Optimizado"),AND(AC734&lt;&gt;"",AC734&lt;&gt;"N/A")),"CONFORME - Control Efectivo ISO 27001","OBSERVACIÓN - Revisar Controles")))</f>
        <v/>
      </c>
    </row>
    <row r="735">
      <c r="A735" s="99"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c r="AD735">
        <f>IF(OR(T735="",Y735="",AA735=""),"",IF(AND(T735="ALTA",OR(AA735="L0 Inexistente",AA735="L1 Inicial / Ad Hoc",Y735="No Iniciado")),"CRÍTICO - Incumplimiento Normativo SEPS",IF(AND(OR(AA735="L4 Gestionado y Medible",AA735="L5 Optimizado"),AND(AC735&lt;&gt;"",AC735&lt;&gt;"N/A")),"CONFORME - Control Efectivo ISO 27001","OBSERVACIÓN - Revisar Controles")))</f>
        <v/>
      </c>
    </row>
    <row r="736">
      <c r="A736" s="99"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c r="AD736">
        <f>IF(OR(T736="",Y736="",AA736=""),"",IF(AND(T736="ALTA",OR(AA736="L0 Inexistente",AA736="L1 Inicial / Ad Hoc",Y736="No Iniciado")),"CRÍTICO - Incumplimiento Normativo SEPS",IF(AND(OR(AA736="L4 Gestionado y Medible",AA736="L5 Optimizado"),AND(AC736&lt;&gt;"",AC736&lt;&gt;"N/A")),"CONFORME - Control Efectivo ISO 27001","OBSERVACIÓN - Revisar Controles")))</f>
        <v/>
      </c>
    </row>
    <row r="737">
      <c r="A737" s="99"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c r="AD737">
        <f>IF(OR(T737="",Y737="",AA737=""),"",IF(AND(T737="ALTA",OR(AA737="L0 Inexistente",AA737="L1 Inicial / Ad Hoc",Y737="No Iniciado")),"CRÍTICO - Incumplimiento Normativo SEPS",IF(AND(OR(AA737="L4 Gestionado y Medible",AA737="L5 Optimizado"),AND(AC737&lt;&gt;"",AC737&lt;&gt;"N/A")),"CONFORME - Control Efectivo ISO 27001","OBSERVACIÓN - Revisar Controles")))</f>
        <v/>
      </c>
    </row>
    <row r="738">
      <c r="A738" s="99"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c r="AD738">
        <f>IF(OR(T738="",Y738="",AA738=""),"",IF(AND(T738="ALTA",OR(AA738="L0 Inexistente",AA738="L1 Inicial / Ad Hoc",Y738="No Iniciado")),"CRÍTICO - Incumplimiento Normativo SEPS",IF(AND(OR(AA738="L4 Gestionado y Medible",AA738="L5 Optimizado"),AND(AC738&lt;&gt;"",AC738&lt;&gt;"N/A")),"CONFORME - Control Efectivo ISO 27001","OBSERVACIÓN - Revisar Controles")))</f>
        <v/>
      </c>
    </row>
    <row r="739">
      <c r="A739" s="99"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c r="AD739">
        <f>IF(OR(T739="",Y739="",AA739=""),"",IF(AND(T739="ALTA",OR(AA739="L0 Inexistente",AA739="L1 Inicial / Ad Hoc",Y739="No Iniciado")),"CRÍTICO - Incumplimiento Normativo SEPS",IF(AND(OR(AA739="L4 Gestionado y Medible",AA739="L5 Optimizado"),AND(AC739&lt;&gt;"",AC739&lt;&gt;"N/A")),"CONFORME - Control Efectivo ISO 27001","OBSERVACIÓN - Revisar Controles")))</f>
        <v/>
      </c>
    </row>
    <row r="740">
      <c r="A740" s="99"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c r="AD740">
        <f>IF(OR(T740="",Y740="",AA740=""),"",IF(AND(T740="ALTA",OR(AA740="L0 Inexistente",AA740="L1 Inicial / Ad Hoc",Y740="No Iniciado")),"CRÍTICO - Incumplimiento Normativo SEPS",IF(AND(OR(AA740="L4 Gestionado y Medible",AA740="L5 Optimizado"),AND(AC740&lt;&gt;"",AC740&lt;&gt;"N/A")),"CONFORME - Control Efectivo ISO 27001","OBSERVACIÓN - Revisar Controles")))</f>
        <v/>
      </c>
    </row>
    <row r="741">
      <c r="A741" s="99"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c r="AD741">
        <f>IF(OR(T741="",Y741="",AA741=""),"",IF(AND(T741="ALTA",OR(AA741="L0 Inexistente",AA741="L1 Inicial / Ad Hoc",Y741="No Iniciado")),"CRÍTICO - Incumplimiento Normativo SEPS",IF(AND(OR(AA741="L4 Gestionado y Medible",AA741="L5 Optimizado"),AND(AC741&lt;&gt;"",AC741&lt;&gt;"N/A")),"CONFORME - Control Efectivo ISO 27001","OBSERVACIÓN - Revisar Controles")))</f>
        <v/>
      </c>
    </row>
    <row r="742">
      <c r="A742" s="99"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c r="AD742">
        <f>IF(OR(T742="",Y742="",AA742=""),"",IF(AND(T742="ALTA",OR(AA742="L0 Inexistente",AA742="L1 Inicial / Ad Hoc",Y742="No Iniciado")),"CRÍTICO - Incumplimiento Normativo SEPS",IF(AND(OR(AA742="L4 Gestionado y Medible",AA742="L5 Optimizado"),AND(AC742&lt;&gt;"",AC742&lt;&gt;"N/A")),"CONFORME - Control Efectivo ISO 27001","OBSERVACIÓN - Revisar Controles")))</f>
        <v/>
      </c>
    </row>
    <row r="743">
      <c r="A743" s="99"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c r="AD743">
        <f>IF(OR(T743="",Y743="",AA743=""),"",IF(AND(T743="ALTA",OR(AA743="L0 Inexistente",AA743="L1 Inicial / Ad Hoc",Y743="No Iniciado")),"CRÍTICO - Incumplimiento Normativo SEPS",IF(AND(OR(AA743="L4 Gestionado y Medible",AA743="L5 Optimizado"),AND(AC743&lt;&gt;"",AC743&lt;&gt;"N/A")),"CONFORME - Control Efectivo ISO 27001","OBSERVACIÓN - Revisar Controles")))</f>
        <v/>
      </c>
    </row>
    <row r="744">
      <c r="A744" s="99"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c r="AD744">
        <f>IF(OR(T744="",Y744="",AA744=""),"",IF(AND(T744="ALTA",OR(AA744="L0 Inexistente",AA744="L1 Inicial / Ad Hoc",Y744="No Iniciado")),"CRÍTICO - Incumplimiento Normativo SEPS",IF(AND(OR(AA744="L4 Gestionado y Medible",AA744="L5 Optimizado"),AND(AC744&lt;&gt;"",AC744&lt;&gt;"N/A")),"CONFORME - Control Efectivo ISO 27001","OBSERVACIÓN - Revisar Controles")))</f>
        <v/>
      </c>
    </row>
    <row r="745">
      <c r="A745" s="99"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c r="AD745">
        <f>IF(OR(T745="",Y745="",AA745=""),"",IF(AND(T745="ALTA",OR(AA745="L0 Inexistente",AA745="L1 Inicial / Ad Hoc",Y745="No Iniciado")),"CRÍTICO - Incumplimiento Normativo SEPS",IF(AND(OR(AA745="L4 Gestionado y Medible",AA745="L5 Optimizado"),AND(AC745&lt;&gt;"",AC745&lt;&gt;"N/A")),"CONFORME - Control Efectivo ISO 27001","OBSERVACIÓN - Revisar Controles")))</f>
        <v/>
      </c>
    </row>
    <row r="746">
      <c r="A746" s="99"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c r="AD746">
        <f>IF(OR(T746="",Y746="",AA746=""),"",IF(AND(T746="ALTA",OR(AA746="L0 Inexistente",AA746="L1 Inicial / Ad Hoc",Y746="No Iniciado")),"CRÍTICO - Incumplimiento Normativo SEPS",IF(AND(OR(AA746="L4 Gestionado y Medible",AA746="L5 Optimizado"),AND(AC746&lt;&gt;"",AC746&lt;&gt;"N/A")),"CONFORME - Control Efectivo ISO 27001","OBSERVACIÓN - Revisar Controles")))</f>
        <v/>
      </c>
    </row>
    <row r="747">
      <c r="A747" s="99"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c r="AD747">
        <f>IF(OR(T747="",Y747="",AA747=""),"",IF(AND(T747="ALTA",OR(AA747="L0 Inexistente",AA747="L1 Inicial / Ad Hoc",Y747="No Iniciado")),"CRÍTICO - Incumplimiento Normativo SEPS",IF(AND(OR(AA747="L4 Gestionado y Medible",AA747="L5 Optimizado"),AND(AC747&lt;&gt;"",AC747&lt;&gt;"N/A")),"CONFORME - Control Efectivo ISO 27001","OBSERVACIÓN - Revisar Controles")))</f>
        <v/>
      </c>
    </row>
    <row r="748">
      <c r="A748" s="99"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c r="AD748">
        <f>IF(OR(T748="",Y748="",AA748=""),"",IF(AND(T748="ALTA",OR(AA748="L0 Inexistente",AA748="L1 Inicial / Ad Hoc",Y748="No Iniciado")),"CRÍTICO - Incumplimiento Normativo SEPS",IF(AND(OR(AA748="L4 Gestionado y Medible",AA748="L5 Optimizado"),AND(AC748&lt;&gt;"",AC748&lt;&gt;"N/A")),"CONFORME - Control Efectivo ISO 27001","OBSERVACIÓN - Revisar Controles")))</f>
        <v/>
      </c>
    </row>
    <row r="749">
      <c r="A749" s="99"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c r="AD749">
        <f>IF(OR(T749="",Y749="",AA749=""),"",IF(AND(T749="ALTA",OR(AA749="L0 Inexistente",AA749="L1 Inicial / Ad Hoc",Y749="No Iniciado")),"CRÍTICO - Incumplimiento Normativo SEPS",IF(AND(OR(AA749="L4 Gestionado y Medible",AA749="L5 Optimizado"),AND(AC749&lt;&gt;"",AC749&lt;&gt;"N/A")),"CONFORME - Control Efectivo ISO 27001","OBSERVACIÓN - Revisar Controles")))</f>
        <v/>
      </c>
    </row>
    <row r="750">
      <c r="A750" s="99"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c r="AD750">
        <f>IF(OR(T750="",Y750="",AA750=""),"",IF(AND(T750="ALTA",OR(AA750="L0 Inexistente",AA750="L1 Inicial / Ad Hoc",Y750="No Iniciado")),"CRÍTICO - Incumplimiento Normativo SEPS",IF(AND(OR(AA750="L4 Gestionado y Medible",AA750="L5 Optimizado"),AND(AC750&lt;&gt;"",AC750&lt;&gt;"N/A")),"CONFORME - Control Efectivo ISO 27001","OBSERVACIÓN - Revisar Controles")))</f>
        <v/>
      </c>
    </row>
    <row r="751">
      <c r="A751" s="99"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c r="AD751">
        <f>IF(OR(T751="",Y751="",AA751=""),"",IF(AND(T751="ALTA",OR(AA751="L0 Inexistente",AA751="L1 Inicial / Ad Hoc",Y751="No Iniciado")),"CRÍTICO - Incumplimiento Normativo SEPS",IF(AND(OR(AA751="L4 Gestionado y Medible",AA751="L5 Optimizado"),AND(AC751&lt;&gt;"",AC751&lt;&gt;"N/A")),"CONFORME - Control Efectivo ISO 27001","OBSERVACIÓN - Revisar Controles")))</f>
        <v/>
      </c>
    </row>
    <row r="752">
      <c r="A752" s="99"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c r="AD752">
        <f>IF(OR(T752="",Y752="",AA752=""),"",IF(AND(T752="ALTA",OR(AA752="L0 Inexistente",AA752="L1 Inicial / Ad Hoc",Y752="No Iniciado")),"CRÍTICO - Incumplimiento Normativo SEPS",IF(AND(OR(AA752="L4 Gestionado y Medible",AA752="L5 Optimizado"),AND(AC752&lt;&gt;"",AC752&lt;&gt;"N/A")),"CONFORME - Control Efectivo ISO 27001","OBSERVACIÓN - Revisar Controles")))</f>
        <v/>
      </c>
    </row>
    <row r="753">
      <c r="A753" s="99"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c r="AD753">
        <f>IF(OR(T753="",Y753="",AA753=""),"",IF(AND(T753="ALTA",OR(AA753="L0 Inexistente",AA753="L1 Inicial / Ad Hoc",Y753="No Iniciado")),"CRÍTICO - Incumplimiento Normativo SEPS",IF(AND(OR(AA753="L4 Gestionado y Medible",AA753="L5 Optimizado"),AND(AC753&lt;&gt;"",AC753&lt;&gt;"N/A")),"CONFORME - Control Efectivo ISO 27001","OBSERVACIÓN - Revisar Controles")))</f>
        <v/>
      </c>
    </row>
    <row r="754">
      <c r="A754" s="99"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c r="AD754">
        <f>IF(OR(T754="",Y754="",AA754=""),"",IF(AND(T754="ALTA",OR(AA754="L0 Inexistente",AA754="L1 Inicial / Ad Hoc",Y754="No Iniciado")),"CRÍTICO - Incumplimiento Normativo SEPS",IF(AND(OR(AA754="L4 Gestionado y Medible",AA754="L5 Optimizado"),AND(AC754&lt;&gt;"",AC754&lt;&gt;"N/A")),"CONFORME - Control Efectivo ISO 27001","OBSERVACIÓN - Revisar Controles")))</f>
        <v/>
      </c>
    </row>
    <row r="755">
      <c r="A755" s="99"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c r="AD755">
        <f>IF(OR(T755="",Y755="",AA755=""),"",IF(AND(T755="ALTA",OR(AA755="L0 Inexistente",AA755="L1 Inicial / Ad Hoc",Y755="No Iniciado")),"CRÍTICO - Incumplimiento Normativo SEPS",IF(AND(OR(AA755="L4 Gestionado y Medible",AA755="L5 Optimizado"),AND(AC755&lt;&gt;"",AC755&lt;&gt;"N/A")),"CONFORME - Control Efectivo ISO 27001","OBSERVACIÓN - Revisar Controles")))</f>
        <v/>
      </c>
    </row>
    <row r="756">
      <c r="A756" s="99"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c r="AD756">
        <f>IF(OR(T756="",Y756="",AA756=""),"",IF(AND(T756="ALTA",OR(AA756="L0 Inexistente",AA756="L1 Inicial / Ad Hoc",Y756="No Iniciado")),"CRÍTICO - Incumplimiento Normativo SEPS",IF(AND(OR(AA756="L4 Gestionado y Medible",AA756="L5 Optimizado"),AND(AC756&lt;&gt;"",AC756&lt;&gt;"N/A")),"CONFORME - Control Efectivo ISO 27001","OBSERVACIÓN - Revisar Controles")))</f>
        <v/>
      </c>
    </row>
    <row r="757">
      <c r="A757" s="99"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c r="AD757">
        <f>IF(OR(T757="",Y757="",AA757=""),"",IF(AND(T757="ALTA",OR(AA757="L0 Inexistente",AA757="L1 Inicial / Ad Hoc",Y757="No Iniciado")),"CRÍTICO - Incumplimiento Normativo SEPS",IF(AND(OR(AA757="L4 Gestionado y Medible",AA757="L5 Optimizado"),AND(AC757&lt;&gt;"",AC757&lt;&gt;"N/A")),"CONFORME - Control Efectivo ISO 27001","OBSERVACIÓN - Revisar Controles")))</f>
        <v/>
      </c>
    </row>
    <row r="758">
      <c r="A758" s="99"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c r="AD758">
        <f>IF(OR(T758="",Y758="",AA758=""),"",IF(AND(T758="ALTA",OR(AA758="L0 Inexistente",AA758="L1 Inicial / Ad Hoc",Y758="No Iniciado")),"CRÍTICO - Incumplimiento Normativo SEPS",IF(AND(OR(AA758="L4 Gestionado y Medible",AA758="L5 Optimizado"),AND(AC758&lt;&gt;"",AC758&lt;&gt;"N/A")),"CONFORME - Control Efectivo ISO 27001","OBSERVACIÓN - Revisar Controles")))</f>
        <v/>
      </c>
    </row>
    <row r="759">
      <c r="A759" s="99"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c r="AD759">
        <f>IF(OR(T759="",Y759="",AA759=""),"",IF(AND(T759="ALTA",OR(AA759="L0 Inexistente",AA759="L1 Inicial / Ad Hoc",Y759="No Iniciado")),"CRÍTICO - Incumplimiento Normativo SEPS",IF(AND(OR(AA759="L4 Gestionado y Medible",AA759="L5 Optimizado"),AND(AC759&lt;&gt;"",AC759&lt;&gt;"N/A")),"CONFORME - Control Efectivo ISO 27001","OBSERVACIÓN - Revisar Controles")))</f>
        <v/>
      </c>
    </row>
    <row r="760">
      <c r="A760" s="99"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c r="AD760">
        <f>IF(OR(T760="",Y760="",AA760=""),"",IF(AND(T760="ALTA",OR(AA760="L0 Inexistente",AA760="L1 Inicial / Ad Hoc",Y760="No Iniciado")),"CRÍTICO - Incumplimiento Normativo SEPS",IF(AND(OR(AA760="L4 Gestionado y Medible",AA760="L5 Optimizado"),AND(AC760&lt;&gt;"",AC760&lt;&gt;"N/A")),"CONFORME - Control Efectivo ISO 27001","OBSERVACIÓN - Revisar Controles")))</f>
        <v/>
      </c>
    </row>
    <row r="761">
      <c r="A761" s="99"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c r="AD761">
        <f>IF(OR(T761="",Y761="",AA761=""),"",IF(AND(T761="ALTA",OR(AA761="L0 Inexistente",AA761="L1 Inicial / Ad Hoc",Y761="No Iniciado")),"CRÍTICO - Incumplimiento Normativo SEPS",IF(AND(OR(AA761="L4 Gestionado y Medible",AA761="L5 Optimizado"),AND(AC761&lt;&gt;"",AC761&lt;&gt;"N/A")),"CONFORME - Control Efectivo ISO 27001","OBSERVACIÓN - Revisar Controles")))</f>
        <v/>
      </c>
    </row>
    <row r="762">
      <c r="A762" s="99"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c r="AD762">
        <f>IF(OR(T762="",Y762="",AA762=""),"",IF(AND(T762="ALTA",OR(AA762="L0 Inexistente",AA762="L1 Inicial / Ad Hoc",Y762="No Iniciado")),"CRÍTICO - Incumplimiento Normativo SEPS",IF(AND(OR(AA762="L4 Gestionado y Medible",AA762="L5 Optimizado"),AND(AC762&lt;&gt;"",AC762&lt;&gt;"N/A")),"CONFORME - Control Efectivo ISO 27001","OBSERVACIÓN - Revisar Controles")))</f>
        <v/>
      </c>
    </row>
    <row r="763">
      <c r="A763" s="99"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c r="AD763">
        <f>IF(OR(T763="",Y763="",AA763=""),"",IF(AND(T763="ALTA",OR(AA763="L0 Inexistente",AA763="L1 Inicial / Ad Hoc",Y763="No Iniciado")),"CRÍTICO - Incumplimiento Normativo SEPS",IF(AND(OR(AA763="L4 Gestionado y Medible",AA763="L5 Optimizado"),AND(AC763&lt;&gt;"",AC763&lt;&gt;"N/A")),"CONFORME - Control Efectivo ISO 27001","OBSERVACIÓN - Revisar Controles")))</f>
        <v/>
      </c>
    </row>
    <row r="764">
      <c r="A764" s="99"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c r="AD764">
        <f>IF(OR(T764="",Y764="",AA764=""),"",IF(AND(T764="ALTA",OR(AA764="L0 Inexistente",AA764="L1 Inicial / Ad Hoc",Y764="No Iniciado")),"CRÍTICO - Incumplimiento Normativo SEPS",IF(AND(OR(AA764="L4 Gestionado y Medible",AA764="L5 Optimizado"),AND(AC764&lt;&gt;"",AC764&lt;&gt;"N/A")),"CONFORME - Control Efectivo ISO 27001","OBSERVACIÓN - Revisar Controles")))</f>
        <v/>
      </c>
    </row>
    <row r="765">
      <c r="A765" s="99"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c r="AD765">
        <f>IF(OR(T765="",Y765="",AA765=""),"",IF(AND(T765="ALTA",OR(AA765="L0 Inexistente",AA765="L1 Inicial / Ad Hoc",Y765="No Iniciado")),"CRÍTICO - Incumplimiento Normativo SEPS",IF(AND(OR(AA765="L4 Gestionado y Medible",AA765="L5 Optimizado"),AND(AC765&lt;&gt;"",AC765&lt;&gt;"N/A")),"CONFORME - Control Efectivo ISO 27001","OBSERVACIÓN - Revisar Controles")))</f>
        <v/>
      </c>
    </row>
    <row r="766" ht="12" customHeight="1" s="106">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c r="AD766">
        <f>IF(OR(T766="",Y766="",AA766=""),"",IF(AND(T766="ALTA",OR(AA766="L0 Inexistente",AA766="L1 Inicial / Ad Hoc",Y766="No Iniciado")),"CRÍTICO - Incumplimiento Normativo SEPS",IF(AND(OR(AA766="L4 Gestionado y Medible",AA766="L5 Optimizado"),AND(AC766&lt;&gt;"",AC766&lt;&gt;"N/A")),"CONFORME - Control Efectivo ISO 27001","OBSERVACIÓN - Revisar Controles")))</f>
        <v/>
      </c>
    </row>
    <row r="767" ht="20.45" customHeight="1" s="106">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c r="AD767">
        <f>IF(OR(T767="",Y767="",AA767=""),"",IF(AND(T767="ALTA",OR(AA767="L0 Inexistente",AA767="L1 Inicial / Ad Hoc",Y767="No Iniciado")),"CRÍTICO - Incumplimiento Normativo SEPS",IF(AND(OR(AA767="L4 Gestionado y Medible",AA767="L5 Optimizado"),AND(AC767&lt;&gt;"",AC767&lt;&gt;"N/A")),"CONFORME - Control Efectivo ISO 27001","OBSERVACIÓN - Revisar Controles")))</f>
        <v/>
      </c>
    </row>
    <row r="768" ht="12" customHeight="1" s="106">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c r="AD768">
        <f>IF(OR(T768="",Y768="",AA768=""),"",IF(AND(T768="ALTA",OR(AA768="L0 Inexistente",AA768="L1 Inicial / Ad Hoc",Y768="No Iniciado")),"CRÍTICO - Incumplimiento Normativo SEPS",IF(AND(OR(AA768="L4 Gestionado y Medible",AA768="L5 Optimizado"),AND(AC768&lt;&gt;"",AC768&lt;&gt;"N/A")),"CONFORME - Control Efectivo ISO 27001","OBSERVACIÓN - Revisar Controles")))</f>
        <v/>
      </c>
    </row>
    <row r="769" ht="20.45" customHeight="1" s="106">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c r="AD769">
        <f>IF(OR(T769="",Y769="",AA769=""),"",IF(AND(T769="ALTA",OR(AA769="L0 Inexistente",AA769="L1 Inicial / Ad Hoc",Y769="No Iniciado")),"CRÍTICO - Incumplimiento Normativo SEPS",IF(AND(OR(AA769="L4 Gestionado y Medible",AA769="L5 Optimizado"),AND(AC769&lt;&gt;"",AC769&lt;&gt;"N/A")),"CONFORME - Control Efectivo ISO 27001","OBSERVACIÓN - Revisar Controles")))</f>
        <v/>
      </c>
    </row>
    <row r="770" ht="20.45" customHeight="1" s="106">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c r="AD770">
        <f>IF(OR(T770="",Y770="",AA770=""),"",IF(AND(T770="ALTA",OR(AA770="L0 Inexistente",AA770="L1 Inicial / Ad Hoc",Y770="No Iniciado")),"CRÍTICO - Incumplimiento Normativo SEPS",IF(AND(OR(AA770="L4 Gestionado y Medible",AA770="L5 Optimizado"),AND(AC770&lt;&gt;"",AC770&lt;&gt;"N/A")),"CONFORME - Control Efectivo ISO 27001","OBSERVACIÓN - Revisar Controles")))</f>
        <v/>
      </c>
    </row>
    <row r="771" ht="12" customHeight="1" s="106">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c r="AD771">
        <f>IF(OR(T771="",Y771="",AA771=""),"",IF(AND(T771="ALTA",OR(AA771="L0 Inexistente",AA771="L1 Inicial / Ad Hoc",Y771="No Iniciado")),"CRÍTICO - Incumplimiento Normativo SEPS",IF(AND(OR(AA771="L4 Gestionado y Medible",AA771="L5 Optimizado"),AND(AC771&lt;&gt;"",AC771&lt;&gt;"N/A")),"CONFORME - Control Efectivo ISO 27001","OBSERVACIÓN - Revisar Controles")))</f>
        <v/>
      </c>
    </row>
    <row r="772" ht="12" customHeight="1" s="106">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c r="AD772">
        <f>IF(OR(T772="",Y772="",AA772=""),"",IF(AND(T772="ALTA",OR(AA772="L0 Inexistente",AA772="L1 Inicial / Ad Hoc",Y772="No Iniciado")),"CRÍTICO - Incumplimiento Normativo SEPS",IF(AND(OR(AA772="L4 Gestionado y Medible",AA772="L5 Optimizado"),AND(AC772&lt;&gt;"",AC772&lt;&gt;"N/A")),"CONFORME - Control Efectivo ISO 27001","OBSERVACIÓN - Revisar Controles")))</f>
        <v/>
      </c>
    </row>
    <row r="773" ht="12" customHeight="1" s="106">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c r="AD773">
        <f>IF(OR(T773="",Y773="",AA773=""),"",IF(AND(T773="ALTA",OR(AA773="L0 Inexistente",AA773="L1 Inicial / Ad Hoc",Y773="No Iniciado")),"CRÍTICO - Incumplimiento Normativo SEPS",IF(AND(OR(AA773="L4 Gestionado y Medible",AA773="L5 Optimizado"),AND(AC773&lt;&gt;"",AC773&lt;&gt;"N/A")),"CONFORME - Control Efectivo ISO 27001","OBSERVACIÓN - Revisar Controles")))</f>
        <v/>
      </c>
    </row>
    <row r="774" ht="12" customHeight="1" s="106">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c r="AD774">
        <f>IF(OR(T774="",Y774="",AA774=""),"",IF(AND(T774="ALTA",OR(AA774="L0 Inexistente",AA774="L1 Inicial / Ad Hoc",Y774="No Iniciado")),"CRÍTICO - Incumplimiento Normativo SEPS",IF(AND(OR(AA774="L4 Gestionado y Medible",AA774="L5 Optimizado"),AND(AC774&lt;&gt;"",AC774&lt;&gt;"N/A")),"CONFORME - Control Efectivo ISO 27001","OBSERVACIÓN - Revisar Controles")))</f>
        <v/>
      </c>
    </row>
    <row r="775" ht="12" customHeight="1" s="106">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c r="AD775">
        <f>IF(OR(T775="",Y775="",AA775=""),"",IF(AND(T775="ALTA",OR(AA775="L0 Inexistente",AA775="L1 Inicial / Ad Hoc",Y775="No Iniciado")),"CRÍTICO - Incumplimiento Normativo SEPS",IF(AND(OR(AA775="L4 Gestionado y Medible",AA775="L5 Optimizado"),AND(AC775&lt;&gt;"",AC775&lt;&gt;"N/A")),"CONFORME - Control Efectivo ISO 27001","OBSERVACIÓN - Revisar Controles")))</f>
        <v/>
      </c>
    </row>
    <row r="776" ht="20.45" customHeight="1" s="106">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c r="AD776">
        <f>IF(OR(T776="",Y776="",AA776=""),"",IF(AND(T776="ALTA",OR(AA776="L0 Inexistente",AA776="L1 Inicial / Ad Hoc",Y776="No Iniciado")),"CRÍTICO - Incumplimiento Normativo SEPS",IF(AND(OR(AA776="L4 Gestionado y Medible",AA776="L5 Optimizado"),AND(AC776&lt;&gt;"",AC776&lt;&gt;"N/A")),"CONFORME - Control Efectivo ISO 27001","OBSERVACIÓN - Revisar Controles")))</f>
        <v/>
      </c>
    </row>
    <row r="777" ht="20.45" customHeight="1" s="106">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c r="AD777">
        <f>IF(OR(T777="",Y777="",AA777=""),"",IF(AND(T777="ALTA",OR(AA777="L0 Inexistente",AA777="L1 Inicial / Ad Hoc",Y777="No Iniciado")),"CRÍTICO - Incumplimiento Normativo SEPS",IF(AND(OR(AA777="L4 Gestionado y Medible",AA777="L5 Optimizado"),AND(AC777&lt;&gt;"",AC777&lt;&gt;"N/A")),"CONFORME - Control Efectivo ISO 27001","OBSERVACIÓN - Revisar Controles")))</f>
        <v/>
      </c>
    </row>
    <row r="778" ht="20.45" customHeight="1" s="106">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c r="AD778">
        <f>IF(OR(T778="",Y778="",AA778=""),"",IF(AND(T778="ALTA",OR(AA778="L0 Inexistente",AA778="L1 Inicial / Ad Hoc",Y778="No Iniciado")),"CRÍTICO - Incumplimiento Normativo SEPS",IF(AND(OR(AA778="L4 Gestionado y Medible",AA778="L5 Optimizado"),AND(AC778&lt;&gt;"",AC778&lt;&gt;"N/A")),"CONFORME - Control Efectivo ISO 27001","OBSERVACIÓN - Revisar Controles")))</f>
        <v/>
      </c>
    </row>
    <row r="779">
      <c r="A779" s="99"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c r="AD779">
        <f>IF(OR(T779="",Y779="",AA779=""),"",IF(AND(T779="ALTA",OR(AA779="L0 Inexistente",AA779="L1 Inicial / Ad Hoc",Y779="No Iniciado")),"CRÍTICO - Incumplimiento Normativo SEPS",IF(AND(OR(AA779="L4 Gestionado y Medible",AA779="L5 Optimizado"),AND(AC779&lt;&gt;"",AC779&lt;&gt;"N/A")),"CONFORME - Control Efectivo ISO 27001","OBSERVACIÓN - Revisar Controles")))</f>
        <v/>
      </c>
    </row>
    <row r="780" ht="20.45" customHeight="1" s="106">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c r="AD780">
        <f>IF(OR(T780="",Y780="",AA780=""),"",IF(AND(T780="ALTA",OR(AA780="L0 Inexistente",AA780="L1 Inicial / Ad Hoc",Y780="No Iniciado")),"CRÍTICO - Incumplimiento Normativo SEPS",IF(AND(OR(AA780="L4 Gestionado y Medible",AA780="L5 Optimizado"),AND(AC780&lt;&gt;"",AC780&lt;&gt;"N/A")),"CONFORME - Control Efectivo ISO 27001","OBSERVACIÓN - Revisar Controles")))</f>
        <v/>
      </c>
    </row>
    <row r="781" ht="20.45" customHeight="1" s="106">
      <c r="A781" s="99"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c r="AD781">
        <f>IF(OR(T781="",Y781="",AA781=""),"",IF(AND(T781="ALTA",OR(AA781="L0 Inexistente",AA781="L1 Inicial / Ad Hoc",Y781="No Iniciado")),"CRÍTICO - Incumplimiento Normativo SEPS",IF(AND(OR(AA781="L4 Gestionado y Medible",AA781="L5 Optimizado"),AND(AC781&lt;&gt;"",AC781&lt;&gt;"N/A")),"CONFORME - Control Efectivo ISO 27001","OBSERVACIÓN - Revisar Controles")))</f>
        <v/>
      </c>
    </row>
    <row r="782">
      <c r="A782" s="99"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c r="AD782">
        <f>IF(OR(T782="",Y782="",AA782=""),"",IF(AND(T782="ALTA",OR(AA782="L0 Inexistente",AA782="L1 Inicial / Ad Hoc",Y782="No Iniciado")),"CRÍTICO - Incumplimiento Normativo SEPS",IF(AND(OR(AA782="L4 Gestionado y Medible",AA782="L5 Optimizado"),AND(AC782&lt;&gt;"",AC782&lt;&gt;"N/A")),"CONFORME - Control Efectivo ISO 27001","OBSERVACIÓN - Revisar Controles")))</f>
        <v/>
      </c>
    </row>
    <row r="783" ht="20.45" customHeight="1" s="106">
      <c r="A783" s="99"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c r="AD783">
        <f>IF(OR(T783="",Y783="",AA783=""),"",IF(AND(T783="ALTA",OR(AA783="L0 Inexistente",AA783="L1 Inicial / Ad Hoc",Y783="No Iniciado")),"CRÍTICO - Incumplimiento Normativo SEPS",IF(AND(OR(AA783="L4 Gestionado y Medible",AA783="L5 Optimizado"),AND(AC783&lt;&gt;"",AC783&lt;&gt;"N/A")),"CONFORME - Control Efectivo ISO 27001","OBSERVACIÓN - Revisar Controles")))</f>
        <v/>
      </c>
    </row>
    <row r="784" ht="20.45" customHeight="1" s="106">
      <c r="A784" s="99"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c r="AD784">
        <f>IF(OR(T784="",Y784="",AA784=""),"",IF(AND(T784="ALTA",OR(AA784="L0 Inexistente",AA784="L1 Inicial / Ad Hoc",Y784="No Iniciado")),"CRÍTICO - Incumplimiento Normativo SEPS",IF(AND(OR(AA784="L4 Gestionado y Medible",AA784="L5 Optimizado"),AND(AC784&lt;&gt;"",AC784&lt;&gt;"N/A")),"CONFORME - Control Efectivo ISO 27001","OBSERVACIÓN - Revisar Controles")))</f>
        <v/>
      </c>
    </row>
    <row r="785">
      <c r="A785" s="99"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c r="AD785">
        <f>IF(OR(T785="",Y785="",AA785=""),"",IF(AND(T785="ALTA",OR(AA785="L0 Inexistente",AA785="L1 Inicial / Ad Hoc",Y785="No Iniciado")),"CRÍTICO - Incumplimiento Normativo SEPS",IF(AND(OR(AA785="L4 Gestionado y Medible",AA785="L5 Optimizado"),AND(AC785&lt;&gt;"",AC785&lt;&gt;"N/A")),"CONFORME - Control Efectivo ISO 27001","OBSERVACIÓN - Revisar Controles")))</f>
        <v/>
      </c>
    </row>
    <row r="786">
      <c r="A786" s="99"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c r="AD786">
        <f>IF(OR(T786="",Y786="",AA786=""),"",IF(AND(T786="ALTA",OR(AA786="L0 Inexistente",AA786="L1 Inicial / Ad Hoc",Y786="No Iniciado")),"CRÍTICO - Incumplimiento Normativo SEPS",IF(AND(OR(AA786="L4 Gestionado y Medible",AA786="L5 Optimizado"),AND(AC786&lt;&gt;"",AC786&lt;&gt;"N/A")),"CONFORME - Control Efectivo ISO 27001","OBSERVACIÓN - Revisar Controles")))</f>
        <v/>
      </c>
    </row>
    <row r="787">
      <c r="A787" s="99"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c r="AD787">
        <f>IF(OR(T787="",Y787="",AA787=""),"",IF(AND(T787="ALTA",OR(AA787="L0 Inexistente",AA787="L1 Inicial / Ad Hoc",Y787="No Iniciado")),"CRÍTICO - Incumplimiento Normativo SEPS",IF(AND(OR(AA787="L4 Gestionado y Medible",AA787="L5 Optimizado"),AND(AC787&lt;&gt;"",AC787&lt;&gt;"N/A")),"CONFORME - Control Efectivo ISO 27001","OBSERVACIÓN - Revisar Controles")))</f>
        <v/>
      </c>
    </row>
    <row r="788" ht="20.45" customHeight="1" s="106">
      <c r="A788" s="99"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c r="AD788">
        <f>IF(OR(T788="",Y788="",AA788=""),"",IF(AND(T788="ALTA",OR(AA788="L0 Inexistente",AA788="L1 Inicial / Ad Hoc",Y788="No Iniciado")),"CRÍTICO - Incumplimiento Normativo SEPS",IF(AND(OR(AA788="L4 Gestionado y Medible",AA788="L5 Optimizado"),AND(AC788&lt;&gt;"",AC788&lt;&gt;"N/A")),"CONFORME - Control Efectivo ISO 27001","OBSERVACIÓN - Revisar Controles")))</f>
        <v/>
      </c>
    </row>
    <row r="789" ht="20.45" customHeight="1" s="106">
      <c r="A789" s="99"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c r="AD789">
        <f>IF(OR(T789="",Y789="",AA789=""),"",IF(AND(T789="ALTA",OR(AA789="L0 Inexistente",AA789="L1 Inicial / Ad Hoc",Y789="No Iniciado")),"CRÍTICO - Incumplimiento Normativo SEPS",IF(AND(OR(AA789="L4 Gestionado y Medible",AA789="L5 Optimizado"),AND(AC789&lt;&gt;"",AC789&lt;&gt;"N/A")),"CONFORME - Control Efectivo ISO 27001","OBSERVACIÓN - Revisar Controles")))</f>
        <v/>
      </c>
    </row>
    <row r="790" ht="20.45" customHeight="1" s="106">
      <c r="A790" s="99"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c r="AD790">
        <f>IF(OR(T790="",Y790="",AA790=""),"",IF(AND(T790="ALTA",OR(AA790="L0 Inexistente",AA790="L1 Inicial / Ad Hoc",Y790="No Iniciado")),"CRÍTICO - Incumplimiento Normativo SEPS",IF(AND(OR(AA790="L4 Gestionado y Medible",AA790="L5 Optimizado"),AND(AC790&lt;&gt;"",AC790&lt;&gt;"N/A")),"CONFORME - Control Efectivo ISO 27001","OBSERVACIÓN - Revisar Controles")))</f>
        <v/>
      </c>
    </row>
    <row r="791" ht="20.45" customHeight="1" s="106">
      <c r="A791" s="99"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c r="AD791">
        <f>IF(OR(T791="",Y791="",AA791=""),"",IF(AND(T791="ALTA",OR(AA791="L0 Inexistente",AA791="L1 Inicial / Ad Hoc",Y791="No Iniciado")),"CRÍTICO - Incumplimiento Normativo SEPS",IF(AND(OR(AA791="L4 Gestionado y Medible",AA791="L5 Optimizado"),AND(AC791&lt;&gt;"",AC791&lt;&gt;"N/A")),"CONFORME - Control Efectivo ISO 27001","OBSERVACIÓN - Revisar Controles")))</f>
        <v/>
      </c>
    </row>
    <row r="792" ht="20.45" customHeight="1" s="106">
      <c r="A792" s="99"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c r="AD792">
        <f>IF(OR(T792="",Y792="",AA792=""),"",IF(AND(T792="ALTA",OR(AA792="L0 Inexistente",AA792="L1 Inicial / Ad Hoc",Y792="No Iniciado")),"CRÍTICO - Incumplimiento Normativo SEPS",IF(AND(OR(AA792="L4 Gestionado y Medible",AA792="L5 Optimizado"),AND(AC792&lt;&gt;"",AC792&lt;&gt;"N/A")),"CONFORME - Control Efectivo ISO 27001","OBSERVACIÓN - Revisar Controles")))</f>
        <v/>
      </c>
    </row>
    <row r="793" ht="20.45" customHeight="1" s="106">
      <c r="A793" s="99"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c r="AD793">
        <f>IF(OR(T793="",Y793="",AA793=""),"",IF(AND(T793="ALTA",OR(AA793="L0 Inexistente",AA793="L1 Inicial / Ad Hoc",Y793="No Iniciado")),"CRÍTICO - Incumplimiento Normativo SEPS",IF(AND(OR(AA793="L4 Gestionado y Medible",AA793="L5 Optimizado"),AND(AC793&lt;&gt;"",AC793&lt;&gt;"N/A")),"CONFORME - Control Efectivo ISO 27001","OBSERVACIÓN - Revisar Controles")))</f>
        <v/>
      </c>
    </row>
    <row r="794" ht="20.45" customHeight="1" s="106">
      <c r="A794" s="99"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c r="AD794">
        <f>IF(OR(T794="",Y794="",AA794=""),"",IF(AND(T794="ALTA",OR(AA794="L0 Inexistente",AA794="L1 Inicial / Ad Hoc",Y794="No Iniciado")),"CRÍTICO - Incumplimiento Normativo SEPS",IF(AND(OR(AA794="L4 Gestionado y Medible",AA794="L5 Optimizado"),AND(AC794&lt;&gt;"",AC794&lt;&gt;"N/A")),"CONFORME - Control Efectivo ISO 27001","OBSERVACIÓN - Revisar Controles")))</f>
        <v/>
      </c>
    </row>
    <row r="795" ht="20.45" customHeight="1" s="106">
      <c r="A795" s="99"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c r="AD795">
        <f>IF(OR(T795="",Y795="",AA795=""),"",IF(AND(T795="ALTA",OR(AA795="L0 Inexistente",AA795="L1 Inicial / Ad Hoc",Y795="No Iniciado")),"CRÍTICO - Incumplimiento Normativo SEPS",IF(AND(OR(AA795="L4 Gestionado y Medible",AA795="L5 Optimizado"),AND(AC795&lt;&gt;"",AC795&lt;&gt;"N/A")),"CONFORME - Control Efectivo ISO 27001","OBSERVACIÓN - Revisar Controles")))</f>
        <v/>
      </c>
    </row>
    <row r="796" ht="20.45" customHeight="1" s="106">
      <c r="A796" s="99"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c r="AD796">
        <f>IF(OR(T796="",Y796="",AA796=""),"",IF(AND(T796="ALTA",OR(AA796="L0 Inexistente",AA796="L1 Inicial / Ad Hoc",Y796="No Iniciado")),"CRÍTICO - Incumplimiento Normativo SEPS",IF(AND(OR(AA796="L4 Gestionado y Medible",AA796="L5 Optimizado"),AND(AC796&lt;&gt;"",AC796&lt;&gt;"N/A")),"CONFORME - Control Efectivo ISO 27001","OBSERVACIÓN - Revisar Controles")))</f>
        <v/>
      </c>
    </row>
    <row r="797" ht="24" customHeight="1" s="106">
      <c r="A797" s="99"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c r="AD797">
        <f>IF(OR(T797="",Y797="",AA797=""),"",IF(AND(T797="ALTA",OR(AA797="L0 Inexistente",AA797="L1 Inicial / Ad Hoc",Y797="No Iniciado")),"CRÍTICO - Incumplimiento Normativo SEPS",IF(AND(OR(AA797="L4 Gestionado y Medible",AA797="L5 Optimizado"),AND(AC797&lt;&gt;"",AC797&lt;&gt;"N/A")),"CONFORME - Control Efectivo ISO 27001","OBSERVACIÓN - Revisar Controles")))</f>
        <v/>
      </c>
    </row>
    <row r="798">
      <c r="A798" s="99"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c r="AD798">
        <f>IF(OR(T798="",Y798="",AA798=""),"",IF(AND(T798="ALTA",OR(AA798="L0 Inexistente",AA798="L1 Inicial / Ad Hoc",Y798="No Iniciado")),"CRÍTICO - Incumplimiento Normativo SEPS",IF(AND(OR(AA798="L4 Gestionado y Medible",AA798="L5 Optimizado"),AND(AC798&lt;&gt;"",AC798&lt;&gt;"N/A")),"CONFORME - Control Efectivo ISO 27001","OBSERVACIÓN - Revisar Controles")))</f>
        <v/>
      </c>
    </row>
    <row r="799">
      <c r="A799" s="99"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c r="AD799">
        <f>IF(OR(T799="",Y799="",AA799=""),"",IF(AND(T799="ALTA",OR(AA799="L0 Inexistente",AA799="L1 Inicial / Ad Hoc",Y799="No Iniciado")),"CRÍTICO - Incumplimiento Normativo SEPS",IF(AND(OR(AA799="L4 Gestionado y Medible",AA799="L5 Optimizado"),AND(AC799&lt;&gt;"",AC799&lt;&gt;"N/A")),"CONFORME - Control Efectivo ISO 27001","OBSERVACIÓN - Revisar Controles")))</f>
        <v/>
      </c>
    </row>
    <row r="800">
      <c r="A800" s="99"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c r="AD800">
        <f>IF(OR(T800="",Y800="",AA800=""),"",IF(AND(T800="ALTA",OR(AA800="L0 Inexistente",AA800="L1 Inicial / Ad Hoc",Y800="No Iniciado")),"CRÍTICO - Incumplimiento Normativo SEPS",IF(AND(OR(AA800="L4 Gestionado y Medible",AA800="L5 Optimizado"),AND(AC800&lt;&gt;"",AC800&lt;&gt;"N/A")),"CONFORME - Control Efectivo ISO 27001","OBSERVACIÓN - Revisar Controles")))</f>
        <v/>
      </c>
    </row>
    <row r="801">
      <c r="A801" s="99"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c r="AD801">
        <f>IF(OR(T801="",Y801="",AA801=""),"",IF(AND(T801="ALTA",OR(AA801="L0 Inexistente",AA801="L1 Inicial / Ad Hoc",Y801="No Iniciado")),"CRÍTICO - Incumplimiento Normativo SEPS",IF(AND(OR(AA801="L4 Gestionado y Medible",AA801="L5 Optimizado"),AND(AC801&lt;&gt;"",AC801&lt;&gt;"N/A")),"CONFORME - Control Efectivo ISO 27001","OBSERVACIÓN - Revisar Controles")))</f>
        <v/>
      </c>
    </row>
    <row r="802">
      <c r="A802" s="99"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c r="AD802">
        <f>IF(OR(T802="",Y802="",AA802=""),"",IF(AND(T802="ALTA",OR(AA802="L0 Inexistente",AA802="L1 Inicial / Ad Hoc",Y802="No Iniciado")),"CRÍTICO - Incumplimiento Normativo SEPS",IF(AND(OR(AA802="L4 Gestionado y Medible",AA802="L5 Optimizado"),AND(AC802&lt;&gt;"",AC802&lt;&gt;"N/A")),"CONFORME - Control Efectivo ISO 27001","OBSERVACIÓN - Revisar Controles")))</f>
        <v/>
      </c>
    </row>
    <row r="803">
      <c r="A803" s="99"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c r="AD803">
        <f>IF(OR(T803="",Y803="",AA803=""),"",IF(AND(T803="ALTA",OR(AA803="L0 Inexistente",AA803="L1 Inicial / Ad Hoc",Y803="No Iniciado")),"CRÍTICO - Incumplimiento Normativo SEPS",IF(AND(OR(AA803="L4 Gestionado y Medible",AA803="L5 Optimizado"),AND(AC803&lt;&gt;"",AC803&lt;&gt;"N/A")),"CONFORME - Control Efectivo ISO 27001","OBSERVACIÓN - Revisar Controles")))</f>
        <v/>
      </c>
    </row>
    <row r="804">
      <c r="A804" s="99"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c r="AD804">
        <f>IF(OR(T804="",Y804="",AA804=""),"",IF(AND(T804="ALTA",OR(AA804="L0 Inexistente",AA804="L1 Inicial / Ad Hoc",Y804="No Iniciado")),"CRÍTICO - Incumplimiento Normativo SEPS",IF(AND(OR(AA804="L4 Gestionado y Medible",AA804="L5 Optimizado"),AND(AC804&lt;&gt;"",AC804&lt;&gt;"N/A")),"CONFORME - Control Efectivo ISO 27001","OBSERVACIÓN - Revisar Controles")))</f>
        <v/>
      </c>
    </row>
    <row r="805">
      <c r="A805" s="99"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c r="AD805">
        <f>IF(OR(T805="",Y805="",AA805=""),"",IF(AND(T805="ALTA",OR(AA805="L0 Inexistente",AA805="L1 Inicial / Ad Hoc",Y805="No Iniciado")),"CRÍTICO - Incumplimiento Normativo SEPS",IF(AND(OR(AA805="L4 Gestionado y Medible",AA805="L5 Optimizado"),AND(AC805&lt;&gt;"",AC805&lt;&gt;"N/A")),"CONFORME - Control Efectivo ISO 27001","OBSERVACIÓN - Revisar Controles")))</f>
        <v/>
      </c>
    </row>
    <row r="806">
      <c r="A806" s="99"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c r="AD806">
        <f>IF(OR(T806="",Y806="",AA806=""),"",IF(AND(T806="ALTA",OR(AA806="L0 Inexistente",AA806="L1 Inicial / Ad Hoc",Y806="No Iniciado")),"CRÍTICO - Incumplimiento Normativo SEPS",IF(AND(OR(AA806="L4 Gestionado y Medible",AA806="L5 Optimizado"),AND(AC806&lt;&gt;"",AC806&lt;&gt;"N/A")),"CONFORME - Control Efectivo ISO 27001","OBSERVACIÓN - Revisar Controles")))</f>
        <v/>
      </c>
    </row>
    <row r="807">
      <c r="A807" s="99"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c r="AD807">
        <f>IF(OR(T807="",Y807="",AA807=""),"",IF(AND(T807="ALTA",OR(AA807="L0 Inexistente",AA807="L1 Inicial / Ad Hoc",Y807="No Iniciado")),"CRÍTICO - Incumplimiento Normativo SEPS",IF(AND(OR(AA807="L4 Gestionado y Medible",AA807="L5 Optimizado"),AND(AC807&lt;&gt;"",AC807&lt;&gt;"N/A")),"CONFORME - Control Efectivo ISO 27001","OBSERVACIÓN - Revisar Controles")))</f>
        <v/>
      </c>
    </row>
    <row r="808">
      <c r="A808" s="99"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c r="AD808">
        <f>IF(OR(T808="",Y808="",AA808=""),"",IF(AND(T808="ALTA",OR(AA808="L0 Inexistente",AA808="L1 Inicial / Ad Hoc",Y808="No Iniciado")),"CRÍTICO - Incumplimiento Normativo SEPS",IF(AND(OR(AA808="L4 Gestionado y Medible",AA808="L5 Optimizado"),AND(AC808&lt;&gt;"",AC808&lt;&gt;"N/A")),"CONFORME - Control Efectivo ISO 27001","OBSERVACIÓN - Revisar Controles")))</f>
        <v/>
      </c>
    </row>
    <row r="809">
      <c r="A809" s="99"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c r="AD809">
        <f>IF(OR(T809="",Y809="",AA809=""),"",IF(AND(T809="ALTA",OR(AA809="L0 Inexistente",AA809="L1 Inicial / Ad Hoc",Y809="No Iniciado")),"CRÍTICO - Incumplimiento Normativo SEPS",IF(AND(OR(AA809="L4 Gestionado y Medible",AA809="L5 Optimizado"),AND(AC809&lt;&gt;"",AC809&lt;&gt;"N/A")),"CONFORME - Control Efectivo ISO 27001","OBSERVACIÓN - Revisar Controles")))</f>
        <v/>
      </c>
    </row>
    <row r="810">
      <c r="A810" s="99"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c r="AD810">
        <f>IF(OR(T810="",Y810="",AA810=""),"",IF(AND(T810="ALTA",OR(AA810="L0 Inexistente",AA810="L1 Inicial / Ad Hoc",Y810="No Iniciado")),"CRÍTICO - Incumplimiento Normativo SEPS",IF(AND(OR(AA810="L4 Gestionado y Medible",AA810="L5 Optimizado"),AND(AC810&lt;&gt;"",AC810&lt;&gt;"N/A")),"CONFORME - Control Efectivo ISO 27001","OBSERVACIÓN - Revisar Controles")))</f>
        <v/>
      </c>
    </row>
    <row r="811">
      <c r="A811" s="99"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c r="AD811">
        <f>IF(OR(T811="",Y811="",AA811=""),"",IF(AND(T811="ALTA",OR(AA811="L0 Inexistente",AA811="L1 Inicial / Ad Hoc",Y811="No Iniciado")),"CRÍTICO - Incumplimiento Normativo SEPS",IF(AND(OR(AA811="L4 Gestionado y Medible",AA811="L5 Optimizado"),AND(AC811&lt;&gt;"",AC811&lt;&gt;"N/A")),"CONFORME - Control Efectivo ISO 27001","OBSERVACIÓN - Revisar Controles")))</f>
        <v/>
      </c>
    </row>
    <row r="812">
      <c r="A812" s="99"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c r="AD812">
        <f>IF(OR(T812="",Y812="",AA812=""),"",IF(AND(T812="ALTA",OR(AA812="L0 Inexistente",AA812="L1 Inicial / Ad Hoc",Y812="No Iniciado")),"CRÍTICO - Incumplimiento Normativo SEPS",IF(AND(OR(AA812="L4 Gestionado y Medible",AA812="L5 Optimizado"),AND(AC812&lt;&gt;"",AC812&lt;&gt;"N/A")),"CONFORME - Control Efectivo ISO 27001","OBSERVACIÓN - Revisar Controles")))</f>
        <v/>
      </c>
    </row>
    <row r="813">
      <c r="A813" s="99"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c r="AD813">
        <f>IF(OR(T813="",Y813="",AA813=""),"",IF(AND(T813="ALTA",OR(AA813="L0 Inexistente",AA813="L1 Inicial / Ad Hoc",Y813="No Iniciado")),"CRÍTICO - Incumplimiento Normativo SEPS",IF(AND(OR(AA813="L4 Gestionado y Medible",AA813="L5 Optimizado"),AND(AC813&lt;&gt;"",AC813&lt;&gt;"N/A")),"CONFORME - Control Efectivo ISO 27001","OBSERVACIÓN - Revisar Controles")))</f>
        <v/>
      </c>
    </row>
    <row r="814">
      <c r="A814" s="99"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c r="AD814">
        <f>IF(OR(T814="",Y814="",AA814=""),"",IF(AND(T814="ALTA",OR(AA814="L0 Inexistente",AA814="L1 Inicial / Ad Hoc",Y814="No Iniciado")),"CRÍTICO - Incumplimiento Normativo SEPS",IF(AND(OR(AA814="L4 Gestionado y Medible",AA814="L5 Optimizado"),AND(AC814&lt;&gt;"",AC814&lt;&gt;"N/A")),"CONFORME - Control Efectivo ISO 27001","OBSERVACIÓN - Revisar Controles")))</f>
        <v/>
      </c>
    </row>
    <row r="815">
      <c r="A815" s="99"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c r="AD815">
        <f>IF(OR(T815="",Y815="",AA815=""),"",IF(AND(T815="ALTA",OR(AA815="L0 Inexistente",AA815="L1 Inicial / Ad Hoc",Y815="No Iniciado")),"CRÍTICO - Incumplimiento Normativo SEPS",IF(AND(OR(AA815="L4 Gestionado y Medible",AA815="L5 Optimizado"),AND(AC815&lt;&gt;"",AC815&lt;&gt;"N/A")),"CONFORME - Control Efectivo ISO 27001","OBSERVACIÓN - Revisar Controles")))</f>
        <v/>
      </c>
    </row>
    <row r="816">
      <c r="A816" s="99"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c r="AD816">
        <f>IF(OR(T816="",Y816="",AA816=""),"",IF(AND(T816="ALTA",OR(AA816="L0 Inexistente",AA816="L1 Inicial / Ad Hoc",Y816="No Iniciado")),"CRÍTICO - Incumplimiento Normativo SEPS",IF(AND(OR(AA816="L4 Gestionado y Medible",AA816="L5 Optimizado"),AND(AC816&lt;&gt;"",AC816&lt;&gt;"N/A")),"CONFORME - Control Efectivo ISO 27001","OBSERVACIÓN - Revisar Controles")))</f>
        <v/>
      </c>
    </row>
    <row r="817">
      <c r="A817" s="99"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c r="AD817">
        <f>IF(OR(T817="",Y817="",AA817=""),"",IF(AND(T817="ALTA",OR(AA817="L0 Inexistente",AA817="L1 Inicial / Ad Hoc",Y817="No Iniciado")),"CRÍTICO - Incumplimiento Normativo SEPS",IF(AND(OR(AA817="L4 Gestionado y Medible",AA817="L5 Optimizado"),AND(AC817&lt;&gt;"",AC817&lt;&gt;"N/A")),"CONFORME - Control Efectivo ISO 27001","OBSERVACIÓN - Revisar Controles")))</f>
        <v/>
      </c>
    </row>
    <row r="818" ht="41.1" customHeight="1" s="106">
      <c r="A818" s="99"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c r="AD818">
        <f>IF(OR(T818="",Y818="",AA818=""),"",IF(AND(T818="ALTA",OR(AA818="L0 Inexistente",AA818="L1 Inicial / Ad Hoc",Y818="No Iniciado")),"CRÍTICO - Incumplimiento Normativo SEPS",IF(AND(OR(AA818="L4 Gestionado y Medible",AA818="L5 Optimizado"),AND(AC818&lt;&gt;"",AC818&lt;&gt;"N/A")),"CONFORME - Control Efectivo ISO 27001","OBSERVACIÓN - Revisar Controles")))</f>
        <v/>
      </c>
    </row>
    <row r="819" ht="51" customHeight="1" s="106">
      <c r="A819" s="99"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c r="AD819">
        <f>IF(OR(T819="",Y819="",AA819=""),"",IF(AND(T819="ALTA",OR(AA819="L0 Inexistente",AA819="L1 Inicial / Ad Hoc",Y819="No Iniciado")),"CRÍTICO - Incumplimiento Normativo SEPS",IF(AND(OR(AA819="L4 Gestionado y Medible",AA819="L5 Optimizado"),AND(AC819&lt;&gt;"",AC819&lt;&gt;"N/A")),"CONFORME - Control Efectivo ISO 27001","OBSERVACIÓN - Revisar Controles")))</f>
        <v/>
      </c>
    </row>
    <row r="820" ht="61.35" customHeight="1" s="106">
      <c r="A820" s="99"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c r="AD820">
        <f>IF(OR(T820="",Y820="",AA820=""),"",IF(AND(T820="ALTA",OR(AA820="L0 Inexistente",AA820="L1 Inicial / Ad Hoc",Y820="No Iniciado")),"CRÍTICO - Incumplimiento Normativo SEPS",IF(AND(OR(AA820="L4 Gestionado y Medible",AA820="L5 Optimizado"),AND(AC820&lt;&gt;"",AC820&lt;&gt;"N/A")),"CONFORME - Control Efectivo ISO 27001","OBSERVACIÓN - Revisar Controles")))</f>
        <v/>
      </c>
    </row>
    <row r="821" ht="20.45" customHeight="1" s="106">
      <c r="A821" s="99"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c r="AD821">
        <f>IF(OR(T821="",Y821="",AA821=""),"",IF(AND(T821="ALTA",OR(AA821="L0 Inexistente",AA821="L1 Inicial / Ad Hoc",Y821="No Iniciado")),"CRÍTICO - Incumplimiento Normativo SEPS",IF(AND(OR(AA821="L4 Gestionado y Medible",AA821="L5 Optimizado"),AND(AC821&lt;&gt;"",AC821&lt;&gt;"N/A")),"CONFORME - Control Efectivo ISO 27001","OBSERVACIÓN - Revisar Controles")))</f>
        <v/>
      </c>
    </row>
    <row r="822" ht="30.6" customHeight="1" s="106">
      <c r="A822" s="99"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c r="AD822">
        <f>IF(OR(T822="",Y822="",AA822=""),"",IF(AND(T822="ALTA",OR(AA822="L0 Inexistente",AA822="L1 Inicial / Ad Hoc",Y822="No Iniciado")),"CRÍTICO - Incumplimiento Normativo SEPS",IF(AND(OR(AA822="L4 Gestionado y Medible",AA822="L5 Optimizado"),AND(AC822&lt;&gt;"",AC822&lt;&gt;"N/A")),"CONFORME - Control Efectivo ISO 27001","OBSERVACIÓN - Revisar Controles")))</f>
        <v/>
      </c>
    </row>
    <row r="823" ht="20.45" customHeight="1" s="106">
      <c r="A823" s="99"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c r="AD823">
        <f>IF(OR(T823="",Y823="",AA823=""),"",IF(AND(T823="ALTA",OR(AA823="L0 Inexistente",AA823="L1 Inicial / Ad Hoc",Y823="No Iniciado")),"CRÍTICO - Incumplimiento Normativo SEPS",IF(AND(OR(AA823="L4 Gestionado y Medible",AA823="L5 Optimizado"),AND(AC823&lt;&gt;"",AC823&lt;&gt;"N/A")),"CONFORME - Control Efectivo ISO 27001","OBSERVACIÓN - Revisar Controles")))</f>
        <v/>
      </c>
    </row>
    <row r="824">
      <c r="A824" s="99"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c r="AD824">
        <f>IF(OR(T824="",Y824="",AA824=""),"",IF(AND(T824="ALTA",OR(AA824="L0 Inexistente",AA824="L1 Inicial / Ad Hoc",Y824="No Iniciado")),"CRÍTICO - Incumplimiento Normativo SEPS",IF(AND(OR(AA824="L4 Gestionado y Medible",AA824="L5 Optimizado"),AND(AC824&lt;&gt;"",AC824&lt;&gt;"N/A")),"CONFORME - Control Efectivo ISO 27001","OBSERVACIÓN - Revisar Controles")))</f>
        <v/>
      </c>
    </row>
    <row r="825">
      <c r="A825" s="99"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c r="AD825">
        <f>IF(OR(T825="",Y825="",AA825=""),"",IF(AND(T825="ALTA",OR(AA825="L0 Inexistente",AA825="L1 Inicial / Ad Hoc",Y825="No Iniciado")),"CRÍTICO - Incumplimiento Normativo SEPS",IF(AND(OR(AA825="L4 Gestionado y Medible",AA825="L5 Optimizado"),AND(AC825&lt;&gt;"",AC825&lt;&gt;"N/A")),"CONFORME - Control Efectivo ISO 27001","OBSERVACIÓN - Revisar Controles")))</f>
        <v/>
      </c>
    </row>
    <row r="826">
      <c r="A826" s="99"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c r="AD826">
        <f>IF(OR(T826="",Y826="",AA826=""),"",IF(AND(T826="ALTA",OR(AA826="L0 Inexistente",AA826="L1 Inicial / Ad Hoc",Y826="No Iniciado")),"CRÍTICO - Incumplimiento Normativo SEPS",IF(AND(OR(AA826="L4 Gestionado y Medible",AA826="L5 Optimizado"),AND(AC826&lt;&gt;"",AC826&lt;&gt;"N/A")),"CONFORME - Control Efectivo ISO 27001","OBSERVACIÓN - Revisar Controles")))</f>
        <v/>
      </c>
    </row>
    <row r="827">
      <c r="A827" s="99"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c r="AD827">
        <f>IF(OR(T827="",Y827="",AA827=""),"",IF(AND(T827="ALTA",OR(AA827="L0 Inexistente",AA827="L1 Inicial / Ad Hoc",Y827="No Iniciado")),"CRÍTICO - Incumplimiento Normativo SEPS",IF(AND(OR(AA827="L4 Gestionado y Medible",AA827="L5 Optimizado"),AND(AC827&lt;&gt;"",AC827&lt;&gt;"N/A")),"CONFORME - Control Efectivo ISO 27001","OBSERVACIÓN - Revisar Controles")))</f>
        <v/>
      </c>
    </row>
    <row r="828">
      <c r="A828" s="99"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c r="AD828">
        <f>IF(OR(T828="",Y828="",AA828=""),"",IF(AND(T828="ALTA",OR(AA828="L0 Inexistente",AA828="L1 Inicial / Ad Hoc",Y828="No Iniciado")),"CRÍTICO - Incumplimiento Normativo SEPS",IF(AND(OR(AA828="L4 Gestionado y Medible",AA828="L5 Optimizado"),AND(AC828&lt;&gt;"",AC828&lt;&gt;"N/A")),"CONFORME - Control Efectivo ISO 27001","OBSERVACIÓN - Revisar Controles")))</f>
        <v/>
      </c>
    </row>
    <row r="829">
      <c r="A829" s="99"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c r="AD829">
        <f>IF(OR(T829="",Y829="",AA829=""),"",IF(AND(T829="ALTA",OR(AA829="L0 Inexistente",AA829="L1 Inicial / Ad Hoc",Y829="No Iniciado")),"CRÍTICO - Incumplimiento Normativo SEPS",IF(AND(OR(AA829="L4 Gestionado y Medible",AA829="L5 Optimizado"),AND(AC829&lt;&gt;"",AC829&lt;&gt;"N/A")),"CONFORME - Control Efectivo ISO 27001","OBSERVACIÓN - Revisar Controles")))</f>
        <v/>
      </c>
    </row>
    <row r="830">
      <c r="A830" s="99"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c r="AD830">
        <f>IF(OR(T830="",Y830="",AA830=""),"",IF(AND(T830="ALTA",OR(AA830="L0 Inexistente",AA830="L1 Inicial / Ad Hoc",Y830="No Iniciado")),"CRÍTICO - Incumplimiento Normativo SEPS",IF(AND(OR(AA830="L4 Gestionado y Medible",AA830="L5 Optimizado"),AND(AC830&lt;&gt;"",AC830&lt;&gt;"N/A")),"CONFORME - Control Efectivo ISO 27001","OBSERVACIÓN - Revisar Controles")))</f>
        <v/>
      </c>
    </row>
    <row r="831">
      <c r="A831" s="99"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c r="AD831">
        <f>IF(OR(T831="",Y831="",AA831=""),"",IF(AND(T831="ALTA",OR(AA831="L0 Inexistente",AA831="L1 Inicial / Ad Hoc",Y831="No Iniciado")),"CRÍTICO - Incumplimiento Normativo SEPS",IF(AND(OR(AA831="L4 Gestionado y Medible",AA831="L5 Optimizado"),AND(AC831&lt;&gt;"",AC831&lt;&gt;"N/A")),"CONFORME - Control Efectivo ISO 27001","OBSERVACIÓN - Revisar Controles")))</f>
        <v/>
      </c>
    </row>
    <row r="832">
      <c r="A832" s="99"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c r="AD832">
        <f>IF(OR(T832="",Y832="",AA832=""),"",IF(AND(T832="ALTA",OR(AA832="L0 Inexistente",AA832="L1 Inicial / Ad Hoc",Y832="No Iniciado")),"CRÍTICO - Incumplimiento Normativo SEPS",IF(AND(OR(AA832="L4 Gestionado y Medible",AA832="L5 Optimizado"),AND(AC832&lt;&gt;"",AC832&lt;&gt;"N/A")),"CONFORME - Control Efectivo ISO 27001","OBSERVACIÓN - Revisar Controles")))</f>
        <v/>
      </c>
    </row>
    <row r="833">
      <c r="A833" s="99"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c r="AD833">
        <f>IF(OR(T833="",Y833="",AA833=""),"",IF(AND(T833="ALTA",OR(AA833="L0 Inexistente",AA833="L1 Inicial / Ad Hoc",Y833="No Iniciado")),"CRÍTICO - Incumplimiento Normativo SEPS",IF(AND(OR(AA833="L4 Gestionado y Medible",AA833="L5 Optimizado"),AND(AC833&lt;&gt;"",AC833&lt;&gt;"N/A")),"CONFORME - Control Efectivo ISO 27001","OBSERVACIÓN - Revisar Controles")))</f>
        <v/>
      </c>
    </row>
    <row r="834">
      <c r="A834" s="99"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c r="AD834">
        <f>IF(OR(T834="",Y834="",AA834=""),"",IF(AND(T834="ALTA",OR(AA834="L0 Inexistente",AA834="L1 Inicial / Ad Hoc",Y834="No Iniciado")),"CRÍTICO - Incumplimiento Normativo SEPS",IF(AND(OR(AA834="L4 Gestionado y Medible",AA834="L5 Optimizado"),AND(AC834&lt;&gt;"",AC834&lt;&gt;"N/A")),"CONFORME - Control Efectivo ISO 27001","OBSERVACIÓN - Revisar Controles")))</f>
        <v/>
      </c>
    </row>
    <row r="835">
      <c r="A835" s="99"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c r="AD835">
        <f>IF(OR(T835="",Y835="",AA835=""),"",IF(AND(T835="ALTA",OR(AA835="L0 Inexistente",AA835="L1 Inicial / Ad Hoc",Y835="No Iniciado")),"CRÍTICO - Incumplimiento Normativo SEPS",IF(AND(OR(AA835="L4 Gestionado y Medible",AA835="L5 Optimizado"),AND(AC835&lt;&gt;"",AC835&lt;&gt;"N/A")),"CONFORME - Control Efectivo ISO 27001","OBSERVACIÓN - Revisar Controles")))</f>
        <v/>
      </c>
    </row>
    <row r="836">
      <c r="A836" s="99"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c r="AD836">
        <f>IF(OR(T836="",Y836="",AA836=""),"",IF(AND(T836="ALTA",OR(AA836="L0 Inexistente",AA836="L1 Inicial / Ad Hoc",Y836="No Iniciado")),"CRÍTICO - Incumplimiento Normativo SEPS",IF(AND(OR(AA836="L4 Gestionado y Medible",AA836="L5 Optimizado"),AND(AC836&lt;&gt;"",AC836&lt;&gt;"N/A")),"CONFORME - Control Efectivo ISO 27001","OBSERVACIÓN - Revisar Controles")))</f>
        <v/>
      </c>
    </row>
    <row r="837">
      <c r="A837" s="99"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c r="AD837">
        <f>IF(OR(T837="",Y837="",AA837=""),"",IF(AND(T837="ALTA",OR(AA837="L0 Inexistente",AA837="L1 Inicial / Ad Hoc",Y837="No Iniciado")),"CRÍTICO - Incumplimiento Normativo SEPS",IF(AND(OR(AA837="L4 Gestionado y Medible",AA837="L5 Optimizado"),AND(AC837&lt;&gt;"",AC837&lt;&gt;"N/A")),"CONFORME - Control Efectivo ISO 27001","OBSERVACIÓN - Revisar Controles")))</f>
        <v/>
      </c>
    </row>
    <row r="838">
      <c r="A838" s="99"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c r="AD838">
        <f>IF(OR(T838="",Y838="",AA838=""),"",IF(AND(T838="ALTA",OR(AA838="L0 Inexistente",AA838="L1 Inicial / Ad Hoc",Y838="No Iniciado")),"CRÍTICO - Incumplimiento Normativo SEPS",IF(AND(OR(AA838="L4 Gestionado y Medible",AA838="L5 Optimizado"),AND(AC838&lt;&gt;"",AC838&lt;&gt;"N/A")),"CONFORME - Control Efectivo ISO 27001","OBSERVACIÓN - Revisar Controles")))</f>
        <v/>
      </c>
    </row>
    <row r="839">
      <c r="A839" s="99"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c r="AD839">
        <f>IF(OR(T839="",Y839="",AA839=""),"",IF(AND(T839="ALTA",OR(AA839="L0 Inexistente",AA839="L1 Inicial / Ad Hoc",Y839="No Iniciado")),"CRÍTICO - Incumplimiento Normativo SEPS",IF(AND(OR(AA839="L4 Gestionado y Medible",AA839="L5 Optimizado"),AND(AC839&lt;&gt;"",AC839&lt;&gt;"N/A")),"CONFORME - Control Efectivo ISO 27001","OBSERVACIÓN - Revisar Controles")))</f>
        <v/>
      </c>
    </row>
    <row r="840">
      <c r="A840" s="99"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c r="AD840">
        <f>IF(OR(T840="",Y840="",AA840=""),"",IF(AND(T840="ALTA",OR(AA840="L0 Inexistente",AA840="L1 Inicial / Ad Hoc",Y840="No Iniciado")),"CRÍTICO - Incumplimiento Normativo SEPS",IF(AND(OR(AA840="L4 Gestionado y Medible",AA840="L5 Optimizado"),AND(AC840&lt;&gt;"",AC840&lt;&gt;"N/A")),"CONFORME - Control Efectivo ISO 27001","OBSERVACIÓN - Revisar Controles")))</f>
        <v/>
      </c>
    </row>
    <row r="841">
      <c r="A841" s="99"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c r="AD841">
        <f>IF(OR(T841="",Y841="",AA841=""),"",IF(AND(T841="ALTA",OR(AA841="L0 Inexistente",AA841="L1 Inicial / Ad Hoc",Y841="No Iniciado")),"CRÍTICO - Incumplimiento Normativo SEPS",IF(AND(OR(AA841="L4 Gestionado y Medible",AA841="L5 Optimizado"),AND(AC841&lt;&gt;"",AC841&lt;&gt;"N/A")),"CONFORME - Control Efectivo ISO 27001","OBSERVACIÓN - Revisar Controles")))</f>
        <v/>
      </c>
    </row>
    <row r="842">
      <c r="A842" s="99"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c r="AD842">
        <f>IF(OR(T842="",Y842="",AA842=""),"",IF(AND(T842="ALTA",OR(AA842="L0 Inexistente",AA842="L1 Inicial / Ad Hoc",Y842="No Iniciado")),"CRÍTICO - Incumplimiento Normativo SEPS",IF(AND(OR(AA842="L4 Gestionado y Medible",AA842="L5 Optimizado"),AND(AC842&lt;&gt;"",AC842&lt;&gt;"N/A")),"CONFORME - Control Efectivo ISO 27001","OBSERVACIÓN - Revisar Controles")))</f>
        <v/>
      </c>
    </row>
    <row r="843">
      <c r="A843" s="99"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c r="AD843">
        <f>IF(OR(T843="",Y843="",AA843=""),"",IF(AND(T843="ALTA",OR(AA843="L0 Inexistente",AA843="L1 Inicial / Ad Hoc",Y843="No Iniciado")),"CRÍTICO - Incumplimiento Normativo SEPS",IF(AND(OR(AA843="L4 Gestionado y Medible",AA843="L5 Optimizado"),AND(AC843&lt;&gt;"",AC843&lt;&gt;"N/A")),"CONFORME - Control Efectivo ISO 27001","OBSERVACIÓN - Revisar Controles")))</f>
        <v/>
      </c>
    </row>
    <row r="844">
      <c r="A844" s="99"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c r="AD844">
        <f>IF(OR(T844="",Y844="",AA844=""),"",IF(AND(T844="ALTA",OR(AA844="L0 Inexistente",AA844="L1 Inicial / Ad Hoc",Y844="No Iniciado")),"CRÍTICO - Incumplimiento Normativo SEPS",IF(AND(OR(AA844="L4 Gestionado y Medible",AA844="L5 Optimizado"),AND(AC844&lt;&gt;"",AC844&lt;&gt;"N/A")),"CONFORME - Control Efectivo ISO 27001","OBSERVACIÓN - Revisar Controles")))</f>
        <v/>
      </c>
    </row>
    <row r="845">
      <c r="A845" s="99"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c r="AD845">
        <f>IF(OR(T845="",Y845="",AA845=""),"",IF(AND(T845="ALTA",OR(AA845="L0 Inexistente",AA845="L1 Inicial / Ad Hoc",Y845="No Iniciado")),"CRÍTICO - Incumplimiento Normativo SEPS",IF(AND(OR(AA845="L4 Gestionado y Medible",AA845="L5 Optimizado"),AND(AC845&lt;&gt;"",AC845&lt;&gt;"N/A")),"CONFORME - Control Efectivo ISO 27001","OBSERVACIÓN - Revisar Controles")))</f>
        <v/>
      </c>
    </row>
    <row r="846">
      <c r="A846" s="99"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c r="AD846">
        <f>IF(OR(T846="",Y846="",AA846=""),"",IF(AND(T846="ALTA",OR(AA846="L0 Inexistente",AA846="L1 Inicial / Ad Hoc",Y846="No Iniciado")),"CRÍTICO - Incumplimiento Normativo SEPS",IF(AND(OR(AA846="L4 Gestionado y Medible",AA846="L5 Optimizado"),AND(AC846&lt;&gt;"",AC846&lt;&gt;"N/A")),"CONFORME - Control Efectivo ISO 27001","OBSERVACIÓN - Revisar Controles")))</f>
        <v/>
      </c>
    </row>
    <row r="847">
      <c r="A847" s="99"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c r="AD847">
        <f>IF(OR(T847="",Y847="",AA847=""),"",IF(AND(T847="ALTA",OR(AA847="L0 Inexistente",AA847="L1 Inicial / Ad Hoc",Y847="No Iniciado")),"CRÍTICO - Incumplimiento Normativo SEPS",IF(AND(OR(AA847="L4 Gestionado y Medible",AA847="L5 Optimizado"),AND(AC847&lt;&gt;"",AC847&lt;&gt;"N/A")),"CONFORME - Control Efectivo ISO 27001","OBSERVACIÓN - Revisar Controles")))</f>
        <v/>
      </c>
    </row>
    <row r="848">
      <c r="A848" s="99"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c r="AD848">
        <f>IF(OR(T848="",Y848="",AA848=""),"",IF(AND(T848="ALTA",OR(AA848="L0 Inexistente",AA848="L1 Inicial / Ad Hoc",Y848="No Iniciado")),"CRÍTICO - Incumplimiento Normativo SEPS",IF(AND(OR(AA848="L4 Gestionado y Medible",AA848="L5 Optimizado"),AND(AC848&lt;&gt;"",AC848&lt;&gt;"N/A")),"CONFORME - Control Efectivo ISO 27001","OBSERVACIÓN - Revisar Controles")))</f>
        <v/>
      </c>
    </row>
    <row r="849">
      <c r="A849" s="99"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c r="AD849">
        <f>IF(OR(T849="",Y849="",AA849=""),"",IF(AND(T849="ALTA",OR(AA849="L0 Inexistente",AA849="L1 Inicial / Ad Hoc",Y849="No Iniciado")),"CRÍTICO - Incumplimiento Normativo SEPS",IF(AND(OR(AA849="L4 Gestionado y Medible",AA849="L5 Optimizado"),AND(AC849&lt;&gt;"",AC849&lt;&gt;"N/A")),"CONFORME - Control Efectivo ISO 27001","OBSERVACIÓN - Revisar Controles")))</f>
        <v/>
      </c>
    </row>
    <row r="850">
      <c r="A850" s="99"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c r="AD850">
        <f>IF(OR(T850="",Y850="",AA850=""),"",IF(AND(T850="ALTA",OR(AA850="L0 Inexistente",AA850="L1 Inicial / Ad Hoc",Y850="No Iniciado")),"CRÍTICO - Incumplimiento Normativo SEPS",IF(AND(OR(AA850="L4 Gestionado y Medible",AA850="L5 Optimizado"),AND(AC850&lt;&gt;"",AC850&lt;&gt;"N/A")),"CONFORME - Control Efectivo ISO 27001","OBSERVACIÓN - Revisar Controles")))</f>
        <v/>
      </c>
    </row>
    <row r="851">
      <c r="A851" s="99"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c r="AD851">
        <f>IF(OR(T851="",Y851="",AA851=""),"",IF(AND(T851="ALTA",OR(AA851="L0 Inexistente",AA851="L1 Inicial / Ad Hoc",Y851="No Iniciado")),"CRÍTICO - Incumplimiento Normativo SEPS",IF(AND(OR(AA851="L4 Gestionado y Medible",AA851="L5 Optimizado"),AND(AC851&lt;&gt;"",AC851&lt;&gt;"N/A")),"CONFORME - Control Efectivo ISO 27001","OBSERVACIÓN - Revisar Controles")))</f>
        <v/>
      </c>
    </row>
    <row r="852">
      <c r="A852" s="99"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c r="AD852">
        <f>IF(OR(T852="",Y852="",AA852=""),"",IF(AND(T852="ALTA",OR(AA852="L0 Inexistente",AA852="L1 Inicial / Ad Hoc",Y852="No Iniciado")),"CRÍTICO - Incumplimiento Normativo SEPS",IF(AND(OR(AA852="L4 Gestionado y Medible",AA852="L5 Optimizado"),AND(AC852&lt;&gt;"",AC852&lt;&gt;"N/A")),"CONFORME - Control Efectivo ISO 27001","OBSERVACIÓN - Revisar Controles")))</f>
        <v/>
      </c>
    </row>
    <row r="853">
      <c r="A853" s="99"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c r="AD853">
        <f>IF(OR(T853="",Y853="",AA853=""),"",IF(AND(T853="ALTA",OR(AA853="L0 Inexistente",AA853="L1 Inicial / Ad Hoc",Y853="No Iniciado")),"CRÍTICO - Incumplimiento Normativo SEPS",IF(AND(OR(AA853="L4 Gestionado y Medible",AA853="L5 Optimizado"),AND(AC853&lt;&gt;"",AC853&lt;&gt;"N/A")),"CONFORME - Control Efectivo ISO 27001","OBSERVACIÓN - Revisar Controles")))</f>
        <v/>
      </c>
    </row>
    <row r="854">
      <c r="A854" s="99"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c r="AD854">
        <f>IF(OR(T854="",Y854="",AA854=""),"",IF(AND(T854="ALTA",OR(AA854="L0 Inexistente",AA854="L1 Inicial / Ad Hoc",Y854="No Iniciado")),"CRÍTICO - Incumplimiento Normativo SEPS",IF(AND(OR(AA854="L4 Gestionado y Medible",AA854="L5 Optimizado"),AND(AC854&lt;&gt;"",AC854&lt;&gt;"N/A")),"CONFORME - Control Efectivo ISO 27001","OBSERVACIÓN - Revisar Controles")))</f>
        <v/>
      </c>
    </row>
    <row r="855">
      <c r="A855" s="99"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c r="AD855">
        <f>IF(OR(T855="",Y855="",AA855=""),"",IF(AND(T855="ALTA",OR(AA855="L0 Inexistente",AA855="L1 Inicial / Ad Hoc",Y855="No Iniciado")),"CRÍTICO - Incumplimiento Normativo SEPS",IF(AND(OR(AA855="L4 Gestionado y Medible",AA855="L5 Optimizado"),AND(AC855&lt;&gt;"",AC855&lt;&gt;"N/A")),"CONFORME - Control Efectivo ISO 27001","OBSERVACIÓN - Revisar Controles")))</f>
        <v/>
      </c>
    </row>
    <row r="856">
      <c r="A856" s="99"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c r="AD856">
        <f>IF(OR(T856="",Y856="",AA856=""),"",IF(AND(T856="ALTA",OR(AA856="L0 Inexistente",AA856="L1 Inicial / Ad Hoc",Y856="No Iniciado")),"CRÍTICO - Incumplimiento Normativo SEPS",IF(AND(OR(AA856="L4 Gestionado y Medible",AA856="L5 Optimizado"),AND(AC856&lt;&gt;"",AC856&lt;&gt;"N/A")),"CONFORME - Control Efectivo ISO 27001","OBSERVACIÓN - Revisar Controles")))</f>
        <v/>
      </c>
    </row>
    <row r="857">
      <c r="A857" s="99"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c r="AD857">
        <f>IF(OR(T857="",Y857="",AA857=""),"",IF(AND(T857="ALTA",OR(AA857="L0 Inexistente",AA857="L1 Inicial / Ad Hoc",Y857="No Iniciado")),"CRÍTICO - Incumplimiento Normativo SEPS",IF(AND(OR(AA857="L4 Gestionado y Medible",AA857="L5 Optimizado"),AND(AC857&lt;&gt;"",AC857&lt;&gt;"N/A")),"CONFORME - Control Efectivo ISO 27001","OBSERVACIÓN - Revisar Controles")))</f>
        <v/>
      </c>
    </row>
    <row r="858">
      <c r="A858" s="99"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c r="AD858">
        <f>IF(OR(T858="",Y858="",AA858=""),"",IF(AND(T858="ALTA",OR(AA858="L0 Inexistente",AA858="L1 Inicial / Ad Hoc",Y858="No Iniciado")),"CRÍTICO - Incumplimiento Normativo SEPS",IF(AND(OR(AA858="L4 Gestionado y Medible",AA858="L5 Optimizado"),AND(AC858&lt;&gt;"",AC858&lt;&gt;"N/A")),"CONFORME - Control Efectivo ISO 27001","OBSERVACIÓN - Revisar Controles")))</f>
        <v/>
      </c>
    </row>
    <row r="859">
      <c r="A859" s="99"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c r="AD859">
        <f>IF(OR(T859="",Y859="",AA859=""),"",IF(AND(T859="ALTA",OR(AA859="L0 Inexistente",AA859="L1 Inicial / Ad Hoc",Y859="No Iniciado")),"CRÍTICO - Incumplimiento Normativo SEPS",IF(AND(OR(AA859="L4 Gestionado y Medible",AA859="L5 Optimizado"),AND(AC859&lt;&gt;"",AC859&lt;&gt;"N/A")),"CONFORME - Control Efectivo ISO 27001","OBSERVACIÓN - Revisar Controles")))</f>
        <v/>
      </c>
    </row>
    <row r="860">
      <c r="A860" s="99"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c r="AD860">
        <f>IF(OR(T860="",Y860="",AA860=""),"",IF(AND(T860="ALTA",OR(AA860="L0 Inexistente",AA860="L1 Inicial / Ad Hoc",Y860="No Iniciado")),"CRÍTICO - Incumplimiento Normativo SEPS",IF(AND(OR(AA860="L4 Gestionado y Medible",AA860="L5 Optimizado"),AND(AC860&lt;&gt;"",AC860&lt;&gt;"N/A")),"CONFORME - Control Efectivo ISO 27001","OBSERVACIÓN - Revisar Controles")))</f>
        <v/>
      </c>
    </row>
    <row r="861">
      <c r="A861" s="99"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c r="AD861">
        <f>IF(OR(T861="",Y861="",AA861=""),"",IF(AND(T861="ALTA",OR(AA861="L0 Inexistente",AA861="L1 Inicial / Ad Hoc",Y861="No Iniciado")),"CRÍTICO - Incumplimiento Normativo SEPS",IF(AND(OR(AA861="L4 Gestionado y Medible",AA861="L5 Optimizado"),AND(AC861&lt;&gt;"",AC861&lt;&gt;"N/A")),"CONFORME - Control Efectivo ISO 27001","OBSERVACIÓN - Revisar Controles")))</f>
        <v/>
      </c>
    </row>
    <row r="862">
      <c r="A862" s="99"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c r="AD862">
        <f>IF(OR(T862="",Y862="",AA862=""),"",IF(AND(T862="ALTA",OR(AA862="L0 Inexistente",AA862="L1 Inicial / Ad Hoc",Y862="No Iniciado")),"CRÍTICO - Incumplimiento Normativo SEPS",IF(AND(OR(AA862="L4 Gestionado y Medible",AA862="L5 Optimizado"),AND(AC862&lt;&gt;"",AC862&lt;&gt;"N/A")),"CONFORME - Control Efectivo ISO 27001","OBSERVACIÓN - Revisar Controles")))</f>
        <v/>
      </c>
    </row>
    <row r="863">
      <c r="A863" s="99"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c r="AD863">
        <f>IF(OR(T863="",Y863="",AA863=""),"",IF(AND(T863="ALTA",OR(AA863="L0 Inexistente",AA863="L1 Inicial / Ad Hoc",Y863="No Iniciado")),"CRÍTICO - Incumplimiento Normativo SEPS",IF(AND(OR(AA863="L4 Gestionado y Medible",AA863="L5 Optimizado"),AND(AC863&lt;&gt;"",AC863&lt;&gt;"N/A")),"CONFORME - Control Efectivo ISO 27001","OBSERVACIÓN - Revisar Controles")))</f>
        <v/>
      </c>
    </row>
    <row r="864">
      <c r="A864" s="99"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c r="AD864">
        <f>IF(OR(T864="",Y864="",AA864=""),"",IF(AND(T864="ALTA",OR(AA864="L0 Inexistente",AA864="L1 Inicial / Ad Hoc",Y864="No Iniciado")),"CRÍTICO - Incumplimiento Normativo SEPS",IF(AND(OR(AA864="L4 Gestionado y Medible",AA864="L5 Optimizado"),AND(AC864&lt;&gt;"",AC864&lt;&gt;"N/A")),"CONFORME - Control Efectivo ISO 27001","OBSERVACIÓN - Revisar Controles")))</f>
        <v/>
      </c>
    </row>
    <row r="865">
      <c r="A865" s="99"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c r="AD865">
        <f>IF(OR(T865="",Y865="",AA865=""),"",IF(AND(T865="ALTA",OR(AA865="L0 Inexistente",AA865="L1 Inicial / Ad Hoc",Y865="No Iniciado")),"CRÍTICO - Incumplimiento Normativo SEPS",IF(AND(OR(AA865="L4 Gestionado y Medible",AA865="L5 Optimizado"),AND(AC865&lt;&gt;"",AC865&lt;&gt;"N/A")),"CONFORME - Control Efectivo ISO 27001","OBSERVACIÓN - Revisar Controles")))</f>
        <v/>
      </c>
    </row>
    <row r="866">
      <c r="A866" s="99"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c r="AD866">
        <f>IF(OR(T866="",Y866="",AA866=""),"",IF(AND(T866="ALTA",OR(AA866="L0 Inexistente",AA866="L1 Inicial / Ad Hoc",Y866="No Iniciado")),"CRÍTICO - Incumplimiento Normativo SEPS",IF(AND(OR(AA866="L4 Gestionado y Medible",AA866="L5 Optimizado"),AND(AC866&lt;&gt;"",AC866&lt;&gt;"N/A")),"CONFORME - Control Efectivo ISO 27001","OBSERVACIÓN - Revisar Controles")))</f>
        <v/>
      </c>
    </row>
    <row r="867">
      <c r="A867" s="99"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c r="AD867">
        <f>IF(OR(T867="",Y867="",AA867=""),"",IF(AND(T867="ALTA",OR(AA867="L0 Inexistente",AA867="L1 Inicial / Ad Hoc",Y867="No Iniciado")),"CRÍTICO - Incumplimiento Normativo SEPS",IF(AND(OR(AA867="L4 Gestionado y Medible",AA867="L5 Optimizado"),AND(AC867&lt;&gt;"",AC867&lt;&gt;"N/A")),"CONFORME - Control Efectivo ISO 27001","OBSERVACIÓN - Revisar Controles")))</f>
        <v/>
      </c>
    </row>
    <row r="868">
      <c r="A868" s="99"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c r="AD868">
        <f>IF(OR(T868="",Y868="",AA868=""),"",IF(AND(T868="ALTA",OR(AA868="L0 Inexistente",AA868="L1 Inicial / Ad Hoc",Y868="No Iniciado")),"CRÍTICO - Incumplimiento Normativo SEPS",IF(AND(OR(AA868="L4 Gestionado y Medible",AA868="L5 Optimizado"),AND(AC868&lt;&gt;"",AC868&lt;&gt;"N/A")),"CONFORME - Control Efectivo ISO 27001","OBSERVACIÓN - Revisar Controles")))</f>
        <v/>
      </c>
    </row>
    <row r="869">
      <c r="A869" s="99"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c r="AD869">
        <f>IF(OR(T869="",Y869="",AA869=""),"",IF(AND(T869="ALTA",OR(AA869="L0 Inexistente",AA869="L1 Inicial / Ad Hoc",Y869="No Iniciado")),"CRÍTICO - Incumplimiento Normativo SEPS",IF(AND(OR(AA869="L4 Gestionado y Medible",AA869="L5 Optimizado"),AND(AC869&lt;&gt;"",AC869&lt;&gt;"N/A")),"CONFORME - Control Efectivo ISO 27001","OBSERVACIÓN - Revisar Controles")))</f>
        <v/>
      </c>
    </row>
    <row r="870">
      <c r="A870" s="99"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c r="AD870">
        <f>IF(OR(T870="",Y870="",AA870=""),"",IF(AND(T870="ALTA",OR(AA870="L0 Inexistente",AA870="L1 Inicial / Ad Hoc",Y870="No Iniciado")),"CRÍTICO - Incumplimiento Normativo SEPS",IF(AND(OR(AA870="L4 Gestionado y Medible",AA870="L5 Optimizado"),AND(AC870&lt;&gt;"",AC870&lt;&gt;"N/A")),"CONFORME - Control Efectivo ISO 27001","OBSERVACIÓN - Revisar Controles")))</f>
        <v/>
      </c>
    </row>
    <row r="871">
      <c r="A871" s="99"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c r="AD871">
        <f>IF(OR(T871="",Y871="",AA871=""),"",IF(AND(T871="ALTA",OR(AA871="L0 Inexistente",AA871="L1 Inicial / Ad Hoc",Y871="No Iniciado")),"CRÍTICO - Incumplimiento Normativo SEPS",IF(AND(OR(AA871="L4 Gestionado y Medible",AA871="L5 Optimizado"),AND(AC871&lt;&gt;"",AC871&lt;&gt;"N/A")),"CONFORME - Control Efectivo ISO 27001","OBSERVACIÓN - Revisar Controles")))</f>
        <v/>
      </c>
    </row>
    <row r="872">
      <c r="A872" s="99"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c r="AD872">
        <f>IF(OR(T872="",Y872="",AA872=""),"",IF(AND(T872="ALTA",OR(AA872="L0 Inexistente",AA872="L1 Inicial / Ad Hoc",Y872="No Iniciado")),"CRÍTICO - Incumplimiento Normativo SEPS",IF(AND(OR(AA872="L4 Gestionado y Medible",AA872="L5 Optimizado"),AND(AC872&lt;&gt;"",AC872&lt;&gt;"N/A")),"CONFORME - Control Efectivo ISO 27001","OBSERVACIÓN - Revisar Controles")))</f>
        <v/>
      </c>
    </row>
    <row r="873">
      <c r="A873" s="99"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c r="AD873">
        <f>IF(OR(T873="",Y873="",AA873=""),"",IF(AND(T873="ALTA",OR(AA873="L0 Inexistente",AA873="L1 Inicial / Ad Hoc",Y873="No Iniciado")),"CRÍTICO - Incumplimiento Normativo SEPS",IF(AND(OR(AA873="L4 Gestionado y Medible",AA873="L5 Optimizado"),AND(AC873&lt;&gt;"",AC873&lt;&gt;"N/A")),"CONFORME - Control Efectivo ISO 27001","OBSERVACIÓN - Revisar Controles")))</f>
        <v/>
      </c>
    </row>
    <row r="874">
      <c r="A874" s="99"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c r="AD874">
        <f>IF(OR(T874="",Y874="",AA874=""),"",IF(AND(T874="ALTA",OR(AA874="L0 Inexistente",AA874="L1 Inicial / Ad Hoc",Y874="No Iniciado")),"CRÍTICO - Incumplimiento Normativo SEPS",IF(AND(OR(AA874="L4 Gestionado y Medible",AA874="L5 Optimizado"),AND(AC874&lt;&gt;"",AC874&lt;&gt;"N/A")),"CONFORME - Control Efectivo ISO 27001","OBSERVACIÓN - Revisar Controles")))</f>
        <v/>
      </c>
    </row>
    <row r="875">
      <c r="A875" s="99"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c r="AD875">
        <f>IF(OR(T875="",Y875="",AA875=""),"",IF(AND(T875="ALTA",OR(AA875="L0 Inexistente",AA875="L1 Inicial / Ad Hoc",Y875="No Iniciado")),"CRÍTICO - Incumplimiento Normativo SEPS",IF(AND(OR(AA875="L4 Gestionado y Medible",AA875="L5 Optimizado"),AND(AC875&lt;&gt;"",AC875&lt;&gt;"N/A")),"CONFORME - Control Efectivo ISO 27001","OBSERVACIÓN - Revisar Controles")))</f>
        <v/>
      </c>
    </row>
    <row r="876">
      <c r="A876" s="99"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c r="AD876">
        <f>IF(OR(T876="",Y876="",AA876=""),"",IF(AND(T876="ALTA",OR(AA876="L0 Inexistente",AA876="L1 Inicial / Ad Hoc",Y876="No Iniciado")),"CRÍTICO - Incumplimiento Normativo SEPS",IF(AND(OR(AA876="L4 Gestionado y Medible",AA876="L5 Optimizado"),AND(AC876&lt;&gt;"",AC876&lt;&gt;"N/A")),"CONFORME - Control Efectivo ISO 27001","OBSERVACIÓN - Revisar Controles")))</f>
        <v/>
      </c>
    </row>
    <row r="877">
      <c r="A877" s="99"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c r="AD877">
        <f>IF(OR(T877="",Y877="",AA877=""),"",IF(AND(T877="ALTA",OR(AA877="L0 Inexistente",AA877="L1 Inicial / Ad Hoc",Y877="No Iniciado")),"CRÍTICO - Incumplimiento Normativo SEPS",IF(AND(OR(AA877="L4 Gestionado y Medible",AA877="L5 Optimizado"),AND(AC877&lt;&gt;"",AC877&lt;&gt;"N/A")),"CONFORME - Control Efectivo ISO 27001","OBSERVACIÓN - Revisar Controles")))</f>
        <v/>
      </c>
    </row>
    <row r="878">
      <c r="A878" s="99"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c r="AD878">
        <f>IF(OR(T878="",Y878="",AA878=""),"",IF(AND(T878="ALTA",OR(AA878="L0 Inexistente",AA878="L1 Inicial / Ad Hoc",Y878="No Iniciado")),"CRÍTICO - Incumplimiento Normativo SEPS",IF(AND(OR(AA878="L4 Gestionado y Medible",AA878="L5 Optimizado"),AND(AC878&lt;&gt;"",AC878&lt;&gt;"N/A")),"CONFORME - Control Efectivo ISO 27001","OBSERVACIÓN - Revisar Controles")))</f>
        <v/>
      </c>
    </row>
    <row r="879">
      <c r="A879" s="99"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c r="AD879">
        <f>IF(OR(T879="",Y879="",AA879=""),"",IF(AND(T879="ALTA",OR(AA879="L0 Inexistente",AA879="L1 Inicial / Ad Hoc",Y879="No Iniciado")),"CRÍTICO - Incumplimiento Normativo SEPS",IF(AND(OR(AA879="L4 Gestionado y Medible",AA879="L5 Optimizado"),AND(AC879&lt;&gt;"",AC879&lt;&gt;"N/A")),"CONFORME - Control Efectivo ISO 27001","OBSERVACIÓN - Revisar Controles")))</f>
        <v/>
      </c>
    </row>
    <row r="880">
      <c r="A880" s="99"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c r="AD880">
        <f>IF(OR(T880="",Y880="",AA880=""),"",IF(AND(T880="ALTA",OR(AA880="L0 Inexistente",AA880="L1 Inicial / Ad Hoc",Y880="No Iniciado")),"CRÍTICO - Incumplimiento Normativo SEPS",IF(AND(OR(AA880="L4 Gestionado y Medible",AA880="L5 Optimizado"),AND(AC880&lt;&gt;"",AC880&lt;&gt;"N/A")),"CONFORME - Control Efectivo ISO 27001","OBSERVACIÓN - Revisar Controles")))</f>
        <v/>
      </c>
    </row>
    <row r="881">
      <c r="A881" s="99"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c r="AD881">
        <f>IF(OR(T881="",Y881="",AA881=""),"",IF(AND(T881="ALTA",OR(AA881="L0 Inexistente",AA881="L1 Inicial / Ad Hoc",Y881="No Iniciado")),"CRÍTICO - Incumplimiento Normativo SEPS",IF(AND(OR(AA881="L4 Gestionado y Medible",AA881="L5 Optimizado"),AND(AC881&lt;&gt;"",AC881&lt;&gt;"N/A")),"CONFORME - Control Efectivo ISO 27001","OBSERVACIÓN - Revisar Controles")))</f>
        <v/>
      </c>
    </row>
    <row r="882">
      <c r="A882" s="99"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c r="AD882">
        <f>IF(OR(T882="",Y882="",AA882=""),"",IF(AND(T882="ALTA",OR(AA882="L0 Inexistente",AA882="L1 Inicial / Ad Hoc",Y882="No Iniciado")),"CRÍTICO - Incumplimiento Normativo SEPS",IF(AND(OR(AA882="L4 Gestionado y Medible",AA882="L5 Optimizado"),AND(AC882&lt;&gt;"",AC882&lt;&gt;"N/A")),"CONFORME - Control Efectivo ISO 27001","OBSERVACIÓN - Revisar Controles")))</f>
        <v/>
      </c>
    </row>
    <row r="883">
      <c r="A883" s="99"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c r="AD883">
        <f>IF(OR(T883="",Y883="",AA883=""),"",IF(AND(T883="ALTA",OR(AA883="L0 Inexistente",AA883="L1 Inicial / Ad Hoc",Y883="No Iniciado")),"CRÍTICO - Incumplimiento Normativo SEPS",IF(AND(OR(AA883="L4 Gestionado y Medible",AA883="L5 Optimizado"),AND(AC883&lt;&gt;"",AC883&lt;&gt;"N/A")),"CONFORME - Control Efectivo ISO 27001","OBSERVACIÓN - Revisar Controles")))</f>
        <v/>
      </c>
    </row>
    <row r="884">
      <c r="A884" s="99"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c r="AD884">
        <f>IF(OR(T884="",Y884="",AA884=""),"",IF(AND(T884="ALTA",OR(AA884="L0 Inexistente",AA884="L1 Inicial / Ad Hoc",Y884="No Iniciado")),"CRÍTICO - Incumplimiento Normativo SEPS",IF(AND(OR(AA884="L4 Gestionado y Medible",AA884="L5 Optimizado"),AND(AC884&lt;&gt;"",AC884&lt;&gt;"N/A")),"CONFORME - Control Efectivo ISO 27001","OBSERVACIÓN - Revisar Controles")))</f>
        <v/>
      </c>
    </row>
    <row r="885">
      <c r="A885" s="99"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c r="AD885">
        <f>IF(OR(T885="",Y885="",AA885=""),"",IF(AND(T885="ALTA",OR(AA885="L0 Inexistente",AA885="L1 Inicial / Ad Hoc",Y885="No Iniciado")),"CRÍTICO - Incumplimiento Normativo SEPS",IF(AND(OR(AA885="L4 Gestionado y Medible",AA885="L5 Optimizado"),AND(AC885&lt;&gt;"",AC885&lt;&gt;"N/A")),"CONFORME - Control Efectivo ISO 27001","OBSERVACIÓN - Revisar Controles")))</f>
        <v/>
      </c>
    </row>
    <row r="886">
      <c r="A886" s="99"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c r="AD886">
        <f>IF(OR(T886="",Y886="",AA886=""),"",IF(AND(T886="ALTA",OR(AA886="L0 Inexistente",AA886="L1 Inicial / Ad Hoc",Y886="No Iniciado")),"CRÍTICO - Incumplimiento Normativo SEPS",IF(AND(OR(AA886="L4 Gestionado y Medible",AA886="L5 Optimizado"),AND(AC886&lt;&gt;"",AC886&lt;&gt;"N/A")),"CONFORME - Control Efectivo ISO 27001","OBSERVACIÓN - Revisar Controles")))</f>
        <v/>
      </c>
    </row>
    <row r="887">
      <c r="A887" s="99"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c r="AD887">
        <f>IF(OR(T887="",Y887="",AA887=""),"",IF(AND(T887="ALTA",OR(AA887="L0 Inexistente",AA887="L1 Inicial / Ad Hoc",Y887="No Iniciado")),"CRÍTICO - Incumplimiento Normativo SEPS",IF(AND(OR(AA887="L4 Gestionado y Medible",AA887="L5 Optimizado"),AND(AC887&lt;&gt;"",AC887&lt;&gt;"N/A")),"CONFORME - Control Efectivo ISO 27001","OBSERVACIÓN - Revisar Controles")))</f>
        <v/>
      </c>
    </row>
    <row r="888">
      <c r="A888" s="99"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c r="AD888">
        <f>IF(OR(T888="",Y888="",AA888=""),"",IF(AND(T888="ALTA",OR(AA888="L0 Inexistente",AA888="L1 Inicial / Ad Hoc",Y888="No Iniciado")),"CRÍTICO - Incumplimiento Normativo SEPS",IF(AND(OR(AA888="L4 Gestionado y Medible",AA888="L5 Optimizado"),AND(AC888&lt;&gt;"",AC888&lt;&gt;"N/A")),"CONFORME - Control Efectivo ISO 27001","OBSERVACIÓN - Revisar Controles")))</f>
        <v/>
      </c>
    </row>
    <row r="889">
      <c r="A889" s="99"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c r="AD889">
        <f>IF(OR(T889="",Y889="",AA889=""),"",IF(AND(T889="ALTA",OR(AA889="L0 Inexistente",AA889="L1 Inicial / Ad Hoc",Y889="No Iniciado")),"CRÍTICO - Incumplimiento Normativo SEPS",IF(AND(OR(AA889="L4 Gestionado y Medible",AA889="L5 Optimizado"),AND(AC889&lt;&gt;"",AC889&lt;&gt;"N/A")),"CONFORME - Control Efectivo ISO 27001","OBSERVACIÓN - Revisar Controles")))</f>
        <v/>
      </c>
    </row>
    <row r="890">
      <c r="A890" s="99"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c r="AD890">
        <f>IF(OR(T890="",Y890="",AA890=""),"",IF(AND(T890="ALTA",OR(AA890="L0 Inexistente",AA890="L1 Inicial / Ad Hoc",Y890="No Iniciado")),"CRÍTICO - Incumplimiento Normativo SEPS",IF(AND(OR(AA890="L4 Gestionado y Medible",AA890="L5 Optimizado"),AND(AC890&lt;&gt;"",AC890&lt;&gt;"N/A")),"CONFORME - Control Efectivo ISO 27001","OBSERVACIÓN - Revisar Controles")))</f>
        <v/>
      </c>
    </row>
    <row r="891">
      <c r="A891" s="99"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c r="AD891">
        <f>IF(OR(T891="",Y891="",AA891=""),"",IF(AND(T891="ALTA",OR(AA891="L0 Inexistente",AA891="L1 Inicial / Ad Hoc",Y891="No Iniciado")),"CRÍTICO - Incumplimiento Normativo SEPS",IF(AND(OR(AA891="L4 Gestionado y Medible",AA891="L5 Optimizado"),AND(AC891&lt;&gt;"",AC891&lt;&gt;"N/A")),"CONFORME - Control Efectivo ISO 27001","OBSERVACIÓN - Revisar Controles")))</f>
        <v/>
      </c>
    </row>
    <row r="892">
      <c r="A892" s="99"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c r="AD892">
        <f>IF(OR(T892="",Y892="",AA892=""),"",IF(AND(T892="ALTA",OR(AA892="L0 Inexistente",AA892="L1 Inicial / Ad Hoc",Y892="No Iniciado")),"CRÍTICO - Incumplimiento Normativo SEPS",IF(AND(OR(AA892="L4 Gestionado y Medible",AA892="L5 Optimizado"),AND(AC892&lt;&gt;"",AC892&lt;&gt;"N/A")),"CONFORME - Control Efectivo ISO 27001","OBSERVACIÓN - Revisar Controles")))</f>
        <v/>
      </c>
    </row>
    <row r="893">
      <c r="A893" s="99"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c r="AD893">
        <f>IF(OR(T893="",Y893="",AA893=""),"",IF(AND(T893="ALTA",OR(AA893="L0 Inexistente",AA893="L1 Inicial / Ad Hoc",Y893="No Iniciado")),"CRÍTICO - Incumplimiento Normativo SEPS",IF(AND(OR(AA893="L4 Gestionado y Medible",AA893="L5 Optimizado"),AND(AC893&lt;&gt;"",AC893&lt;&gt;"N/A")),"CONFORME - Control Efectivo ISO 27001","OBSERVACIÓN - Revisar Controles")))</f>
        <v/>
      </c>
    </row>
    <row r="894">
      <c r="A894" s="99"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c r="AD894">
        <f>IF(OR(T894="",Y894="",AA894=""),"",IF(AND(T894="ALTA",OR(AA894="L0 Inexistente",AA894="L1 Inicial / Ad Hoc",Y894="No Iniciado")),"CRÍTICO - Incumplimiento Normativo SEPS",IF(AND(OR(AA894="L4 Gestionado y Medible",AA894="L5 Optimizado"),AND(AC894&lt;&gt;"",AC894&lt;&gt;"N/A")),"CONFORME - Control Efectivo ISO 27001","OBSERVACIÓN - Revisar Controles")))</f>
        <v/>
      </c>
    </row>
    <row r="895">
      <c r="A895" s="99"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c r="AD895">
        <f>IF(OR(T895="",Y895="",AA895=""),"",IF(AND(T895="ALTA",OR(AA895="L0 Inexistente",AA895="L1 Inicial / Ad Hoc",Y895="No Iniciado")),"CRÍTICO - Incumplimiento Normativo SEPS",IF(AND(OR(AA895="L4 Gestionado y Medible",AA895="L5 Optimizado"),AND(AC895&lt;&gt;"",AC895&lt;&gt;"N/A")),"CONFORME - Control Efectivo ISO 27001","OBSERVACIÓN - Revisar Controles")))</f>
        <v/>
      </c>
    </row>
    <row r="896">
      <c r="A896" s="99"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c r="AD896">
        <f>IF(OR(T896="",Y896="",AA896=""),"",IF(AND(T896="ALTA",OR(AA896="L0 Inexistente",AA896="L1 Inicial / Ad Hoc",Y896="No Iniciado")),"CRÍTICO - Incumplimiento Normativo SEPS",IF(AND(OR(AA896="L4 Gestionado y Medible",AA896="L5 Optimizado"),AND(AC896&lt;&gt;"",AC896&lt;&gt;"N/A")),"CONFORME - Control Efectivo ISO 27001","OBSERVACIÓN - Revisar Controles")))</f>
        <v/>
      </c>
    </row>
    <row r="897">
      <c r="A897" s="99"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c r="AD897">
        <f>IF(OR(T897="",Y897="",AA897=""),"",IF(AND(T897="ALTA",OR(AA897="L0 Inexistente",AA897="L1 Inicial / Ad Hoc",Y897="No Iniciado")),"CRÍTICO - Incumplimiento Normativo SEPS",IF(AND(OR(AA897="L4 Gestionado y Medible",AA897="L5 Optimizado"),AND(AC897&lt;&gt;"",AC897&lt;&gt;"N/A")),"CONFORME - Control Efectivo ISO 27001","OBSERVACIÓN - Revisar Controles")))</f>
        <v/>
      </c>
    </row>
    <row r="898">
      <c r="A898" s="99"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c r="AD898">
        <f>IF(OR(T898="",Y898="",AA898=""),"",IF(AND(T898="ALTA",OR(AA898="L0 Inexistente",AA898="L1 Inicial / Ad Hoc",Y898="No Iniciado")),"CRÍTICO - Incumplimiento Normativo SEPS",IF(AND(OR(AA898="L4 Gestionado y Medible",AA898="L5 Optimizado"),AND(AC898&lt;&gt;"",AC898&lt;&gt;"N/A")),"CONFORME - Control Efectivo ISO 27001","OBSERVACIÓN - Revisar Controles")))</f>
        <v/>
      </c>
    </row>
    <row r="899">
      <c r="A899" s="99"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c r="AD899">
        <f>IF(OR(T899="",Y899="",AA899=""),"",IF(AND(T899="ALTA",OR(AA899="L0 Inexistente",AA899="L1 Inicial / Ad Hoc",Y899="No Iniciado")),"CRÍTICO - Incumplimiento Normativo SEPS",IF(AND(OR(AA899="L4 Gestionado y Medible",AA899="L5 Optimizado"),AND(AC899&lt;&gt;"",AC899&lt;&gt;"N/A")),"CONFORME - Control Efectivo ISO 27001","OBSERVACIÓN - Revisar Controles")))</f>
        <v/>
      </c>
    </row>
    <row r="900">
      <c r="A900" s="99"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c r="AD900">
        <f>IF(OR(T900="",Y900="",AA900=""),"",IF(AND(T900="ALTA",OR(AA900="L0 Inexistente",AA900="L1 Inicial / Ad Hoc",Y900="No Iniciado")),"CRÍTICO - Incumplimiento Normativo SEPS",IF(AND(OR(AA900="L4 Gestionado y Medible",AA900="L5 Optimizado"),AND(AC900&lt;&gt;"",AC900&lt;&gt;"N/A")),"CONFORME - Control Efectivo ISO 27001","OBSERVACIÓN - Revisar Controles")))</f>
        <v/>
      </c>
    </row>
    <row r="901">
      <c r="A901" s="99"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c r="AD901">
        <f>IF(OR(T901="",Y901="",AA901=""),"",IF(AND(T901="ALTA",OR(AA901="L0 Inexistente",AA901="L1 Inicial / Ad Hoc",Y901="No Iniciado")),"CRÍTICO - Incumplimiento Normativo SEPS",IF(AND(OR(AA901="L4 Gestionado y Medible",AA901="L5 Optimizado"),AND(AC901&lt;&gt;"",AC901&lt;&gt;"N/A")),"CONFORME - Control Efectivo ISO 27001","OBSERVACIÓN - Revisar Controles")))</f>
        <v/>
      </c>
    </row>
    <row r="902">
      <c r="A902" s="99"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c r="AD902">
        <f>IF(OR(T902="",Y902="",AA902=""),"",IF(AND(T902="ALTA",OR(AA902="L0 Inexistente",AA902="L1 Inicial / Ad Hoc",Y902="No Iniciado")),"CRÍTICO - Incumplimiento Normativo SEPS",IF(AND(OR(AA902="L4 Gestionado y Medible",AA902="L5 Optimizado"),AND(AC902&lt;&gt;"",AC902&lt;&gt;"N/A")),"CONFORME - Control Efectivo ISO 27001","OBSERVACIÓN - Revisar Controles")))</f>
        <v/>
      </c>
    </row>
    <row r="903">
      <c r="A903" s="99"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c r="AD903">
        <f>IF(OR(T903="",Y903="",AA903=""),"",IF(AND(T903="ALTA",OR(AA903="L0 Inexistente",AA903="L1 Inicial / Ad Hoc",Y903="No Iniciado")),"CRÍTICO - Incumplimiento Normativo SEPS",IF(AND(OR(AA903="L4 Gestionado y Medible",AA903="L5 Optimizado"),AND(AC903&lt;&gt;"",AC903&lt;&gt;"N/A")),"CONFORME - Control Efectivo ISO 27001","OBSERVACIÓN - Revisar Controles")))</f>
        <v/>
      </c>
    </row>
    <row r="904">
      <c r="A904" s="99"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c r="AD904">
        <f>IF(OR(T904="",Y904="",AA904=""),"",IF(AND(T904="ALTA",OR(AA904="L0 Inexistente",AA904="L1 Inicial / Ad Hoc",Y904="No Iniciado")),"CRÍTICO - Incumplimiento Normativo SEPS",IF(AND(OR(AA904="L4 Gestionado y Medible",AA904="L5 Optimizado"),AND(AC904&lt;&gt;"",AC904&lt;&gt;"N/A")),"CONFORME - Control Efectivo ISO 27001","OBSERVACIÓN - Revisar Controles")))</f>
        <v/>
      </c>
    </row>
    <row r="905">
      <c r="A905" s="99"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c r="AD905">
        <f>IF(OR(T905="",Y905="",AA905=""),"",IF(AND(T905="ALTA",OR(AA905="L0 Inexistente",AA905="L1 Inicial / Ad Hoc",Y905="No Iniciado")),"CRÍTICO - Incumplimiento Normativo SEPS",IF(AND(OR(AA905="L4 Gestionado y Medible",AA905="L5 Optimizado"),AND(AC905&lt;&gt;"",AC905&lt;&gt;"N/A")),"CONFORME - Control Efectivo ISO 27001","OBSERVACIÓN - Revisar Controles")))</f>
        <v/>
      </c>
    </row>
    <row r="906">
      <c r="A906" s="99"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c r="AD906">
        <f>IF(OR(T906="",Y906="",AA906=""),"",IF(AND(T906="ALTA",OR(AA906="L0 Inexistente",AA906="L1 Inicial / Ad Hoc",Y906="No Iniciado")),"CRÍTICO - Incumplimiento Normativo SEPS",IF(AND(OR(AA906="L4 Gestionado y Medible",AA906="L5 Optimizado"),AND(AC906&lt;&gt;"",AC906&lt;&gt;"N/A")),"CONFORME - Control Efectivo ISO 27001","OBSERVACIÓN - Revisar Controles")))</f>
        <v/>
      </c>
    </row>
    <row r="907">
      <c r="A907" s="99"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c r="AD907">
        <f>IF(OR(T907="",Y907="",AA907=""),"",IF(AND(T907="ALTA",OR(AA907="L0 Inexistente",AA907="L1 Inicial / Ad Hoc",Y907="No Iniciado")),"CRÍTICO - Incumplimiento Normativo SEPS",IF(AND(OR(AA907="L4 Gestionado y Medible",AA907="L5 Optimizado"),AND(AC907&lt;&gt;"",AC907&lt;&gt;"N/A")),"CONFORME - Control Efectivo ISO 27001","OBSERVACIÓN - Revisar Controles")))</f>
        <v/>
      </c>
    </row>
    <row r="908">
      <c r="A908" s="99"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c r="AD908">
        <f>IF(OR(T908="",Y908="",AA908=""),"",IF(AND(T908="ALTA",OR(AA908="L0 Inexistente",AA908="L1 Inicial / Ad Hoc",Y908="No Iniciado")),"CRÍTICO - Incumplimiento Normativo SEPS",IF(AND(OR(AA908="L4 Gestionado y Medible",AA908="L5 Optimizado"),AND(AC908&lt;&gt;"",AC908&lt;&gt;"N/A")),"CONFORME - Control Efectivo ISO 27001","OBSERVACIÓN - Revisar Controles")))</f>
        <v/>
      </c>
    </row>
    <row r="909">
      <c r="A909" s="99"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c r="AD909">
        <f>IF(OR(T909="",Y909="",AA909=""),"",IF(AND(T909="ALTA",OR(AA909="L0 Inexistente",AA909="L1 Inicial / Ad Hoc",Y909="No Iniciado")),"CRÍTICO - Incumplimiento Normativo SEPS",IF(AND(OR(AA909="L4 Gestionado y Medible",AA909="L5 Optimizado"),AND(AC909&lt;&gt;"",AC909&lt;&gt;"N/A")),"CONFORME - Control Efectivo ISO 27001","OBSERVACIÓN - Revisar Controles")))</f>
        <v/>
      </c>
    </row>
    <row r="910">
      <c r="A910" s="99"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c r="AD910">
        <f>IF(OR(T910="",Y910="",AA910=""),"",IF(AND(T910="ALTA",OR(AA910="L0 Inexistente",AA910="L1 Inicial / Ad Hoc",Y910="No Iniciado")),"CRÍTICO - Incumplimiento Normativo SEPS",IF(AND(OR(AA910="L4 Gestionado y Medible",AA910="L5 Optimizado"),AND(AC910&lt;&gt;"",AC910&lt;&gt;"N/A")),"CONFORME - Control Efectivo ISO 27001","OBSERVACIÓN - Revisar Controles")))</f>
        <v/>
      </c>
    </row>
    <row r="911">
      <c r="A911" s="99"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c r="AD911">
        <f>IF(OR(T911="",Y911="",AA911=""),"",IF(AND(T911="ALTA",OR(AA911="L0 Inexistente",AA911="L1 Inicial / Ad Hoc",Y911="No Iniciado")),"CRÍTICO - Incumplimiento Normativo SEPS",IF(AND(OR(AA911="L4 Gestionado y Medible",AA911="L5 Optimizado"),AND(AC911&lt;&gt;"",AC911&lt;&gt;"N/A")),"CONFORME - Control Efectivo ISO 27001","OBSERVACIÓN - Revisar Controles")))</f>
        <v/>
      </c>
    </row>
    <row r="912">
      <c r="A912" s="99"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c r="AD912">
        <f>IF(OR(T912="",Y912="",AA912=""),"",IF(AND(T912="ALTA",OR(AA912="L0 Inexistente",AA912="L1 Inicial / Ad Hoc",Y912="No Iniciado")),"CRÍTICO - Incumplimiento Normativo SEPS",IF(AND(OR(AA912="L4 Gestionado y Medible",AA912="L5 Optimizado"),AND(AC912&lt;&gt;"",AC912&lt;&gt;"N/A")),"CONFORME - Control Efectivo ISO 27001","OBSERVACIÓN - Revisar Controles")))</f>
        <v/>
      </c>
    </row>
    <row r="913">
      <c r="A913" s="99"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c r="AD913">
        <f>IF(OR(T913="",Y913="",AA913=""),"",IF(AND(T913="ALTA",OR(AA913="L0 Inexistente",AA913="L1 Inicial / Ad Hoc",Y913="No Iniciado")),"CRÍTICO - Incumplimiento Normativo SEPS",IF(AND(OR(AA913="L4 Gestionado y Medible",AA913="L5 Optimizado"),AND(AC913&lt;&gt;"",AC913&lt;&gt;"N/A")),"CONFORME - Control Efectivo ISO 27001","OBSERVACIÓN - Revisar Controles")))</f>
        <v/>
      </c>
    </row>
    <row r="914">
      <c r="A914" s="99"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c r="AD914">
        <f>IF(OR(T914="",Y914="",AA914=""),"",IF(AND(T914="ALTA",OR(AA914="L0 Inexistente",AA914="L1 Inicial / Ad Hoc",Y914="No Iniciado")),"CRÍTICO - Incumplimiento Normativo SEPS",IF(AND(OR(AA914="L4 Gestionado y Medible",AA914="L5 Optimizado"),AND(AC914&lt;&gt;"",AC914&lt;&gt;"N/A")),"CONFORME - Control Efectivo ISO 27001","OBSERVACIÓN - Revisar Controles")))</f>
        <v/>
      </c>
    </row>
    <row r="915">
      <c r="A915" s="99"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c r="AD915">
        <f>IF(OR(T915="",Y915="",AA915=""),"",IF(AND(T915="ALTA",OR(AA915="L0 Inexistente",AA915="L1 Inicial / Ad Hoc",Y915="No Iniciado")),"CRÍTICO - Incumplimiento Normativo SEPS",IF(AND(OR(AA915="L4 Gestionado y Medible",AA915="L5 Optimizado"),AND(AC915&lt;&gt;"",AC915&lt;&gt;"N/A")),"CONFORME - Control Efectivo ISO 27001","OBSERVACIÓN - Revisar Controles")))</f>
        <v/>
      </c>
    </row>
    <row r="916">
      <c r="A916" s="99"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c r="AD916">
        <f>IF(OR(T916="",Y916="",AA916=""),"",IF(AND(T916="ALTA",OR(AA916="L0 Inexistente",AA916="L1 Inicial / Ad Hoc",Y916="No Iniciado")),"CRÍTICO - Incumplimiento Normativo SEPS",IF(AND(OR(AA916="L4 Gestionado y Medible",AA916="L5 Optimizado"),AND(AC916&lt;&gt;"",AC916&lt;&gt;"N/A")),"CONFORME - Control Efectivo ISO 27001","OBSERVACIÓN - Revisar Controles")))</f>
        <v/>
      </c>
    </row>
    <row r="917">
      <c r="A917" s="99"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c r="AD917">
        <f>IF(OR(T917="",Y917="",AA917=""),"",IF(AND(T917="ALTA",OR(AA917="L0 Inexistente",AA917="L1 Inicial / Ad Hoc",Y917="No Iniciado")),"CRÍTICO - Incumplimiento Normativo SEPS",IF(AND(OR(AA917="L4 Gestionado y Medible",AA917="L5 Optimizado"),AND(AC917&lt;&gt;"",AC917&lt;&gt;"N/A")),"CONFORME - Control Efectivo ISO 27001","OBSERVACIÓN - Revisar Controles")))</f>
        <v/>
      </c>
    </row>
    <row r="918">
      <c r="A918" s="99"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c r="AD918">
        <f>IF(OR(T918="",Y918="",AA918=""),"",IF(AND(T918="ALTA",OR(AA918="L0 Inexistente",AA918="L1 Inicial / Ad Hoc",Y918="No Iniciado")),"CRÍTICO - Incumplimiento Normativo SEPS",IF(AND(OR(AA918="L4 Gestionado y Medible",AA918="L5 Optimizado"),AND(AC918&lt;&gt;"",AC918&lt;&gt;"N/A")),"CONFORME - Control Efectivo ISO 27001","OBSERVACIÓN - Revisar Controles")))</f>
        <v/>
      </c>
    </row>
    <row r="919">
      <c r="A919" s="99"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c r="AD919">
        <f>IF(OR(T919="",Y919="",AA919=""),"",IF(AND(T919="ALTA",OR(AA919="L0 Inexistente",AA919="L1 Inicial / Ad Hoc",Y919="No Iniciado")),"CRÍTICO - Incumplimiento Normativo SEPS",IF(AND(OR(AA919="L4 Gestionado y Medible",AA919="L5 Optimizado"),AND(AC919&lt;&gt;"",AC919&lt;&gt;"N/A")),"CONFORME - Control Efectivo ISO 27001","OBSERVACIÓN - Revisar Controles")))</f>
        <v/>
      </c>
    </row>
    <row r="920">
      <c r="A920" s="99"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c r="AD920">
        <f>IF(OR(T920="",Y920="",AA920=""),"",IF(AND(T920="ALTA",OR(AA920="L0 Inexistente",AA920="L1 Inicial / Ad Hoc",Y920="No Iniciado")),"CRÍTICO - Incumplimiento Normativo SEPS",IF(AND(OR(AA920="L4 Gestionado y Medible",AA920="L5 Optimizado"),AND(AC920&lt;&gt;"",AC920&lt;&gt;"N/A")),"CONFORME - Control Efectivo ISO 27001","OBSERVACIÓN - Revisar Controles")))</f>
        <v/>
      </c>
    </row>
    <row r="921">
      <c r="A921" s="99"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c r="AD921">
        <f>IF(OR(T921="",Y921="",AA921=""),"",IF(AND(T921="ALTA",OR(AA921="L0 Inexistente",AA921="L1 Inicial / Ad Hoc",Y921="No Iniciado")),"CRÍTICO - Incumplimiento Normativo SEPS",IF(AND(OR(AA921="L4 Gestionado y Medible",AA921="L5 Optimizado"),AND(AC921&lt;&gt;"",AC921&lt;&gt;"N/A")),"CONFORME - Control Efectivo ISO 27001","OBSERVACIÓN - Revisar Controles")))</f>
        <v/>
      </c>
    </row>
    <row r="922">
      <c r="A922" s="99"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c r="AD922">
        <f>IF(OR(T922="",Y922="",AA922=""),"",IF(AND(T922="ALTA",OR(AA922="L0 Inexistente",AA922="L1 Inicial / Ad Hoc",Y922="No Iniciado")),"CRÍTICO - Incumplimiento Normativo SEPS",IF(AND(OR(AA922="L4 Gestionado y Medible",AA922="L5 Optimizado"),AND(AC922&lt;&gt;"",AC922&lt;&gt;"N/A")),"CONFORME - Control Efectivo ISO 27001","OBSERVACIÓN - Revisar Controles")))</f>
        <v/>
      </c>
    </row>
    <row r="923">
      <c r="A923" s="99"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c r="AD923">
        <f>IF(OR(T923="",Y923="",AA923=""),"",IF(AND(T923="ALTA",OR(AA923="L0 Inexistente",AA923="L1 Inicial / Ad Hoc",Y923="No Iniciado")),"CRÍTICO - Incumplimiento Normativo SEPS",IF(AND(OR(AA923="L4 Gestionado y Medible",AA923="L5 Optimizado"),AND(AC923&lt;&gt;"",AC923&lt;&gt;"N/A")),"CONFORME - Control Efectivo ISO 27001","OBSERVACIÓN - Revisar Controles")))</f>
        <v/>
      </c>
    </row>
    <row r="924">
      <c r="A924" s="99"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c r="AD924">
        <f>IF(OR(T924="",Y924="",AA924=""),"",IF(AND(T924="ALTA",OR(AA924="L0 Inexistente",AA924="L1 Inicial / Ad Hoc",Y924="No Iniciado")),"CRÍTICO - Incumplimiento Normativo SEPS",IF(AND(OR(AA924="L4 Gestionado y Medible",AA924="L5 Optimizado"),AND(AC924&lt;&gt;"",AC924&lt;&gt;"N/A")),"CONFORME - Control Efectivo ISO 27001","OBSERVACIÓN - Revisar Controles")))</f>
        <v/>
      </c>
    </row>
    <row r="925">
      <c r="A925" s="99"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c r="AD925">
        <f>IF(OR(T925="",Y925="",AA925=""),"",IF(AND(T925="ALTA",OR(AA925="L0 Inexistente",AA925="L1 Inicial / Ad Hoc",Y925="No Iniciado")),"CRÍTICO - Incumplimiento Normativo SEPS",IF(AND(OR(AA925="L4 Gestionado y Medible",AA925="L5 Optimizado"),AND(AC925&lt;&gt;"",AC925&lt;&gt;"N/A")),"CONFORME - Control Efectivo ISO 27001","OBSERVACIÓN - Revisar Controles")))</f>
        <v/>
      </c>
    </row>
    <row r="926">
      <c r="A926" s="99"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c r="AD926">
        <f>IF(OR(T926="",Y926="",AA926=""),"",IF(AND(T926="ALTA",OR(AA926="L0 Inexistente",AA926="L1 Inicial / Ad Hoc",Y926="No Iniciado")),"CRÍTICO - Incumplimiento Normativo SEPS",IF(AND(OR(AA926="L4 Gestionado y Medible",AA926="L5 Optimizado"),AND(AC926&lt;&gt;"",AC926&lt;&gt;"N/A")),"CONFORME - Control Efectivo ISO 27001","OBSERVACIÓN - Revisar Controles")))</f>
        <v/>
      </c>
    </row>
    <row r="927">
      <c r="A927" s="99"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c r="AD927">
        <f>IF(OR(T927="",Y927="",AA927=""),"",IF(AND(T927="ALTA",OR(AA927="L0 Inexistente",AA927="L1 Inicial / Ad Hoc",Y927="No Iniciado")),"CRÍTICO - Incumplimiento Normativo SEPS",IF(AND(OR(AA927="L4 Gestionado y Medible",AA927="L5 Optimizado"),AND(AC927&lt;&gt;"",AC927&lt;&gt;"N/A")),"CONFORME - Control Efectivo ISO 27001","OBSERVACIÓN - Revisar Controles")))</f>
        <v/>
      </c>
    </row>
    <row r="928">
      <c r="A928" s="99"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c r="AD928">
        <f>IF(OR(T928="",Y928="",AA928=""),"",IF(AND(T928="ALTA",OR(AA928="L0 Inexistente",AA928="L1 Inicial / Ad Hoc",Y928="No Iniciado")),"CRÍTICO - Incumplimiento Normativo SEPS",IF(AND(OR(AA928="L4 Gestionado y Medible",AA928="L5 Optimizado"),AND(AC928&lt;&gt;"",AC928&lt;&gt;"N/A")),"CONFORME - Control Efectivo ISO 27001","OBSERVACIÓN - Revisar Controles")))</f>
        <v/>
      </c>
    </row>
    <row r="929">
      <c r="A929" s="99"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c r="AD929">
        <f>IF(OR(T929="",Y929="",AA929=""),"",IF(AND(T929="ALTA",OR(AA929="L0 Inexistente",AA929="L1 Inicial / Ad Hoc",Y929="No Iniciado")),"CRÍTICO - Incumplimiento Normativo SEPS",IF(AND(OR(AA929="L4 Gestionado y Medible",AA929="L5 Optimizado"),AND(AC929&lt;&gt;"",AC929&lt;&gt;"N/A")),"CONFORME - Control Efectivo ISO 27001","OBSERVACIÓN - Revisar Controles")))</f>
        <v/>
      </c>
    </row>
    <row r="930">
      <c r="A930" s="99"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c r="AD930">
        <f>IF(OR(T930="",Y930="",AA930=""),"",IF(AND(T930="ALTA",OR(AA930="L0 Inexistente",AA930="L1 Inicial / Ad Hoc",Y930="No Iniciado")),"CRÍTICO - Incumplimiento Normativo SEPS",IF(AND(OR(AA930="L4 Gestionado y Medible",AA930="L5 Optimizado"),AND(AC930&lt;&gt;"",AC930&lt;&gt;"N/A")),"CONFORME - Control Efectivo ISO 27001","OBSERVACIÓN - Revisar Controles")))</f>
        <v/>
      </c>
    </row>
    <row r="931" ht="20.45" customHeight="1" s="106">
      <c r="A931" s="99"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c r="AD931">
        <f>IF(OR(T931="",Y931="",AA931=""),"",IF(AND(T931="ALTA",OR(AA931="L0 Inexistente",AA931="L1 Inicial / Ad Hoc",Y931="No Iniciado")),"CRÍTICO - Incumplimiento Normativo SEPS",IF(AND(OR(AA931="L4 Gestionado y Medible",AA931="L5 Optimizado"),AND(AC931&lt;&gt;"",AC931&lt;&gt;"N/A")),"CONFORME - Control Efectivo ISO 27001","OBSERVACIÓN - Revisar Controles")))</f>
        <v/>
      </c>
    </row>
    <row r="932" ht="24" customHeight="1" s="106">
      <c r="A932" s="99"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c r="AD932">
        <f>IF(OR(T932="",Y932="",AA932=""),"",IF(AND(T932="ALTA",OR(AA932="L0 Inexistente",AA932="L1 Inicial / Ad Hoc",Y932="No Iniciado")),"CRÍTICO - Incumplimiento Normativo SEPS",IF(AND(OR(AA932="L4 Gestionado y Medible",AA932="L5 Optimizado"),AND(AC932&lt;&gt;"",AC932&lt;&gt;"N/A")),"CONFORME - Control Efectivo ISO 27001","OBSERVACIÓN - Revisar Controles")))</f>
        <v/>
      </c>
    </row>
    <row r="933">
      <c r="A933" s="99"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c r="AD933">
        <f>IF(OR(T933="",Y933="",AA933=""),"",IF(AND(T933="ALTA",OR(AA933="L0 Inexistente",AA933="L1 Inicial / Ad Hoc",Y933="No Iniciado")),"CRÍTICO - Incumplimiento Normativo SEPS",IF(AND(OR(AA933="L4 Gestionado y Medible",AA933="L5 Optimizado"),AND(AC933&lt;&gt;"",AC933&lt;&gt;"N/A")),"CONFORME - Control Efectivo ISO 27001","OBSERVACIÓN - Revisar Controles")))</f>
        <v/>
      </c>
    </row>
    <row r="934">
      <c r="A934" s="99"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c r="AD934">
        <f>IF(OR(T934="",Y934="",AA934=""),"",IF(AND(T934="ALTA",OR(AA934="L0 Inexistente",AA934="L1 Inicial / Ad Hoc",Y934="No Iniciado")),"CRÍTICO - Incumplimiento Normativo SEPS",IF(AND(OR(AA934="L4 Gestionado y Medible",AA934="L5 Optimizado"),AND(AC934&lt;&gt;"",AC934&lt;&gt;"N/A")),"CONFORME - Control Efectivo ISO 27001","OBSERVACIÓN - Revisar Controles")))</f>
        <v/>
      </c>
    </row>
    <row r="935">
      <c r="A935" s="99"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c r="AD935">
        <f>IF(OR(T935="",Y935="",AA935=""),"",IF(AND(T935="ALTA",OR(AA935="L0 Inexistente",AA935="L1 Inicial / Ad Hoc",Y935="No Iniciado")),"CRÍTICO - Incumplimiento Normativo SEPS",IF(AND(OR(AA935="L4 Gestionado y Medible",AA935="L5 Optimizado"),AND(AC935&lt;&gt;"",AC935&lt;&gt;"N/A")),"CONFORME - Control Efectivo ISO 27001","OBSERVACIÓN - Revisar Controles")))</f>
        <v/>
      </c>
    </row>
    <row r="936">
      <c r="A936" s="99"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c r="AD936">
        <f>IF(OR(T936="",Y936="",AA936=""),"",IF(AND(T936="ALTA",OR(AA936="L0 Inexistente",AA936="L1 Inicial / Ad Hoc",Y936="No Iniciado")),"CRÍTICO - Incumplimiento Normativo SEPS",IF(AND(OR(AA936="L4 Gestionado y Medible",AA936="L5 Optimizado"),AND(AC936&lt;&gt;"",AC936&lt;&gt;"N/A")),"CONFORME - Control Efectivo ISO 27001","OBSERVACIÓN - Revisar Controles")))</f>
        <v/>
      </c>
    </row>
    <row r="937">
      <c r="A937" s="99"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c r="AD937">
        <f>IF(OR(T937="",Y937="",AA937=""),"",IF(AND(T937="ALTA",OR(AA937="L0 Inexistente",AA937="L1 Inicial / Ad Hoc",Y937="No Iniciado")),"CRÍTICO - Incumplimiento Normativo SEPS",IF(AND(OR(AA937="L4 Gestionado y Medible",AA937="L5 Optimizado"),AND(AC937&lt;&gt;"",AC937&lt;&gt;"N/A")),"CONFORME - Control Efectivo ISO 27001","OBSERVACIÓN - Revisar Controles")))</f>
        <v/>
      </c>
    </row>
    <row r="938">
      <c r="A938" s="99"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c r="AD938">
        <f>IF(OR(T938="",Y938="",AA938=""),"",IF(AND(T938="ALTA",OR(AA938="L0 Inexistente",AA938="L1 Inicial / Ad Hoc",Y938="No Iniciado")),"CRÍTICO - Incumplimiento Normativo SEPS",IF(AND(OR(AA938="L4 Gestionado y Medible",AA938="L5 Optimizado"),AND(AC938&lt;&gt;"",AC938&lt;&gt;"N/A")),"CONFORME - Control Efectivo ISO 27001","OBSERVACIÓN - Revisar Controles")))</f>
        <v/>
      </c>
    </row>
    <row r="939">
      <c r="A939" s="99"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c r="AD939">
        <f>IF(OR(T939="",Y939="",AA939=""),"",IF(AND(T939="ALTA",OR(AA939="L0 Inexistente",AA939="L1 Inicial / Ad Hoc",Y939="No Iniciado")),"CRÍTICO - Incumplimiento Normativo SEPS",IF(AND(OR(AA939="L4 Gestionado y Medible",AA939="L5 Optimizado"),AND(AC939&lt;&gt;"",AC939&lt;&gt;"N/A")),"CONFORME - Control Efectivo ISO 27001","OBSERVACIÓN - Revisar Controles")))</f>
        <v/>
      </c>
    </row>
    <row r="940">
      <c r="A940" s="99"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c r="AD940">
        <f>IF(OR(T940="",Y940="",AA940=""),"",IF(AND(T940="ALTA",OR(AA940="L0 Inexistente",AA940="L1 Inicial / Ad Hoc",Y940="No Iniciado")),"CRÍTICO - Incumplimiento Normativo SEPS",IF(AND(OR(AA940="L4 Gestionado y Medible",AA940="L5 Optimizado"),AND(AC940&lt;&gt;"",AC940&lt;&gt;"N/A")),"CONFORME - Control Efectivo ISO 27001","OBSERVACIÓN - Revisar Controles")))</f>
        <v/>
      </c>
    </row>
    <row r="941">
      <c r="A941" s="99"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c r="AD941">
        <f>IF(OR(T941="",Y941="",AA941=""),"",IF(AND(T941="ALTA",OR(AA941="L0 Inexistente",AA941="L1 Inicial / Ad Hoc",Y941="No Iniciado")),"CRÍTICO - Incumplimiento Normativo SEPS",IF(AND(OR(AA941="L4 Gestionado y Medible",AA941="L5 Optimizado"),AND(AC941&lt;&gt;"",AC941&lt;&gt;"N/A")),"CONFORME - Control Efectivo ISO 27001","OBSERVACIÓN - Revisar Controles")))</f>
        <v/>
      </c>
    </row>
    <row r="942">
      <c r="A942" s="99"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c r="AD942">
        <f>IF(OR(T942="",Y942="",AA942=""),"",IF(AND(T942="ALTA",OR(AA942="L0 Inexistente",AA942="L1 Inicial / Ad Hoc",Y942="No Iniciado")),"CRÍTICO - Incumplimiento Normativo SEPS",IF(AND(OR(AA942="L4 Gestionado y Medible",AA942="L5 Optimizado"),AND(AC942&lt;&gt;"",AC942&lt;&gt;"N/A")),"CONFORME - Control Efectivo ISO 27001","OBSERVACIÓN - Revisar Controles")))</f>
        <v/>
      </c>
    </row>
    <row r="943">
      <c r="A943" s="99"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c r="AD943">
        <f>IF(OR(T943="",Y943="",AA943=""),"",IF(AND(T943="ALTA",OR(AA943="L0 Inexistente",AA943="L1 Inicial / Ad Hoc",Y943="No Iniciado")),"CRÍTICO - Incumplimiento Normativo SEPS",IF(AND(OR(AA943="L4 Gestionado y Medible",AA943="L5 Optimizado"),AND(AC943&lt;&gt;"",AC943&lt;&gt;"N/A")),"CONFORME - Control Efectivo ISO 27001","OBSERVACIÓN - Revisar Controles")))</f>
        <v/>
      </c>
    </row>
    <row r="944">
      <c r="A944" s="99"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c r="AD944">
        <f>IF(OR(T944="",Y944="",AA944=""),"",IF(AND(T944="ALTA",OR(AA944="L0 Inexistente",AA944="L1 Inicial / Ad Hoc",Y944="No Iniciado")),"CRÍTICO - Incumplimiento Normativo SEPS",IF(AND(OR(AA944="L4 Gestionado y Medible",AA944="L5 Optimizado"),AND(AC944&lt;&gt;"",AC944&lt;&gt;"N/A")),"CONFORME - Control Efectivo ISO 27001","OBSERVACIÓN - Revisar Controles")))</f>
        <v/>
      </c>
    </row>
    <row r="945">
      <c r="A945" s="99"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c r="AD945">
        <f>IF(OR(T945="",Y945="",AA945=""),"",IF(AND(T945="ALTA",OR(AA945="L0 Inexistente",AA945="L1 Inicial / Ad Hoc",Y945="No Iniciado")),"CRÍTICO - Incumplimiento Normativo SEPS",IF(AND(OR(AA945="L4 Gestionado y Medible",AA945="L5 Optimizado"),AND(AC945&lt;&gt;"",AC945&lt;&gt;"N/A")),"CONFORME - Control Efectivo ISO 27001","OBSERVACIÓN - Revisar Controles")))</f>
        <v/>
      </c>
    </row>
    <row r="946">
      <c r="A946" s="99"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c r="AD946">
        <f>IF(OR(T946="",Y946="",AA946=""),"",IF(AND(T946="ALTA",OR(AA946="L0 Inexistente",AA946="L1 Inicial / Ad Hoc",Y946="No Iniciado")),"CRÍTICO - Incumplimiento Normativo SEPS",IF(AND(OR(AA946="L4 Gestionado y Medible",AA946="L5 Optimizado"),AND(AC946&lt;&gt;"",AC946&lt;&gt;"N/A")),"CONFORME - Control Efectivo ISO 27001","OBSERVACIÓN - Revisar Controles")))</f>
        <v/>
      </c>
    </row>
    <row r="947">
      <c r="A947" s="99"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c r="AD947">
        <f>IF(OR(T947="",Y947="",AA947=""),"",IF(AND(T947="ALTA",OR(AA947="L0 Inexistente",AA947="L1 Inicial / Ad Hoc",Y947="No Iniciado")),"CRÍTICO - Incumplimiento Normativo SEPS",IF(AND(OR(AA947="L4 Gestionado y Medible",AA947="L5 Optimizado"),AND(AC947&lt;&gt;"",AC947&lt;&gt;"N/A")),"CONFORME - Control Efectivo ISO 27001","OBSERVACIÓN - Revisar Controles")))</f>
        <v/>
      </c>
    </row>
    <row r="948">
      <c r="A948" s="99"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c r="AD948">
        <f>IF(OR(T948="",Y948="",AA948=""),"",IF(AND(T948="ALTA",OR(AA948="L0 Inexistente",AA948="L1 Inicial / Ad Hoc",Y948="No Iniciado")),"CRÍTICO - Incumplimiento Normativo SEPS",IF(AND(OR(AA948="L4 Gestionado y Medible",AA948="L5 Optimizado"),AND(AC948&lt;&gt;"",AC948&lt;&gt;"N/A")),"CONFORME - Control Efectivo ISO 27001","OBSERVACIÓN - Revisar Controles")))</f>
        <v/>
      </c>
    </row>
    <row r="949">
      <c r="A949" s="99"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c r="AD949">
        <f>IF(OR(T949="",Y949="",AA949=""),"",IF(AND(T949="ALTA",OR(AA949="L0 Inexistente",AA949="L1 Inicial / Ad Hoc",Y949="No Iniciado")),"CRÍTICO - Incumplimiento Normativo SEPS",IF(AND(OR(AA949="L4 Gestionado y Medible",AA949="L5 Optimizado"),AND(AC949&lt;&gt;"",AC949&lt;&gt;"N/A")),"CONFORME - Control Efectivo ISO 27001","OBSERVACIÓN - Revisar Controles")))</f>
        <v/>
      </c>
    </row>
    <row r="950">
      <c r="A950" s="99"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c r="AD950">
        <f>IF(OR(T950="",Y950="",AA950=""),"",IF(AND(T950="ALTA",OR(AA950="L0 Inexistente",AA950="L1 Inicial / Ad Hoc",Y950="No Iniciado")),"CRÍTICO - Incumplimiento Normativo SEPS",IF(AND(OR(AA950="L4 Gestionado y Medible",AA950="L5 Optimizado"),AND(AC950&lt;&gt;"",AC950&lt;&gt;"N/A")),"CONFORME - Control Efectivo ISO 27001","OBSERVACIÓN - Revisar Controles")))</f>
        <v/>
      </c>
    </row>
    <row r="951">
      <c r="A951" s="99"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c r="AD951">
        <f>IF(OR(T951="",Y951="",AA951=""),"",IF(AND(T951="ALTA",OR(AA951="L0 Inexistente",AA951="L1 Inicial / Ad Hoc",Y951="No Iniciado")),"CRÍTICO - Incumplimiento Normativo SEPS",IF(AND(OR(AA951="L4 Gestionado y Medible",AA951="L5 Optimizado"),AND(AC951&lt;&gt;"",AC951&lt;&gt;"N/A")),"CONFORME - Control Efectivo ISO 27001","OBSERVACIÓN - Revisar Controles")))</f>
        <v/>
      </c>
    </row>
    <row r="952">
      <c r="A952" s="99"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c r="AD952">
        <f>IF(OR(T952="",Y952="",AA952=""),"",IF(AND(T952="ALTA",OR(AA952="L0 Inexistente",AA952="L1 Inicial / Ad Hoc",Y952="No Iniciado")),"CRÍTICO - Incumplimiento Normativo SEPS",IF(AND(OR(AA952="L4 Gestionado y Medible",AA952="L5 Optimizado"),AND(AC952&lt;&gt;"",AC952&lt;&gt;"N/A")),"CONFORME - Control Efectivo ISO 27001","OBSERVACIÓN - Revisar Controles")))</f>
        <v/>
      </c>
    </row>
    <row r="953">
      <c r="A953" s="99"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c r="AD953">
        <f>IF(OR(T953="",Y953="",AA953=""),"",IF(AND(T953="ALTA",OR(AA953="L0 Inexistente",AA953="L1 Inicial / Ad Hoc",Y953="No Iniciado")),"CRÍTICO - Incumplimiento Normativo SEPS",IF(AND(OR(AA953="L4 Gestionado y Medible",AA953="L5 Optimizado"),AND(AC953&lt;&gt;"",AC953&lt;&gt;"N/A")),"CONFORME - Control Efectivo ISO 27001","OBSERVACIÓN - Revisar Controles")))</f>
        <v/>
      </c>
    </row>
    <row r="954">
      <c r="A954" s="99"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c r="AD954">
        <f>IF(OR(T954="",Y954="",AA954=""),"",IF(AND(T954="ALTA",OR(AA954="L0 Inexistente",AA954="L1 Inicial / Ad Hoc",Y954="No Iniciado")),"CRÍTICO - Incumplimiento Normativo SEPS",IF(AND(OR(AA954="L4 Gestionado y Medible",AA954="L5 Optimizado"),AND(AC954&lt;&gt;"",AC954&lt;&gt;"N/A")),"CONFORME - Control Efectivo ISO 27001","OBSERVACIÓN - Revisar Controles")))</f>
        <v/>
      </c>
    </row>
    <row r="955">
      <c r="A955" s="99"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c r="AD955">
        <f>IF(OR(T955="",Y955="",AA955=""),"",IF(AND(T955="ALTA",OR(AA955="L0 Inexistente",AA955="L1 Inicial / Ad Hoc",Y955="No Iniciado")),"CRÍTICO - Incumplimiento Normativo SEPS",IF(AND(OR(AA955="L4 Gestionado y Medible",AA955="L5 Optimizado"),AND(AC955&lt;&gt;"",AC955&lt;&gt;"N/A")),"CONFORME - Control Efectivo ISO 27001","OBSERVACIÓN - Revisar Controles")))</f>
        <v/>
      </c>
    </row>
    <row r="956">
      <c r="A956" s="99"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c r="AD956">
        <f>IF(OR(T956="",Y956="",AA956=""),"",IF(AND(T956="ALTA",OR(AA956="L0 Inexistente",AA956="L1 Inicial / Ad Hoc",Y956="No Iniciado")),"CRÍTICO - Incumplimiento Normativo SEPS",IF(AND(OR(AA956="L4 Gestionado y Medible",AA956="L5 Optimizado"),AND(AC956&lt;&gt;"",AC956&lt;&gt;"N/A")),"CONFORME - Control Efectivo ISO 27001","OBSERVACIÓN - Revisar Controles")))</f>
        <v/>
      </c>
    </row>
    <row r="957">
      <c r="A957" s="99"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c r="AD957">
        <f>IF(OR(T957="",Y957="",AA957=""),"",IF(AND(T957="ALTA",OR(AA957="L0 Inexistente",AA957="L1 Inicial / Ad Hoc",Y957="No Iniciado")),"CRÍTICO - Incumplimiento Normativo SEPS",IF(AND(OR(AA957="L4 Gestionado y Medible",AA957="L5 Optimizado"),AND(AC957&lt;&gt;"",AC957&lt;&gt;"N/A")),"CONFORME - Control Efectivo ISO 27001","OBSERVACIÓN - Revisar Controles")))</f>
        <v/>
      </c>
    </row>
    <row r="958">
      <c r="A958" s="99"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c r="AD958">
        <f>IF(OR(T958="",Y958="",AA958=""),"",IF(AND(T958="ALTA",OR(AA958="L0 Inexistente",AA958="L1 Inicial / Ad Hoc",Y958="No Iniciado")),"CRÍTICO - Incumplimiento Normativo SEPS",IF(AND(OR(AA958="L4 Gestionado y Medible",AA958="L5 Optimizado"),AND(AC958&lt;&gt;"",AC958&lt;&gt;"N/A")),"CONFORME - Control Efectivo ISO 27001","OBSERVACIÓN - Revisar Controles")))</f>
        <v/>
      </c>
    </row>
    <row r="959">
      <c r="A959" s="99"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c r="AD959">
        <f>IF(OR(T959="",Y959="",AA959=""),"",IF(AND(T959="ALTA",OR(AA959="L0 Inexistente",AA959="L1 Inicial / Ad Hoc",Y959="No Iniciado")),"CRÍTICO - Incumplimiento Normativo SEPS",IF(AND(OR(AA959="L4 Gestionado y Medible",AA959="L5 Optimizado"),AND(AC959&lt;&gt;"",AC959&lt;&gt;"N/A")),"CONFORME - Control Efectivo ISO 27001","OBSERVACIÓN - Revisar Controles")))</f>
        <v/>
      </c>
    </row>
    <row r="960">
      <c r="A960" s="99"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c r="AD960">
        <f>IF(OR(T960="",Y960="",AA960=""),"",IF(AND(T960="ALTA",OR(AA960="L0 Inexistente",AA960="L1 Inicial / Ad Hoc",Y960="No Iniciado")),"CRÍTICO - Incumplimiento Normativo SEPS",IF(AND(OR(AA960="L4 Gestionado y Medible",AA960="L5 Optimizado"),AND(AC960&lt;&gt;"",AC960&lt;&gt;"N/A")),"CONFORME - Control Efectivo ISO 27001","OBSERVACIÓN - Revisar Controles")))</f>
        <v/>
      </c>
    </row>
    <row r="961">
      <c r="A961" s="99"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c r="AD961">
        <f>IF(OR(T961="",Y961="",AA961=""),"",IF(AND(T961="ALTA",OR(AA961="L0 Inexistente",AA961="L1 Inicial / Ad Hoc",Y961="No Iniciado")),"CRÍTICO - Incumplimiento Normativo SEPS",IF(AND(OR(AA961="L4 Gestionado y Medible",AA961="L5 Optimizado"),AND(AC961&lt;&gt;"",AC961&lt;&gt;"N/A")),"CONFORME - Control Efectivo ISO 27001","OBSERVACIÓN - Revisar Controles")))</f>
        <v/>
      </c>
    </row>
    <row r="962">
      <c r="A962" s="99"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c r="AD962">
        <f>IF(OR(T962="",Y962="",AA962=""),"",IF(AND(T962="ALTA",OR(AA962="L0 Inexistente",AA962="L1 Inicial / Ad Hoc",Y962="No Iniciado")),"CRÍTICO - Incumplimiento Normativo SEPS",IF(AND(OR(AA962="L4 Gestionado y Medible",AA962="L5 Optimizado"),AND(AC962&lt;&gt;"",AC962&lt;&gt;"N/A")),"CONFORME - Control Efectivo ISO 27001","OBSERVACIÓN - Revisar Controles")))</f>
        <v/>
      </c>
    </row>
    <row r="963">
      <c r="A963" s="99"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c r="AD963">
        <f>IF(OR(T963="",Y963="",AA963=""),"",IF(AND(T963="ALTA",OR(AA963="L0 Inexistente",AA963="L1 Inicial / Ad Hoc",Y963="No Iniciado")),"CRÍTICO - Incumplimiento Normativo SEPS",IF(AND(OR(AA963="L4 Gestionado y Medible",AA963="L5 Optimizado"),AND(AC963&lt;&gt;"",AC963&lt;&gt;"N/A")),"CONFORME - Control Efectivo ISO 27001","OBSERVACIÓN - Revisar Controles")))</f>
        <v/>
      </c>
    </row>
    <row r="964">
      <c r="A964" s="99"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c r="AD964">
        <f>IF(OR(T964="",Y964="",AA964=""),"",IF(AND(T964="ALTA",OR(AA964="L0 Inexistente",AA964="L1 Inicial / Ad Hoc",Y964="No Iniciado")),"CRÍTICO - Incumplimiento Normativo SEPS",IF(AND(OR(AA964="L4 Gestionado y Medible",AA964="L5 Optimizado"),AND(AC964&lt;&gt;"",AC964&lt;&gt;"N/A")),"CONFORME - Control Efectivo ISO 27001","OBSERVACIÓN - Revisar Controles")))</f>
        <v/>
      </c>
    </row>
    <row r="965">
      <c r="A965" s="99"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c r="AD965">
        <f>IF(OR(T965="",Y965="",AA965=""),"",IF(AND(T965="ALTA",OR(AA965="L0 Inexistente",AA965="L1 Inicial / Ad Hoc",Y965="No Iniciado")),"CRÍTICO - Incumplimiento Normativo SEPS",IF(AND(OR(AA965="L4 Gestionado y Medible",AA965="L5 Optimizado"),AND(AC965&lt;&gt;"",AC965&lt;&gt;"N/A")),"CONFORME - Control Efectivo ISO 27001","OBSERVACIÓN - Revisar Controles")))</f>
        <v/>
      </c>
    </row>
    <row r="966">
      <c r="A966" s="99"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c r="AD966">
        <f>IF(OR(T966="",Y966="",AA966=""),"",IF(AND(T966="ALTA",OR(AA966="L0 Inexistente",AA966="L1 Inicial / Ad Hoc",Y966="No Iniciado")),"CRÍTICO - Incumplimiento Normativo SEPS",IF(AND(OR(AA966="L4 Gestionado y Medible",AA966="L5 Optimizado"),AND(AC966&lt;&gt;"",AC966&lt;&gt;"N/A")),"CONFORME - Control Efectivo ISO 27001","OBSERVACIÓN - Revisar Controles")))</f>
        <v/>
      </c>
    </row>
    <row r="967">
      <c r="A967" s="99"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c r="AD967">
        <f>IF(OR(T967="",Y967="",AA967=""),"",IF(AND(T967="ALTA",OR(AA967="L0 Inexistente",AA967="L1 Inicial / Ad Hoc",Y967="No Iniciado")),"CRÍTICO - Incumplimiento Normativo SEPS",IF(AND(OR(AA967="L4 Gestionado y Medible",AA967="L5 Optimizado"),AND(AC967&lt;&gt;"",AC967&lt;&gt;"N/A")),"CONFORME - Control Efectivo ISO 27001","OBSERVACIÓN - Revisar Controles")))</f>
        <v/>
      </c>
    </row>
    <row r="968">
      <c r="A968" s="99"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c r="AD968">
        <f>IF(OR(T968="",Y968="",AA968=""),"",IF(AND(T968="ALTA",OR(AA968="L0 Inexistente",AA968="L1 Inicial / Ad Hoc",Y968="No Iniciado")),"CRÍTICO - Incumplimiento Normativo SEPS",IF(AND(OR(AA968="L4 Gestionado y Medible",AA968="L5 Optimizado"),AND(AC968&lt;&gt;"",AC968&lt;&gt;"N/A")),"CONFORME - Control Efectivo ISO 27001","OBSERVACIÓN - Revisar Controles")))</f>
        <v/>
      </c>
    </row>
    <row r="969">
      <c r="A969" s="99"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c r="AD969">
        <f>IF(OR(T969="",Y969="",AA969=""),"",IF(AND(T969="ALTA",OR(AA969="L0 Inexistente",AA969="L1 Inicial / Ad Hoc",Y969="No Iniciado")),"CRÍTICO - Incumplimiento Normativo SEPS",IF(AND(OR(AA969="L4 Gestionado y Medible",AA969="L5 Optimizado"),AND(AC969&lt;&gt;"",AC969&lt;&gt;"N/A")),"CONFORME - Control Efectivo ISO 27001","OBSERVACIÓN - Revisar Controles")))</f>
        <v/>
      </c>
    </row>
    <row r="970" ht="20.45" customHeight="1" s="106">
      <c r="A970" s="99"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c r="AD970">
        <f>IF(OR(T970="",Y970="",AA970=""),"",IF(AND(T970="ALTA",OR(AA970="L0 Inexistente",AA970="L1 Inicial / Ad Hoc",Y970="No Iniciado")),"CRÍTICO - Incumplimiento Normativo SEPS",IF(AND(OR(AA970="L4 Gestionado y Medible",AA970="L5 Optimizado"),AND(AC970&lt;&gt;"",AC970&lt;&gt;"N/A")),"CONFORME - Control Efectivo ISO 27001","OBSERVACIÓN - Revisar Controles")))</f>
        <v/>
      </c>
    </row>
    <row r="971">
      <c r="A971" s="99"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c r="AD971">
        <f>IF(OR(T971="",Y971="",AA971=""),"",IF(AND(T971="ALTA",OR(AA971="L0 Inexistente",AA971="L1 Inicial / Ad Hoc",Y971="No Iniciado")),"CRÍTICO - Incumplimiento Normativo SEPS",IF(AND(OR(AA971="L4 Gestionado y Medible",AA971="L5 Optimizado"),AND(AC971&lt;&gt;"",AC971&lt;&gt;"N/A")),"CONFORME - Control Efectivo ISO 27001","OBSERVACIÓN - Revisar Controles")))</f>
        <v/>
      </c>
    </row>
    <row r="972">
      <c r="A972" s="99"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c r="AD972">
        <f>IF(OR(T972="",Y972="",AA972=""),"",IF(AND(T972="ALTA",OR(AA972="L0 Inexistente",AA972="L1 Inicial / Ad Hoc",Y972="No Iniciado")),"CRÍTICO - Incumplimiento Normativo SEPS",IF(AND(OR(AA972="L4 Gestionado y Medible",AA972="L5 Optimizado"),AND(AC972&lt;&gt;"",AC972&lt;&gt;"N/A")),"CONFORME - Control Efectivo ISO 27001","OBSERVACIÓN - Revisar Controles")))</f>
        <v/>
      </c>
    </row>
    <row r="973">
      <c r="A973" s="99"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c r="AD973">
        <f>IF(OR(T973="",Y973="",AA973=""),"",IF(AND(T973="ALTA",OR(AA973="L0 Inexistente",AA973="L1 Inicial / Ad Hoc",Y973="No Iniciado")),"CRÍTICO - Incumplimiento Normativo SEPS",IF(AND(OR(AA973="L4 Gestionado y Medible",AA973="L5 Optimizado"),AND(AC973&lt;&gt;"",AC973&lt;&gt;"N/A")),"CONFORME - Control Efectivo ISO 27001","OBSERVACIÓN - Revisar Controles")))</f>
        <v/>
      </c>
    </row>
    <row r="974">
      <c r="A974" s="99"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c r="AD974">
        <f>IF(OR(T974="",Y974="",AA974=""),"",IF(AND(T974="ALTA",OR(AA974="L0 Inexistente",AA974="L1 Inicial / Ad Hoc",Y974="No Iniciado")),"CRÍTICO - Incumplimiento Normativo SEPS",IF(AND(OR(AA974="L4 Gestionado y Medible",AA974="L5 Optimizado"),AND(AC974&lt;&gt;"",AC974&lt;&gt;"N/A")),"CONFORME - Control Efectivo ISO 27001","OBSERVACIÓN - Revisar Controles")))</f>
        <v/>
      </c>
    </row>
    <row r="975">
      <c r="A975" s="99"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c r="AD975">
        <f>IF(OR(T975="",Y975="",AA975=""),"",IF(AND(T975="ALTA",OR(AA975="L0 Inexistente",AA975="L1 Inicial / Ad Hoc",Y975="No Iniciado")),"CRÍTICO - Incumplimiento Normativo SEPS",IF(AND(OR(AA975="L4 Gestionado y Medible",AA975="L5 Optimizado"),AND(AC975&lt;&gt;"",AC975&lt;&gt;"N/A")),"CONFORME - Control Efectivo ISO 27001","OBSERVACIÓN - Revisar Controles")))</f>
        <v/>
      </c>
    </row>
    <row r="976">
      <c r="A976" s="99"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c r="AD976">
        <f>IF(OR(T976="",Y976="",AA976=""),"",IF(AND(T976="ALTA",OR(AA976="L0 Inexistente",AA976="L1 Inicial / Ad Hoc",Y976="No Iniciado")),"CRÍTICO - Incumplimiento Normativo SEPS",IF(AND(OR(AA976="L4 Gestionado y Medible",AA976="L5 Optimizado"),AND(AC976&lt;&gt;"",AC976&lt;&gt;"N/A")),"CONFORME - Control Efectivo ISO 27001","OBSERVACIÓN - Revisar Controles")))</f>
        <v/>
      </c>
    </row>
    <row r="977">
      <c r="A977" s="99"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c r="AD977">
        <f>IF(OR(T977="",Y977="",AA977=""),"",IF(AND(T977="ALTA",OR(AA977="L0 Inexistente",AA977="L1 Inicial / Ad Hoc",Y977="No Iniciado")),"CRÍTICO - Incumplimiento Normativo SEPS",IF(AND(OR(AA977="L4 Gestionado y Medible",AA977="L5 Optimizado"),AND(AC977&lt;&gt;"",AC977&lt;&gt;"N/A")),"CONFORME - Control Efectivo ISO 27001","OBSERVACIÓN - Revisar Controles")))</f>
        <v/>
      </c>
    </row>
    <row r="978">
      <c r="A978" s="99"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c r="AD978">
        <f>IF(OR(T978="",Y978="",AA978=""),"",IF(AND(T978="ALTA",OR(AA978="L0 Inexistente",AA978="L1 Inicial / Ad Hoc",Y978="No Iniciado")),"CRÍTICO - Incumplimiento Normativo SEPS",IF(AND(OR(AA978="L4 Gestionado y Medible",AA978="L5 Optimizado"),AND(AC978&lt;&gt;"",AC978&lt;&gt;"N/A")),"CONFORME - Control Efectivo ISO 27001","OBSERVACIÓN - Revisar Controles")))</f>
        <v/>
      </c>
    </row>
    <row r="979">
      <c r="A979" s="99"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c r="AD979">
        <f>IF(OR(T979="",Y979="",AA979=""),"",IF(AND(T979="ALTA",OR(AA979="L0 Inexistente",AA979="L1 Inicial / Ad Hoc",Y979="No Iniciado")),"CRÍTICO - Incumplimiento Normativo SEPS",IF(AND(OR(AA979="L4 Gestionado y Medible",AA979="L5 Optimizado"),AND(AC979&lt;&gt;"",AC979&lt;&gt;"N/A")),"CONFORME - Control Efectivo ISO 27001","OBSERVACIÓN - Revisar Controles")))</f>
        <v/>
      </c>
    </row>
    <row r="980">
      <c r="A980" s="99"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c r="AD980">
        <f>IF(OR(T980="",Y980="",AA980=""),"",IF(AND(T980="ALTA",OR(AA980="L0 Inexistente",AA980="L1 Inicial / Ad Hoc",Y980="No Iniciado")),"CRÍTICO - Incumplimiento Normativo SEPS",IF(AND(OR(AA980="L4 Gestionado y Medible",AA980="L5 Optimizado"),AND(AC980&lt;&gt;"",AC980&lt;&gt;"N/A")),"CONFORME - Control Efectivo ISO 27001","OBSERVACIÓN - Revisar Controles")))</f>
        <v/>
      </c>
    </row>
    <row r="981">
      <c r="A981" s="99"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c r="AD981">
        <f>IF(OR(T981="",Y981="",AA981=""),"",IF(AND(T981="ALTA",OR(AA981="L0 Inexistente",AA981="L1 Inicial / Ad Hoc",Y981="No Iniciado")),"CRÍTICO - Incumplimiento Normativo SEPS",IF(AND(OR(AA981="L4 Gestionado y Medible",AA981="L5 Optimizado"),AND(AC981&lt;&gt;"",AC981&lt;&gt;"N/A")),"CONFORME - Control Efectivo ISO 27001","OBSERVACIÓN - Revisar Controles")))</f>
        <v/>
      </c>
    </row>
    <row r="982">
      <c r="A982" s="99"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c r="AD982">
        <f>IF(OR(T982="",Y982="",AA982=""),"",IF(AND(T982="ALTA",OR(AA982="L0 Inexistente",AA982="L1 Inicial / Ad Hoc",Y982="No Iniciado")),"CRÍTICO - Incumplimiento Normativo SEPS",IF(AND(OR(AA982="L4 Gestionado y Medible",AA982="L5 Optimizado"),AND(AC982&lt;&gt;"",AC982&lt;&gt;"N/A")),"CONFORME - Control Efectivo ISO 27001","OBSERVACIÓN - Revisar Controles")))</f>
        <v/>
      </c>
    </row>
    <row r="983">
      <c r="A983" s="99"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c r="AD983">
        <f>IF(OR(T983="",Y983="",AA983=""),"",IF(AND(T983="ALTA",OR(AA983="L0 Inexistente",AA983="L1 Inicial / Ad Hoc",Y983="No Iniciado")),"CRÍTICO - Incumplimiento Normativo SEPS",IF(AND(OR(AA983="L4 Gestionado y Medible",AA983="L5 Optimizado"),AND(AC983&lt;&gt;"",AC983&lt;&gt;"N/A")),"CONFORME - Control Efectivo ISO 27001","OBSERVACIÓN - Revisar Controles")))</f>
        <v/>
      </c>
    </row>
    <row r="984">
      <c r="A984" s="99"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c r="AD984">
        <f>IF(OR(T984="",Y984="",AA984=""),"",IF(AND(T984="ALTA",OR(AA984="L0 Inexistente",AA984="L1 Inicial / Ad Hoc",Y984="No Iniciado")),"CRÍTICO - Incumplimiento Normativo SEPS",IF(AND(OR(AA984="L4 Gestionado y Medible",AA984="L5 Optimizado"),AND(AC984&lt;&gt;"",AC984&lt;&gt;"N/A")),"CONFORME - Control Efectivo ISO 27001","OBSERVACIÓN - Revisar Controles")))</f>
        <v/>
      </c>
    </row>
    <row r="985">
      <c r="A985" s="99"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c r="AD985">
        <f>IF(OR(T985="",Y985="",AA985=""),"",IF(AND(T985="ALTA",OR(AA985="L0 Inexistente",AA985="L1 Inicial / Ad Hoc",Y985="No Iniciado")),"CRÍTICO - Incumplimiento Normativo SEPS",IF(AND(OR(AA985="L4 Gestionado y Medible",AA985="L5 Optimizado"),AND(AC985&lt;&gt;"",AC985&lt;&gt;"N/A")),"CONFORME - Control Efectivo ISO 27001","OBSERVACIÓN - Revisar Controles")))</f>
        <v/>
      </c>
    </row>
    <row r="986">
      <c r="A986" s="99"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c r="AD986">
        <f>IF(OR(T986="",Y986="",AA986=""),"",IF(AND(T986="ALTA",OR(AA986="L0 Inexistente",AA986="L1 Inicial / Ad Hoc",Y986="No Iniciado")),"CRÍTICO - Incumplimiento Normativo SEPS",IF(AND(OR(AA986="L4 Gestionado y Medible",AA986="L5 Optimizado"),AND(AC986&lt;&gt;"",AC986&lt;&gt;"N/A")),"CONFORME - Control Efectivo ISO 27001","OBSERVACIÓN - Revisar Controles")))</f>
        <v/>
      </c>
    </row>
    <row r="987">
      <c r="A987" s="99"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c r="AD987">
        <f>IF(OR(T987="",Y987="",AA987=""),"",IF(AND(T987="ALTA",OR(AA987="L0 Inexistente",AA987="L1 Inicial / Ad Hoc",Y987="No Iniciado")),"CRÍTICO - Incumplimiento Normativo SEPS",IF(AND(OR(AA987="L4 Gestionado y Medible",AA987="L5 Optimizado"),AND(AC987&lt;&gt;"",AC987&lt;&gt;"N/A")),"CONFORME - Control Efectivo ISO 27001","OBSERVACIÓN - Revisar Controles")))</f>
        <v/>
      </c>
    </row>
    <row r="988">
      <c r="A988" s="99"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c r="AD988">
        <f>IF(OR(T988="",Y988="",AA988=""),"",IF(AND(T988="ALTA",OR(AA988="L0 Inexistente",AA988="L1 Inicial / Ad Hoc",Y988="No Iniciado")),"CRÍTICO - Incumplimiento Normativo SEPS",IF(AND(OR(AA988="L4 Gestionado y Medible",AA988="L5 Optimizado"),AND(AC988&lt;&gt;"",AC988&lt;&gt;"N/A")),"CONFORME - Control Efectivo ISO 27001","OBSERVACIÓN - Revisar Controles")))</f>
        <v/>
      </c>
    </row>
    <row r="989">
      <c r="A989" s="99"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c r="AD989">
        <f>IF(OR(T989="",Y989="",AA989=""),"",IF(AND(T989="ALTA",OR(AA989="L0 Inexistente",AA989="L1 Inicial / Ad Hoc",Y989="No Iniciado")),"CRÍTICO - Incumplimiento Normativo SEPS",IF(AND(OR(AA989="L4 Gestionado y Medible",AA989="L5 Optimizado"),AND(AC989&lt;&gt;"",AC989&lt;&gt;"N/A")),"CONFORME - Control Efectivo ISO 27001","OBSERVACIÓN - Revisar Controles")))</f>
        <v/>
      </c>
    </row>
    <row r="990">
      <c r="A990" s="99"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c r="AD990">
        <f>IF(OR(T990="",Y990="",AA990=""),"",IF(AND(T990="ALTA",OR(AA990="L0 Inexistente",AA990="L1 Inicial / Ad Hoc",Y990="No Iniciado")),"CRÍTICO - Incumplimiento Normativo SEPS",IF(AND(OR(AA990="L4 Gestionado y Medible",AA990="L5 Optimizado"),AND(AC990&lt;&gt;"",AC990&lt;&gt;"N/A")),"CONFORME - Control Efectivo ISO 27001","OBSERVACIÓN - Revisar Controles")))</f>
        <v/>
      </c>
    </row>
    <row r="991">
      <c r="A991" s="99"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c r="AD991">
        <f>IF(OR(T991="",Y991="",AA991=""),"",IF(AND(T991="ALTA",OR(AA991="L0 Inexistente",AA991="L1 Inicial / Ad Hoc",Y991="No Iniciado")),"CRÍTICO - Incumplimiento Normativo SEPS",IF(AND(OR(AA991="L4 Gestionado y Medible",AA991="L5 Optimizado"),AND(AC991&lt;&gt;"",AC991&lt;&gt;"N/A")),"CONFORME - Control Efectivo ISO 27001","OBSERVACIÓN - Revisar Controles")))</f>
        <v/>
      </c>
    </row>
    <row r="992">
      <c r="A992" s="99"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c r="AD992">
        <f>IF(OR(T992="",Y992="",AA992=""),"",IF(AND(T992="ALTA",OR(AA992="L0 Inexistente",AA992="L1 Inicial / Ad Hoc",Y992="No Iniciado")),"CRÍTICO - Incumplimiento Normativo SEPS",IF(AND(OR(AA992="L4 Gestionado y Medible",AA992="L5 Optimizado"),AND(AC992&lt;&gt;"",AC992&lt;&gt;"N/A")),"CONFORME - Control Efectivo ISO 27001","OBSERVACIÓN - Revisar Controles")))</f>
        <v/>
      </c>
    </row>
    <row r="993">
      <c r="A993" s="99"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c r="AD993">
        <f>IF(OR(T993="",Y993="",AA993=""),"",IF(AND(T993="ALTA",OR(AA993="L0 Inexistente",AA993="L1 Inicial / Ad Hoc",Y993="No Iniciado")),"CRÍTICO - Incumplimiento Normativo SEPS",IF(AND(OR(AA993="L4 Gestionado y Medible",AA993="L5 Optimizado"),AND(AC993&lt;&gt;"",AC993&lt;&gt;"N/A")),"CONFORME - Control Efectivo ISO 27001","OBSERVACIÓN - Revisar Controles")))</f>
        <v/>
      </c>
    </row>
    <row r="994">
      <c r="A994" s="99"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c r="AD994">
        <f>IF(OR(T994="",Y994="",AA994=""),"",IF(AND(T994="ALTA",OR(AA994="L0 Inexistente",AA994="L1 Inicial / Ad Hoc",Y994="No Iniciado")),"CRÍTICO - Incumplimiento Normativo SEPS",IF(AND(OR(AA994="L4 Gestionado y Medible",AA994="L5 Optimizado"),AND(AC994&lt;&gt;"",AC994&lt;&gt;"N/A")),"CONFORME - Control Efectivo ISO 27001","OBSERVACIÓN - Revisar Controles")))</f>
        <v/>
      </c>
    </row>
    <row r="995">
      <c r="A995" s="99"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c r="AD995">
        <f>IF(OR(T995="",Y995="",AA995=""),"",IF(AND(T995="ALTA",OR(AA995="L0 Inexistente",AA995="L1 Inicial / Ad Hoc",Y995="No Iniciado")),"CRÍTICO - Incumplimiento Normativo SEPS",IF(AND(OR(AA995="L4 Gestionado y Medible",AA995="L5 Optimizado"),AND(AC995&lt;&gt;"",AC995&lt;&gt;"N/A")),"CONFORME - Control Efectivo ISO 27001","OBSERVACIÓN - Revisar Controles")))</f>
        <v/>
      </c>
    </row>
    <row r="996">
      <c r="A996" s="99"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c r="AD996">
        <f>IF(OR(T996="",Y996="",AA996=""),"",IF(AND(T996="ALTA",OR(AA996="L0 Inexistente",AA996="L1 Inicial / Ad Hoc",Y996="No Iniciado")),"CRÍTICO - Incumplimiento Normativo SEPS",IF(AND(OR(AA996="L4 Gestionado y Medible",AA996="L5 Optimizado"),AND(AC996&lt;&gt;"",AC996&lt;&gt;"N/A")),"CONFORME - Control Efectivo ISO 27001","OBSERVACIÓN - Revisar Controles")))</f>
        <v/>
      </c>
    </row>
    <row r="997">
      <c r="A997" s="99"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c r="AD997">
        <f>IF(OR(T997="",Y997="",AA997=""),"",IF(AND(T997="ALTA",OR(AA997="L0 Inexistente",AA997="L1 Inicial / Ad Hoc",Y997="No Iniciado")),"CRÍTICO - Incumplimiento Normativo SEPS",IF(AND(OR(AA997="L4 Gestionado y Medible",AA997="L5 Optimizado"),AND(AC997&lt;&gt;"",AC997&lt;&gt;"N/A")),"CONFORME - Control Efectivo ISO 27001","OBSERVACIÓN - Revisar Controles")))</f>
        <v/>
      </c>
    </row>
    <row r="998">
      <c r="A998" s="99"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c r="AD998">
        <f>IF(OR(T998="",Y998="",AA998=""),"",IF(AND(T998="ALTA",OR(AA998="L0 Inexistente",AA998="L1 Inicial / Ad Hoc",Y998="No Iniciado")),"CRÍTICO - Incumplimiento Normativo SEPS",IF(AND(OR(AA998="L4 Gestionado y Medible",AA998="L5 Optimizado"),AND(AC998&lt;&gt;"",AC998&lt;&gt;"N/A")),"CONFORME - Control Efectivo ISO 27001","OBSERVACIÓN - Revisar Controles")))</f>
        <v/>
      </c>
    </row>
    <row r="999">
      <c r="A999" s="99"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c r="AD999">
        <f>IF(OR(T999="",Y999="",AA999=""),"",IF(AND(T999="ALTA",OR(AA999="L0 Inexistente",AA999="L1 Inicial / Ad Hoc",Y999="No Iniciado")),"CRÍTICO - Incumplimiento Normativo SEPS",IF(AND(OR(AA999="L4 Gestionado y Medible",AA999="L5 Optimizado"),AND(AC999&lt;&gt;"",AC999&lt;&gt;"N/A")),"CONFORME - Control Efectivo ISO 27001","OBSERVACIÓN - Revisar Controles")))</f>
        <v/>
      </c>
    </row>
    <row r="1000">
      <c r="A1000" s="99"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c r="AD1000">
        <f>IF(OR(T1000="",Y1000="",AA1000=""),"",IF(AND(T1000="ALTA",OR(AA1000="L0 Inexistente",AA1000="L1 Inicial / Ad Hoc",Y1000="No Iniciado")),"CRÍTICO - Incumplimiento Normativo SEPS",IF(AND(OR(AA1000="L4 Gestionado y Medible",AA1000="L5 Optimizado"),AND(AC1000&lt;&gt;"",AC1000&lt;&gt;"N/A")),"CONFORME - Control Efectivo ISO 27001","OBSERVACIÓN - Revisar Controles")))</f>
        <v/>
      </c>
    </row>
    <row r="1001">
      <c r="A1001" s="99"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c r="AD1001">
        <f>IF(OR(T1001="",Y1001="",AA1001=""),"",IF(AND(T1001="ALTA",OR(AA1001="L0 Inexistente",AA1001="L1 Inicial / Ad Hoc",Y1001="No Iniciado")),"CRÍTICO - Incumplimiento Normativo SEPS",IF(AND(OR(AA1001="L4 Gestionado y Medible",AA1001="L5 Optimizado"),AND(AC1001&lt;&gt;"",AC1001&lt;&gt;"N/A")),"CONFORME - Control Efectivo ISO 27001","OBSERVACIÓN - Revisar Controles")))</f>
        <v/>
      </c>
    </row>
    <row r="1002">
      <c r="A1002" s="99"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c r="AD1002">
        <f>IF(OR(T1002="",Y1002="",AA1002=""),"",IF(AND(T1002="ALTA",OR(AA1002="L0 Inexistente",AA1002="L1 Inicial / Ad Hoc",Y1002="No Iniciado")),"CRÍTICO - Incumplimiento Normativo SEPS",IF(AND(OR(AA1002="L4 Gestionado y Medible",AA1002="L5 Optimizado"),AND(AC1002&lt;&gt;"",AC1002&lt;&gt;"N/A")),"CONFORME - Control Efectivo ISO 27001","OBSERVACIÓN - Revisar Controles")))</f>
        <v/>
      </c>
    </row>
    <row r="1003">
      <c r="A1003" s="99"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c r="AD1003">
        <f>IF(OR(T1003="",Y1003="",AA1003=""),"",IF(AND(T1003="ALTA",OR(AA1003="L0 Inexistente",AA1003="L1 Inicial / Ad Hoc",Y1003="No Iniciado")),"CRÍTICO - Incumplimiento Normativo SEPS",IF(AND(OR(AA1003="L4 Gestionado y Medible",AA1003="L5 Optimizado"),AND(AC1003&lt;&gt;"",AC1003&lt;&gt;"N/A")),"CONFORME - Control Efectivo ISO 27001","OBSERVACIÓN - Revisar Controles")))</f>
        <v/>
      </c>
    </row>
    <row r="1004">
      <c r="A1004" s="99"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c r="AD1004">
        <f>IF(OR(T1004="",Y1004="",AA1004=""),"",IF(AND(T1004="ALTA",OR(AA1004="L0 Inexistente",AA1004="L1 Inicial / Ad Hoc",Y1004="No Iniciado")),"CRÍTICO - Incumplimiento Normativo SEPS",IF(AND(OR(AA1004="L4 Gestionado y Medible",AA1004="L5 Optimizado"),AND(AC1004&lt;&gt;"",AC1004&lt;&gt;"N/A")),"CONFORME - Control Efectivo ISO 27001","OBSERVACIÓN - Revisar Controles")))</f>
        <v/>
      </c>
    </row>
    <row r="1005">
      <c r="A1005" s="99"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c r="AD1005">
        <f>IF(OR(T1005="",Y1005="",AA1005=""),"",IF(AND(T1005="ALTA",OR(AA1005="L0 Inexistente",AA1005="L1 Inicial / Ad Hoc",Y1005="No Iniciado")),"CRÍTICO - Incumplimiento Normativo SEPS",IF(AND(OR(AA1005="L4 Gestionado y Medible",AA1005="L5 Optimizado"),AND(AC1005&lt;&gt;"",AC1005&lt;&gt;"N/A")),"CONFORME - Control Efectivo ISO 27001","OBSERVACIÓN - Revisar Controles")))</f>
        <v/>
      </c>
    </row>
    <row r="1006">
      <c r="A1006" s="99"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c r="AD1006">
        <f>IF(OR(T1006="",Y1006="",AA1006=""),"",IF(AND(T1006="ALTA",OR(AA1006="L0 Inexistente",AA1006="L1 Inicial / Ad Hoc",Y1006="No Iniciado")),"CRÍTICO - Incumplimiento Normativo SEPS",IF(AND(OR(AA1006="L4 Gestionado y Medible",AA1006="L5 Optimizado"),AND(AC1006&lt;&gt;"",AC1006&lt;&gt;"N/A")),"CONFORME - Control Efectivo ISO 27001","OBSERVACIÓN - Revisar Controles")))</f>
        <v/>
      </c>
    </row>
    <row r="1007">
      <c r="A1007" s="99"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c r="AD1007">
        <f>IF(OR(T1007="",Y1007="",AA1007=""),"",IF(AND(T1007="ALTA",OR(AA1007="L0 Inexistente",AA1007="L1 Inicial / Ad Hoc",Y1007="No Iniciado")),"CRÍTICO - Incumplimiento Normativo SEPS",IF(AND(OR(AA1007="L4 Gestionado y Medible",AA1007="L5 Optimizado"),AND(AC1007&lt;&gt;"",AC1007&lt;&gt;"N/A")),"CONFORME - Control Efectivo ISO 27001","OBSERVACIÓN - Revisar Controles")))</f>
        <v/>
      </c>
    </row>
    <row r="1008">
      <c r="A1008" s="99"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c r="AD1008">
        <f>IF(OR(T1008="",Y1008="",AA1008=""),"",IF(AND(T1008="ALTA",OR(AA1008="L0 Inexistente",AA1008="L1 Inicial / Ad Hoc",Y1008="No Iniciado")),"CRÍTICO - Incumplimiento Normativo SEPS",IF(AND(OR(AA1008="L4 Gestionado y Medible",AA1008="L5 Optimizado"),AND(AC1008&lt;&gt;"",AC1008&lt;&gt;"N/A")),"CONFORME - Control Efectivo ISO 27001","OBSERVACIÓN - Revisar Controles")))</f>
        <v/>
      </c>
    </row>
    <row r="1009">
      <c r="A1009" s="99"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c r="AD1009">
        <f>IF(OR(T1009="",Y1009="",AA1009=""),"",IF(AND(T1009="ALTA",OR(AA1009="L0 Inexistente",AA1009="L1 Inicial / Ad Hoc",Y1009="No Iniciado")),"CRÍTICO - Incumplimiento Normativo SEPS",IF(AND(OR(AA1009="L4 Gestionado y Medible",AA1009="L5 Optimizado"),AND(AC1009&lt;&gt;"",AC1009&lt;&gt;"N/A")),"CONFORME - Control Efectivo ISO 27001","OBSERVACIÓN - Revisar Controles")))</f>
        <v/>
      </c>
    </row>
    <row r="1010">
      <c r="A1010" s="99"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c r="AD1010">
        <f>IF(OR(T1010="",Y1010="",AA1010=""),"",IF(AND(T1010="ALTA",OR(AA1010="L0 Inexistente",AA1010="L1 Inicial / Ad Hoc",Y1010="No Iniciado")),"CRÍTICO - Incumplimiento Normativo SEPS",IF(AND(OR(AA1010="L4 Gestionado y Medible",AA1010="L5 Optimizado"),AND(AC1010&lt;&gt;"",AC1010&lt;&gt;"N/A")),"CONFORME - Control Efectivo ISO 27001","OBSERVACIÓN - Revisar Controles")))</f>
        <v/>
      </c>
    </row>
    <row r="1011">
      <c r="A1011" s="99"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c r="AD1011">
        <f>IF(OR(T1011="",Y1011="",AA1011=""),"",IF(AND(T1011="ALTA",OR(AA1011="L0 Inexistente",AA1011="L1 Inicial / Ad Hoc",Y1011="No Iniciado")),"CRÍTICO - Incumplimiento Normativo SEPS",IF(AND(OR(AA1011="L4 Gestionado y Medible",AA1011="L5 Optimizado"),AND(AC1011&lt;&gt;"",AC1011&lt;&gt;"N/A")),"CONFORME - Control Efectivo ISO 27001","OBSERVACIÓN - Revisar Controles")))</f>
        <v/>
      </c>
    </row>
    <row r="1012">
      <c r="A1012" s="99"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c r="AD1012">
        <f>IF(OR(T1012="",Y1012="",AA1012=""),"",IF(AND(T1012="ALTA",OR(AA1012="L0 Inexistente",AA1012="L1 Inicial / Ad Hoc",Y1012="No Iniciado")),"CRÍTICO - Incumplimiento Normativo SEPS",IF(AND(OR(AA1012="L4 Gestionado y Medible",AA1012="L5 Optimizado"),AND(AC1012&lt;&gt;"",AC1012&lt;&gt;"N/A")),"CONFORME - Control Efectivo ISO 27001","OBSERVACIÓN - Revisar Controles")))</f>
        <v/>
      </c>
    </row>
    <row r="1013">
      <c r="A1013" s="99"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c r="AD1013">
        <f>IF(OR(T1013="",Y1013="",AA1013=""),"",IF(AND(T1013="ALTA",OR(AA1013="L0 Inexistente",AA1013="L1 Inicial / Ad Hoc",Y1013="No Iniciado")),"CRÍTICO - Incumplimiento Normativo SEPS",IF(AND(OR(AA1013="L4 Gestionado y Medible",AA1013="L5 Optimizado"),AND(AC1013&lt;&gt;"",AC1013&lt;&gt;"N/A")),"CONFORME - Control Efectivo ISO 27001","OBSERVACIÓN - Revisar Controles")))</f>
        <v/>
      </c>
    </row>
    <row r="1014">
      <c r="A1014" s="99"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c r="AD1014">
        <f>IF(OR(T1014="",Y1014="",AA1014=""),"",IF(AND(T1014="ALTA",OR(AA1014="L0 Inexistente",AA1014="L1 Inicial / Ad Hoc",Y1014="No Iniciado")),"CRÍTICO - Incumplimiento Normativo SEPS",IF(AND(OR(AA1014="L4 Gestionado y Medible",AA1014="L5 Optimizado"),AND(AC1014&lt;&gt;"",AC1014&lt;&gt;"N/A")),"CONFORME - Control Efectivo ISO 27001","OBSERVACIÓN - Revisar Controles")))</f>
        <v/>
      </c>
    </row>
    <row r="1015">
      <c r="A1015" s="99"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c r="AD1015">
        <f>IF(OR(T1015="",Y1015="",AA1015=""),"",IF(AND(T1015="ALTA",OR(AA1015="L0 Inexistente",AA1015="L1 Inicial / Ad Hoc",Y1015="No Iniciado")),"CRÍTICO - Incumplimiento Normativo SEPS",IF(AND(OR(AA1015="L4 Gestionado y Medible",AA1015="L5 Optimizado"),AND(AC1015&lt;&gt;"",AC1015&lt;&gt;"N/A")),"CONFORME - Control Efectivo ISO 27001","OBSERVACIÓN - Revisar Controles")))</f>
        <v/>
      </c>
    </row>
    <row r="1016">
      <c r="A1016" s="99"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c r="AD1016">
        <f>IF(OR(T1016="",Y1016="",AA1016=""),"",IF(AND(T1016="ALTA",OR(AA1016="L0 Inexistente",AA1016="L1 Inicial / Ad Hoc",Y1016="No Iniciado")),"CRÍTICO - Incumplimiento Normativo SEPS",IF(AND(OR(AA1016="L4 Gestionado y Medible",AA1016="L5 Optimizado"),AND(AC1016&lt;&gt;"",AC1016&lt;&gt;"N/A")),"CONFORME - Control Efectivo ISO 27001","OBSERVACIÓN - Revisar Controles")))</f>
        <v/>
      </c>
    </row>
    <row r="1017">
      <c r="A1017" s="99"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c r="AD1017">
        <f>IF(OR(T1017="",Y1017="",AA1017=""),"",IF(AND(T1017="ALTA",OR(AA1017="L0 Inexistente",AA1017="L1 Inicial / Ad Hoc",Y1017="No Iniciado")),"CRÍTICO - Incumplimiento Normativo SEPS",IF(AND(OR(AA1017="L4 Gestionado y Medible",AA1017="L5 Optimizado"),AND(AC1017&lt;&gt;"",AC1017&lt;&gt;"N/A")),"CONFORME - Control Efectivo ISO 27001","OBSERVACIÓN - Revisar Controles")))</f>
        <v/>
      </c>
    </row>
    <row r="1018">
      <c r="A1018" s="99"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c r="AD1018">
        <f>IF(OR(T1018="",Y1018="",AA1018=""),"",IF(AND(T1018="ALTA",OR(AA1018="L0 Inexistente",AA1018="L1 Inicial / Ad Hoc",Y1018="No Iniciado")),"CRÍTICO - Incumplimiento Normativo SEPS",IF(AND(OR(AA1018="L4 Gestionado y Medible",AA1018="L5 Optimizado"),AND(AC1018&lt;&gt;"",AC1018&lt;&gt;"N/A")),"CONFORME - Control Efectivo ISO 27001","OBSERVACIÓN - Revisar Controles")))</f>
        <v/>
      </c>
    </row>
    <row r="1019">
      <c r="A1019" s="99"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c r="AD1019">
        <f>IF(OR(T1019="",Y1019="",AA1019=""),"",IF(AND(T1019="ALTA",OR(AA1019="L0 Inexistente",AA1019="L1 Inicial / Ad Hoc",Y1019="No Iniciado")),"CRÍTICO - Incumplimiento Normativo SEPS",IF(AND(OR(AA1019="L4 Gestionado y Medible",AA1019="L5 Optimizado"),AND(AC1019&lt;&gt;"",AC1019&lt;&gt;"N/A")),"CONFORME - Control Efectivo ISO 27001","OBSERVACIÓN - Revisar Controles")))</f>
        <v/>
      </c>
    </row>
    <row r="1020">
      <c r="A1020" s="99"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c r="AD1020">
        <f>IF(OR(T1020="",Y1020="",AA1020=""),"",IF(AND(T1020="ALTA",OR(AA1020="L0 Inexistente",AA1020="L1 Inicial / Ad Hoc",Y1020="No Iniciado")),"CRÍTICO - Incumplimiento Normativo SEPS",IF(AND(OR(AA1020="L4 Gestionado y Medible",AA1020="L5 Optimizado"),AND(AC1020&lt;&gt;"",AC1020&lt;&gt;"N/A")),"CONFORME - Control Efectivo ISO 27001","OBSERVACIÓN - Revisar Controles")))</f>
        <v/>
      </c>
    </row>
    <row r="1021">
      <c r="A1021" s="99"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c r="AD1021">
        <f>IF(OR(T1021="",Y1021="",AA1021=""),"",IF(AND(T1021="ALTA",OR(AA1021="L0 Inexistente",AA1021="L1 Inicial / Ad Hoc",Y1021="No Iniciado")),"CRÍTICO - Incumplimiento Normativo SEPS",IF(AND(OR(AA1021="L4 Gestionado y Medible",AA1021="L5 Optimizado"),AND(AC1021&lt;&gt;"",AC1021&lt;&gt;"N/A")),"CONFORME - Control Efectivo ISO 27001","OBSERVACIÓN - Revisar Controles")))</f>
        <v/>
      </c>
    </row>
    <row r="1022">
      <c r="A1022" s="99"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c r="AD1022">
        <f>IF(OR(T1022="",Y1022="",AA1022=""),"",IF(AND(T1022="ALTA",OR(AA1022="L0 Inexistente",AA1022="L1 Inicial / Ad Hoc",Y1022="No Iniciado")),"CRÍTICO - Incumplimiento Normativo SEPS",IF(AND(OR(AA1022="L4 Gestionado y Medible",AA1022="L5 Optimizado"),AND(AC1022&lt;&gt;"",AC1022&lt;&gt;"N/A")),"CONFORME - Control Efectivo ISO 27001","OBSERVACIÓN - Revisar Controles")))</f>
        <v/>
      </c>
    </row>
    <row r="1023">
      <c r="A1023" s="99"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c r="AD1023">
        <f>IF(OR(T1023="",Y1023="",AA1023=""),"",IF(AND(T1023="ALTA",OR(AA1023="L0 Inexistente",AA1023="L1 Inicial / Ad Hoc",Y1023="No Iniciado")),"CRÍTICO - Incumplimiento Normativo SEPS",IF(AND(OR(AA1023="L4 Gestionado y Medible",AA1023="L5 Optimizado"),AND(AC1023&lt;&gt;"",AC1023&lt;&gt;"N/A")),"CONFORME - Control Efectivo ISO 27001","OBSERVACIÓN - Revisar Controles")))</f>
        <v/>
      </c>
    </row>
    <row r="1024">
      <c r="A1024" s="99"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c r="AD1024">
        <f>IF(OR(T1024="",Y1024="",AA1024=""),"",IF(AND(T1024="ALTA",OR(AA1024="L0 Inexistente",AA1024="L1 Inicial / Ad Hoc",Y1024="No Iniciado")),"CRÍTICO - Incumplimiento Normativo SEPS",IF(AND(OR(AA1024="L4 Gestionado y Medible",AA1024="L5 Optimizado"),AND(AC1024&lt;&gt;"",AC1024&lt;&gt;"N/A")),"CONFORME - Control Efectivo ISO 27001","OBSERVACIÓN - Revisar Controles")))</f>
        <v/>
      </c>
    </row>
    <row r="1025">
      <c r="A1025" s="99"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c r="AD1025">
        <f>IF(OR(T1025="",Y1025="",AA1025=""),"",IF(AND(T1025="ALTA",OR(AA1025="L0 Inexistente",AA1025="L1 Inicial / Ad Hoc",Y1025="No Iniciado")),"CRÍTICO - Incumplimiento Normativo SEPS",IF(AND(OR(AA1025="L4 Gestionado y Medible",AA1025="L5 Optimizado"),AND(AC1025&lt;&gt;"",AC1025&lt;&gt;"N/A")),"CONFORME - Control Efectivo ISO 27001","OBSERVACIÓN - Revisar Controles")))</f>
        <v/>
      </c>
    </row>
    <row r="1026">
      <c r="A1026" s="99"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c r="AD1026">
        <f>IF(OR(T1026="",Y1026="",AA1026=""),"",IF(AND(T1026="ALTA",OR(AA1026="L0 Inexistente",AA1026="L1 Inicial / Ad Hoc",Y1026="No Iniciado")),"CRÍTICO - Incumplimiento Normativo SEPS",IF(AND(OR(AA1026="L4 Gestionado y Medible",AA1026="L5 Optimizado"),AND(AC1026&lt;&gt;"",AC1026&lt;&gt;"N/A")),"CONFORME - Control Efectivo ISO 27001","OBSERVACIÓN - Revisar Controles")))</f>
        <v/>
      </c>
    </row>
    <row r="1027">
      <c r="A1027" s="99"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c r="AD1027">
        <f>IF(OR(T1027="",Y1027="",AA1027=""),"",IF(AND(T1027="ALTA",OR(AA1027="L0 Inexistente",AA1027="L1 Inicial / Ad Hoc",Y1027="No Iniciado")),"CRÍTICO - Incumplimiento Normativo SEPS",IF(AND(OR(AA1027="L4 Gestionado y Medible",AA1027="L5 Optimizado"),AND(AC1027&lt;&gt;"",AC1027&lt;&gt;"N/A")),"CONFORME - Control Efectivo ISO 27001","OBSERVACIÓN - Revisar Controles")))</f>
        <v/>
      </c>
    </row>
    <row r="1028">
      <c r="A1028" s="99"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c r="AD1028">
        <f>IF(OR(T1028="",Y1028="",AA1028=""),"",IF(AND(T1028="ALTA",OR(AA1028="L0 Inexistente",AA1028="L1 Inicial / Ad Hoc",Y1028="No Iniciado")),"CRÍTICO - Incumplimiento Normativo SEPS",IF(AND(OR(AA1028="L4 Gestionado y Medible",AA1028="L5 Optimizado"),AND(AC1028&lt;&gt;"",AC1028&lt;&gt;"N/A")),"CONFORME - Control Efectivo ISO 27001","OBSERVACIÓN - Revisar Controles")))</f>
        <v/>
      </c>
    </row>
    <row r="1029">
      <c r="A1029" s="99"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c r="AD1029">
        <f>IF(OR(T1029="",Y1029="",AA1029=""),"",IF(AND(T1029="ALTA",OR(AA1029="L0 Inexistente",AA1029="L1 Inicial / Ad Hoc",Y1029="No Iniciado")),"CRÍTICO - Incumplimiento Normativo SEPS",IF(AND(OR(AA1029="L4 Gestionado y Medible",AA1029="L5 Optimizado"),AND(AC1029&lt;&gt;"",AC1029&lt;&gt;"N/A")),"CONFORME - Control Efectivo ISO 27001","OBSERVACIÓN - Revisar Controles")))</f>
        <v/>
      </c>
    </row>
    <row r="1030">
      <c r="A1030" s="99"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c r="AD1030">
        <f>IF(OR(T1030="",Y1030="",AA1030=""),"",IF(AND(T1030="ALTA",OR(AA1030="L0 Inexistente",AA1030="L1 Inicial / Ad Hoc",Y1030="No Iniciado")),"CRÍTICO - Incumplimiento Normativo SEPS",IF(AND(OR(AA1030="L4 Gestionado y Medible",AA1030="L5 Optimizado"),AND(AC1030&lt;&gt;"",AC1030&lt;&gt;"N/A")),"CONFORME - Control Efectivo ISO 27001","OBSERVACIÓN - Revisar Controles")))</f>
        <v/>
      </c>
    </row>
    <row r="1031">
      <c r="A1031" s="99"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c r="AD1031">
        <f>IF(OR(T1031="",Y1031="",AA1031=""),"",IF(AND(T1031="ALTA",OR(AA1031="L0 Inexistente",AA1031="L1 Inicial / Ad Hoc",Y1031="No Iniciado")),"CRÍTICO - Incumplimiento Normativo SEPS",IF(AND(OR(AA1031="L4 Gestionado y Medible",AA1031="L5 Optimizado"),AND(AC1031&lt;&gt;"",AC1031&lt;&gt;"N/A")),"CONFORME - Control Efectivo ISO 27001","OBSERVACIÓN - Revisar Controles")))</f>
        <v/>
      </c>
    </row>
    <row r="1032">
      <c r="A1032" s="99"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c r="AD1032">
        <f>IF(OR(T1032="",Y1032="",AA1032=""),"",IF(AND(T1032="ALTA",OR(AA1032="L0 Inexistente",AA1032="L1 Inicial / Ad Hoc",Y1032="No Iniciado")),"CRÍTICO - Incumplimiento Normativo SEPS",IF(AND(OR(AA1032="L4 Gestionado y Medible",AA1032="L5 Optimizado"),AND(AC1032&lt;&gt;"",AC1032&lt;&gt;"N/A")),"CONFORME - Control Efectivo ISO 27001","OBSERVACIÓN - Revisar Controles")))</f>
        <v/>
      </c>
    </row>
    <row r="1033">
      <c r="A1033" s="99"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c r="AD1033">
        <f>IF(OR(T1033="",Y1033="",AA1033=""),"",IF(AND(T1033="ALTA",OR(AA1033="L0 Inexistente",AA1033="L1 Inicial / Ad Hoc",Y1033="No Iniciado")),"CRÍTICO - Incumplimiento Normativo SEPS",IF(AND(OR(AA1033="L4 Gestionado y Medible",AA1033="L5 Optimizado"),AND(AC1033&lt;&gt;"",AC1033&lt;&gt;"N/A")),"CONFORME - Control Efectivo ISO 27001","OBSERVACIÓN - Revisar Controles")))</f>
        <v/>
      </c>
    </row>
    <row r="1034">
      <c r="A1034" s="99"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c r="AD1034">
        <f>IF(OR(T1034="",Y1034="",AA1034=""),"",IF(AND(T1034="ALTA",OR(AA1034="L0 Inexistente",AA1034="L1 Inicial / Ad Hoc",Y1034="No Iniciado")),"CRÍTICO - Incumplimiento Normativo SEPS",IF(AND(OR(AA1034="L4 Gestionado y Medible",AA1034="L5 Optimizado"),AND(AC1034&lt;&gt;"",AC1034&lt;&gt;"N/A")),"CONFORME - Control Efectivo ISO 27001","OBSERVACIÓN - Revisar Controles")))</f>
        <v/>
      </c>
    </row>
    <row r="1035">
      <c r="A1035" s="99"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c r="AD1035">
        <f>IF(OR(T1035="",Y1035="",AA1035=""),"",IF(AND(T1035="ALTA",OR(AA1035="L0 Inexistente",AA1035="L1 Inicial / Ad Hoc",Y1035="No Iniciado")),"CRÍTICO - Incumplimiento Normativo SEPS",IF(AND(OR(AA1035="L4 Gestionado y Medible",AA1035="L5 Optimizado"),AND(AC1035&lt;&gt;"",AC1035&lt;&gt;"N/A")),"CONFORME - Control Efectivo ISO 27001","OBSERVACIÓN - Revisar Controles")))</f>
        <v/>
      </c>
    </row>
    <row r="1036">
      <c r="A1036" s="99"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c r="AD1036">
        <f>IF(OR(T1036="",Y1036="",AA1036=""),"",IF(AND(T1036="ALTA",OR(AA1036="L0 Inexistente",AA1036="L1 Inicial / Ad Hoc",Y1036="No Iniciado")),"CRÍTICO - Incumplimiento Normativo SEPS",IF(AND(OR(AA1036="L4 Gestionado y Medible",AA1036="L5 Optimizado"),AND(AC1036&lt;&gt;"",AC1036&lt;&gt;"N/A")),"CONFORME - Control Efectivo ISO 27001","OBSERVACIÓN - Revisar Controles")))</f>
        <v/>
      </c>
    </row>
    <row r="1037">
      <c r="A1037" s="99"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c r="AD1037">
        <f>IF(OR(T1037="",Y1037="",AA1037=""),"",IF(AND(T1037="ALTA",OR(AA1037="L0 Inexistente",AA1037="L1 Inicial / Ad Hoc",Y1037="No Iniciado")),"CRÍTICO - Incumplimiento Normativo SEPS",IF(AND(OR(AA1037="L4 Gestionado y Medible",AA1037="L5 Optimizado"),AND(AC1037&lt;&gt;"",AC1037&lt;&gt;"N/A")),"CONFORME - Control Efectivo ISO 27001","OBSERVACIÓN - Revisar Controles")))</f>
        <v/>
      </c>
    </row>
    <row r="1038">
      <c r="A1038" s="99"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c r="AD1038">
        <f>IF(OR(T1038="",Y1038="",AA1038=""),"",IF(AND(T1038="ALTA",OR(AA1038="L0 Inexistente",AA1038="L1 Inicial / Ad Hoc",Y1038="No Iniciado")),"CRÍTICO - Incumplimiento Normativo SEPS",IF(AND(OR(AA1038="L4 Gestionado y Medible",AA1038="L5 Optimizado"),AND(AC1038&lt;&gt;"",AC1038&lt;&gt;"N/A")),"CONFORME - Control Efectivo ISO 27001","OBSERVACIÓN - Revisar Controles")))</f>
        <v/>
      </c>
    </row>
    <row r="1039">
      <c r="A1039" s="99"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c r="AD1039">
        <f>IF(OR(T1039="",Y1039="",AA1039=""),"",IF(AND(T1039="ALTA",OR(AA1039="L0 Inexistente",AA1039="L1 Inicial / Ad Hoc",Y1039="No Iniciado")),"CRÍTICO - Incumplimiento Normativo SEPS",IF(AND(OR(AA1039="L4 Gestionado y Medible",AA1039="L5 Optimizado"),AND(AC1039&lt;&gt;"",AC1039&lt;&gt;"N/A")),"CONFORME - Control Efectivo ISO 27001","OBSERVACIÓN - Revisar Controles")))</f>
        <v/>
      </c>
    </row>
    <row r="1040">
      <c r="A1040" s="99"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c r="AD1040">
        <f>IF(OR(T1040="",Y1040="",AA1040=""),"",IF(AND(T1040="ALTA",OR(AA1040="L0 Inexistente",AA1040="L1 Inicial / Ad Hoc",Y1040="No Iniciado")),"CRÍTICO - Incumplimiento Normativo SEPS",IF(AND(OR(AA1040="L4 Gestionado y Medible",AA1040="L5 Optimizado"),AND(AC1040&lt;&gt;"",AC1040&lt;&gt;"N/A")),"CONFORME - Control Efectivo ISO 27001","OBSERVACIÓN - Revisar Controles")))</f>
        <v/>
      </c>
    </row>
    <row r="1041">
      <c r="A1041" s="99"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c r="AD1041">
        <f>IF(OR(T1041="",Y1041="",AA1041=""),"",IF(AND(T1041="ALTA",OR(AA1041="L0 Inexistente",AA1041="L1 Inicial / Ad Hoc",Y1041="No Iniciado")),"CRÍTICO - Incumplimiento Normativo SEPS",IF(AND(OR(AA1041="L4 Gestionado y Medible",AA1041="L5 Optimizado"),AND(AC1041&lt;&gt;"",AC1041&lt;&gt;"N/A")),"CONFORME - Control Efectivo ISO 27001","OBSERVACIÓN - Revisar Controles")))</f>
        <v/>
      </c>
    </row>
    <row r="1042">
      <c r="A1042" s="99"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c r="AD1042">
        <f>IF(OR(T1042="",Y1042="",AA1042=""),"",IF(AND(T1042="ALTA",OR(AA1042="L0 Inexistente",AA1042="L1 Inicial / Ad Hoc",Y1042="No Iniciado")),"CRÍTICO - Incumplimiento Normativo SEPS",IF(AND(OR(AA1042="L4 Gestionado y Medible",AA1042="L5 Optimizado"),AND(AC1042&lt;&gt;"",AC1042&lt;&gt;"N/A")),"CONFORME - Control Efectivo ISO 27001","OBSERVACIÓN - Revisar Controles")))</f>
        <v/>
      </c>
    </row>
    <row r="1043">
      <c r="A1043" s="99"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c r="AD1043">
        <f>IF(OR(T1043="",Y1043="",AA1043=""),"",IF(AND(T1043="ALTA",OR(AA1043="L0 Inexistente",AA1043="L1 Inicial / Ad Hoc",Y1043="No Iniciado")),"CRÍTICO - Incumplimiento Normativo SEPS",IF(AND(OR(AA1043="L4 Gestionado y Medible",AA1043="L5 Optimizado"),AND(AC1043&lt;&gt;"",AC1043&lt;&gt;"N/A")),"CONFORME - Control Efectivo ISO 27001","OBSERVACIÓN - Revisar Controles")))</f>
        <v/>
      </c>
    </row>
    <row r="1044">
      <c r="A1044" s="99"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c r="AD1044">
        <f>IF(OR(T1044="",Y1044="",AA1044=""),"",IF(AND(T1044="ALTA",OR(AA1044="L0 Inexistente",AA1044="L1 Inicial / Ad Hoc",Y1044="No Iniciado")),"CRÍTICO - Incumplimiento Normativo SEPS",IF(AND(OR(AA1044="L4 Gestionado y Medible",AA1044="L5 Optimizado"),AND(AC1044&lt;&gt;"",AC1044&lt;&gt;"N/A")),"CONFORME - Control Efectivo ISO 27001","OBSERVACIÓN - Revisar Controles")))</f>
        <v/>
      </c>
    </row>
    <row r="1045">
      <c r="A1045" s="99"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c r="AD1045">
        <f>IF(OR(T1045="",Y1045="",AA1045=""),"",IF(AND(T1045="ALTA",OR(AA1045="L0 Inexistente",AA1045="L1 Inicial / Ad Hoc",Y1045="No Iniciado")),"CRÍTICO - Incumplimiento Normativo SEPS",IF(AND(OR(AA1045="L4 Gestionado y Medible",AA1045="L5 Optimizado"),AND(AC1045&lt;&gt;"",AC1045&lt;&gt;"N/A")),"CONFORME - Control Efectivo ISO 27001","OBSERVACIÓN - Revisar Controles")))</f>
        <v/>
      </c>
    </row>
    <row r="1046">
      <c r="A1046" s="99"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c r="AD1046">
        <f>IF(OR(T1046="",Y1046="",AA1046=""),"",IF(AND(T1046="ALTA",OR(AA1046="L0 Inexistente",AA1046="L1 Inicial / Ad Hoc",Y1046="No Iniciado")),"CRÍTICO - Incumplimiento Normativo SEPS",IF(AND(OR(AA1046="L4 Gestionado y Medible",AA1046="L5 Optimizado"),AND(AC1046&lt;&gt;"",AC1046&lt;&gt;"N/A")),"CONFORME - Control Efectivo ISO 27001","OBSERVACIÓN - Revisar Controles")))</f>
        <v/>
      </c>
    </row>
    <row r="1047">
      <c r="A1047" s="99"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c r="AD1047">
        <f>IF(OR(T1047="",Y1047="",AA1047=""),"",IF(AND(T1047="ALTA",OR(AA1047="L0 Inexistente",AA1047="L1 Inicial / Ad Hoc",Y1047="No Iniciado")),"CRÍTICO - Incumplimiento Normativo SEPS",IF(AND(OR(AA1047="L4 Gestionado y Medible",AA1047="L5 Optimizado"),AND(AC1047&lt;&gt;"",AC1047&lt;&gt;"N/A")),"CONFORME - Control Efectivo ISO 27001","OBSERVACIÓN - Revisar Controles")))</f>
        <v/>
      </c>
    </row>
    <row r="1048">
      <c r="A1048" s="99"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c r="AD1048">
        <f>IF(OR(T1048="",Y1048="",AA1048=""),"",IF(AND(T1048="ALTA",OR(AA1048="L0 Inexistente",AA1048="L1 Inicial / Ad Hoc",Y1048="No Iniciado")),"CRÍTICO - Incumplimiento Normativo SEPS",IF(AND(OR(AA1048="L4 Gestionado y Medible",AA1048="L5 Optimizado"),AND(AC1048&lt;&gt;"",AC1048&lt;&gt;"N/A")),"CONFORME - Control Efectivo ISO 27001","OBSERVACIÓN - Revisar Controles")))</f>
        <v/>
      </c>
    </row>
    <row r="1049">
      <c r="A1049" s="99"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c r="AD1049">
        <f>IF(OR(T1049="",Y1049="",AA1049=""),"",IF(AND(T1049="ALTA",OR(AA1049="L0 Inexistente",AA1049="L1 Inicial / Ad Hoc",Y1049="No Iniciado")),"CRÍTICO - Incumplimiento Normativo SEPS",IF(AND(OR(AA1049="L4 Gestionado y Medible",AA1049="L5 Optimizado"),AND(AC1049&lt;&gt;"",AC1049&lt;&gt;"N/A")),"CONFORME - Control Efectivo ISO 27001","OBSERVACIÓN - Revisar Controles")))</f>
        <v/>
      </c>
    </row>
    <row r="1050">
      <c r="A1050" s="99"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c r="AD1050">
        <f>IF(OR(T1050="",Y1050="",AA1050=""),"",IF(AND(T1050="ALTA",OR(AA1050="L0 Inexistente",AA1050="L1 Inicial / Ad Hoc",Y1050="No Iniciado")),"CRÍTICO - Incumplimiento Normativo SEPS",IF(AND(OR(AA1050="L4 Gestionado y Medible",AA1050="L5 Optimizado"),AND(AC1050&lt;&gt;"",AC1050&lt;&gt;"N/A")),"CONFORME - Control Efectivo ISO 27001","OBSERVACIÓN - Revisar Controles")))</f>
        <v/>
      </c>
    </row>
    <row r="1051">
      <c r="A1051" s="99"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c r="AD1051">
        <f>IF(OR(T1051="",Y1051="",AA1051=""),"",IF(AND(T1051="ALTA",OR(AA1051="L0 Inexistente",AA1051="L1 Inicial / Ad Hoc",Y1051="No Iniciado")),"CRÍTICO - Incumplimiento Normativo SEPS",IF(AND(OR(AA1051="L4 Gestionado y Medible",AA1051="L5 Optimizado"),AND(AC1051&lt;&gt;"",AC1051&lt;&gt;"N/A")),"CONFORME - Control Efectivo ISO 27001","OBSERVACIÓN - Revisar Controles")))</f>
        <v/>
      </c>
    </row>
    <row r="1052">
      <c r="A1052" s="99"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c r="AD1052">
        <f>IF(OR(T1052="",Y1052="",AA1052=""),"",IF(AND(T1052="ALTA",OR(AA1052="L0 Inexistente",AA1052="L1 Inicial / Ad Hoc",Y1052="No Iniciado")),"CRÍTICO - Incumplimiento Normativo SEPS",IF(AND(OR(AA1052="L4 Gestionado y Medible",AA1052="L5 Optimizado"),AND(AC1052&lt;&gt;"",AC1052&lt;&gt;"N/A")),"CONFORME - Control Efectivo ISO 27001","OBSERVACIÓN - Revisar Controles")))</f>
        <v/>
      </c>
    </row>
    <row r="1053">
      <c r="A1053" s="99"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c r="AD1053">
        <f>IF(OR(T1053="",Y1053="",AA1053=""),"",IF(AND(T1053="ALTA",OR(AA1053="L0 Inexistente",AA1053="L1 Inicial / Ad Hoc",Y1053="No Iniciado")),"CRÍTICO - Incumplimiento Normativo SEPS",IF(AND(OR(AA1053="L4 Gestionado y Medible",AA1053="L5 Optimizado"),AND(AC1053&lt;&gt;"",AC1053&lt;&gt;"N/A")),"CONFORME - Control Efectivo ISO 27001","OBSERVACIÓN - Revisar Controles")))</f>
        <v/>
      </c>
    </row>
    <row r="1054">
      <c r="A1054" s="99"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c r="AD1054">
        <f>IF(OR(T1054="",Y1054="",AA1054=""),"",IF(AND(T1054="ALTA",OR(AA1054="L0 Inexistente",AA1054="L1 Inicial / Ad Hoc",Y1054="No Iniciado")),"CRÍTICO - Incumplimiento Normativo SEPS",IF(AND(OR(AA1054="L4 Gestionado y Medible",AA1054="L5 Optimizado"),AND(AC1054&lt;&gt;"",AC1054&lt;&gt;"N/A")),"CONFORME - Control Efectivo ISO 27001","OBSERVACIÓN - Revisar Controles")))</f>
        <v/>
      </c>
    </row>
    <row r="1055">
      <c r="A1055" s="99"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c r="AD1055">
        <f>IF(OR(T1055="",Y1055="",AA1055=""),"",IF(AND(T1055="ALTA",OR(AA1055="L0 Inexistente",AA1055="L1 Inicial / Ad Hoc",Y1055="No Iniciado")),"CRÍTICO - Incumplimiento Normativo SEPS",IF(AND(OR(AA1055="L4 Gestionado y Medible",AA1055="L5 Optimizado"),AND(AC1055&lt;&gt;"",AC1055&lt;&gt;"N/A")),"CONFORME - Control Efectivo ISO 27001","OBSERVACIÓN - Revisar Controles")))</f>
        <v/>
      </c>
    </row>
    <row r="1056">
      <c r="A1056" s="99"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c r="AD1056">
        <f>IF(OR(T1056="",Y1056="",AA1056=""),"",IF(AND(T1056="ALTA",OR(AA1056="L0 Inexistente",AA1056="L1 Inicial / Ad Hoc",Y1056="No Iniciado")),"CRÍTICO - Incumplimiento Normativo SEPS",IF(AND(OR(AA1056="L4 Gestionado y Medible",AA1056="L5 Optimizado"),AND(AC1056&lt;&gt;"",AC1056&lt;&gt;"N/A")),"CONFORME - Control Efectivo ISO 27001","OBSERVACIÓN - Revisar Controles")))</f>
        <v/>
      </c>
    </row>
    <row r="1057">
      <c r="A1057" s="99"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c r="AD1057">
        <f>IF(OR(T1057="",Y1057="",AA1057=""),"",IF(AND(T1057="ALTA",OR(AA1057="L0 Inexistente",AA1057="L1 Inicial / Ad Hoc",Y1057="No Iniciado")),"CRÍTICO - Incumplimiento Normativo SEPS",IF(AND(OR(AA1057="L4 Gestionado y Medible",AA1057="L5 Optimizado"),AND(AC1057&lt;&gt;"",AC1057&lt;&gt;"N/A")),"CONFORME - Control Efectivo ISO 27001","OBSERVACIÓN - Revisar Controles")))</f>
        <v/>
      </c>
    </row>
    <row r="1058">
      <c r="A1058" s="99"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c r="AD1058">
        <f>IF(OR(T1058="",Y1058="",AA1058=""),"",IF(AND(T1058="ALTA",OR(AA1058="L0 Inexistente",AA1058="L1 Inicial / Ad Hoc",Y1058="No Iniciado")),"CRÍTICO - Incumplimiento Normativo SEPS",IF(AND(OR(AA1058="L4 Gestionado y Medible",AA1058="L5 Optimizado"),AND(AC1058&lt;&gt;"",AC1058&lt;&gt;"N/A")),"CONFORME - Control Efectivo ISO 27001","OBSERVACIÓN - Revisar Controles")))</f>
        <v/>
      </c>
    </row>
    <row r="1059">
      <c r="A1059" s="99"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c r="AD1059">
        <f>IF(OR(T1059="",Y1059="",AA1059=""),"",IF(AND(T1059="ALTA",OR(AA1059="L0 Inexistente",AA1059="L1 Inicial / Ad Hoc",Y1059="No Iniciado")),"CRÍTICO - Incumplimiento Normativo SEPS",IF(AND(OR(AA1059="L4 Gestionado y Medible",AA1059="L5 Optimizado"),AND(AC1059&lt;&gt;"",AC1059&lt;&gt;"N/A")),"CONFORME - Control Efectivo ISO 27001","OBSERVACIÓN - Revisar Controles")))</f>
        <v/>
      </c>
    </row>
    <row r="1060">
      <c r="A1060" s="99"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c r="AD1060">
        <f>IF(OR(T1060="",Y1060="",AA1060=""),"",IF(AND(T1060="ALTA",OR(AA1060="L0 Inexistente",AA1060="L1 Inicial / Ad Hoc",Y1060="No Iniciado")),"CRÍTICO - Incumplimiento Normativo SEPS",IF(AND(OR(AA1060="L4 Gestionado y Medible",AA1060="L5 Optimizado"),AND(AC1060&lt;&gt;"",AC1060&lt;&gt;"N/A")),"CONFORME - Control Efectivo ISO 27001","OBSERVACIÓN - Revisar Controles")))</f>
        <v/>
      </c>
    </row>
    <row r="1061">
      <c r="A1061" s="99"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c r="AD1061">
        <f>IF(OR(T1061="",Y1061="",AA1061=""),"",IF(AND(T1061="ALTA",OR(AA1061="L0 Inexistente",AA1061="L1 Inicial / Ad Hoc",Y1061="No Iniciado")),"CRÍTICO - Incumplimiento Normativo SEPS",IF(AND(OR(AA1061="L4 Gestionado y Medible",AA1061="L5 Optimizado"),AND(AC1061&lt;&gt;"",AC1061&lt;&gt;"N/A")),"CONFORME - Control Efectivo ISO 27001","OBSERVACIÓN - Revisar Controles")))</f>
        <v/>
      </c>
    </row>
    <row r="1062">
      <c r="A1062" s="99"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c r="AD1062">
        <f>IF(OR(T1062="",Y1062="",AA1062=""),"",IF(AND(T1062="ALTA",OR(AA1062="L0 Inexistente",AA1062="L1 Inicial / Ad Hoc",Y1062="No Iniciado")),"CRÍTICO - Incumplimiento Normativo SEPS",IF(AND(OR(AA1062="L4 Gestionado y Medible",AA1062="L5 Optimizado"),AND(AC1062&lt;&gt;"",AC1062&lt;&gt;"N/A")),"CONFORME - Control Efectivo ISO 27001","OBSERVACIÓN - Revisar Controles")))</f>
        <v/>
      </c>
    </row>
    <row r="1063">
      <c r="A1063" s="99"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c r="AD1063">
        <f>IF(OR(T1063="",Y1063="",AA1063=""),"",IF(AND(T1063="ALTA",OR(AA1063="L0 Inexistente",AA1063="L1 Inicial / Ad Hoc",Y1063="No Iniciado")),"CRÍTICO - Incumplimiento Normativo SEPS",IF(AND(OR(AA1063="L4 Gestionado y Medible",AA1063="L5 Optimizado"),AND(AC1063&lt;&gt;"",AC1063&lt;&gt;"N/A")),"CONFORME - Control Efectivo ISO 27001","OBSERVACIÓN - Revisar Controles")))</f>
        <v/>
      </c>
    </row>
    <row r="1064">
      <c r="A1064" s="99"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c r="AD1064">
        <f>IF(OR(T1064="",Y1064="",AA1064=""),"",IF(AND(T1064="ALTA",OR(AA1064="L0 Inexistente",AA1064="L1 Inicial / Ad Hoc",Y1064="No Iniciado")),"CRÍTICO - Incumplimiento Normativo SEPS",IF(AND(OR(AA1064="L4 Gestionado y Medible",AA1064="L5 Optimizado"),AND(AC1064&lt;&gt;"",AC1064&lt;&gt;"N/A")),"CONFORME - Control Efectivo ISO 27001","OBSERVACIÓN - Revisar Controles")))</f>
        <v/>
      </c>
    </row>
    <row r="1065">
      <c r="A1065" s="99"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c r="AD1065">
        <f>IF(OR(T1065="",Y1065="",AA1065=""),"",IF(AND(T1065="ALTA",OR(AA1065="L0 Inexistente",AA1065="L1 Inicial / Ad Hoc",Y1065="No Iniciado")),"CRÍTICO - Incumplimiento Normativo SEPS",IF(AND(OR(AA1065="L4 Gestionado y Medible",AA1065="L5 Optimizado"),AND(AC1065&lt;&gt;"",AC1065&lt;&gt;"N/A")),"CONFORME - Control Efectivo ISO 27001","OBSERVACIÓN - Revisar Controles")))</f>
        <v/>
      </c>
    </row>
    <row r="1066">
      <c r="A1066" s="99"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c r="AD1066">
        <f>IF(OR(T1066="",Y1066="",AA1066=""),"",IF(AND(T1066="ALTA",OR(AA1066="L0 Inexistente",AA1066="L1 Inicial / Ad Hoc",Y1066="No Iniciado")),"CRÍTICO - Incumplimiento Normativo SEPS",IF(AND(OR(AA1066="L4 Gestionado y Medible",AA1066="L5 Optimizado"),AND(AC1066&lt;&gt;"",AC1066&lt;&gt;"N/A")),"CONFORME - Control Efectivo ISO 27001","OBSERVACIÓN - Revisar Controles")))</f>
        <v/>
      </c>
    </row>
    <row r="1067">
      <c r="A1067" s="99"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c r="AD1067">
        <f>IF(OR(T1067="",Y1067="",AA1067=""),"",IF(AND(T1067="ALTA",OR(AA1067="L0 Inexistente",AA1067="L1 Inicial / Ad Hoc",Y1067="No Iniciado")),"CRÍTICO - Incumplimiento Normativo SEPS",IF(AND(OR(AA1067="L4 Gestionado y Medible",AA1067="L5 Optimizado"),AND(AC1067&lt;&gt;"",AC1067&lt;&gt;"N/A")),"CONFORME - Control Efectivo ISO 27001","OBSERVACIÓN - Revisar Controles")))</f>
        <v/>
      </c>
    </row>
    <row r="1068">
      <c r="A1068" s="99"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c r="AD1068">
        <f>IF(OR(T1068="",Y1068="",AA1068=""),"",IF(AND(T1068="ALTA",OR(AA1068="L0 Inexistente",AA1068="L1 Inicial / Ad Hoc",Y1068="No Iniciado")),"CRÍTICO - Incumplimiento Normativo SEPS",IF(AND(OR(AA1068="L4 Gestionado y Medible",AA1068="L5 Optimizado"),AND(AC1068&lt;&gt;"",AC1068&lt;&gt;"N/A")),"CONFORME - Control Efectivo ISO 27001","OBSERVACIÓN - Revisar Controles")))</f>
        <v/>
      </c>
    </row>
    <row r="1069">
      <c r="A1069" s="99"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c r="AD1069">
        <f>IF(OR(T1069="",Y1069="",AA1069=""),"",IF(AND(T1069="ALTA",OR(AA1069="L0 Inexistente",AA1069="L1 Inicial / Ad Hoc",Y1069="No Iniciado")),"CRÍTICO - Incumplimiento Normativo SEPS",IF(AND(OR(AA1069="L4 Gestionado y Medible",AA1069="L5 Optimizado"),AND(AC1069&lt;&gt;"",AC1069&lt;&gt;"N/A")),"CONFORME - Control Efectivo ISO 27001","OBSERVACIÓN - Revisar Controles")))</f>
        <v/>
      </c>
    </row>
    <row r="1070">
      <c r="A1070" s="99"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c r="AD1070">
        <f>IF(OR(T1070="",Y1070="",AA1070=""),"",IF(AND(T1070="ALTA",OR(AA1070="L0 Inexistente",AA1070="L1 Inicial / Ad Hoc",Y1070="No Iniciado")),"CRÍTICO - Incumplimiento Normativo SEPS",IF(AND(OR(AA1070="L4 Gestionado y Medible",AA1070="L5 Optimizado"),AND(AC1070&lt;&gt;"",AC1070&lt;&gt;"N/A")),"CONFORME - Control Efectivo ISO 27001","OBSERVACIÓN - Revisar Controles")))</f>
        <v/>
      </c>
    </row>
    <row r="1071">
      <c r="A1071" s="99"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c r="AD1071">
        <f>IF(OR(T1071="",Y1071="",AA1071=""),"",IF(AND(T1071="ALTA",OR(AA1071="L0 Inexistente",AA1071="L1 Inicial / Ad Hoc",Y1071="No Iniciado")),"CRÍTICO - Incumplimiento Normativo SEPS",IF(AND(OR(AA1071="L4 Gestionado y Medible",AA1071="L5 Optimizado"),AND(AC1071&lt;&gt;"",AC1071&lt;&gt;"N/A")),"CONFORME - Control Efectivo ISO 27001","OBSERVACIÓN - Revisar Controles")))</f>
        <v/>
      </c>
    </row>
    <row r="1072">
      <c r="A1072" s="99"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c r="AD1072">
        <f>IF(OR(T1072="",Y1072="",AA1072=""),"",IF(AND(T1072="ALTA",OR(AA1072="L0 Inexistente",AA1072="L1 Inicial / Ad Hoc",Y1072="No Iniciado")),"CRÍTICO - Incumplimiento Normativo SEPS",IF(AND(OR(AA1072="L4 Gestionado y Medible",AA1072="L5 Optimizado"),AND(AC1072&lt;&gt;"",AC1072&lt;&gt;"N/A")),"CONFORME - Control Efectivo ISO 27001","OBSERVACIÓN - Revisar Controles")))</f>
        <v/>
      </c>
    </row>
    <row r="1073">
      <c r="A1073" s="99"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c r="AD1073">
        <f>IF(OR(T1073="",Y1073="",AA1073=""),"",IF(AND(T1073="ALTA",OR(AA1073="L0 Inexistente",AA1073="L1 Inicial / Ad Hoc",Y1073="No Iniciado")),"CRÍTICO - Incumplimiento Normativo SEPS",IF(AND(OR(AA1073="L4 Gestionado y Medible",AA1073="L5 Optimizado"),AND(AC1073&lt;&gt;"",AC1073&lt;&gt;"N/A")),"CONFORME - Control Efectivo ISO 27001","OBSERVACIÓN - Revisar Controles")))</f>
        <v/>
      </c>
    </row>
    <row r="1074">
      <c r="A1074" s="99"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c r="AD1074">
        <f>IF(OR(T1074="",Y1074="",AA1074=""),"",IF(AND(T1074="ALTA",OR(AA1074="L0 Inexistente",AA1074="L1 Inicial / Ad Hoc",Y1074="No Iniciado")),"CRÍTICO - Incumplimiento Normativo SEPS",IF(AND(OR(AA1074="L4 Gestionado y Medible",AA1074="L5 Optimizado"),AND(AC1074&lt;&gt;"",AC1074&lt;&gt;"N/A")),"CONFORME - Control Efectivo ISO 27001","OBSERVACIÓN - Revisar Controles")))</f>
        <v/>
      </c>
    </row>
    <row r="1075">
      <c r="A1075" s="99"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c r="AD1075">
        <f>IF(OR(T1075="",Y1075="",AA1075=""),"",IF(AND(T1075="ALTA",OR(AA1075="L0 Inexistente",AA1075="L1 Inicial / Ad Hoc",Y1075="No Iniciado")),"CRÍTICO - Incumplimiento Normativo SEPS",IF(AND(OR(AA1075="L4 Gestionado y Medible",AA1075="L5 Optimizado"),AND(AC1075&lt;&gt;"",AC1075&lt;&gt;"N/A")),"CONFORME - Control Efectivo ISO 27001","OBSERVACIÓN - Revisar Controles")))</f>
        <v/>
      </c>
    </row>
    <row r="1076">
      <c r="A1076" s="99"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c r="AD1076">
        <f>IF(OR(T1076="",Y1076="",AA1076=""),"",IF(AND(T1076="ALTA",OR(AA1076="L0 Inexistente",AA1076="L1 Inicial / Ad Hoc",Y1076="No Iniciado")),"CRÍTICO - Incumplimiento Normativo SEPS",IF(AND(OR(AA1076="L4 Gestionado y Medible",AA1076="L5 Optimizado"),AND(AC1076&lt;&gt;"",AC1076&lt;&gt;"N/A")),"CONFORME - Control Efectivo ISO 27001","OBSERVACIÓN - Revisar Controles")))</f>
        <v/>
      </c>
    </row>
    <row r="1077">
      <c r="A1077" s="99"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c r="AD1077">
        <f>IF(OR(T1077="",Y1077="",AA1077=""),"",IF(AND(T1077="ALTA",OR(AA1077="L0 Inexistente",AA1077="L1 Inicial / Ad Hoc",Y1077="No Iniciado")),"CRÍTICO - Incumplimiento Normativo SEPS",IF(AND(OR(AA1077="L4 Gestionado y Medible",AA1077="L5 Optimizado"),AND(AC1077&lt;&gt;"",AC1077&lt;&gt;"N/A")),"CONFORME - Control Efectivo ISO 27001","OBSERVACIÓN - Revisar Controles")))</f>
        <v/>
      </c>
    </row>
    <row r="1078">
      <c r="A1078" s="99"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c r="AD1078">
        <f>IF(OR(T1078="",Y1078="",AA1078=""),"",IF(AND(T1078="ALTA",OR(AA1078="L0 Inexistente",AA1078="L1 Inicial / Ad Hoc",Y1078="No Iniciado")),"CRÍTICO - Incumplimiento Normativo SEPS",IF(AND(OR(AA1078="L4 Gestionado y Medible",AA1078="L5 Optimizado"),AND(AC1078&lt;&gt;"",AC1078&lt;&gt;"N/A")),"CONFORME - Control Efectivo ISO 27001","OBSERVACIÓN - Revisar Controles")))</f>
        <v/>
      </c>
    </row>
    <row r="1079">
      <c r="A1079" s="99"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c r="AD1079">
        <f>IF(OR(T1079="",Y1079="",AA1079=""),"",IF(AND(T1079="ALTA",OR(AA1079="L0 Inexistente",AA1079="L1 Inicial / Ad Hoc",Y1079="No Iniciado")),"CRÍTICO - Incumplimiento Normativo SEPS",IF(AND(OR(AA1079="L4 Gestionado y Medible",AA1079="L5 Optimizado"),AND(AC1079&lt;&gt;"",AC1079&lt;&gt;"N/A")),"CONFORME - Control Efectivo ISO 27001","OBSERVACIÓN - Revisar Controles")))</f>
        <v/>
      </c>
    </row>
    <row r="1080">
      <c r="A1080" s="99"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c r="AD1080">
        <f>IF(OR(T1080="",Y1080="",AA1080=""),"",IF(AND(T1080="ALTA",OR(AA1080="L0 Inexistente",AA1080="L1 Inicial / Ad Hoc",Y1080="No Iniciado")),"CRÍTICO - Incumplimiento Normativo SEPS",IF(AND(OR(AA1080="L4 Gestionado y Medible",AA1080="L5 Optimizado"),AND(AC1080&lt;&gt;"",AC1080&lt;&gt;"N/A")),"CONFORME - Control Efectivo ISO 27001","OBSERVACIÓN - Revisar Controles")))</f>
        <v/>
      </c>
    </row>
    <row r="1081">
      <c r="A1081" s="99"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c r="AD1081">
        <f>IF(OR(T1081="",Y1081="",AA1081=""),"",IF(AND(T1081="ALTA",OR(AA1081="L0 Inexistente",AA1081="L1 Inicial / Ad Hoc",Y1081="No Iniciado")),"CRÍTICO - Incumplimiento Normativo SEPS",IF(AND(OR(AA1081="L4 Gestionado y Medible",AA1081="L5 Optimizado"),AND(AC1081&lt;&gt;"",AC1081&lt;&gt;"N/A")),"CONFORME - Control Efectivo ISO 27001","OBSERVACIÓN - Revisar Controles")))</f>
        <v/>
      </c>
    </row>
    <row r="1082">
      <c r="A1082" s="99"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c r="AD1082">
        <f>IF(OR(T1082="",Y1082="",AA1082=""),"",IF(AND(T1082="ALTA",OR(AA1082="L0 Inexistente",AA1082="L1 Inicial / Ad Hoc",Y1082="No Iniciado")),"CRÍTICO - Incumplimiento Normativo SEPS",IF(AND(OR(AA1082="L4 Gestionado y Medible",AA1082="L5 Optimizado"),AND(AC1082&lt;&gt;"",AC1082&lt;&gt;"N/A")),"CONFORME - Control Efectivo ISO 27001","OBSERVACIÓN - Revisar Controles")))</f>
        <v/>
      </c>
    </row>
    <row r="1083">
      <c r="A1083" s="99"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c r="AD1083">
        <f>IF(OR(T1083="",Y1083="",AA1083=""),"",IF(AND(T1083="ALTA",OR(AA1083="L0 Inexistente",AA1083="L1 Inicial / Ad Hoc",Y1083="No Iniciado")),"CRÍTICO - Incumplimiento Normativo SEPS",IF(AND(OR(AA1083="L4 Gestionado y Medible",AA1083="L5 Optimizado"),AND(AC1083&lt;&gt;"",AC1083&lt;&gt;"N/A")),"CONFORME - Control Efectivo ISO 27001","OBSERVACIÓN - Revisar Controles")))</f>
        <v/>
      </c>
    </row>
    <row r="1084">
      <c r="A1084" s="99"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c r="AD1084">
        <f>IF(OR(T1084="",Y1084="",AA1084=""),"",IF(AND(T1084="ALTA",OR(AA1084="L0 Inexistente",AA1084="L1 Inicial / Ad Hoc",Y1084="No Iniciado")),"CRÍTICO - Incumplimiento Normativo SEPS",IF(AND(OR(AA1084="L4 Gestionado y Medible",AA1084="L5 Optimizado"),AND(AC1084&lt;&gt;"",AC1084&lt;&gt;"N/A")),"CONFORME - Control Efectivo ISO 27001","OBSERVACIÓN - Revisar Controles")))</f>
        <v/>
      </c>
    </row>
    <row r="1085">
      <c r="A1085" s="99"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c r="AD1085">
        <f>IF(OR(T1085="",Y1085="",AA1085=""),"",IF(AND(T1085="ALTA",OR(AA1085="L0 Inexistente",AA1085="L1 Inicial / Ad Hoc",Y1085="No Iniciado")),"CRÍTICO - Incumplimiento Normativo SEPS",IF(AND(OR(AA1085="L4 Gestionado y Medible",AA1085="L5 Optimizado"),AND(AC1085&lt;&gt;"",AC1085&lt;&gt;"N/A")),"CONFORME - Control Efectivo ISO 27001","OBSERVACIÓN - Revisar Controles")))</f>
        <v/>
      </c>
    </row>
    <row r="1086">
      <c r="A1086" s="99"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c r="AD1086">
        <f>IF(OR(T1086="",Y1086="",AA1086=""),"",IF(AND(T1086="ALTA",OR(AA1086="L0 Inexistente",AA1086="L1 Inicial / Ad Hoc",Y1086="No Iniciado")),"CRÍTICO - Incumplimiento Normativo SEPS",IF(AND(OR(AA1086="L4 Gestionado y Medible",AA1086="L5 Optimizado"),AND(AC1086&lt;&gt;"",AC1086&lt;&gt;"N/A")),"CONFORME - Control Efectivo ISO 27001","OBSERVACIÓN - Revisar Controles")))</f>
        <v/>
      </c>
    </row>
    <row r="1087">
      <c r="A1087" s="99"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c r="AD1087">
        <f>IF(OR(T1087="",Y1087="",AA1087=""),"",IF(AND(T1087="ALTA",OR(AA1087="L0 Inexistente",AA1087="L1 Inicial / Ad Hoc",Y1087="No Iniciado")),"CRÍTICO - Incumplimiento Normativo SEPS",IF(AND(OR(AA1087="L4 Gestionado y Medible",AA1087="L5 Optimizado"),AND(AC1087&lt;&gt;"",AC1087&lt;&gt;"N/A")),"CONFORME - Control Efectivo ISO 27001","OBSERVACIÓN - Revisar Controles")))</f>
        <v/>
      </c>
    </row>
    <row r="1088">
      <c r="A1088" s="99"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c r="AD1088">
        <f>IF(OR(T1088="",Y1088="",AA1088=""),"",IF(AND(T1088="ALTA",OR(AA1088="L0 Inexistente",AA1088="L1 Inicial / Ad Hoc",Y1088="No Iniciado")),"CRÍTICO - Incumplimiento Normativo SEPS",IF(AND(OR(AA1088="L4 Gestionado y Medible",AA1088="L5 Optimizado"),AND(AC1088&lt;&gt;"",AC1088&lt;&gt;"N/A")),"CONFORME - Control Efectivo ISO 27001","OBSERVACIÓN - Revisar Controles")))</f>
        <v/>
      </c>
    </row>
    <row r="1089">
      <c r="A1089" s="99"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c r="AD1089">
        <f>IF(OR(T1089="",Y1089="",AA1089=""),"",IF(AND(T1089="ALTA",OR(AA1089="L0 Inexistente",AA1089="L1 Inicial / Ad Hoc",Y1089="No Iniciado")),"CRÍTICO - Incumplimiento Normativo SEPS",IF(AND(OR(AA1089="L4 Gestionado y Medible",AA1089="L5 Optimizado"),AND(AC1089&lt;&gt;"",AC1089&lt;&gt;"N/A")),"CONFORME - Control Efectivo ISO 27001","OBSERVACIÓN - Revisar Controles")))</f>
        <v/>
      </c>
    </row>
    <row r="1090">
      <c r="A1090" s="99"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c r="AD1090">
        <f>IF(OR(T1090="",Y1090="",AA1090=""),"",IF(AND(T1090="ALTA",OR(AA1090="L0 Inexistente",AA1090="L1 Inicial / Ad Hoc",Y1090="No Iniciado")),"CRÍTICO - Incumplimiento Normativo SEPS",IF(AND(OR(AA1090="L4 Gestionado y Medible",AA1090="L5 Optimizado"),AND(AC1090&lt;&gt;"",AC1090&lt;&gt;"N/A")),"CONFORME - Control Efectivo ISO 27001","OBSERVACIÓN - Revisar Controles")))</f>
        <v/>
      </c>
    </row>
    <row r="1091">
      <c r="A1091" s="99"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c r="AD1091">
        <f>IF(OR(T1091="",Y1091="",AA1091=""),"",IF(AND(T1091="ALTA",OR(AA1091="L0 Inexistente",AA1091="L1 Inicial / Ad Hoc",Y1091="No Iniciado")),"CRÍTICO - Incumplimiento Normativo SEPS",IF(AND(OR(AA1091="L4 Gestionado y Medible",AA1091="L5 Optimizado"),AND(AC1091&lt;&gt;"",AC1091&lt;&gt;"N/A")),"CONFORME - Control Efectivo ISO 27001","OBSERVACIÓN - Revisar Controles")))</f>
        <v/>
      </c>
    </row>
    <row r="1092">
      <c r="A1092" s="99"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c r="AD1092">
        <f>IF(OR(T1092="",Y1092="",AA1092=""),"",IF(AND(T1092="ALTA",OR(AA1092="L0 Inexistente",AA1092="L1 Inicial / Ad Hoc",Y1092="No Iniciado")),"CRÍTICO - Incumplimiento Normativo SEPS",IF(AND(OR(AA1092="L4 Gestionado y Medible",AA1092="L5 Optimizado"),AND(AC1092&lt;&gt;"",AC1092&lt;&gt;"N/A")),"CONFORME - Control Efectivo ISO 27001","OBSERVACIÓN - Revisar Controles")))</f>
        <v/>
      </c>
    </row>
    <row r="1093">
      <c r="A1093" s="99"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c r="AD1093">
        <f>IF(OR(T1093="",Y1093="",AA1093=""),"",IF(AND(T1093="ALTA",OR(AA1093="L0 Inexistente",AA1093="L1 Inicial / Ad Hoc",Y1093="No Iniciado")),"CRÍTICO - Incumplimiento Normativo SEPS",IF(AND(OR(AA1093="L4 Gestionado y Medible",AA1093="L5 Optimizado"),AND(AC1093&lt;&gt;"",AC1093&lt;&gt;"N/A")),"CONFORME - Control Efectivo ISO 27001","OBSERVACIÓN - Revisar Controles")))</f>
        <v/>
      </c>
    </row>
    <row r="1094">
      <c r="A1094" s="99"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c r="AD1094">
        <f>IF(OR(T1094="",Y1094="",AA1094=""),"",IF(AND(T1094="ALTA",OR(AA1094="L0 Inexistente",AA1094="L1 Inicial / Ad Hoc",Y1094="No Iniciado")),"CRÍTICO - Incumplimiento Normativo SEPS",IF(AND(OR(AA1094="L4 Gestionado y Medible",AA1094="L5 Optimizado"),AND(AC1094&lt;&gt;"",AC1094&lt;&gt;"N/A")),"CONFORME - Control Efectivo ISO 27001","OBSERVACIÓN - Revisar Controles")))</f>
        <v/>
      </c>
    </row>
    <row r="1095">
      <c r="A1095" s="99"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c r="AD1095">
        <f>IF(OR(T1095="",Y1095="",AA1095=""),"",IF(AND(T1095="ALTA",OR(AA1095="L0 Inexistente",AA1095="L1 Inicial / Ad Hoc",Y1095="No Iniciado")),"CRÍTICO - Incumplimiento Normativo SEPS",IF(AND(OR(AA1095="L4 Gestionado y Medible",AA1095="L5 Optimizado"),AND(AC1095&lt;&gt;"",AC1095&lt;&gt;"N/A")),"CONFORME - Control Efectivo ISO 27001","OBSERVACIÓN - Revisar Controles")))</f>
        <v/>
      </c>
    </row>
    <row r="1096">
      <c r="A1096" s="99"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c r="AD1096">
        <f>IF(OR(T1096="",Y1096="",AA1096=""),"",IF(AND(T1096="ALTA",OR(AA1096="L0 Inexistente",AA1096="L1 Inicial / Ad Hoc",Y1096="No Iniciado")),"CRÍTICO - Incumplimiento Normativo SEPS",IF(AND(OR(AA1096="L4 Gestionado y Medible",AA1096="L5 Optimizado"),AND(AC1096&lt;&gt;"",AC1096&lt;&gt;"N/A")),"CONFORME - Control Efectivo ISO 27001","OBSERVACIÓN - Revisar Controles")))</f>
        <v/>
      </c>
    </row>
    <row r="1097">
      <c r="A1097" s="99"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c r="AD1097">
        <f>IF(OR(T1097="",Y1097="",AA1097=""),"",IF(AND(T1097="ALTA",OR(AA1097="L0 Inexistente",AA1097="L1 Inicial / Ad Hoc",Y1097="No Iniciado")),"CRÍTICO - Incumplimiento Normativo SEPS",IF(AND(OR(AA1097="L4 Gestionado y Medible",AA1097="L5 Optimizado"),AND(AC1097&lt;&gt;"",AC1097&lt;&gt;"N/A")),"CONFORME - Control Efectivo ISO 27001","OBSERVACIÓN - Revisar Controles")))</f>
        <v/>
      </c>
    </row>
    <row r="1098">
      <c r="A1098" s="99"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c r="AD1098">
        <f>IF(OR(T1098="",Y1098="",AA1098=""),"",IF(AND(T1098="ALTA",OR(AA1098="L0 Inexistente",AA1098="L1 Inicial / Ad Hoc",Y1098="No Iniciado")),"CRÍTICO - Incumplimiento Normativo SEPS",IF(AND(OR(AA1098="L4 Gestionado y Medible",AA1098="L5 Optimizado"),AND(AC1098&lt;&gt;"",AC1098&lt;&gt;"N/A")),"CONFORME - Control Efectivo ISO 27001","OBSERVACIÓN - Revisar Controles")))</f>
        <v/>
      </c>
    </row>
    <row r="1099">
      <c r="A1099" s="99"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c r="AD1099">
        <f>IF(OR(T1099="",Y1099="",AA1099=""),"",IF(AND(T1099="ALTA",OR(AA1099="L0 Inexistente",AA1099="L1 Inicial / Ad Hoc",Y1099="No Iniciado")),"CRÍTICO - Incumplimiento Normativo SEPS",IF(AND(OR(AA1099="L4 Gestionado y Medible",AA1099="L5 Optimizado"),AND(AC1099&lt;&gt;"",AC1099&lt;&gt;"N/A")),"CONFORME - Control Efectivo ISO 27001","OBSERVACIÓN - Revisar Controles")))</f>
        <v/>
      </c>
    </row>
    <row r="1100">
      <c r="A1100" s="99"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c r="AD1100">
        <f>IF(OR(T1100="",Y1100="",AA1100=""),"",IF(AND(T1100="ALTA",OR(AA1100="L0 Inexistente",AA1100="L1 Inicial / Ad Hoc",Y1100="No Iniciado")),"CRÍTICO - Incumplimiento Normativo SEPS",IF(AND(OR(AA1100="L4 Gestionado y Medible",AA1100="L5 Optimizado"),AND(AC1100&lt;&gt;"",AC1100&lt;&gt;"N/A")),"CONFORME - Control Efectivo ISO 27001","OBSERVACIÓN - Revisar Controles")))</f>
        <v/>
      </c>
    </row>
    <row r="1101">
      <c r="A1101" s="99"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c r="AD1101">
        <f>IF(OR(T1101="",Y1101="",AA1101=""),"",IF(AND(T1101="ALTA",OR(AA1101="L0 Inexistente",AA1101="L1 Inicial / Ad Hoc",Y1101="No Iniciado")),"CRÍTICO - Incumplimiento Normativo SEPS",IF(AND(OR(AA1101="L4 Gestionado y Medible",AA1101="L5 Optimizado"),AND(AC1101&lt;&gt;"",AC1101&lt;&gt;"N/A")),"CONFORME - Control Efectivo ISO 27001","OBSERVACIÓN - Revisar Controles")))</f>
        <v/>
      </c>
    </row>
    <row r="1102">
      <c r="A1102" s="99"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c r="AD1102">
        <f>IF(OR(T1102="",Y1102="",AA1102=""),"",IF(AND(T1102="ALTA",OR(AA1102="L0 Inexistente",AA1102="L1 Inicial / Ad Hoc",Y1102="No Iniciado")),"CRÍTICO - Incumplimiento Normativo SEPS",IF(AND(OR(AA1102="L4 Gestionado y Medible",AA1102="L5 Optimizado"),AND(AC1102&lt;&gt;"",AC1102&lt;&gt;"N/A")),"CONFORME - Control Efectivo ISO 27001","OBSERVACIÓN - Revisar Controles")))</f>
        <v/>
      </c>
    </row>
    <row r="1103">
      <c r="A1103" s="99"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c r="AD1103">
        <f>IF(OR(T1103="",Y1103="",AA1103=""),"",IF(AND(T1103="ALTA",OR(AA1103="L0 Inexistente",AA1103="L1 Inicial / Ad Hoc",Y1103="No Iniciado")),"CRÍTICO - Incumplimiento Normativo SEPS",IF(AND(OR(AA1103="L4 Gestionado y Medible",AA1103="L5 Optimizado"),AND(AC1103&lt;&gt;"",AC1103&lt;&gt;"N/A")),"CONFORME - Control Efectivo ISO 27001","OBSERVACIÓN - Revisar Controles")))</f>
        <v/>
      </c>
    </row>
    <row r="1104">
      <c r="A1104" s="99"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c r="AD1104">
        <f>IF(OR(T1104="",Y1104="",AA1104=""),"",IF(AND(T1104="ALTA",OR(AA1104="L0 Inexistente",AA1104="L1 Inicial / Ad Hoc",Y1104="No Iniciado")),"CRÍTICO - Incumplimiento Normativo SEPS",IF(AND(OR(AA1104="L4 Gestionado y Medible",AA1104="L5 Optimizado"),AND(AC1104&lt;&gt;"",AC1104&lt;&gt;"N/A")),"CONFORME - Control Efectivo ISO 27001","OBSERVACIÓN - Revisar Controles")))</f>
        <v/>
      </c>
    </row>
    <row r="1105">
      <c r="A1105" s="99"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c r="AD1105">
        <f>IF(OR(T1105="",Y1105="",AA1105=""),"",IF(AND(T1105="ALTA",OR(AA1105="L0 Inexistente",AA1105="L1 Inicial / Ad Hoc",Y1105="No Iniciado")),"CRÍTICO - Incumplimiento Normativo SEPS",IF(AND(OR(AA1105="L4 Gestionado y Medible",AA1105="L5 Optimizado"),AND(AC1105&lt;&gt;"",AC1105&lt;&gt;"N/A")),"CONFORME - Control Efectivo ISO 27001","OBSERVACIÓN - Revisar Controles")))</f>
        <v/>
      </c>
    </row>
    <row r="1106">
      <c r="A1106" s="99"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c r="AD1106">
        <f>IF(OR(T1106="",Y1106="",AA1106=""),"",IF(AND(T1106="ALTA",OR(AA1106="L0 Inexistente",AA1106="L1 Inicial / Ad Hoc",Y1106="No Iniciado")),"CRÍTICO - Incumplimiento Normativo SEPS",IF(AND(OR(AA1106="L4 Gestionado y Medible",AA1106="L5 Optimizado"),AND(AC1106&lt;&gt;"",AC1106&lt;&gt;"N/A")),"CONFORME - Control Efectivo ISO 27001","OBSERVACIÓN - Revisar Controles")))</f>
        <v/>
      </c>
    </row>
    <row r="1107">
      <c r="A1107" s="99"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c r="AD1107">
        <f>IF(OR(T1107="",Y1107="",AA1107=""),"",IF(AND(T1107="ALTA",OR(AA1107="L0 Inexistente",AA1107="L1 Inicial / Ad Hoc",Y1107="No Iniciado")),"CRÍTICO - Incumplimiento Normativo SEPS",IF(AND(OR(AA1107="L4 Gestionado y Medible",AA1107="L5 Optimizado"),AND(AC1107&lt;&gt;"",AC1107&lt;&gt;"N/A")),"CONFORME - Control Efectivo ISO 27001","OBSERVACIÓN - Revisar Controles")))</f>
        <v/>
      </c>
    </row>
    <row r="1108">
      <c r="A1108" s="99"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c r="AD1108">
        <f>IF(OR(T1108="",Y1108="",AA1108=""),"",IF(AND(T1108="ALTA",OR(AA1108="L0 Inexistente",AA1108="L1 Inicial / Ad Hoc",Y1108="No Iniciado")),"CRÍTICO - Incumplimiento Normativo SEPS",IF(AND(OR(AA1108="L4 Gestionado y Medible",AA1108="L5 Optimizado"),AND(AC1108&lt;&gt;"",AC1108&lt;&gt;"N/A")),"CONFORME - Control Efectivo ISO 27001","OBSERVACIÓN - Revisar Controles")))</f>
        <v/>
      </c>
    </row>
    <row r="1109">
      <c r="A1109" s="99"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c r="AD1109">
        <f>IF(OR(T1109="",Y1109="",AA1109=""),"",IF(AND(T1109="ALTA",OR(AA1109="L0 Inexistente",AA1109="L1 Inicial / Ad Hoc",Y1109="No Iniciado")),"CRÍTICO - Incumplimiento Normativo SEPS",IF(AND(OR(AA1109="L4 Gestionado y Medible",AA1109="L5 Optimizado"),AND(AC1109&lt;&gt;"",AC1109&lt;&gt;"N/A")),"CONFORME - Control Efectivo ISO 27001","OBSERVACIÓN - Revisar Controles")))</f>
        <v/>
      </c>
    </row>
    <row r="1110">
      <c r="A1110" s="99"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c r="AD1110">
        <f>IF(OR(T1110="",Y1110="",AA1110=""),"",IF(AND(T1110="ALTA",OR(AA1110="L0 Inexistente",AA1110="L1 Inicial / Ad Hoc",Y1110="No Iniciado")),"CRÍTICO - Incumplimiento Normativo SEPS",IF(AND(OR(AA1110="L4 Gestionado y Medible",AA1110="L5 Optimizado"),AND(AC1110&lt;&gt;"",AC1110&lt;&gt;"N/A")),"CONFORME - Control Efectivo ISO 27001","OBSERVACIÓN - Revisar Controles")))</f>
        <v/>
      </c>
    </row>
    <row r="1111">
      <c r="A1111" s="99"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c r="AD1111">
        <f>IF(OR(T1111="",Y1111="",AA1111=""),"",IF(AND(T1111="ALTA",OR(AA1111="L0 Inexistente",AA1111="L1 Inicial / Ad Hoc",Y1111="No Iniciado")),"CRÍTICO - Incumplimiento Normativo SEPS",IF(AND(OR(AA1111="L4 Gestionado y Medible",AA1111="L5 Optimizado"),AND(AC1111&lt;&gt;"",AC1111&lt;&gt;"N/A")),"CONFORME - Control Efectivo ISO 27001","OBSERVACIÓN - Revisar Controles")))</f>
        <v/>
      </c>
    </row>
    <row r="1112">
      <c r="A1112" s="99"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c r="AD1112">
        <f>IF(OR(T1112="",Y1112="",AA1112=""),"",IF(AND(T1112="ALTA",OR(AA1112="L0 Inexistente",AA1112="L1 Inicial / Ad Hoc",Y1112="No Iniciado")),"CRÍTICO - Incumplimiento Normativo SEPS",IF(AND(OR(AA1112="L4 Gestionado y Medible",AA1112="L5 Optimizado"),AND(AC1112&lt;&gt;"",AC1112&lt;&gt;"N/A")),"CONFORME - Control Efectivo ISO 27001","OBSERVACIÓN - Revisar Controles")))</f>
        <v/>
      </c>
    </row>
    <row r="1113">
      <c r="A1113" s="99"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c r="AD1113">
        <f>IF(OR(T1113="",Y1113="",AA1113=""),"",IF(AND(T1113="ALTA",OR(AA1113="L0 Inexistente",AA1113="L1 Inicial / Ad Hoc",Y1113="No Iniciado")),"CRÍTICO - Incumplimiento Normativo SEPS",IF(AND(OR(AA1113="L4 Gestionado y Medible",AA1113="L5 Optimizado"),AND(AC1113&lt;&gt;"",AC1113&lt;&gt;"N/A")),"CONFORME - Control Efectivo ISO 27001","OBSERVACIÓN - Revisar Controles")))</f>
        <v/>
      </c>
    </row>
    <row r="1114">
      <c r="A1114" s="99"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c r="AD1114">
        <f>IF(OR(T1114="",Y1114="",AA1114=""),"",IF(AND(T1114="ALTA",OR(AA1114="L0 Inexistente",AA1114="L1 Inicial / Ad Hoc",Y1114="No Iniciado")),"CRÍTICO - Incumplimiento Normativo SEPS",IF(AND(OR(AA1114="L4 Gestionado y Medible",AA1114="L5 Optimizado"),AND(AC1114&lt;&gt;"",AC1114&lt;&gt;"N/A")),"CONFORME - Control Efectivo ISO 27001","OBSERVACIÓN - Revisar Controles")))</f>
        <v/>
      </c>
    </row>
    <row r="1115">
      <c r="A1115" s="99"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c r="AD1115">
        <f>IF(OR(T1115="",Y1115="",AA1115=""),"",IF(AND(T1115="ALTA",OR(AA1115="L0 Inexistente",AA1115="L1 Inicial / Ad Hoc",Y1115="No Iniciado")),"CRÍTICO - Incumplimiento Normativo SEPS",IF(AND(OR(AA1115="L4 Gestionado y Medible",AA1115="L5 Optimizado"),AND(AC1115&lt;&gt;"",AC1115&lt;&gt;"N/A")),"CONFORME - Control Efectivo ISO 27001","OBSERVACIÓN - Revisar Controles")))</f>
        <v/>
      </c>
    </row>
    <row r="1116">
      <c r="A1116" s="99"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c r="AD1116">
        <f>IF(OR(T1116="",Y1116="",AA1116=""),"",IF(AND(T1116="ALTA",OR(AA1116="L0 Inexistente",AA1116="L1 Inicial / Ad Hoc",Y1116="No Iniciado")),"CRÍTICO - Incumplimiento Normativo SEPS",IF(AND(OR(AA1116="L4 Gestionado y Medible",AA1116="L5 Optimizado"),AND(AC1116&lt;&gt;"",AC1116&lt;&gt;"N/A")),"CONFORME - Control Efectivo ISO 27001","OBSERVACIÓN - Revisar Controles")))</f>
        <v/>
      </c>
    </row>
    <row r="1117">
      <c r="A1117" s="99"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c r="AD1117">
        <f>IF(OR(T1117="",Y1117="",AA1117=""),"",IF(AND(T1117="ALTA",OR(AA1117="L0 Inexistente",AA1117="L1 Inicial / Ad Hoc",Y1117="No Iniciado")),"CRÍTICO - Incumplimiento Normativo SEPS",IF(AND(OR(AA1117="L4 Gestionado y Medible",AA1117="L5 Optimizado"),AND(AC1117&lt;&gt;"",AC1117&lt;&gt;"N/A")),"CONFORME - Control Efectivo ISO 27001","OBSERVACIÓN - Revisar Controles")))</f>
        <v/>
      </c>
    </row>
    <row r="1118">
      <c r="A1118" s="99"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c r="AD1118">
        <f>IF(OR(T1118="",Y1118="",AA1118=""),"",IF(AND(T1118="ALTA",OR(AA1118="L0 Inexistente",AA1118="L1 Inicial / Ad Hoc",Y1118="No Iniciado")),"CRÍTICO - Incumplimiento Normativo SEPS",IF(AND(OR(AA1118="L4 Gestionado y Medible",AA1118="L5 Optimizado"),AND(AC1118&lt;&gt;"",AC1118&lt;&gt;"N/A")),"CONFORME - Control Efectivo ISO 27001","OBSERVACIÓN - Revisar Controles")))</f>
        <v/>
      </c>
    </row>
    <row r="1119">
      <c r="A1119" s="99"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c r="AD1119">
        <f>IF(OR(T1119="",Y1119="",AA1119=""),"",IF(AND(T1119="ALTA",OR(AA1119="L0 Inexistente",AA1119="L1 Inicial / Ad Hoc",Y1119="No Iniciado")),"CRÍTICO - Incumplimiento Normativo SEPS",IF(AND(OR(AA1119="L4 Gestionado y Medible",AA1119="L5 Optimizado"),AND(AC1119&lt;&gt;"",AC1119&lt;&gt;"N/A")),"CONFORME - Control Efectivo ISO 27001","OBSERVACIÓN - Revisar Controles")))</f>
        <v/>
      </c>
    </row>
    <row r="1120">
      <c r="A1120" s="99"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c r="AD1120">
        <f>IF(OR(T1120="",Y1120="",AA1120=""),"",IF(AND(T1120="ALTA",OR(AA1120="L0 Inexistente",AA1120="L1 Inicial / Ad Hoc",Y1120="No Iniciado")),"CRÍTICO - Incumplimiento Normativo SEPS",IF(AND(OR(AA1120="L4 Gestionado y Medible",AA1120="L5 Optimizado"),AND(AC1120&lt;&gt;"",AC1120&lt;&gt;"N/A")),"CONFORME - Control Efectivo ISO 27001","OBSERVACIÓN - Revisar Controles")))</f>
        <v/>
      </c>
    </row>
    <row r="1121">
      <c r="A1121" s="99"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c r="AD1121">
        <f>IF(OR(T1121="",Y1121="",AA1121=""),"",IF(AND(T1121="ALTA",OR(AA1121="L0 Inexistente",AA1121="L1 Inicial / Ad Hoc",Y1121="No Iniciado")),"CRÍTICO - Incumplimiento Normativo SEPS",IF(AND(OR(AA1121="L4 Gestionado y Medible",AA1121="L5 Optimizado"),AND(AC1121&lt;&gt;"",AC1121&lt;&gt;"N/A")),"CONFORME - Control Efectivo ISO 27001","OBSERVACIÓN - Revisar Controles")))</f>
        <v/>
      </c>
    </row>
    <row r="1122">
      <c r="A1122" s="99"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c r="AD1122">
        <f>IF(OR(T1122="",Y1122="",AA1122=""),"",IF(AND(T1122="ALTA",OR(AA1122="L0 Inexistente",AA1122="L1 Inicial / Ad Hoc",Y1122="No Iniciado")),"CRÍTICO - Incumplimiento Normativo SEPS",IF(AND(OR(AA1122="L4 Gestionado y Medible",AA1122="L5 Optimizado"),AND(AC1122&lt;&gt;"",AC1122&lt;&gt;"N/A")),"CONFORME - Control Efectivo ISO 27001","OBSERVACIÓN - Revisar Controles")))</f>
        <v/>
      </c>
    </row>
    <row r="1123">
      <c r="A1123" s="99"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c r="AD1123">
        <f>IF(OR(T1123="",Y1123="",AA1123=""),"",IF(AND(T1123="ALTA",OR(AA1123="L0 Inexistente",AA1123="L1 Inicial / Ad Hoc",Y1123="No Iniciado")),"CRÍTICO - Incumplimiento Normativo SEPS",IF(AND(OR(AA1123="L4 Gestionado y Medible",AA1123="L5 Optimizado"),AND(AC1123&lt;&gt;"",AC1123&lt;&gt;"N/A")),"CONFORME - Control Efectivo ISO 27001","OBSERVACIÓN - Revisar Controles")))</f>
        <v/>
      </c>
    </row>
    <row r="1124">
      <c r="A1124" s="99"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c r="AD1124">
        <f>IF(OR(T1124="",Y1124="",AA1124=""),"",IF(AND(T1124="ALTA",OR(AA1124="L0 Inexistente",AA1124="L1 Inicial / Ad Hoc",Y1124="No Iniciado")),"CRÍTICO - Incumplimiento Normativo SEPS",IF(AND(OR(AA1124="L4 Gestionado y Medible",AA1124="L5 Optimizado"),AND(AC1124&lt;&gt;"",AC1124&lt;&gt;"N/A")),"CONFORME - Control Efectivo ISO 27001","OBSERVACIÓN - Revisar Controles")))</f>
        <v/>
      </c>
    </row>
    <row r="1125">
      <c r="A1125" s="99"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c r="AD1125">
        <f>IF(OR(T1125="",Y1125="",AA1125=""),"",IF(AND(T1125="ALTA",OR(AA1125="L0 Inexistente",AA1125="L1 Inicial / Ad Hoc",Y1125="No Iniciado")),"CRÍTICO - Incumplimiento Normativo SEPS",IF(AND(OR(AA1125="L4 Gestionado y Medible",AA1125="L5 Optimizado"),AND(AC1125&lt;&gt;"",AC1125&lt;&gt;"N/A")),"CONFORME - Control Efectivo ISO 27001","OBSERVACIÓN - Revisar Controles")))</f>
        <v/>
      </c>
    </row>
    <row r="1126">
      <c r="A1126" s="99"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c r="AD1126">
        <f>IF(OR(T1126="",Y1126="",AA1126=""),"",IF(AND(T1126="ALTA",OR(AA1126="L0 Inexistente",AA1126="L1 Inicial / Ad Hoc",Y1126="No Iniciado")),"CRÍTICO - Incumplimiento Normativo SEPS",IF(AND(OR(AA1126="L4 Gestionado y Medible",AA1126="L5 Optimizado"),AND(AC1126&lt;&gt;"",AC1126&lt;&gt;"N/A")),"CONFORME - Control Efectivo ISO 27001","OBSERVACIÓN - Revisar Controles")))</f>
        <v/>
      </c>
    </row>
    <row r="1127">
      <c r="A1127" s="99"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c r="AD1127">
        <f>IF(OR(T1127="",Y1127="",AA1127=""),"",IF(AND(T1127="ALTA",OR(AA1127="L0 Inexistente",AA1127="L1 Inicial / Ad Hoc",Y1127="No Iniciado")),"CRÍTICO - Incumplimiento Normativo SEPS",IF(AND(OR(AA1127="L4 Gestionado y Medible",AA1127="L5 Optimizado"),AND(AC1127&lt;&gt;"",AC1127&lt;&gt;"N/A")),"CONFORME - Control Efectivo ISO 27001","OBSERVACIÓN - Revisar Controles")))</f>
        <v/>
      </c>
    </row>
    <row r="1128">
      <c r="A1128" s="99"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c r="AD1128">
        <f>IF(OR(T1128="",Y1128="",AA1128=""),"",IF(AND(T1128="ALTA",OR(AA1128="L0 Inexistente",AA1128="L1 Inicial / Ad Hoc",Y1128="No Iniciado")),"CRÍTICO - Incumplimiento Normativo SEPS",IF(AND(OR(AA1128="L4 Gestionado y Medible",AA1128="L5 Optimizado"),AND(AC1128&lt;&gt;"",AC1128&lt;&gt;"N/A")),"CONFORME - Control Efectivo ISO 27001","OBSERVACIÓN - Revisar Controles")))</f>
        <v/>
      </c>
    </row>
    <row r="1129">
      <c r="A1129" s="99"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c r="AD1129">
        <f>IF(OR(T1129="",Y1129="",AA1129=""),"",IF(AND(T1129="ALTA",OR(AA1129="L0 Inexistente",AA1129="L1 Inicial / Ad Hoc",Y1129="No Iniciado")),"CRÍTICO - Incumplimiento Normativo SEPS",IF(AND(OR(AA1129="L4 Gestionado y Medible",AA1129="L5 Optimizado"),AND(AC1129&lt;&gt;"",AC1129&lt;&gt;"N/A")),"CONFORME - Control Efectivo ISO 27001","OBSERVACIÓN - Revisar Controles")))</f>
        <v/>
      </c>
    </row>
    <row r="1130">
      <c r="A1130" s="99"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c r="AD1130">
        <f>IF(OR(T1130="",Y1130="",AA1130=""),"",IF(AND(T1130="ALTA",OR(AA1130="L0 Inexistente",AA1130="L1 Inicial / Ad Hoc",Y1130="No Iniciado")),"CRÍTICO - Incumplimiento Normativo SEPS",IF(AND(OR(AA1130="L4 Gestionado y Medible",AA1130="L5 Optimizado"),AND(AC1130&lt;&gt;"",AC1130&lt;&gt;"N/A")),"CONFORME - Control Efectivo ISO 27001","OBSERVACIÓN - Revisar Controles")))</f>
        <v/>
      </c>
    </row>
    <row r="1131">
      <c r="A1131" s="99"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c r="AD1131">
        <f>IF(OR(T1131="",Y1131="",AA1131=""),"",IF(AND(T1131="ALTA",OR(AA1131="L0 Inexistente",AA1131="L1 Inicial / Ad Hoc",Y1131="No Iniciado")),"CRÍTICO - Incumplimiento Normativo SEPS",IF(AND(OR(AA1131="L4 Gestionado y Medible",AA1131="L5 Optimizado"),AND(AC1131&lt;&gt;"",AC1131&lt;&gt;"N/A")),"CONFORME - Control Efectivo ISO 27001","OBSERVACIÓN - Revisar Controles")))</f>
        <v/>
      </c>
    </row>
    <row r="1132">
      <c r="A1132" s="99"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c r="AD1132">
        <f>IF(OR(T1132="",Y1132="",AA1132=""),"",IF(AND(T1132="ALTA",OR(AA1132="L0 Inexistente",AA1132="L1 Inicial / Ad Hoc",Y1132="No Iniciado")),"CRÍTICO - Incumplimiento Normativo SEPS",IF(AND(OR(AA1132="L4 Gestionado y Medible",AA1132="L5 Optimizado"),AND(AC1132&lt;&gt;"",AC1132&lt;&gt;"N/A")),"CONFORME - Control Efectivo ISO 27001","OBSERVACIÓN - Revisar Controles")))</f>
        <v/>
      </c>
    </row>
    <row r="1133">
      <c r="A1133" s="99"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c r="AD1133">
        <f>IF(OR(T1133="",Y1133="",AA1133=""),"",IF(AND(T1133="ALTA",OR(AA1133="L0 Inexistente",AA1133="L1 Inicial / Ad Hoc",Y1133="No Iniciado")),"CRÍTICO - Incumplimiento Normativo SEPS",IF(AND(OR(AA1133="L4 Gestionado y Medible",AA1133="L5 Optimizado"),AND(AC1133&lt;&gt;"",AC1133&lt;&gt;"N/A")),"CONFORME - Control Efectivo ISO 27001","OBSERVACIÓN - Revisar Controles")))</f>
        <v/>
      </c>
    </row>
    <row r="1134">
      <c r="A1134" s="99"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c r="AD1134">
        <f>IF(OR(T1134="",Y1134="",AA1134=""),"",IF(AND(T1134="ALTA",OR(AA1134="L0 Inexistente",AA1134="L1 Inicial / Ad Hoc",Y1134="No Iniciado")),"CRÍTICO - Incumplimiento Normativo SEPS",IF(AND(OR(AA1134="L4 Gestionado y Medible",AA1134="L5 Optimizado"),AND(AC1134&lt;&gt;"",AC1134&lt;&gt;"N/A")),"CONFORME - Control Efectivo ISO 27001","OBSERVACIÓN - Revisar Controles")))</f>
        <v/>
      </c>
    </row>
    <row r="1135">
      <c r="A1135" s="99"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c r="AD1135">
        <f>IF(OR(T1135="",Y1135="",AA1135=""),"",IF(AND(T1135="ALTA",OR(AA1135="L0 Inexistente",AA1135="L1 Inicial / Ad Hoc",Y1135="No Iniciado")),"CRÍTICO - Incumplimiento Normativo SEPS",IF(AND(OR(AA1135="L4 Gestionado y Medible",AA1135="L5 Optimizado"),AND(AC1135&lt;&gt;"",AC1135&lt;&gt;"N/A")),"CONFORME - Control Efectivo ISO 27001","OBSERVACIÓN - Revisar Controles")))</f>
        <v/>
      </c>
    </row>
    <row r="1136">
      <c r="A1136" s="99"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c r="AD1136">
        <f>IF(OR(T1136="",Y1136="",AA1136=""),"",IF(AND(T1136="ALTA",OR(AA1136="L0 Inexistente",AA1136="L1 Inicial / Ad Hoc",Y1136="No Iniciado")),"CRÍTICO - Incumplimiento Normativo SEPS",IF(AND(OR(AA1136="L4 Gestionado y Medible",AA1136="L5 Optimizado"),AND(AC1136&lt;&gt;"",AC1136&lt;&gt;"N/A")),"CONFORME - Control Efectivo ISO 27001","OBSERVACIÓN - Revisar Controles")))</f>
        <v/>
      </c>
    </row>
    <row r="1137">
      <c r="A1137" s="99"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c r="AD1137">
        <f>IF(OR(T1137="",Y1137="",AA1137=""),"",IF(AND(T1137="ALTA",OR(AA1137="L0 Inexistente",AA1137="L1 Inicial / Ad Hoc",Y1137="No Iniciado")),"CRÍTICO - Incumplimiento Normativo SEPS",IF(AND(OR(AA1137="L4 Gestionado y Medible",AA1137="L5 Optimizado"),AND(AC1137&lt;&gt;"",AC1137&lt;&gt;"N/A")),"CONFORME - Control Efectivo ISO 27001","OBSERVACIÓN - Revisar Controles")))</f>
        <v/>
      </c>
    </row>
    <row r="1138">
      <c r="A1138" s="99"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c r="AD1138">
        <f>IF(OR(T1138="",Y1138="",AA1138=""),"",IF(AND(T1138="ALTA",OR(AA1138="L0 Inexistente",AA1138="L1 Inicial / Ad Hoc",Y1138="No Iniciado")),"CRÍTICO - Incumplimiento Normativo SEPS",IF(AND(OR(AA1138="L4 Gestionado y Medible",AA1138="L5 Optimizado"),AND(AC1138&lt;&gt;"",AC1138&lt;&gt;"N/A")),"CONFORME - Control Efectivo ISO 27001","OBSERVACIÓN - Revisar Controles")))</f>
        <v/>
      </c>
    </row>
    <row r="1139">
      <c r="A1139" s="99"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c r="AD1139">
        <f>IF(OR(T1139="",Y1139="",AA1139=""),"",IF(AND(T1139="ALTA",OR(AA1139="L0 Inexistente",AA1139="L1 Inicial / Ad Hoc",Y1139="No Iniciado")),"CRÍTICO - Incumplimiento Normativo SEPS",IF(AND(OR(AA1139="L4 Gestionado y Medible",AA1139="L5 Optimizado"),AND(AC1139&lt;&gt;"",AC1139&lt;&gt;"N/A")),"CONFORME - Control Efectivo ISO 27001","OBSERVACIÓN - Revisar Controles")))</f>
        <v/>
      </c>
    </row>
    <row r="1140">
      <c r="A1140" s="99"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c r="AD1140">
        <f>IF(OR(T1140="",Y1140="",AA1140=""),"",IF(AND(T1140="ALTA",OR(AA1140="L0 Inexistente",AA1140="L1 Inicial / Ad Hoc",Y1140="No Iniciado")),"CRÍTICO - Incumplimiento Normativo SEPS",IF(AND(OR(AA1140="L4 Gestionado y Medible",AA1140="L5 Optimizado"),AND(AC1140&lt;&gt;"",AC1140&lt;&gt;"N/A")),"CONFORME - Control Efectivo ISO 27001","OBSERVACIÓN - Revisar Controles")))</f>
        <v/>
      </c>
    </row>
    <row r="1141">
      <c r="A1141" s="99"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c r="AD1141">
        <f>IF(OR(T1141="",Y1141="",AA1141=""),"",IF(AND(T1141="ALTA",OR(AA1141="L0 Inexistente",AA1141="L1 Inicial / Ad Hoc",Y1141="No Iniciado")),"CRÍTICO - Incumplimiento Normativo SEPS",IF(AND(OR(AA1141="L4 Gestionado y Medible",AA1141="L5 Optimizado"),AND(AC1141&lt;&gt;"",AC1141&lt;&gt;"N/A")),"CONFORME - Control Efectivo ISO 27001","OBSERVACIÓN - Revisar Controles")))</f>
        <v/>
      </c>
    </row>
    <row r="1142">
      <c r="A1142" s="99"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c r="AD1142">
        <f>IF(OR(T1142="",Y1142="",AA1142=""),"",IF(AND(T1142="ALTA",OR(AA1142="L0 Inexistente",AA1142="L1 Inicial / Ad Hoc",Y1142="No Iniciado")),"CRÍTICO - Incumplimiento Normativo SEPS",IF(AND(OR(AA1142="L4 Gestionado y Medible",AA1142="L5 Optimizado"),AND(AC1142&lt;&gt;"",AC1142&lt;&gt;"N/A")),"CONFORME - Control Efectivo ISO 27001","OBSERVACIÓN - Revisar Controles")))</f>
        <v/>
      </c>
    </row>
    <row r="1143">
      <c r="A1143" s="99"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c r="AD1143">
        <f>IF(OR(T1143="",Y1143="",AA1143=""),"",IF(AND(T1143="ALTA",OR(AA1143="L0 Inexistente",AA1143="L1 Inicial / Ad Hoc",Y1143="No Iniciado")),"CRÍTICO - Incumplimiento Normativo SEPS",IF(AND(OR(AA1143="L4 Gestionado y Medible",AA1143="L5 Optimizado"),AND(AC1143&lt;&gt;"",AC1143&lt;&gt;"N/A")),"CONFORME - Control Efectivo ISO 27001","OBSERVACIÓN - Revisar Controles")))</f>
        <v/>
      </c>
    </row>
    <row r="1144">
      <c r="A1144" s="99"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c r="AD1144">
        <f>IF(OR(T1144="",Y1144="",AA1144=""),"",IF(AND(T1144="ALTA",OR(AA1144="L0 Inexistente",AA1144="L1 Inicial / Ad Hoc",Y1144="No Iniciado")),"CRÍTICO - Incumplimiento Normativo SEPS",IF(AND(OR(AA1144="L4 Gestionado y Medible",AA1144="L5 Optimizado"),AND(AC1144&lt;&gt;"",AC1144&lt;&gt;"N/A")),"CONFORME - Control Efectivo ISO 27001","OBSERVACIÓN - Revisar Controles")))</f>
        <v/>
      </c>
    </row>
    <row r="1145">
      <c r="A1145" s="99"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c r="AD1145">
        <f>IF(OR(T1145="",Y1145="",AA1145=""),"",IF(AND(T1145="ALTA",OR(AA1145="L0 Inexistente",AA1145="L1 Inicial / Ad Hoc",Y1145="No Iniciado")),"CRÍTICO - Incumplimiento Normativo SEPS",IF(AND(OR(AA1145="L4 Gestionado y Medible",AA1145="L5 Optimizado"),AND(AC1145&lt;&gt;"",AC1145&lt;&gt;"N/A")),"CONFORME - Control Efectivo ISO 27001","OBSERVACIÓN - Revisar Controles")))</f>
        <v/>
      </c>
    </row>
    <row r="1146">
      <c r="A1146" s="99"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c r="AD1146">
        <f>IF(OR(T1146="",Y1146="",AA1146=""),"",IF(AND(T1146="ALTA",OR(AA1146="L0 Inexistente",AA1146="L1 Inicial / Ad Hoc",Y1146="No Iniciado")),"CRÍTICO - Incumplimiento Normativo SEPS",IF(AND(OR(AA1146="L4 Gestionado y Medible",AA1146="L5 Optimizado"),AND(AC1146&lt;&gt;"",AC1146&lt;&gt;"N/A")),"CONFORME - Control Efectivo ISO 27001","OBSERVACIÓN - Revisar Controles")))</f>
        <v/>
      </c>
    </row>
    <row r="1147">
      <c r="A1147" s="99"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c r="AD1147">
        <f>IF(OR(T1147="",Y1147="",AA1147=""),"",IF(AND(T1147="ALTA",OR(AA1147="L0 Inexistente",AA1147="L1 Inicial / Ad Hoc",Y1147="No Iniciado")),"CRÍTICO - Incumplimiento Normativo SEPS",IF(AND(OR(AA1147="L4 Gestionado y Medible",AA1147="L5 Optimizado"),AND(AC1147&lt;&gt;"",AC1147&lt;&gt;"N/A")),"CONFORME - Control Efectivo ISO 27001","OBSERVACIÓN - Revisar Controles")))</f>
        <v/>
      </c>
    </row>
    <row r="1148">
      <c r="A1148" s="99"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c r="AD1148">
        <f>IF(OR(T1148="",Y1148="",AA1148=""),"",IF(AND(T1148="ALTA",OR(AA1148="L0 Inexistente",AA1148="L1 Inicial / Ad Hoc",Y1148="No Iniciado")),"CRÍTICO - Incumplimiento Normativo SEPS",IF(AND(OR(AA1148="L4 Gestionado y Medible",AA1148="L5 Optimizado"),AND(AC1148&lt;&gt;"",AC1148&lt;&gt;"N/A")),"CONFORME - Control Efectivo ISO 27001","OBSERVACIÓN - Revisar Controles")))</f>
        <v/>
      </c>
    </row>
    <row r="1149">
      <c r="A1149" s="99"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c r="AD1149">
        <f>IF(OR(T1149="",Y1149="",AA1149=""),"",IF(AND(T1149="ALTA",OR(AA1149="L0 Inexistente",AA1149="L1 Inicial / Ad Hoc",Y1149="No Iniciado")),"CRÍTICO - Incumplimiento Normativo SEPS",IF(AND(OR(AA1149="L4 Gestionado y Medible",AA1149="L5 Optimizado"),AND(AC1149&lt;&gt;"",AC1149&lt;&gt;"N/A")),"CONFORME - Control Efectivo ISO 27001","OBSERVACIÓN - Revisar Controles")))</f>
        <v/>
      </c>
    </row>
    <row r="1150">
      <c r="A1150" s="99"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c r="AD1150">
        <f>IF(OR(T1150="",Y1150="",AA1150=""),"",IF(AND(T1150="ALTA",OR(AA1150="L0 Inexistente",AA1150="L1 Inicial / Ad Hoc",Y1150="No Iniciado")),"CRÍTICO - Incumplimiento Normativo SEPS",IF(AND(OR(AA1150="L4 Gestionado y Medible",AA1150="L5 Optimizado"),AND(AC1150&lt;&gt;"",AC1150&lt;&gt;"N/A")),"CONFORME - Control Efectivo ISO 27001","OBSERVACIÓN - Revisar Controles")))</f>
        <v/>
      </c>
    </row>
    <row r="1151">
      <c r="A1151" s="99"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c r="AD1151">
        <f>IF(OR(T1151="",Y1151="",AA1151=""),"",IF(AND(T1151="ALTA",OR(AA1151="L0 Inexistente",AA1151="L1 Inicial / Ad Hoc",Y1151="No Iniciado")),"CRÍTICO - Incumplimiento Normativo SEPS",IF(AND(OR(AA1151="L4 Gestionado y Medible",AA1151="L5 Optimizado"),AND(AC1151&lt;&gt;"",AC1151&lt;&gt;"N/A")),"CONFORME - Control Efectivo ISO 27001","OBSERVACIÓN - Revisar Controles")))</f>
        <v/>
      </c>
    </row>
    <row r="1152">
      <c r="A1152" s="99"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c r="AD1152">
        <f>IF(OR(T1152="",Y1152="",AA1152=""),"",IF(AND(T1152="ALTA",OR(AA1152="L0 Inexistente",AA1152="L1 Inicial / Ad Hoc",Y1152="No Iniciado")),"CRÍTICO - Incumplimiento Normativo SEPS",IF(AND(OR(AA1152="L4 Gestionado y Medible",AA1152="L5 Optimizado"),AND(AC1152&lt;&gt;"",AC1152&lt;&gt;"N/A")),"CONFORME - Control Efectivo ISO 27001","OBSERVACIÓN - Revisar Controles")))</f>
        <v/>
      </c>
    </row>
    <row r="1153">
      <c r="A1153" s="99"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c r="AD1153">
        <f>IF(OR(T1153="",Y1153="",AA1153=""),"",IF(AND(T1153="ALTA",OR(AA1153="L0 Inexistente",AA1153="L1 Inicial / Ad Hoc",Y1153="No Iniciado")),"CRÍTICO - Incumplimiento Normativo SEPS",IF(AND(OR(AA1153="L4 Gestionado y Medible",AA1153="L5 Optimizado"),AND(AC1153&lt;&gt;"",AC1153&lt;&gt;"N/A")),"CONFORME - Control Efectivo ISO 27001","OBSERVACIÓN - Revisar Controles")))</f>
        <v/>
      </c>
    </row>
    <row r="1154">
      <c r="A1154" s="99"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c r="AD1154">
        <f>IF(OR(T1154="",Y1154="",AA1154=""),"",IF(AND(T1154="ALTA",OR(AA1154="L0 Inexistente",AA1154="L1 Inicial / Ad Hoc",Y1154="No Iniciado")),"CRÍTICO - Incumplimiento Normativo SEPS",IF(AND(OR(AA1154="L4 Gestionado y Medible",AA1154="L5 Optimizado"),AND(AC1154&lt;&gt;"",AC1154&lt;&gt;"N/A")),"CONFORME - Control Efectivo ISO 27001","OBSERVACIÓN - Revisar Controles")))</f>
        <v/>
      </c>
    </row>
    <row r="1155">
      <c r="A1155" s="99"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c r="AD1155">
        <f>IF(OR(T1155="",Y1155="",AA1155=""),"",IF(AND(T1155="ALTA",OR(AA1155="L0 Inexistente",AA1155="L1 Inicial / Ad Hoc",Y1155="No Iniciado")),"CRÍTICO - Incumplimiento Normativo SEPS",IF(AND(OR(AA1155="L4 Gestionado y Medible",AA1155="L5 Optimizado"),AND(AC1155&lt;&gt;"",AC1155&lt;&gt;"N/A")),"CONFORME - Control Efectivo ISO 27001","OBSERVACIÓN - Revisar Controles")))</f>
        <v/>
      </c>
    </row>
    <row r="1156">
      <c r="A1156" s="99"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c r="AD1156">
        <f>IF(OR(T1156="",Y1156="",AA1156=""),"",IF(AND(T1156="ALTA",OR(AA1156="L0 Inexistente",AA1156="L1 Inicial / Ad Hoc",Y1156="No Iniciado")),"CRÍTICO - Incumplimiento Normativo SEPS",IF(AND(OR(AA1156="L4 Gestionado y Medible",AA1156="L5 Optimizado"),AND(AC1156&lt;&gt;"",AC1156&lt;&gt;"N/A")),"CONFORME - Control Efectivo ISO 27001","OBSERVACIÓN - Revisar Controles")))</f>
        <v/>
      </c>
    </row>
    <row r="1157">
      <c r="A1157" s="99"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c r="AD1157">
        <f>IF(OR(T1157="",Y1157="",AA1157=""),"",IF(AND(T1157="ALTA",OR(AA1157="L0 Inexistente",AA1157="L1 Inicial / Ad Hoc",Y1157="No Iniciado")),"CRÍTICO - Incumplimiento Normativo SEPS",IF(AND(OR(AA1157="L4 Gestionado y Medible",AA1157="L5 Optimizado"),AND(AC1157&lt;&gt;"",AC1157&lt;&gt;"N/A")),"CONFORME - Control Efectivo ISO 27001","OBSERVACIÓN - Revisar Controles")))</f>
        <v/>
      </c>
    </row>
    <row r="1158">
      <c r="A1158" s="99"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c r="AD1158">
        <f>IF(OR(T1158="",Y1158="",AA1158=""),"",IF(AND(T1158="ALTA",OR(AA1158="L0 Inexistente",AA1158="L1 Inicial / Ad Hoc",Y1158="No Iniciado")),"CRÍTICO - Incumplimiento Normativo SEPS",IF(AND(OR(AA1158="L4 Gestionado y Medible",AA1158="L5 Optimizado"),AND(AC1158&lt;&gt;"",AC1158&lt;&gt;"N/A")),"CONFORME - Control Efectivo ISO 27001","OBSERVACIÓN - Revisar Controles")))</f>
        <v/>
      </c>
    </row>
    <row r="1159">
      <c r="A1159" s="99"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c r="AD1159">
        <f>IF(OR(T1159="",Y1159="",AA1159=""),"",IF(AND(T1159="ALTA",OR(AA1159="L0 Inexistente",AA1159="L1 Inicial / Ad Hoc",Y1159="No Iniciado")),"CRÍTICO - Incumplimiento Normativo SEPS",IF(AND(OR(AA1159="L4 Gestionado y Medible",AA1159="L5 Optimizado"),AND(AC1159&lt;&gt;"",AC1159&lt;&gt;"N/A")),"CONFORME - Control Efectivo ISO 27001","OBSERVACIÓN - Revisar Controles")))</f>
        <v/>
      </c>
    </row>
    <row r="1160">
      <c r="A1160" s="99"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c r="AD1160">
        <f>IF(OR(T1160="",Y1160="",AA1160=""),"",IF(AND(T1160="ALTA",OR(AA1160="L0 Inexistente",AA1160="L1 Inicial / Ad Hoc",Y1160="No Iniciado")),"CRÍTICO - Incumplimiento Normativo SEPS",IF(AND(OR(AA1160="L4 Gestionado y Medible",AA1160="L5 Optimizado"),AND(AC1160&lt;&gt;"",AC1160&lt;&gt;"N/A")),"CONFORME - Control Efectivo ISO 27001","OBSERVACIÓN - Revisar Controles")))</f>
        <v/>
      </c>
    </row>
    <row r="1161">
      <c r="A1161" s="99"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c r="AD1161">
        <f>IF(OR(T1161="",Y1161="",AA1161=""),"",IF(AND(T1161="ALTA",OR(AA1161="L0 Inexistente",AA1161="L1 Inicial / Ad Hoc",Y1161="No Iniciado")),"CRÍTICO - Incumplimiento Normativo SEPS",IF(AND(OR(AA1161="L4 Gestionado y Medible",AA1161="L5 Optimizado"),AND(AC1161&lt;&gt;"",AC1161&lt;&gt;"N/A")),"CONFORME - Control Efectivo ISO 27001","OBSERVACIÓN - Revisar Controles")))</f>
        <v/>
      </c>
    </row>
    <row r="1162">
      <c r="A1162" s="99"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c r="AD1162">
        <f>IF(OR(T1162="",Y1162="",AA1162=""),"",IF(AND(T1162="ALTA",OR(AA1162="L0 Inexistente",AA1162="L1 Inicial / Ad Hoc",Y1162="No Iniciado")),"CRÍTICO - Incumplimiento Normativo SEPS",IF(AND(OR(AA1162="L4 Gestionado y Medible",AA1162="L5 Optimizado"),AND(AC1162&lt;&gt;"",AC1162&lt;&gt;"N/A")),"CONFORME - Control Efectivo ISO 27001","OBSERVACIÓN - Revisar Controles")))</f>
        <v/>
      </c>
    </row>
    <row r="1163">
      <c r="A1163" s="99"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c r="AD1163">
        <f>IF(OR(T1163="",Y1163="",AA1163=""),"",IF(AND(T1163="ALTA",OR(AA1163="L0 Inexistente",AA1163="L1 Inicial / Ad Hoc",Y1163="No Iniciado")),"CRÍTICO - Incumplimiento Normativo SEPS",IF(AND(OR(AA1163="L4 Gestionado y Medible",AA1163="L5 Optimizado"),AND(AC1163&lt;&gt;"",AC1163&lt;&gt;"N/A")),"CONFORME - Control Efectivo ISO 27001","OBSERVACIÓN - Revisar Controles")))</f>
        <v/>
      </c>
    </row>
    <row r="1164">
      <c r="A1164" s="99"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c r="AD1164">
        <f>IF(OR(T1164="",Y1164="",AA1164=""),"",IF(AND(T1164="ALTA",OR(AA1164="L0 Inexistente",AA1164="L1 Inicial / Ad Hoc",Y1164="No Iniciado")),"CRÍTICO - Incumplimiento Normativo SEPS",IF(AND(OR(AA1164="L4 Gestionado y Medible",AA1164="L5 Optimizado"),AND(AC1164&lt;&gt;"",AC1164&lt;&gt;"N/A")),"CONFORME - Control Efectivo ISO 27001","OBSERVACIÓN - Revisar Controles")))</f>
        <v/>
      </c>
    </row>
    <row r="1165">
      <c r="A1165" s="99"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c r="AD1165">
        <f>IF(OR(T1165="",Y1165="",AA1165=""),"",IF(AND(T1165="ALTA",OR(AA1165="L0 Inexistente",AA1165="L1 Inicial / Ad Hoc",Y1165="No Iniciado")),"CRÍTICO - Incumplimiento Normativo SEPS",IF(AND(OR(AA1165="L4 Gestionado y Medible",AA1165="L5 Optimizado"),AND(AC1165&lt;&gt;"",AC1165&lt;&gt;"N/A")),"CONFORME - Control Efectivo ISO 27001","OBSERVACIÓN - Revisar Controles")))</f>
        <v/>
      </c>
    </row>
    <row r="1166">
      <c r="A1166" s="99"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c r="AD1166">
        <f>IF(OR(T1166="",Y1166="",AA1166=""),"",IF(AND(T1166="ALTA",OR(AA1166="L0 Inexistente",AA1166="L1 Inicial / Ad Hoc",Y1166="No Iniciado")),"CRÍTICO - Incumplimiento Normativo SEPS",IF(AND(OR(AA1166="L4 Gestionado y Medible",AA1166="L5 Optimizado"),AND(AC1166&lt;&gt;"",AC1166&lt;&gt;"N/A")),"CONFORME - Control Efectivo ISO 27001","OBSERVACIÓN - Revisar Controles")))</f>
        <v/>
      </c>
    </row>
    <row r="1167">
      <c r="A1167" s="99"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c r="AD1167">
        <f>IF(OR(T1167="",Y1167="",AA1167=""),"",IF(AND(T1167="ALTA",OR(AA1167="L0 Inexistente",AA1167="L1 Inicial / Ad Hoc",Y1167="No Iniciado")),"CRÍTICO - Incumplimiento Normativo SEPS",IF(AND(OR(AA1167="L4 Gestionado y Medible",AA1167="L5 Optimizado"),AND(AC1167&lt;&gt;"",AC1167&lt;&gt;"N/A")),"CONFORME - Control Efectivo ISO 27001","OBSERVACIÓN - Revisar Controles")))</f>
        <v/>
      </c>
    </row>
    <row r="1168">
      <c r="A1168" s="99"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c r="AD1168">
        <f>IF(OR(T1168="",Y1168="",AA1168=""),"",IF(AND(T1168="ALTA",OR(AA1168="L0 Inexistente",AA1168="L1 Inicial / Ad Hoc",Y1168="No Iniciado")),"CRÍTICO - Incumplimiento Normativo SEPS",IF(AND(OR(AA1168="L4 Gestionado y Medible",AA1168="L5 Optimizado"),AND(AC1168&lt;&gt;"",AC1168&lt;&gt;"N/A")),"CONFORME - Control Efectivo ISO 27001","OBSERVACIÓN - Revisar Controles")))</f>
        <v/>
      </c>
    </row>
    <row r="1169">
      <c r="A1169" s="99"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c r="AD1169">
        <f>IF(OR(T1169="",Y1169="",AA1169=""),"",IF(AND(T1169="ALTA",OR(AA1169="L0 Inexistente",AA1169="L1 Inicial / Ad Hoc",Y1169="No Iniciado")),"CRÍTICO - Incumplimiento Normativo SEPS",IF(AND(OR(AA1169="L4 Gestionado y Medible",AA1169="L5 Optimizado"),AND(AC1169&lt;&gt;"",AC1169&lt;&gt;"N/A")),"CONFORME - Control Efectivo ISO 27001","OBSERVACIÓN - Revisar Controles")))</f>
        <v/>
      </c>
    </row>
    <row r="1170">
      <c r="A1170" s="99"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c r="AD1170">
        <f>IF(OR(T1170="",Y1170="",AA1170=""),"",IF(AND(T1170="ALTA",OR(AA1170="L0 Inexistente",AA1170="L1 Inicial / Ad Hoc",Y1170="No Iniciado")),"CRÍTICO - Incumplimiento Normativo SEPS",IF(AND(OR(AA1170="L4 Gestionado y Medible",AA1170="L5 Optimizado"),AND(AC1170&lt;&gt;"",AC1170&lt;&gt;"N/A")),"CONFORME - Control Efectivo ISO 27001","OBSERVACIÓN - Revisar Controles")))</f>
        <v/>
      </c>
    </row>
    <row r="1171">
      <c r="A1171" s="99"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c r="AD1171">
        <f>IF(OR(T1171="",Y1171="",AA1171=""),"",IF(AND(T1171="ALTA",OR(AA1171="L0 Inexistente",AA1171="L1 Inicial / Ad Hoc",Y1171="No Iniciado")),"CRÍTICO - Incumplimiento Normativo SEPS",IF(AND(OR(AA1171="L4 Gestionado y Medible",AA1171="L5 Optimizado"),AND(AC1171&lt;&gt;"",AC1171&lt;&gt;"N/A")),"CONFORME - Control Efectivo ISO 27001","OBSERVACIÓN - Revisar Controles")))</f>
        <v/>
      </c>
    </row>
    <row r="1172">
      <c r="A1172" s="99"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c r="AD1172">
        <f>IF(OR(T1172="",Y1172="",AA1172=""),"",IF(AND(T1172="ALTA",OR(AA1172="L0 Inexistente",AA1172="L1 Inicial / Ad Hoc",Y1172="No Iniciado")),"CRÍTICO - Incumplimiento Normativo SEPS",IF(AND(OR(AA1172="L4 Gestionado y Medible",AA1172="L5 Optimizado"),AND(AC1172&lt;&gt;"",AC1172&lt;&gt;"N/A")),"CONFORME - Control Efectivo ISO 27001","OBSERVACIÓN - Revisar Controles")))</f>
        <v/>
      </c>
    </row>
    <row r="1173">
      <c r="A1173" s="99"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c r="AD1173">
        <f>IF(OR(T1173="",Y1173="",AA1173=""),"",IF(AND(T1173="ALTA",OR(AA1173="L0 Inexistente",AA1173="L1 Inicial / Ad Hoc",Y1173="No Iniciado")),"CRÍTICO - Incumplimiento Normativo SEPS",IF(AND(OR(AA1173="L4 Gestionado y Medible",AA1173="L5 Optimizado"),AND(AC1173&lt;&gt;"",AC1173&lt;&gt;"N/A")),"CONFORME - Control Efectivo ISO 27001","OBSERVACIÓN - Revisar Controles")))</f>
        <v/>
      </c>
    </row>
    <row r="1174">
      <c r="A1174" s="99"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c r="AD1174">
        <f>IF(OR(T1174="",Y1174="",AA1174=""),"",IF(AND(T1174="ALTA",OR(AA1174="L0 Inexistente",AA1174="L1 Inicial / Ad Hoc",Y1174="No Iniciado")),"CRÍTICO - Incumplimiento Normativo SEPS",IF(AND(OR(AA1174="L4 Gestionado y Medible",AA1174="L5 Optimizado"),AND(AC1174&lt;&gt;"",AC1174&lt;&gt;"N/A")),"CONFORME - Control Efectivo ISO 27001","OBSERVACIÓN - Revisar Controles")))</f>
        <v/>
      </c>
    </row>
    <row r="1175">
      <c r="A1175" s="99"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c r="AD1175">
        <f>IF(OR(T1175="",Y1175="",AA1175=""),"",IF(AND(T1175="ALTA",OR(AA1175="L0 Inexistente",AA1175="L1 Inicial / Ad Hoc",Y1175="No Iniciado")),"CRÍTICO - Incumplimiento Normativo SEPS",IF(AND(OR(AA1175="L4 Gestionado y Medible",AA1175="L5 Optimizado"),AND(AC1175&lt;&gt;"",AC1175&lt;&gt;"N/A")),"CONFORME - Control Efectivo ISO 27001","OBSERVACIÓN - Revisar Controles")))</f>
        <v/>
      </c>
    </row>
    <row r="1176">
      <c r="A1176" s="99"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c r="AD1176">
        <f>IF(OR(T1176="",Y1176="",AA1176=""),"",IF(AND(T1176="ALTA",OR(AA1176="L0 Inexistente",AA1176="L1 Inicial / Ad Hoc",Y1176="No Iniciado")),"CRÍTICO - Incumplimiento Normativo SEPS",IF(AND(OR(AA1176="L4 Gestionado y Medible",AA1176="L5 Optimizado"),AND(AC1176&lt;&gt;"",AC1176&lt;&gt;"N/A")),"CONFORME - Control Efectivo ISO 27001","OBSERVACIÓN - Revisar Controles")))</f>
        <v/>
      </c>
    </row>
    <row r="1177">
      <c r="A1177" s="99"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c r="AD1177">
        <f>IF(OR(T1177="",Y1177="",AA1177=""),"",IF(AND(T1177="ALTA",OR(AA1177="L0 Inexistente",AA1177="L1 Inicial / Ad Hoc",Y1177="No Iniciado")),"CRÍTICO - Incumplimiento Normativo SEPS",IF(AND(OR(AA1177="L4 Gestionado y Medible",AA1177="L5 Optimizado"),AND(AC1177&lt;&gt;"",AC1177&lt;&gt;"N/A")),"CONFORME - Control Efectivo ISO 27001","OBSERVACIÓN - Revisar Controles")))</f>
        <v/>
      </c>
    </row>
    <row r="1178">
      <c r="A1178" s="99"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c r="AD1178">
        <f>IF(OR(T1178="",Y1178="",AA1178=""),"",IF(AND(T1178="ALTA",OR(AA1178="L0 Inexistente",AA1178="L1 Inicial / Ad Hoc",Y1178="No Iniciado")),"CRÍTICO - Incumplimiento Normativo SEPS",IF(AND(OR(AA1178="L4 Gestionado y Medible",AA1178="L5 Optimizado"),AND(AC1178&lt;&gt;"",AC1178&lt;&gt;"N/A")),"CONFORME - Control Efectivo ISO 27001","OBSERVACIÓN - Revisar Controles")))</f>
        <v/>
      </c>
    </row>
    <row r="1179">
      <c r="A1179" s="99"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c r="AD1179">
        <f>IF(OR(T1179="",Y1179="",AA1179=""),"",IF(AND(T1179="ALTA",OR(AA1179="L0 Inexistente",AA1179="L1 Inicial / Ad Hoc",Y1179="No Iniciado")),"CRÍTICO - Incumplimiento Normativo SEPS",IF(AND(OR(AA1179="L4 Gestionado y Medible",AA1179="L5 Optimizado"),AND(AC1179&lt;&gt;"",AC1179&lt;&gt;"N/A")),"CONFORME - Control Efectivo ISO 27001","OBSERVACIÓN - Revisar Controles")))</f>
        <v/>
      </c>
    </row>
    <row r="1180">
      <c r="A1180" s="99"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c r="AD1180">
        <f>IF(OR(T1180="",Y1180="",AA1180=""),"",IF(AND(T1180="ALTA",OR(AA1180="L0 Inexistente",AA1180="L1 Inicial / Ad Hoc",Y1180="No Iniciado")),"CRÍTICO - Incumplimiento Normativo SEPS",IF(AND(OR(AA1180="L4 Gestionado y Medible",AA1180="L5 Optimizado"),AND(AC1180&lt;&gt;"",AC1180&lt;&gt;"N/A")),"CONFORME - Control Efectivo ISO 27001","OBSERVACIÓN - Revisar Controles")))</f>
        <v/>
      </c>
    </row>
    <row r="1181">
      <c r="A1181" s="99"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c r="AD1181">
        <f>IF(OR(T1181="",Y1181="",AA1181=""),"",IF(AND(T1181="ALTA",OR(AA1181="L0 Inexistente",AA1181="L1 Inicial / Ad Hoc",Y1181="No Iniciado")),"CRÍTICO - Incumplimiento Normativo SEPS",IF(AND(OR(AA1181="L4 Gestionado y Medible",AA1181="L5 Optimizado"),AND(AC1181&lt;&gt;"",AC1181&lt;&gt;"N/A")),"CONFORME - Control Efectivo ISO 27001","OBSERVACIÓN - Revisar Controles")))</f>
        <v/>
      </c>
    </row>
    <row r="1182">
      <c r="A1182" s="99"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c r="AD1182">
        <f>IF(OR(T1182="",Y1182="",AA1182=""),"",IF(AND(T1182="ALTA",OR(AA1182="L0 Inexistente",AA1182="L1 Inicial / Ad Hoc",Y1182="No Iniciado")),"CRÍTICO - Incumplimiento Normativo SEPS",IF(AND(OR(AA1182="L4 Gestionado y Medible",AA1182="L5 Optimizado"),AND(AC1182&lt;&gt;"",AC1182&lt;&gt;"N/A")),"CONFORME - Control Efectivo ISO 27001","OBSERVACIÓN - Revisar Controles")))</f>
        <v/>
      </c>
    </row>
    <row r="1183">
      <c r="A1183" s="99"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c r="AD1183">
        <f>IF(OR(T1183="",Y1183="",AA1183=""),"",IF(AND(T1183="ALTA",OR(AA1183="L0 Inexistente",AA1183="L1 Inicial / Ad Hoc",Y1183="No Iniciado")),"CRÍTICO - Incumplimiento Normativo SEPS",IF(AND(OR(AA1183="L4 Gestionado y Medible",AA1183="L5 Optimizado"),AND(AC1183&lt;&gt;"",AC1183&lt;&gt;"N/A")),"CONFORME - Control Efectivo ISO 27001","OBSERVACIÓN - Revisar Controles")))</f>
        <v/>
      </c>
    </row>
    <row r="1184">
      <c r="A1184" s="99"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c r="AD1184">
        <f>IF(OR(T1184="",Y1184="",AA1184=""),"",IF(AND(T1184="ALTA",OR(AA1184="L0 Inexistente",AA1184="L1 Inicial / Ad Hoc",Y1184="No Iniciado")),"CRÍTICO - Incumplimiento Normativo SEPS",IF(AND(OR(AA1184="L4 Gestionado y Medible",AA1184="L5 Optimizado"),AND(AC1184&lt;&gt;"",AC1184&lt;&gt;"N/A")),"CONFORME - Control Efectivo ISO 27001","OBSERVACIÓN - Revisar Controles")))</f>
        <v/>
      </c>
    </row>
    <row r="1185">
      <c r="A1185" s="99"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c r="AD1185">
        <f>IF(OR(T1185="",Y1185="",AA1185=""),"",IF(AND(T1185="ALTA",OR(AA1185="L0 Inexistente",AA1185="L1 Inicial / Ad Hoc",Y1185="No Iniciado")),"CRÍTICO - Incumplimiento Normativo SEPS",IF(AND(OR(AA1185="L4 Gestionado y Medible",AA1185="L5 Optimizado"),AND(AC1185&lt;&gt;"",AC1185&lt;&gt;"N/A")),"CONFORME - Control Efectivo ISO 27001","OBSERVACIÓN - Revisar Controles")))</f>
        <v/>
      </c>
    </row>
    <row r="1186">
      <c r="A1186" s="99"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c r="AD1186">
        <f>IF(OR(T1186="",Y1186="",AA1186=""),"",IF(AND(T1186="ALTA",OR(AA1186="L0 Inexistente",AA1186="L1 Inicial / Ad Hoc",Y1186="No Iniciado")),"CRÍTICO - Incumplimiento Normativo SEPS",IF(AND(OR(AA1186="L4 Gestionado y Medible",AA1186="L5 Optimizado"),AND(AC1186&lt;&gt;"",AC1186&lt;&gt;"N/A")),"CONFORME - Control Efectivo ISO 27001","OBSERVACIÓN - Revisar Controles")))</f>
        <v/>
      </c>
    </row>
    <row r="1187">
      <c r="A1187" s="99"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c r="AD1187">
        <f>IF(OR(T1187="",Y1187="",AA1187=""),"",IF(AND(T1187="ALTA",OR(AA1187="L0 Inexistente",AA1187="L1 Inicial / Ad Hoc",Y1187="No Iniciado")),"CRÍTICO - Incumplimiento Normativo SEPS",IF(AND(OR(AA1187="L4 Gestionado y Medible",AA1187="L5 Optimizado"),AND(AC1187&lt;&gt;"",AC1187&lt;&gt;"N/A")),"CONFORME - Control Efectivo ISO 27001","OBSERVACIÓN - Revisar Controles")))</f>
        <v/>
      </c>
    </row>
    <row r="1188">
      <c r="A1188" s="99"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c r="AD1188">
        <f>IF(OR(T1188="",Y1188="",AA1188=""),"",IF(AND(T1188="ALTA",OR(AA1188="L0 Inexistente",AA1188="L1 Inicial / Ad Hoc",Y1188="No Iniciado")),"CRÍTICO - Incumplimiento Normativo SEPS",IF(AND(OR(AA1188="L4 Gestionado y Medible",AA1188="L5 Optimizado"),AND(AC1188&lt;&gt;"",AC1188&lt;&gt;"N/A")),"CONFORME - Control Efectivo ISO 27001","OBSERVACIÓN - Revisar Controles")))</f>
        <v/>
      </c>
    </row>
    <row r="1189">
      <c r="A1189" s="99"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c r="AD1189">
        <f>IF(OR(T1189="",Y1189="",AA1189=""),"",IF(AND(T1189="ALTA",OR(AA1189="L0 Inexistente",AA1189="L1 Inicial / Ad Hoc",Y1189="No Iniciado")),"CRÍTICO - Incumplimiento Normativo SEPS",IF(AND(OR(AA1189="L4 Gestionado y Medible",AA1189="L5 Optimizado"),AND(AC1189&lt;&gt;"",AC1189&lt;&gt;"N/A")),"CONFORME - Control Efectivo ISO 27001","OBSERVACIÓN - Revisar Controles")))</f>
        <v/>
      </c>
    </row>
    <row r="1190">
      <c r="A1190" s="99"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c r="AD1190">
        <f>IF(OR(T1190="",Y1190="",AA1190=""),"",IF(AND(T1190="ALTA",OR(AA1190="L0 Inexistente",AA1190="L1 Inicial / Ad Hoc",Y1190="No Iniciado")),"CRÍTICO - Incumplimiento Normativo SEPS",IF(AND(OR(AA1190="L4 Gestionado y Medible",AA1190="L5 Optimizado"),AND(AC1190&lt;&gt;"",AC1190&lt;&gt;"N/A")),"CONFORME - Control Efectivo ISO 27001","OBSERVACIÓN - Revisar Controles")))</f>
        <v/>
      </c>
    </row>
    <row r="1191">
      <c r="A1191" s="99"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c r="AD1191">
        <f>IF(OR(T1191="",Y1191="",AA1191=""),"",IF(AND(T1191="ALTA",OR(AA1191="L0 Inexistente",AA1191="L1 Inicial / Ad Hoc",Y1191="No Iniciado")),"CRÍTICO - Incumplimiento Normativo SEPS",IF(AND(OR(AA1191="L4 Gestionado y Medible",AA1191="L5 Optimizado"),AND(AC1191&lt;&gt;"",AC1191&lt;&gt;"N/A")),"CONFORME - Control Efectivo ISO 27001","OBSERVACIÓN - Revisar Controles")))</f>
        <v/>
      </c>
    </row>
    <row r="1192">
      <c r="A1192" s="99"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c r="AD1192">
        <f>IF(OR(T1192="",Y1192="",AA1192=""),"",IF(AND(T1192="ALTA",OR(AA1192="L0 Inexistente",AA1192="L1 Inicial / Ad Hoc",Y1192="No Iniciado")),"CRÍTICO - Incumplimiento Normativo SEPS",IF(AND(OR(AA1192="L4 Gestionado y Medible",AA1192="L5 Optimizado"),AND(AC1192&lt;&gt;"",AC1192&lt;&gt;"N/A")),"CONFORME - Control Efectivo ISO 27001","OBSERVACIÓN - Revisar Controles")))</f>
        <v/>
      </c>
    </row>
    <row r="1193">
      <c r="A1193" s="99"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c r="AD1193">
        <f>IF(OR(T1193="",Y1193="",AA1193=""),"",IF(AND(T1193="ALTA",OR(AA1193="L0 Inexistente",AA1193="L1 Inicial / Ad Hoc",Y1193="No Iniciado")),"CRÍTICO - Incumplimiento Normativo SEPS",IF(AND(OR(AA1193="L4 Gestionado y Medible",AA1193="L5 Optimizado"),AND(AC1193&lt;&gt;"",AC1193&lt;&gt;"N/A")),"CONFORME - Control Efectivo ISO 27001","OBSERVACIÓN - Revisar Controles")))</f>
        <v/>
      </c>
    </row>
    <row r="1194">
      <c r="A1194" s="99"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c r="AD1194">
        <f>IF(OR(T1194="",Y1194="",AA1194=""),"",IF(AND(T1194="ALTA",OR(AA1194="L0 Inexistente",AA1194="L1 Inicial / Ad Hoc",Y1194="No Iniciado")),"CRÍTICO - Incumplimiento Normativo SEPS",IF(AND(OR(AA1194="L4 Gestionado y Medible",AA1194="L5 Optimizado"),AND(AC1194&lt;&gt;"",AC1194&lt;&gt;"N/A")),"CONFORME - Control Efectivo ISO 27001","OBSERVACIÓN - Revisar Controles")))</f>
        <v/>
      </c>
    </row>
    <row r="1195">
      <c r="A1195" s="99"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c r="AD1195">
        <f>IF(OR(T1195="",Y1195="",AA1195=""),"",IF(AND(T1195="ALTA",OR(AA1195="L0 Inexistente",AA1195="L1 Inicial / Ad Hoc",Y1195="No Iniciado")),"CRÍTICO - Incumplimiento Normativo SEPS",IF(AND(OR(AA1195="L4 Gestionado y Medible",AA1195="L5 Optimizado"),AND(AC1195&lt;&gt;"",AC1195&lt;&gt;"N/A")),"CONFORME - Control Efectivo ISO 27001","OBSERVACIÓN - Revisar Controles")))</f>
        <v/>
      </c>
    </row>
    <row r="1196">
      <c r="A1196" s="99"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c r="AD1196">
        <f>IF(OR(T1196="",Y1196="",AA1196=""),"",IF(AND(T1196="ALTA",OR(AA1196="L0 Inexistente",AA1196="L1 Inicial / Ad Hoc",Y1196="No Iniciado")),"CRÍTICO - Incumplimiento Normativo SEPS",IF(AND(OR(AA1196="L4 Gestionado y Medible",AA1196="L5 Optimizado"),AND(AC1196&lt;&gt;"",AC1196&lt;&gt;"N/A")),"CONFORME - Control Efectivo ISO 27001","OBSERVACIÓN - Revisar Controles")))</f>
        <v/>
      </c>
    </row>
    <row r="1197">
      <c r="A1197" s="99"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c r="AD1197">
        <f>IF(OR(T1197="",Y1197="",AA1197=""),"",IF(AND(T1197="ALTA",OR(AA1197="L0 Inexistente",AA1197="L1 Inicial / Ad Hoc",Y1197="No Iniciado")),"CRÍTICO - Incumplimiento Normativo SEPS",IF(AND(OR(AA1197="L4 Gestionado y Medible",AA1197="L5 Optimizado"),AND(AC1197&lt;&gt;"",AC1197&lt;&gt;"N/A")),"CONFORME - Control Efectivo ISO 27001","OBSERVACIÓN - Revisar Controles")))</f>
        <v/>
      </c>
    </row>
    <row r="1198">
      <c r="A1198" s="99"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c r="AD1198">
        <f>IF(OR(T1198="",Y1198="",AA1198=""),"",IF(AND(T1198="ALTA",OR(AA1198="L0 Inexistente",AA1198="L1 Inicial / Ad Hoc",Y1198="No Iniciado")),"CRÍTICO - Incumplimiento Normativo SEPS",IF(AND(OR(AA1198="L4 Gestionado y Medible",AA1198="L5 Optimizado"),AND(AC1198&lt;&gt;"",AC1198&lt;&gt;"N/A")),"CONFORME - Control Efectivo ISO 27001","OBSERVACIÓN - Revisar Controles")))</f>
        <v/>
      </c>
    </row>
    <row r="1199">
      <c r="A1199" s="99"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c r="AD1199">
        <f>IF(OR(T1199="",Y1199="",AA1199=""),"",IF(AND(T1199="ALTA",OR(AA1199="L0 Inexistente",AA1199="L1 Inicial / Ad Hoc",Y1199="No Iniciado")),"CRÍTICO - Incumplimiento Normativo SEPS",IF(AND(OR(AA1199="L4 Gestionado y Medible",AA1199="L5 Optimizado"),AND(AC1199&lt;&gt;"",AC1199&lt;&gt;"N/A")),"CONFORME - Control Efectivo ISO 27001","OBSERVACIÓN - Revisar Controles")))</f>
        <v/>
      </c>
    </row>
    <row r="1200">
      <c r="A1200" s="99"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c r="AD1200">
        <f>IF(OR(T1200="",Y1200="",AA1200=""),"",IF(AND(T1200="ALTA",OR(AA1200="L0 Inexistente",AA1200="L1 Inicial / Ad Hoc",Y1200="No Iniciado")),"CRÍTICO - Incumplimiento Normativo SEPS",IF(AND(OR(AA1200="L4 Gestionado y Medible",AA1200="L5 Optimizado"),AND(AC1200&lt;&gt;"",AC1200&lt;&gt;"N/A")),"CONFORME - Control Efectivo ISO 27001","OBSERVACIÓN - Revisar Controles")))</f>
        <v/>
      </c>
    </row>
    <row r="1201">
      <c r="A1201" s="99"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c r="AD1201">
        <f>IF(OR(T1201="",Y1201="",AA1201=""),"",IF(AND(T1201="ALTA",OR(AA1201="L0 Inexistente",AA1201="L1 Inicial / Ad Hoc",Y1201="No Iniciado")),"CRÍTICO - Incumplimiento Normativo SEPS",IF(AND(OR(AA1201="L4 Gestionado y Medible",AA1201="L5 Optimizado"),AND(AC1201&lt;&gt;"",AC1201&lt;&gt;"N/A")),"CONFORME - Control Efectivo ISO 27001","OBSERVACIÓN - Revisar Controles")))</f>
        <v/>
      </c>
    </row>
    <row r="1202">
      <c r="A1202" s="99"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c r="AD1202">
        <f>IF(OR(T1202="",Y1202="",AA1202=""),"",IF(AND(T1202="ALTA",OR(AA1202="L0 Inexistente",AA1202="L1 Inicial / Ad Hoc",Y1202="No Iniciado")),"CRÍTICO - Incumplimiento Normativo SEPS",IF(AND(OR(AA1202="L4 Gestionado y Medible",AA1202="L5 Optimizado"),AND(AC1202&lt;&gt;"",AC1202&lt;&gt;"N/A")),"CONFORME - Control Efectivo ISO 27001","OBSERVACIÓN - Revisar Controles")))</f>
        <v/>
      </c>
    </row>
    <row r="1203">
      <c r="A1203" s="99"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c r="AD1203">
        <f>IF(OR(T1203="",Y1203="",AA1203=""),"",IF(AND(T1203="ALTA",OR(AA1203="L0 Inexistente",AA1203="L1 Inicial / Ad Hoc",Y1203="No Iniciado")),"CRÍTICO - Incumplimiento Normativo SEPS",IF(AND(OR(AA1203="L4 Gestionado y Medible",AA1203="L5 Optimizado"),AND(AC1203&lt;&gt;"",AC1203&lt;&gt;"N/A")),"CONFORME - Control Efectivo ISO 27001","OBSERVACIÓN - Revisar Controles")))</f>
        <v/>
      </c>
    </row>
    <row r="1204">
      <c r="A1204" s="99"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c r="AD1204">
        <f>IF(OR(T1204="",Y1204="",AA1204=""),"",IF(AND(T1204="ALTA",OR(AA1204="L0 Inexistente",AA1204="L1 Inicial / Ad Hoc",Y1204="No Iniciado")),"CRÍTICO - Incumplimiento Normativo SEPS",IF(AND(OR(AA1204="L4 Gestionado y Medible",AA1204="L5 Optimizado"),AND(AC1204&lt;&gt;"",AC1204&lt;&gt;"N/A")),"CONFORME - Control Efectivo ISO 27001","OBSERVACIÓN - Revisar Controles")))</f>
        <v/>
      </c>
    </row>
    <row r="1205">
      <c r="A1205" s="99"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c r="AD1205">
        <f>IF(OR(T1205="",Y1205="",AA1205=""),"",IF(AND(T1205="ALTA",OR(AA1205="L0 Inexistente",AA1205="L1 Inicial / Ad Hoc",Y1205="No Iniciado")),"CRÍTICO - Incumplimiento Normativo SEPS",IF(AND(OR(AA1205="L4 Gestionado y Medible",AA1205="L5 Optimizado"),AND(AC1205&lt;&gt;"",AC1205&lt;&gt;"N/A")),"CONFORME - Control Efectivo ISO 27001","OBSERVACIÓN - Revisar Controles")))</f>
        <v/>
      </c>
    </row>
    <row r="1206">
      <c r="A1206" s="99"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c r="AD1206">
        <f>IF(OR(T1206="",Y1206="",AA1206=""),"",IF(AND(T1206="ALTA",OR(AA1206="L0 Inexistente",AA1206="L1 Inicial / Ad Hoc",Y1206="No Iniciado")),"CRÍTICO - Incumplimiento Normativo SEPS",IF(AND(OR(AA1206="L4 Gestionado y Medible",AA1206="L5 Optimizado"),AND(AC1206&lt;&gt;"",AC1206&lt;&gt;"N/A")),"CONFORME - Control Efectivo ISO 27001","OBSERVACIÓN - Revisar Controles")))</f>
        <v/>
      </c>
    </row>
    <row r="1207">
      <c r="A1207" s="99"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c r="AD1207">
        <f>IF(OR(T1207="",Y1207="",AA1207=""),"",IF(AND(T1207="ALTA",OR(AA1207="L0 Inexistente",AA1207="L1 Inicial / Ad Hoc",Y1207="No Iniciado")),"CRÍTICO - Incumplimiento Normativo SEPS",IF(AND(OR(AA1207="L4 Gestionado y Medible",AA1207="L5 Optimizado"),AND(AC1207&lt;&gt;"",AC1207&lt;&gt;"N/A")),"CONFORME - Control Efectivo ISO 27001","OBSERVACIÓN - Revisar Controles")))</f>
        <v/>
      </c>
    </row>
    <row r="1208">
      <c r="A1208" s="99"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c r="AD1208">
        <f>IF(OR(T1208="",Y1208="",AA1208=""),"",IF(AND(T1208="ALTA",OR(AA1208="L0 Inexistente",AA1208="L1 Inicial / Ad Hoc",Y1208="No Iniciado")),"CRÍTICO - Incumplimiento Normativo SEPS",IF(AND(OR(AA1208="L4 Gestionado y Medible",AA1208="L5 Optimizado"),AND(AC1208&lt;&gt;"",AC1208&lt;&gt;"N/A")),"CONFORME - Control Efectivo ISO 27001","OBSERVACIÓN - Revisar Controles")))</f>
        <v/>
      </c>
    </row>
    <row r="1209">
      <c r="A1209" s="99"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c r="AD1209">
        <f>IF(OR(T1209="",Y1209="",AA1209=""),"",IF(AND(T1209="ALTA",OR(AA1209="L0 Inexistente",AA1209="L1 Inicial / Ad Hoc",Y1209="No Iniciado")),"CRÍTICO - Incumplimiento Normativo SEPS",IF(AND(OR(AA1209="L4 Gestionado y Medible",AA1209="L5 Optimizado"),AND(AC1209&lt;&gt;"",AC1209&lt;&gt;"N/A")),"CONFORME - Control Efectivo ISO 27001","OBSERVACIÓN - Revisar Controles")))</f>
        <v/>
      </c>
    </row>
    <row r="1210">
      <c r="A1210" s="99"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c r="AD1210">
        <f>IF(OR(T1210="",Y1210="",AA1210=""),"",IF(AND(T1210="ALTA",OR(AA1210="L0 Inexistente",AA1210="L1 Inicial / Ad Hoc",Y1210="No Iniciado")),"CRÍTICO - Incumplimiento Normativo SEPS",IF(AND(OR(AA1210="L4 Gestionado y Medible",AA1210="L5 Optimizado"),AND(AC1210&lt;&gt;"",AC1210&lt;&gt;"N/A")),"CONFORME - Control Efectivo ISO 27001","OBSERVACIÓN - Revisar Controles")))</f>
        <v/>
      </c>
    </row>
    <row r="1211">
      <c r="A1211" s="99"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c r="AD1211">
        <f>IF(OR(T1211="",Y1211="",AA1211=""),"",IF(AND(T1211="ALTA",OR(AA1211="L0 Inexistente",AA1211="L1 Inicial / Ad Hoc",Y1211="No Iniciado")),"CRÍTICO - Incumplimiento Normativo SEPS",IF(AND(OR(AA1211="L4 Gestionado y Medible",AA1211="L5 Optimizado"),AND(AC1211&lt;&gt;"",AC1211&lt;&gt;"N/A")),"CONFORME - Control Efectivo ISO 27001","OBSERVACIÓN - Revisar Controles")))</f>
        <v/>
      </c>
    </row>
    <row r="1212">
      <c r="A1212" s="99"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c r="AD1212">
        <f>IF(OR(T1212="",Y1212="",AA1212=""),"",IF(AND(T1212="ALTA",OR(AA1212="L0 Inexistente",AA1212="L1 Inicial / Ad Hoc",Y1212="No Iniciado")),"CRÍTICO - Incumplimiento Normativo SEPS",IF(AND(OR(AA1212="L4 Gestionado y Medible",AA1212="L5 Optimizado"),AND(AC1212&lt;&gt;"",AC1212&lt;&gt;"N/A")),"CONFORME - Control Efectivo ISO 27001","OBSERVACIÓN - Revisar Controles")))</f>
        <v/>
      </c>
    </row>
    <row r="1213">
      <c r="A1213" s="99"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c r="AD1213">
        <f>IF(OR(T1213="",Y1213="",AA1213=""),"",IF(AND(T1213="ALTA",OR(AA1213="L0 Inexistente",AA1213="L1 Inicial / Ad Hoc",Y1213="No Iniciado")),"CRÍTICO - Incumplimiento Normativo SEPS",IF(AND(OR(AA1213="L4 Gestionado y Medible",AA1213="L5 Optimizado"),AND(AC1213&lt;&gt;"",AC1213&lt;&gt;"N/A")),"CONFORME - Control Efectivo ISO 27001","OBSERVACIÓN - Revisar Controles")))</f>
        <v/>
      </c>
    </row>
    <row r="1214">
      <c r="A1214" s="99"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c r="AD1214">
        <f>IF(OR(T1214="",Y1214="",AA1214=""),"",IF(AND(T1214="ALTA",OR(AA1214="L0 Inexistente",AA1214="L1 Inicial / Ad Hoc",Y1214="No Iniciado")),"CRÍTICO - Incumplimiento Normativo SEPS",IF(AND(OR(AA1214="L4 Gestionado y Medible",AA1214="L5 Optimizado"),AND(AC1214&lt;&gt;"",AC1214&lt;&gt;"N/A")),"CONFORME - Control Efectivo ISO 27001","OBSERVACIÓN - Revisar Controles")))</f>
        <v/>
      </c>
    </row>
    <row r="1215">
      <c r="A1215" s="99"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c r="AD1215">
        <f>IF(OR(T1215="",Y1215="",AA1215=""),"",IF(AND(T1215="ALTA",OR(AA1215="L0 Inexistente",AA1215="L1 Inicial / Ad Hoc",Y1215="No Iniciado")),"CRÍTICO - Incumplimiento Normativo SEPS",IF(AND(OR(AA1215="L4 Gestionado y Medible",AA1215="L5 Optimizado"),AND(AC1215&lt;&gt;"",AC1215&lt;&gt;"N/A")),"CONFORME - Control Efectivo ISO 27001","OBSERVACIÓN - Revisar Controles")))</f>
        <v/>
      </c>
    </row>
    <row r="1216">
      <c r="A1216" s="99"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c r="AD1216">
        <f>IF(OR(T1216="",Y1216="",AA1216=""),"",IF(AND(T1216="ALTA",OR(AA1216="L0 Inexistente",AA1216="L1 Inicial / Ad Hoc",Y1216="No Iniciado")),"CRÍTICO - Incumplimiento Normativo SEPS",IF(AND(OR(AA1216="L4 Gestionado y Medible",AA1216="L5 Optimizado"),AND(AC1216&lt;&gt;"",AC1216&lt;&gt;"N/A")),"CONFORME - Control Efectivo ISO 27001","OBSERVACIÓN - Revisar Controles")))</f>
        <v/>
      </c>
    </row>
    <row r="1217">
      <c r="A1217" s="99"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c r="AD1217">
        <f>IF(OR(T1217="",Y1217="",AA1217=""),"",IF(AND(T1217="ALTA",OR(AA1217="L0 Inexistente",AA1217="L1 Inicial / Ad Hoc",Y1217="No Iniciado")),"CRÍTICO - Incumplimiento Normativo SEPS",IF(AND(OR(AA1217="L4 Gestionado y Medible",AA1217="L5 Optimizado"),AND(AC1217&lt;&gt;"",AC1217&lt;&gt;"N/A")),"CONFORME - Control Efectivo ISO 27001","OBSERVACIÓN - Revisar Controles")))</f>
        <v/>
      </c>
    </row>
    <row r="1218">
      <c r="A1218" s="99"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c r="AD1218">
        <f>IF(OR(T1218="",Y1218="",AA1218=""),"",IF(AND(T1218="ALTA",OR(AA1218="L0 Inexistente",AA1218="L1 Inicial / Ad Hoc",Y1218="No Iniciado")),"CRÍTICO - Incumplimiento Normativo SEPS",IF(AND(OR(AA1218="L4 Gestionado y Medible",AA1218="L5 Optimizado"),AND(AC1218&lt;&gt;"",AC1218&lt;&gt;"N/A")),"CONFORME - Control Efectivo ISO 27001","OBSERVACIÓN - Revisar Controles")))</f>
        <v/>
      </c>
    </row>
    <row r="1219">
      <c r="A1219" s="99"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c r="AD1219">
        <f>IF(OR(T1219="",Y1219="",AA1219=""),"",IF(AND(T1219="ALTA",OR(AA1219="L0 Inexistente",AA1219="L1 Inicial / Ad Hoc",Y1219="No Iniciado")),"CRÍTICO - Incumplimiento Normativo SEPS",IF(AND(OR(AA1219="L4 Gestionado y Medible",AA1219="L5 Optimizado"),AND(AC1219&lt;&gt;"",AC1219&lt;&gt;"N/A")),"CONFORME - Control Efectivo ISO 27001","OBSERVACIÓN - Revisar Controles")))</f>
        <v/>
      </c>
    </row>
    <row r="1220">
      <c r="A1220" s="99"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c r="AD1220">
        <f>IF(OR(T1220="",Y1220="",AA1220=""),"",IF(AND(T1220="ALTA",OR(AA1220="L0 Inexistente",AA1220="L1 Inicial / Ad Hoc",Y1220="No Iniciado")),"CRÍTICO - Incumplimiento Normativo SEPS",IF(AND(OR(AA1220="L4 Gestionado y Medible",AA1220="L5 Optimizado"),AND(AC1220&lt;&gt;"",AC1220&lt;&gt;"N/A")),"CONFORME - Control Efectivo ISO 27001","OBSERVACIÓN - Revisar Controles")))</f>
        <v/>
      </c>
    </row>
    <row r="1221">
      <c r="A1221" s="99"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c r="AD1221">
        <f>IF(OR(T1221="",Y1221="",AA1221=""),"",IF(AND(T1221="ALTA",OR(AA1221="L0 Inexistente",AA1221="L1 Inicial / Ad Hoc",Y1221="No Iniciado")),"CRÍTICO - Incumplimiento Normativo SEPS",IF(AND(OR(AA1221="L4 Gestionado y Medible",AA1221="L5 Optimizado"),AND(AC1221&lt;&gt;"",AC1221&lt;&gt;"N/A")),"CONFORME - Control Efectivo ISO 27001","OBSERVACIÓN - Revisar Controles")))</f>
        <v/>
      </c>
    </row>
    <row r="1222">
      <c r="A1222" s="99"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c r="AD1222">
        <f>IF(OR(T1222="",Y1222="",AA1222=""),"",IF(AND(T1222="ALTA",OR(AA1222="L0 Inexistente",AA1222="L1 Inicial / Ad Hoc",Y1222="No Iniciado")),"CRÍTICO - Incumplimiento Normativo SEPS",IF(AND(OR(AA1222="L4 Gestionado y Medible",AA1222="L5 Optimizado"),AND(AC1222&lt;&gt;"",AC1222&lt;&gt;"N/A")),"CONFORME - Control Efectivo ISO 27001","OBSERVACIÓN - Revisar Controles")))</f>
        <v/>
      </c>
    </row>
    <row r="1223">
      <c r="A1223" s="99"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c r="AD1223">
        <f>IF(OR(T1223="",Y1223="",AA1223=""),"",IF(AND(T1223="ALTA",OR(AA1223="L0 Inexistente",AA1223="L1 Inicial / Ad Hoc",Y1223="No Iniciado")),"CRÍTICO - Incumplimiento Normativo SEPS",IF(AND(OR(AA1223="L4 Gestionado y Medible",AA1223="L5 Optimizado"),AND(AC1223&lt;&gt;"",AC1223&lt;&gt;"N/A")),"CONFORME - Control Efectivo ISO 27001","OBSERVACIÓN - Revisar Controles")))</f>
        <v/>
      </c>
    </row>
    <row r="1224">
      <c r="A1224" s="99"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c r="AD1224">
        <f>IF(OR(T1224="",Y1224="",AA1224=""),"",IF(AND(T1224="ALTA",OR(AA1224="L0 Inexistente",AA1224="L1 Inicial / Ad Hoc",Y1224="No Iniciado")),"CRÍTICO - Incumplimiento Normativo SEPS",IF(AND(OR(AA1224="L4 Gestionado y Medible",AA1224="L5 Optimizado"),AND(AC1224&lt;&gt;"",AC1224&lt;&gt;"N/A")),"CONFORME - Control Efectivo ISO 27001","OBSERVACIÓN - Revisar Controles")))</f>
        <v/>
      </c>
    </row>
    <row r="1225">
      <c r="A1225" s="99"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c r="AD1225">
        <f>IF(OR(T1225="",Y1225="",AA1225=""),"",IF(AND(T1225="ALTA",OR(AA1225="L0 Inexistente",AA1225="L1 Inicial / Ad Hoc",Y1225="No Iniciado")),"CRÍTICO - Incumplimiento Normativo SEPS",IF(AND(OR(AA1225="L4 Gestionado y Medible",AA1225="L5 Optimizado"),AND(AC1225&lt;&gt;"",AC1225&lt;&gt;"N/A")),"CONFORME - Control Efectivo ISO 27001","OBSERVACIÓN - Revisar Controles")))</f>
        <v/>
      </c>
    </row>
    <row r="1226">
      <c r="A1226" s="99"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c r="AD1226">
        <f>IF(OR(T1226="",Y1226="",AA1226=""),"",IF(AND(T1226="ALTA",OR(AA1226="L0 Inexistente",AA1226="L1 Inicial / Ad Hoc",Y1226="No Iniciado")),"CRÍTICO - Incumplimiento Normativo SEPS",IF(AND(OR(AA1226="L4 Gestionado y Medible",AA1226="L5 Optimizado"),AND(AC1226&lt;&gt;"",AC1226&lt;&gt;"N/A")),"CONFORME - Control Efectivo ISO 27001","OBSERVACIÓN - Revisar Controles")))</f>
        <v/>
      </c>
    </row>
    <row r="1227">
      <c r="A1227" s="99"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c r="AD1227">
        <f>IF(OR(T1227="",Y1227="",AA1227=""),"",IF(AND(T1227="ALTA",OR(AA1227="L0 Inexistente",AA1227="L1 Inicial / Ad Hoc",Y1227="No Iniciado")),"CRÍTICO - Incumplimiento Normativo SEPS",IF(AND(OR(AA1227="L4 Gestionado y Medible",AA1227="L5 Optimizado"),AND(AC1227&lt;&gt;"",AC1227&lt;&gt;"N/A")),"CONFORME - Control Efectivo ISO 27001","OBSERVACIÓN - Revisar Controles")))</f>
        <v/>
      </c>
    </row>
    <row r="1228">
      <c r="A1228" s="99"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c r="AD1228">
        <f>IF(OR(T1228="",Y1228="",AA1228=""),"",IF(AND(T1228="ALTA",OR(AA1228="L0 Inexistente",AA1228="L1 Inicial / Ad Hoc",Y1228="No Iniciado")),"CRÍTICO - Incumplimiento Normativo SEPS",IF(AND(OR(AA1228="L4 Gestionado y Medible",AA1228="L5 Optimizado"),AND(AC1228&lt;&gt;"",AC1228&lt;&gt;"N/A")),"CONFORME - Control Efectivo ISO 27001","OBSERVACIÓN - Revisar Controles")))</f>
        <v/>
      </c>
    </row>
    <row r="1229">
      <c r="A1229" s="99"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c r="AD1229">
        <f>IF(OR(T1229="",Y1229="",AA1229=""),"",IF(AND(T1229="ALTA",OR(AA1229="L0 Inexistente",AA1229="L1 Inicial / Ad Hoc",Y1229="No Iniciado")),"CRÍTICO - Incumplimiento Normativo SEPS",IF(AND(OR(AA1229="L4 Gestionado y Medible",AA1229="L5 Optimizado"),AND(AC1229&lt;&gt;"",AC1229&lt;&gt;"N/A")),"CONFORME - Control Efectivo ISO 27001","OBSERVACIÓN - Revisar Controles")))</f>
        <v/>
      </c>
    </row>
    <row r="1230">
      <c r="A1230" s="99"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c r="AD1230">
        <f>IF(OR(T1230="",Y1230="",AA1230=""),"",IF(AND(T1230="ALTA",OR(AA1230="L0 Inexistente",AA1230="L1 Inicial / Ad Hoc",Y1230="No Iniciado")),"CRÍTICO - Incumplimiento Normativo SEPS",IF(AND(OR(AA1230="L4 Gestionado y Medible",AA1230="L5 Optimizado"),AND(AC1230&lt;&gt;"",AC1230&lt;&gt;"N/A")),"CONFORME - Control Efectivo ISO 27001","OBSERVACIÓN - Revisar Controles")))</f>
        <v/>
      </c>
    </row>
    <row r="1231">
      <c r="A1231" s="99"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c r="AD1231">
        <f>IF(OR(T1231="",Y1231="",AA1231=""),"",IF(AND(T1231="ALTA",OR(AA1231="L0 Inexistente",AA1231="L1 Inicial / Ad Hoc",Y1231="No Iniciado")),"CRÍTICO - Incumplimiento Normativo SEPS",IF(AND(OR(AA1231="L4 Gestionado y Medible",AA1231="L5 Optimizado"),AND(AC1231&lt;&gt;"",AC1231&lt;&gt;"N/A")),"CONFORME - Control Efectivo ISO 27001","OBSERVACIÓN - Revisar Controles")))</f>
        <v/>
      </c>
    </row>
    <row r="1232">
      <c r="A1232" s="99"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c r="AD1232">
        <f>IF(OR(T1232="",Y1232="",AA1232=""),"",IF(AND(T1232="ALTA",OR(AA1232="L0 Inexistente",AA1232="L1 Inicial / Ad Hoc",Y1232="No Iniciado")),"CRÍTICO - Incumplimiento Normativo SEPS",IF(AND(OR(AA1232="L4 Gestionado y Medible",AA1232="L5 Optimizado"),AND(AC1232&lt;&gt;"",AC1232&lt;&gt;"N/A")),"CONFORME - Control Efectivo ISO 27001","OBSERVACIÓN - Revisar Controles")))</f>
        <v/>
      </c>
    </row>
    <row r="1233">
      <c r="A1233" s="99"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c r="AD1233">
        <f>IF(OR(T1233="",Y1233="",AA1233=""),"",IF(AND(T1233="ALTA",OR(AA1233="L0 Inexistente",AA1233="L1 Inicial / Ad Hoc",Y1233="No Iniciado")),"CRÍTICO - Incumplimiento Normativo SEPS",IF(AND(OR(AA1233="L4 Gestionado y Medible",AA1233="L5 Optimizado"),AND(AC1233&lt;&gt;"",AC1233&lt;&gt;"N/A")),"CONFORME - Control Efectivo ISO 27001","OBSERVACIÓN - Revisar Controles")))</f>
        <v/>
      </c>
    </row>
    <row r="1234">
      <c r="A1234" s="99"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c r="AD1234">
        <f>IF(OR(T1234="",Y1234="",AA1234=""),"",IF(AND(T1234="ALTA",OR(AA1234="L0 Inexistente",AA1234="L1 Inicial / Ad Hoc",Y1234="No Iniciado")),"CRÍTICO - Incumplimiento Normativo SEPS",IF(AND(OR(AA1234="L4 Gestionado y Medible",AA1234="L5 Optimizado"),AND(AC1234&lt;&gt;"",AC1234&lt;&gt;"N/A")),"CONFORME - Control Efectivo ISO 27001","OBSERVACIÓN - Revisar Controles")))</f>
        <v/>
      </c>
    </row>
    <row r="1235">
      <c r="A1235" s="99"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c r="AD1235">
        <f>IF(OR(T1235="",Y1235="",AA1235=""),"",IF(AND(T1235="ALTA",OR(AA1235="L0 Inexistente",AA1235="L1 Inicial / Ad Hoc",Y1235="No Iniciado")),"CRÍTICO - Incumplimiento Normativo SEPS",IF(AND(OR(AA1235="L4 Gestionado y Medible",AA1235="L5 Optimizado"),AND(AC1235&lt;&gt;"",AC1235&lt;&gt;"N/A")),"CONFORME - Control Efectivo ISO 27001","OBSERVACIÓN - Revisar Controles")))</f>
        <v/>
      </c>
    </row>
    <row r="1236">
      <c r="A1236" s="99"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c r="AD1236">
        <f>IF(OR(T1236="",Y1236="",AA1236=""),"",IF(AND(T1236="ALTA",OR(AA1236="L0 Inexistente",AA1236="L1 Inicial / Ad Hoc",Y1236="No Iniciado")),"CRÍTICO - Incumplimiento Normativo SEPS",IF(AND(OR(AA1236="L4 Gestionado y Medible",AA1236="L5 Optimizado"),AND(AC1236&lt;&gt;"",AC1236&lt;&gt;"N/A")),"CONFORME - Control Efectivo ISO 27001","OBSERVACIÓN - Revisar Controles")))</f>
        <v/>
      </c>
    </row>
    <row r="1237">
      <c r="A1237" s="99"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c r="AD1237">
        <f>IF(OR(T1237="",Y1237="",AA1237=""),"",IF(AND(T1237="ALTA",OR(AA1237="L0 Inexistente",AA1237="L1 Inicial / Ad Hoc",Y1237="No Iniciado")),"CRÍTICO - Incumplimiento Normativo SEPS",IF(AND(OR(AA1237="L4 Gestionado y Medible",AA1237="L5 Optimizado"),AND(AC1237&lt;&gt;"",AC1237&lt;&gt;"N/A")),"CONFORME - Control Efectivo ISO 27001","OBSERVACIÓN - Revisar Controles")))</f>
        <v/>
      </c>
    </row>
    <row r="1238">
      <c r="A1238" s="99"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c r="AD1238">
        <f>IF(OR(T1238="",Y1238="",AA1238=""),"",IF(AND(T1238="ALTA",OR(AA1238="L0 Inexistente",AA1238="L1 Inicial / Ad Hoc",Y1238="No Iniciado")),"CRÍTICO - Incumplimiento Normativo SEPS",IF(AND(OR(AA1238="L4 Gestionado y Medible",AA1238="L5 Optimizado"),AND(AC1238&lt;&gt;"",AC1238&lt;&gt;"N/A")),"CONFORME - Control Efectivo ISO 27001","OBSERVACIÓN - Revisar Controles")))</f>
        <v/>
      </c>
    </row>
    <row r="1239">
      <c r="A1239" s="99"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c r="AD1239">
        <f>IF(OR(T1239="",Y1239="",AA1239=""),"",IF(AND(T1239="ALTA",OR(AA1239="L0 Inexistente",AA1239="L1 Inicial / Ad Hoc",Y1239="No Iniciado")),"CRÍTICO - Incumplimiento Normativo SEPS",IF(AND(OR(AA1239="L4 Gestionado y Medible",AA1239="L5 Optimizado"),AND(AC1239&lt;&gt;"",AC1239&lt;&gt;"N/A")),"CONFORME - Control Efectivo ISO 27001","OBSERVACIÓN - Revisar Controles")))</f>
        <v/>
      </c>
    </row>
    <row r="1240">
      <c r="A1240" s="99"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c r="AD1240">
        <f>IF(OR(T1240="",Y1240="",AA1240=""),"",IF(AND(T1240="ALTA",OR(AA1240="L0 Inexistente",AA1240="L1 Inicial / Ad Hoc",Y1240="No Iniciado")),"CRÍTICO - Incumplimiento Normativo SEPS",IF(AND(OR(AA1240="L4 Gestionado y Medible",AA1240="L5 Optimizado"),AND(AC1240&lt;&gt;"",AC1240&lt;&gt;"N/A")),"CONFORME - Control Efectivo ISO 27001","OBSERVACIÓN - Revisar Controles")))</f>
        <v/>
      </c>
    </row>
    <row r="1241">
      <c r="A1241" s="99"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c r="AD1241">
        <f>IF(OR(T1241="",Y1241="",AA1241=""),"",IF(AND(T1241="ALTA",OR(AA1241="L0 Inexistente",AA1241="L1 Inicial / Ad Hoc",Y1241="No Iniciado")),"CRÍTICO - Incumplimiento Normativo SEPS",IF(AND(OR(AA1241="L4 Gestionado y Medible",AA1241="L5 Optimizado"),AND(AC1241&lt;&gt;"",AC1241&lt;&gt;"N/A")),"CONFORME - Control Efectivo ISO 27001","OBSERVACIÓN - Revisar Controles")))</f>
        <v/>
      </c>
    </row>
    <row r="1242">
      <c r="A1242" s="99"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c r="AD1242">
        <f>IF(OR(T1242="",Y1242="",AA1242=""),"",IF(AND(T1242="ALTA",OR(AA1242="L0 Inexistente",AA1242="L1 Inicial / Ad Hoc",Y1242="No Iniciado")),"CRÍTICO - Incumplimiento Normativo SEPS",IF(AND(OR(AA1242="L4 Gestionado y Medible",AA1242="L5 Optimizado"),AND(AC1242&lt;&gt;"",AC1242&lt;&gt;"N/A")),"CONFORME - Control Efectivo ISO 27001","OBSERVACIÓN - Revisar Controles")))</f>
        <v/>
      </c>
    </row>
    <row r="1243">
      <c r="A1243" s="99"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c r="AD1243">
        <f>IF(OR(T1243="",Y1243="",AA1243=""),"",IF(AND(T1243="ALTA",OR(AA1243="L0 Inexistente",AA1243="L1 Inicial / Ad Hoc",Y1243="No Iniciado")),"CRÍTICO - Incumplimiento Normativo SEPS",IF(AND(OR(AA1243="L4 Gestionado y Medible",AA1243="L5 Optimizado"),AND(AC1243&lt;&gt;"",AC1243&lt;&gt;"N/A")),"CONFORME - Control Efectivo ISO 27001","OBSERVACIÓN - Revisar Controles")))</f>
        <v/>
      </c>
    </row>
    <row r="1244">
      <c r="A1244" s="99"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c r="AD1244">
        <f>IF(OR(T1244="",Y1244="",AA1244=""),"",IF(AND(T1244="ALTA",OR(AA1244="L0 Inexistente",AA1244="L1 Inicial / Ad Hoc",Y1244="No Iniciado")),"CRÍTICO - Incumplimiento Normativo SEPS",IF(AND(OR(AA1244="L4 Gestionado y Medible",AA1244="L5 Optimizado"),AND(AC1244&lt;&gt;"",AC1244&lt;&gt;"N/A")),"CONFORME - Control Efectivo ISO 27001","OBSERVACIÓN - Revisar Controles")))</f>
        <v/>
      </c>
    </row>
    <row r="1245">
      <c r="A1245" s="99"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c r="AD1245">
        <f>IF(OR(T1245="",Y1245="",AA1245=""),"",IF(AND(T1245="ALTA",OR(AA1245="L0 Inexistente",AA1245="L1 Inicial / Ad Hoc",Y1245="No Iniciado")),"CRÍTICO - Incumplimiento Normativo SEPS",IF(AND(OR(AA1245="L4 Gestionado y Medible",AA1245="L5 Optimizado"),AND(AC1245&lt;&gt;"",AC1245&lt;&gt;"N/A")),"CONFORME - Control Efectivo ISO 27001","OBSERVACIÓN - Revisar Controles")))</f>
        <v/>
      </c>
    </row>
    <row r="1246">
      <c r="A1246" s="99"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c r="AD1246">
        <f>IF(OR(T1246="",Y1246="",AA1246=""),"",IF(AND(T1246="ALTA",OR(AA1246="L0 Inexistente",AA1246="L1 Inicial / Ad Hoc",Y1246="No Iniciado")),"CRÍTICO - Incumplimiento Normativo SEPS",IF(AND(OR(AA1246="L4 Gestionado y Medible",AA1246="L5 Optimizado"),AND(AC1246&lt;&gt;"",AC1246&lt;&gt;"N/A")),"CONFORME - Control Efectivo ISO 27001","OBSERVACIÓN - Revisar Controles")))</f>
        <v/>
      </c>
    </row>
    <row r="1247">
      <c r="A1247" s="99"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c r="AD1247">
        <f>IF(OR(T1247="",Y1247="",AA1247=""),"",IF(AND(T1247="ALTA",OR(AA1247="L0 Inexistente",AA1247="L1 Inicial / Ad Hoc",Y1247="No Iniciado")),"CRÍTICO - Incumplimiento Normativo SEPS",IF(AND(OR(AA1247="L4 Gestionado y Medible",AA1247="L5 Optimizado"),AND(AC1247&lt;&gt;"",AC1247&lt;&gt;"N/A")),"CONFORME - Control Efectivo ISO 27001","OBSERVACIÓN - Revisar Controles")))</f>
        <v/>
      </c>
    </row>
    <row r="1248">
      <c r="A1248" s="99"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c r="AD1248">
        <f>IF(OR(T1248="",Y1248="",AA1248=""),"",IF(AND(T1248="ALTA",OR(AA1248="L0 Inexistente",AA1248="L1 Inicial / Ad Hoc",Y1248="No Iniciado")),"CRÍTICO - Incumplimiento Normativo SEPS",IF(AND(OR(AA1248="L4 Gestionado y Medible",AA1248="L5 Optimizado"),AND(AC1248&lt;&gt;"",AC1248&lt;&gt;"N/A")),"CONFORME - Control Efectivo ISO 27001","OBSERVACIÓN - Revisar Controles")))</f>
        <v/>
      </c>
    </row>
    <row r="1249">
      <c r="A1249" s="99"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c r="AD1249">
        <f>IF(OR(T1249="",Y1249="",AA1249=""),"",IF(AND(T1249="ALTA",OR(AA1249="L0 Inexistente",AA1249="L1 Inicial / Ad Hoc",Y1249="No Iniciado")),"CRÍTICO - Incumplimiento Normativo SEPS",IF(AND(OR(AA1249="L4 Gestionado y Medible",AA1249="L5 Optimizado"),AND(AC1249&lt;&gt;"",AC1249&lt;&gt;"N/A")),"CONFORME - Control Efectivo ISO 27001","OBSERVACIÓN - Revisar Controles")))</f>
        <v/>
      </c>
    </row>
    <row r="1250">
      <c r="A1250" s="99"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c r="AD1250">
        <f>IF(OR(T1250="",Y1250="",AA1250=""),"",IF(AND(T1250="ALTA",OR(AA1250="L0 Inexistente",AA1250="L1 Inicial / Ad Hoc",Y1250="No Iniciado")),"CRÍTICO - Incumplimiento Normativo SEPS",IF(AND(OR(AA1250="L4 Gestionado y Medible",AA1250="L5 Optimizado"),AND(AC1250&lt;&gt;"",AC1250&lt;&gt;"N/A")),"CONFORME - Control Efectivo ISO 27001","OBSERVACIÓN - Revisar Controles")))</f>
        <v/>
      </c>
    </row>
    <row r="1251">
      <c r="A1251" s="99"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c r="AD1251">
        <f>IF(OR(T1251="",Y1251="",AA1251=""),"",IF(AND(T1251="ALTA",OR(AA1251="L0 Inexistente",AA1251="L1 Inicial / Ad Hoc",Y1251="No Iniciado")),"CRÍTICO - Incumplimiento Normativo SEPS",IF(AND(OR(AA1251="L4 Gestionado y Medible",AA1251="L5 Optimizado"),AND(AC1251&lt;&gt;"",AC1251&lt;&gt;"N/A")),"CONFORME - Control Efectivo ISO 27001","OBSERVACIÓN - Revisar Controles")))</f>
        <v/>
      </c>
    </row>
    <row r="1252">
      <c r="A1252" s="99"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c r="AD1252">
        <f>IF(OR(T1252="",Y1252="",AA1252=""),"",IF(AND(T1252="ALTA",OR(AA1252="L0 Inexistente",AA1252="L1 Inicial / Ad Hoc",Y1252="No Iniciado")),"CRÍTICO - Incumplimiento Normativo SEPS",IF(AND(OR(AA1252="L4 Gestionado y Medible",AA1252="L5 Optimizado"),AND(AC1252&lt;&gt;"",AC1252&lt;&gt;"N/A")),"CONFORME - Control Efectivo ISO 27001","OBSERVACIÓN - Revisar Controles")))</f>
        <v/>
      </c>
    </row>
    <row r="1253">
      <c r="A1253" s="99"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c r="AD1253">
        <f>IF(OR(T1253="",Y1253="",AA1253=""),"",IF(AND(T1253="ALTA",OR(AA1253="L0 Inexistente",AA1253="L1 Inicial / Ad Hoc",Y1253="No Iniciado")),"CRÍTICO - Incumplimiento Normativo SEPS",IF(AND(OR(AA1253="L4 Gestionado y Medible",AA1253="L5 Optimizado"),AND(AC1253&lt;&gt;"",AC1253&lt;&gt;"N/A")),"CONFORME - Control Efectivo ISO 27001","OBSERVACIÓN - Revisar Controles")))</f>
        <v/>
      </c>
    </row>
    <row r="1254">
      <c r="A1254" s="99"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c r="AD1254">
        <f>IF(OR(T1254="",Y1254="",AA1254=""),"",IF(AND(T1254="ALTA",OR(AA1254="L0 Inexistente",AA1254="L1 Inicial / Ad Hoc",Y1254="No Iniciado")),"CRÍTICO - Incumplimiento Normativo SEPS",IF(AND(OR(AA1254="L4 Gestionado y Medible",AA1254="L5 Optimizado"),AND(AC1254&lt;&gt;"",AC1254&lt;&gt;"N/A")),"CONFORME - Control Efectivo ISO 27001","OBSERVACIÓN - Revisar Controles")))</f>
        <v/>
      </c>
    </row>
    <row r="1255">
      <c r="A1255" s="99"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c r="AD1255">
        <f>IF(OR(T1255="",Y1255="",AA1255=""),"",IF(AND(T1255="ALTA",OR(AA1255="L0 Inexistente",AA1255="L1 Inicial / Ad Hoc",Y1255="No Iniciado")),"CRÍTICO - Incumplimiento Normativo SEPS",IF(AND(OR(AA1255="L4 Gestionado y Medible",AA1255="L5 Optimizado"),AND(AC1255&lt;&gt;"",AC1255&lt;&gt;"N/A")),"CONFORME - Control Efectivo ISO 27001","OBSERVACIÓN - Revisar Controles")))</f>
        <v/>
      </c>
    </row>
    <row r="1256">
      <c r="A1256" s="99"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c r="AD1256">
        <f>IF(OR(T1256="",Y1256="",AA1256=""),"",IF(AND(T1256="ALTA",OR(AA1256="L0 Inexistente",AA1256="L1 Inicial / Ad Hoc",Y1256="No Iniciado")),"CRÍTICO - Incumplimiento Normativo SEPS",IF(AND(OR(AA1256="L4 Gestionado y Medible",AA1256="L5 Optimizado"),AND(AC1256&lt;&gt;"",AC1256&lt;&gt;"N/A")),"CONFORME - Control Efectivo ISO 27001","OBSERVACIÓN - Revisar Controles")))</f>
        <v/>
      </c>
    </row>
    <row r="1257">
      <c r="A1257" s="99"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c r="AD1257">
        <f>IF(OR(T1257="",Y1257="",AA1257=""),"",IF(AND(T1257="ALTA",OR(AA1257="L0 Inexistente",AA1257="L1 Inicial / Ad Hoc",Y1257="No Iniciado")),"CRÍTICO - Incumplimiento Normativo SEPS",IF(AND(OR(AA1257="L4 Gestionado y Medible",AA1257="L5 Optimizado"),AND(AC1257&lt;&gt;"",AC1257&lt;&gt;"N/A")),"CONFORME - Control Efectivo ISO 27001","OBSERVACIÓN - Revisar Controles")))</f>
        <v/>
      </c>
    </row>
    <row r="1258">
      <c r="A1258" s="99"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c r="AD1258">
        <f>IF(OR(T1258="",Y1258="",AA1258=""),"",IF(AND(T1258="ALTA",OR(AA1258="L0 Inexistente",AA1258="L1 Inicial / Ad Hoc",Y1258="No Iniciado")),"CRÍTICO - Incumplimiento Normativo SEPS",IF(AND(OR(AA1258="L4 Gestionado y Medible",AA1258="L5 Optimizado"),AND(AC1258&lt;&gt;"",AC1258&lt;&gt;"N/A")),"CONFORME - Control Efectivo ISO 27001","OBSERVACIÓN - Revisar Controles")))</f>
        <v/>
      </c>
    </row>
    <row r="1259">
      <c r="A1259" s="99"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c r="AD1259">
        <f>IF(OR(T1259="",Y1259="",AA1259=""),"",IF(AND(T1259="ALTA",OR(AA1259="L0 Inexistente",AA1259="L1 Inicial / Ad Hoc",Y1259="No Iniciado")),"CRÍTICO - Incumplimiento Normativo SEPS",IF(AND(OR(AA1259="L4 Gestionado y Medible",AA1259="L5 Optimizado"),AND(AC1259&lt;&gt;"",AC1259&lt;&gt;"N/A")),"CONFORME - Control Efectivo ISO 27001","OBSERVACIÓN - Revisar Controles")))</f>
        <v/>
      </c>
    </row>
    <row r="1260">
      <c r="A1260" s="99"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c r="AD1260">
        <f>IF(OR(T1260="",Y1260="",AA1260=""),"",IF(AND(T1260="ALTA",OR(AA1260="L0 Inexistente",AA1260="L1 Inicial / Ad Hoc",Y1260="No Iniciado")),"CRÍTICO - Incumplimiento Normativo SEPS",IF(AND(OR(AA1260="L4 Gestionado y Medible",AA1260="L5 Optimizado"),AND(AC1260&lt;&gt;"",AC1260&lt;&gt;"N/A")),"CONFORME - Control Efectivo ISO 27001","OBSERVACIÓN - Revisar Controles")))</f>
        <v/>
      </c>
    </row>
    <row r="1261">
      <c r="A1261" s="99"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c r="AD1261">
        <f>IF(OR(T1261="",Y1261="",AA1261=""),"",IF(AND(T1261="ALTA",OR(AA1261="L0 Inexistente",AA1261="L1 Inicial / Ad Hoc",Y1261="No Iniciado")),"CRÍTICO - Incumplimiento Normativo SEPS",IF(AND(OR(AA1261="L4 Gestionado y Medible",AA1261="L5 Optimizado"),AND(AC1261&lt;&gt;"",AC1261&lt;&gt;"N/A")),"CONFORME - Control Efectivo ISO 27001","OBSERVACIÓN - Revisar Controles")))</f>
        <v/>
      </c>
    </row>
    <row r="1262">
      <c r="A1262" s="99"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c r="AD1262">
        <f>IF(OR(T1262="",Y1262="",AA1262=""),"",IF(AND(T1262="ALTA",OR(AA1262="L0 Inexistente",AA1262="L1 Inicial / Ad Hoc",Y1262="No Iniciado")),"CRÍTICO - Incumplimiento Normativo SEPS",IF(AND(OR(AA1262="L4 Gestionado y Medible",AA1262="L5 Optimizado"),AND(AC1262&lt;&gt;"",AC1262&lt;&gt;"N/A")),"CONFORME - Control Efectivo ISO 27001","OBSERVACIÓN - Revisar Controles")))</f>
        <v/>
      </c>
    </row>
    <row r="1263">
      <c r="A1263" s="99"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c r="AD1263">
        <f>IF(OR(T1263="",Y1263="",AA1263=""),"",IF(AND(T1263="ALTA",OR(AA1263="L0 Inexistente",AA1263="L1 Inicial / Ad Hoc",Y1263="No Iniciado")),"CRÍTICO - Incumplimiento Normativo SEPS",IF(AND(OR(AA1263="L4 Gestionado y Medible",AA1263="L5 Optimizado"),AND(AC1263&lt;&gt;"",AC1263&lt;&gt;"N/A")),"CONFORME - Control Efectivo ISO 27001","OBSERVACIÓN - Revisar Controles")))</f>
        <v/>
      </c>
    </row>
    <row r="1264">
      <c r="A1264" s="99"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c r="AD1264">
        <f>IF(OR(T1264="",Y1264="",AA1264=""),"",IF(AND(T1264="ALTA",OR(AA1264="L0 Inexistente",AA1264="L1 Inicial / Ad Hoc",Y1264="No Iniciado")),"CRÍTICO - Incumplimiento Normativo SEPS",IF(AND(OR(AA1264="L4 Gestionado y Medible",AA1264="L5 Optimizado"),AND(AC1264&lt;&gt;"",AC1264&lt;&gt;"N/A")),"CONFORME - Control Efectivo ISO 27001","OBSERVACIÓN - Revisar Controles")))</f>
        <v/>
      </c>
    </row>
    <row r="1265">
      <c r="A1265" s="99"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c r="AD1265">
        <f>IF(OR(T1265="",Y1265="",AA1265=""),"",IF(AND(T1265="ALTA",OR(AA1265="L0 Inexistente",AA1265="L1 Inicial / Ad Hoc",Y1265="No Iniciado")),"CRÍTICO - Incumplimiento Normativo SEPS",IF(AND(OR(AA1265="L4 Gestionado y Medible",AA1265="L5 Optimizado"),AND(AC1265&lt;&gt;"",AC1265&lt;&gt;"N/A")),"CONFORME - Control Efectivo ISO 27001","OBSERVACIÓN - Revisar Controles")))</f>
        <v/>
      </c>
    </row>
    <row r="1266">
      <c r="A1266" s="99"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c r="AD1266">
        <f>IF(OR(T1266="",Y1266="",AA1266=""),"",IF(AND(T1266="ALTA",OR(AA1266="L0 Inexistente",AA1266="L1 Inicial / Ad Hoc",Y1266="No Iniciado")),"CRÍTICO - Incumplimiento Normativo SEPS",IF(AND(OR(AA1266="L4 Gestionado y Medible",AA1266="L5 Optimizado"),AND(AC1266&lt;&gt;"",AC1266&lt;&gt;"N/A")),"CONFORME - Control Efectivo ISO 27001","OBSERVACIÓN - Revisar Controles")))</f>
        <v/>
      </c>
    </row>
    <row r="1267">
      <c r="A1267" s="99"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c r="AD1267">
        <f>IF(OR(T1267="",Y1267="",AA1267=""),"",IF(AND(T1267="ALTA",OR(AA1267="L0 Inexistente",AA1267="L1 Inicial / Ad Hoc",Y1267="No Iniciado")),"CRÍTICO - Incumplimiento Normativo SEPS",IF(AND(OR(AA1267="L4 Gestionado y Medible",AA1267="L5 Optimizado"),AND(AC1267&lt;&gt;"",AC1267&lt;&gt;"N/A")),"CONFORME - Control Efectivo ISO 27001","OBSERVACIÓN - Revisar Controles")))</f>
        <v/>
      </c>
    </row>
    <row r="1268">
      <c r="A1268" s="99"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c r="AD1268">
        <f>IF(OR(T1268="",Y1268="",AA1268=""),"",IF(AND(T1268="ALTA",OR(AA1268="L0 Inexistente",AA1268="L1 Inicial / Ad Hoc",Y1268="No Iniciado")),"CRÍTICO - Incumplimiento Normativo SEPS",IF(AND(OR(AA1268="L4 Gestionado y Medible",AA1268="L5 Optimizado"),AND(AC1268&lt;&gt;"",AC1268&lt;&gt;"N/A")),"CONFORME - Control Efectivo ISO 27001","OBSERVACIÓN - Revisar Controles")))</f>
        <v/>
      </c>
    </row>
    <row r="1269">
      <c r="A1269" s="99"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c r="AD1269">
        <f>IF(OR(T1269="",Y1269="",AA1269=""),"",IF(AND(T1269="ALTA",OR(AA1269="L0 Inexistente",AA1269="L1 Inicial / Ad Hoc",Y1269="No Iniciado")),"CRÍTICO - Incumplimiento Normativo SEPS",IF(AND(OR(AA1269="L4 Gestionado y Medible",AA1269="L5 Optimizado"),AND(AC1269&lt;&gt;"",AC1269&lt;&gt;"N/A")),"CONFORME - Control Efectivo ISO 27001","OBSERVACIÓN - Revisar Controles")))</f>
        <v/>
      </c>
    </row>
    <row r="1270">
      <c r="A1270" s="99"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c r="AD1270">
        <f>IF(OR(T1270="",Y1270="",AA1270=""),"",IF(AND(T1270="ALTA",OR(AA1270="L0 Inexistente",AA1270="L1 Inicial / Ad Hoc",Y1270="No Iniciado")),"CRÍTICO - Incumplimiento Normativo SEPS",IF(AND(OR(AA1270="L4 Gestionado y Medible",AA1270="L5 Optimizado"),AND(AC1270&lt;&gt;"",AC1270&lt;&gt;"N/A")),"CONFORME - Control Efectivo ISO 27001","OBSERVACIÓN - Revisar Controles")))</f>
        <v/>
      </c>
    </row>
    <row r="1271">
      <c r="A1271" s="99"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c r="AD1271">
        <f>IF(OR(T1271="",Y1271="",AA1271=""),"",IF(AND(T1271="ALTA",OR(AA1271="L0 Inexistente",AA1271="L1 Inicial / Ad Hoc",Y1271="No Iniciado")),"CRÍTICO - Incumplimiento Normativo SEPS",IF(AND(OR(AA1271="L4 Gestionado y Medible",AA1271="L5 Optimizado"),AND(AC1271&lt;&gt;"",AC1271&lt;&gt;"N/A")),"CONFORME - Control Efectivo ISO 27001","OBSERVACIÓN - Revisar Controles")))</f>
        <v/>
      </c>
    </row>
    <row r="1272">
      <c r="A1272" s="99"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c r="AD1272">
        <f>IF(OR(T1272="",Y1272="",AA1272=""),"",IF(AND(T1272="ALTA",OR(AA1272="L0 Inexistente",AA1272="L1 Inicial / Ad Hoc",Y1272="No Iniciado")),"CRÍTICO - Incumplimiento Normativo SEPS",IF(AND(OR(AA1272="L4 Gestionado y Medible",AA1272="L5 Optimizado"),AND(AC1272&lt;&gt;"",AC1272&lt;&gt;"N/A")),"CONFORME - Control Efectivo ISO 27001","OBSERVACIÓN - Revisar Controles")))</f>
        <v/>
      </c>
    </row>
    <row r="1273">
      <c r="A1273" s="99"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c r="AD1273">
        <f>IF(OR(T1273="",Y1273="",AA1273=""),"",IF(AND(T1273="ALTA",OR(AA1273="L0 Inexistente",AA1273="L1 Inicial / Ad Hoc",Y1273="No Iniciado")),"CRÍTICO - Incumplimiento Normativo SEPS",IF(AND(OR(AA1273="L4 Gestionado y Medible",AA1273="L5 Optimizado"),AND(AC1273&lt;&gt;"",AC1273&lt;&gt;"N/A")),"CONFORME - Control Efectivo ISO 27001","OBSERVACIÓN - Revisar Controles")))</f>
        <v/>
      </c>
    </row>
    <row r="1274">
      <c r="A1274" s="99"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c r="AD1274">
        <f>IF(OR(T1274="",Y1274="",AA1274=""),"",IF(AND(T1274="ALTA",OR(AA1274="L0 Inexistente",AA1274="L1 Inicial / Ad Hoc",Y1274="No Iniciado")),"CRÍTICO - Incumplimiento Normativo SEPS",IF(AND(OR(AA1274="L4 Gestionado y Medible",AA1274="L5 Optimizado"),AND(AC1274&lt;&gt;"",AC1274&lt;&gt;"N/A")),"CONFORME - Control Efectivo ISO 27001","OBSERVACIÓN - Revisar Controles")))</f>
        <v/>
      </c>
    </row>
    <row r="1275">
      <c r="A1275" s="99"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c r="AD1275">
        <f>IF(OR(T1275="",Y1275="",AA1275=""),"",IF(AND(T1275="ALTA",OR(AA1275="L0 Inexistente",AA1275="L1 Inicial / Ad Hoc",Y1275="No Iniciado")),"CRÍTICO - Incumplimiento Normativo SEPS",IF(AND(OR(AA1275="L4 Gestionado y Medible",AA1275="L5 Optimizado"),AND(AC1275&lt;&gt;"",AC1275&lt;&gt;"N/A")),"CONFORME - Control Efectivo ISO 27001","OBSERVACIÓN - Revisar Controles")))</f>
        <v/>
      </c>
    </row>
    <row r="1276">
      <c r="A1276" s="99"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c r="AD1276">
        <f>IF(OR(T1276="",Y1276="",AA1276=""),"",IF(AND(T1276="ALTA",OR(AA1276="L0 Inexistente",AA1276="L1 Inicial / Ad Hoc",Y1276="No Iniciado")),"CRÍTICO - Incumplimiento Normativo SEPS",IF(AND(OR(AA1276="L4 Gestionado y Medible",AA1276="L5 Optimizado"),AND(AC1276&lt;&gt;"",AC1276&lt;&gt;"N/A")),"CONFORME - Control Efectivo ISO 27001","OBSERVACIÓN - Revisar Controles")))</f>
        <v/>
      </c>
    </row>
    <row r="1277">
      <c r="A1277" s="99"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c r="AD1277">
        <f>IF(OR(T1277="",Y1277="",AA1277=""),"",IF(AND(T1277="ALTA",OR(AA1277="L0 Inexistente",AA1277="L1 Inicial / Ad Hoc",Y1277="No Iniciado")),"CRÍTICO - Incumplimiento Normativo SEPS",IF(AND(OR(AA1277="L4 Gestionado y Medible",AA1277="L5 Optimizado"),AND(AC1277&lt;&gt;"",AC1277&lt;&gt;"N/A")),"CONFORME - Control Efectivo ISO 27001","OBSERVACIÓN - Revisar Controles")))</f>
        <v/>
      </c>
    </row>
    <row r="1278">
      <c r="A1278" s="99"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c r="AD1278">
        <f>IF(OR(T1278="",Y1278="",AA1278=""),"",IF(AND(T1278="ALTA",OR(AA1278="L0 Inexistente",AA1278="L1 Inicial / Ad Hoc",Y1278="No Iniciado")),"CRÍTICO - Incumplimiento Normativo SEPS",IF(AND(OR(AA1278="L4 Gestionado y Medible",AA1278="L5 Optimizado"),AND(AC1278&lt;&gt;"",AC1278&lt;&gt;"N/A")),"CONFORME - Control Efectivo ISO 27001","OBSERVACIÓN - Revisar Controles")))</f>
        <v/>
      </c>
    </row>
    <row r="1279">
      <c r="A1279" s="99"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c r="AD1279">
        <f>IF(OR(T1279="",Y1279="",AA1279=""),"",IF(AND(T1279="ALTA",OR(AA1279="L0 Inexistente",AA1279="L1 Inicial / Ad Hoc",Y1279="No Iniciado")),"CRÍTICO - Incumplimiento Normativo SEPS",IF(AND(OR(AA1279="L4 Gestionado y Medible",AA1279="L5 Optimizado"),AND(AC1279&lt;&gt;"",AC1279&lt;&gt;"N/A")),"CONFORME - Control Efectivo ISO 27001","OBSERVACIÓN - Revisar Controles")))</f>
        <v/>
      </c>
    </row>
    <row r="1280">
      <c r="A1280" s="99"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c r="AD1280">
        <f>IF(OR(T1280="",Y1280="",AA1280=""),"",IF(AND(T1280="ALTA",OR(AA1280="L0 Inexistente",AA1280="L1 Inicial / Ad Hoc",Y1280="No Iniciado")),"CRÍTICO - Incumplimiento Normativo SEPS",IF(AND(OR(AA1280="L4 Gestionado y Medible",AA1280="L5 Optimizado"),AND(AC1280&lt;&gt;"",AC1280&lt;&gt;"N/A")),"CONFORME - Control Efectivo ISO 27001","OBSERVACIÓN - Revisar Controles")))</f>
        <v/>
      </c>
    </row>
    <row r="1281">
      <c r="A1281" s="99"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c r="AD1281">
        <f>IF(OR(T1281="",Y1281="",AA1281=""),"",IF(AND(T1281="ALTA",OR(AA1281="L0 Inexistente",AA1281="L1 Inicial / Ad Hoc",Y1281="No Iniciado")),"CRÍTICO - Incumplimiento Normativo SEPS",IF(AND(OR(AA1281="L4 Gestionado y Medible",AA1281="L5 Optimizado"),AND(AC1281&lt;&gt;"",AC1281&lt;&gt;"N/A")),"CONFORME - Control Efectivo ISO 27001","OBSERVACIÓN - Revisar Controles")))</f>
        <v/>
      </c>
    </row>
    <row r="1282">
      <c r="A1282" s="99"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c r="AD1282">
        <f>IF(OR(T1282="",Y1282="",AA1282=""),"",IF(AND(T1282="ALTA",OR(AA1282="L0 Inexistente",AA1282="L1 Inicial / Ad Hoc",Y1282="No Iniciado")),"CRÍTICO - Incumplimiento Normativo SEPS",IF(AND(OR(AA1282="L4 Gestionado y Medible",AA1282="L5 Optimizado"),AND(AC1282&lt;&gt;"",AC1282&lt;&gt;"N/A")),"CONFORME - Control Efectivo ISO 27001","OBSERVACIÓN - Revisar Controles")))</f>
        <v/>
      </c>
    </row>
    <row r="1283">
      <c r="A1283" s="99"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c r="AD1283">
        <f>IF(OR(T1283="",Y1283="",AA1283=""),"",IF(AND(T1283="ALTA",OR(AA1283="L0 Inexistente",AA1283="L1 Inicial / Ad Hoc",Y1283="No Iniciado")),"CRÍTICO - Incumplimiento Normativo SEPS",IF(AND(OR(AA1283="L4 Gestionado y Medible",AA1283="L5 Optimizado"),AND(AC1283&lt;&gt;"",AC1283&lt;&gt;"N/A")),"CONFORME - Control Efectivo ISO 27001","OBSERVACIÓN - Revisar Controles")))</f>
        <v/>
      </c>
    </row>
    <row r="1284">
      <c r="A1284" s="99"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c r="AD1284">
        <f>IF(OR(T1284="",Y1284="",AA1284=""),"",IF(AND(T1284="ALTA",OR(AA1284="L0 Inexistente",AA1284="L1 Inicial / Ad Hoc",Y1284="No Iniciado")),"CRÍTICO - Incumplimiento Normativo SEPS",IF(AND(OR(AA1284="L4 Gestionado y Medible",AA1284="L5 Optimizado"),AND(AC1284&lt;&gt;"",AC1284&lt;&gt;"N/A")),"CONFORME - Control Efectivo ISO 27001","OBSERVACIÓN - Revisar Controles")))</f>
        <v/>
      </c>
    </row>
    <row r="1285">
      <c r="A1285" s="99"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c r="AD1285">
        <f>IF(OR(T1285="",Y1285="",AA1285=""),"",IF(AND(T1285="ALTA",OR(AA1285="L0 Inexistente",AA1285="L1 Inicial / Ad Hoc",Y1285="No Iniciado")),"CRÍTICO - Incumplimiento Normativo SEPS",IF(AND(OR(AA1285="L4 Gestionado y Medible",AA1285="L5 Optimizado"),AND(AC1285&lt;&gt;"",AC1285&lt;&gt;"N/A")),"CONFORME - Control Efectivo ISO 27001","OBSERVACIÓN - Revisar Controles")))</f>
        <v/>
      </c>
    </row>
    <row r="1286">
      <c r="A1286" s="99"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c r="AD1286">
        <f>IF(OR(T1286="",Y1286="",AA1286=""),"",IF(AND(T1286="ALTA",OR(AA1286="L0 Inexistente",AA1286="L1 Inicial / Ad Hoc",Y1286="No Iniciado")),"CRÍTICO - Incumplimiento Normativo SEPS",IF(AND(OR(AA1286="L4 Gestionado y Medible",AA1286="L5 Optimizado"),AND(AC1286&lt;&gt;"",AC1286&lt;&gt;"N/A")),"CONFORME - Control Efectivo ISO 27001","OBSERVACIÓN - Revisar Controles")))</f>
        <v/>
      </c>
    </row>
    <row r="1287">
      <c r="A1287" s="99"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c r="AD1287">
        <f>IF(OR(T1287="",Y1287="",AA1287=""),"",IF(AND(T1287="ALTA",OR(AA1287="L0 Inexistente",AA1287="L1 Inicial / Ad Hoc",Y1287="No Iniciado")),"CRÍTICO - Incumplimiento Normativo SEPS",IF(AND(OR(AA1287="L4 Gestionado y Medible",AA1287="L5 Optimizado"),AND(AC1287&lt;&gt;"",AC1287&lt;&gt;"N/A")),"CONFORME - Control Efectivo ISO 27001","OBSERVACIÓN - Revisar Controles")))</f>
        <v/>
      </c>
    </row>
    <row r="1288">
      <c r="A1288" s="99"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c r="AD1288">
        <f>IF(OR(T1288="",Y1288="",AA1288=""),"",IF(AND(T1288="ALTA",OR(AA1288="L0 Inexistente",AA1288="L1 Inicial / Ad Hoc",Y1288="No Iniciado")),"CRÍTICO - Incumplimiento Normativo SEPS",IF(AND(OR(AA1288="L4 Gestionado y Medible",AA1288="L5 Optimizado"),AND(AC1288&lt;&gt;"",AC1288&lt;&gt;"N/A")),"CONFORME - Control Efectivo ISO 27001","OBSERVACIÓN - Revisar Controles")))</f>
        <v/>
      </c>
    </row>
    <row r="1289">
      <c r="A1289" s="99"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c r="AD1289">
        <f>IF(OR(T1289="",Y1289="",AA1289=""),"",IF(AND(T1289="ALTA",OR(AA1289="L0 Inexistente",AA1289="L1 Inicial / Ad Hoc",Y1289="No Iniciado")),"CRÍTICO - Incumplimiento Normativo SEPS",IF(AND(OR(AA1289="L4 Gestionado y Medible",AA1289="L5 Optimizado"),AND(AC1289&lt;&gt;"",AC1289&lt;&gt;"N/A")),"CONFORME - Control Efectivo ISO 27001","OBSERVACIÓN - Revisar Controles")))</f>
        <v/>
      </c>
    </row>
    <row r="1290">
      <c r="A1290" s="99"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c r="AD1290">
        <f>IF(OR(T1290="",Y1290="",AA1290=""),"",IF(AND(T1290="ALTA",OR(AA1290="L0 Inexistente",AA1290="L1 Inicial / Ad Hoc",Y1290="No Iniciado")),"CRÍTICO - Incumplimiento Normativo SEPS",IF(AND(OR(AA1290="L4 Gestionado y Medible",AA1290="L5 Optimizado"),AND(AC1290&lt;&gt;"",AC1290&lt;&gt;"N/A")),"CONFORME - Control Efectivo ISO 27001","OBSERVACIÓN - Revisar Controles")))</f>
        <v/>
      </c>
    </row>
    <row r="1291">
      <c r="A1291" s="99"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c r="AD1291">
        <f>IF(OR(T1291="",Y1291="",AA1291=""),"",IF(AND(T1291="ALTA",OR(AA1291="L0 Inexistente",AA1291="L1 Inicial / Ad Hoc",Y1291="No Iniciado")),"CRÍTICO - Incumplimiento Normativo SEPS",IF(AND(OR(AA1291="L4 Gestionado y Medible",AA1291="L5 Optimizado"),AND(AC1291&lt;&gt;"",AC1291&lt;&gt;"N/A")),"CONFORME - Control Efectivo ISO 27001","OBSERVACIÓN - Revisar Controles")))</f>
        <v/>
      </c>
    </row>
    <row r="1292">
      <c r="A1292" s="99"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c r="AD1292">
        <f>IF(OR(T1292="",Y1292="",AA1292=""),"",IF(AND(T1292="ALTA",OR(AA1292="L0 Inexistente",AA1292="L1 Inicial / Ad Hoc",Y1292="No Iniciado")),"CRÍTICO - Incumplimiento Normativo SEPS",IF(AND(OR(AA1292="L4 Gestionado y Medible",AA1292="L5 Optimizado"),AND(AC1292&lt;&gt;"",AC1292&lt;&gt;"N/A")),"CONFORME - Control Efectivo ISO 27001","OBSERVACIÓN - Revisar Controles")))</f>
        <v/>
      </c>
    </row>
    <row r="1293">
      <c r="A1293" s="99"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c r="AD1293">
        <f>IF(OR(T1293="",Y1293="",AA1293=""),"",IF(AND(T1293="ALTA",OR(AA1293="L0 Inexistente",AA1293="L1 Inicial / Ad Hoc",Y1293="No Iniciado")),"CRÍTICO - Incumplimiento Normativo SEPS",IF(AND(OR(AA1293="L4 Gestionado y Medible",AA1293="L5 Optimizado"),AND(AC1293&lt;&gt;"",AC1293&lt;&gt;"N/A")),"CONFORME - Control Efectivo ISO 27001","OBSERVACIÓN - Revisar Controles")))</f>
        <v/>
      </c>
    </row>
    <row r="1294">
      <c r="A1294" s="99"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c r="AD1294">
        <f>IF(OR(T1294="",Y1294="",AA1294=""),"",IF(AND(T1294="ALTA",OR(AA1294="L0 Inexistente",AA1294="L1 Inicial / Ad Hoc",Y1294="No Iniciado")),"CRÍTICO - Incumplimiento Normativo SEPS",IF(AND(OR(AA1294="L4 Gestionado y Medible",AA1294="L5 Optimizado"),AND(AC1294&lt;&gt;"",AC1294&lt;&gt;"N/A")),"CONFORME - Control Efectivo ISO 27001","OBSERVACIÓN - Revisar Controles")))</f>
        <v/>
      </c>
    </row>
    <row r="1295">
      <c r="A1295" s="99"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c r="AD1295">
        <f>IF(OR(T1295="",Y1295="",AA1295=""),"",IF(AND(T1295="ALTA",OR(AA1295="L0 Inexistente",AA1295="L1 Inicial / Ad Hoc",Y1295="No Iniciado")),"CRÍTICO - Incumplimiento Normativo SEPS",IF(AND(OR(AA1295="L4 Gestionado y Medible",AA1295="L5 Optimizado"),AND(AC1295&lt;&gt;"",AC1295&lt;&gt;"N/A")),"CONFORME - Control Efectivo ISO 27001","OBSERVACIÓN - Revisar Controles")))</f>
        <v/>
      </c>
    </row>
    <row r="1296">
      <c r="A1296" s="99"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c r="AD1296">
        <f>IF(OR(T1296="",Y1296="",AA1296=""),"",IF(AND(T1296="ALTA",OR(AA1296="L0 Inexistente",AA1296="L1 Inicial / Ad Hoc",Y1296="No Iniciado")),"CRÍTICO - Incumplimiento Normativo SEPS",IF(AND(OR(AA1296="L4 Gestionado y Medible",AA1296="L5 Optimizado"),AND(AC1296&lt;&gt;"",AC1296&lt;&gt;"N/A")),"CONFORME - Control Efectivo ISO 27001","OBSERVACIÓN - Revisar Controles")))</f>
        <v/>
      </c>
    </row>
    <row r="1297">
      <c r="A1297" s="99"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c r="AD1297">
        <f>IF(OR(T1297="",Y1297="",AA1297=""),"",IF(AND(T1297="ALTA",OR(AA1297="L0 Inexistente",AA1297="L1 Inicial / Ad Hoc",Y1297="No Iniciado")),"CRÍTICO - Incumplimiento Normativo SEPS",IF(AND(OR(AA1297="L4 Gestionado y Medible",AA1297="L5 Optimizado"),AND(AC1297&lt;&gt;"",AC1297&lt;&gt;"N/A")),"CONFORME - Control Efectivo ISO 27001","OBSERVACIÓN - Revisar Controles")))</f>
        <v/>
      </c>
    </row>
    <row r="1298">
      <c r="A1298" s="99"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c r="AD1298">
        <f>IF(OR(T1298="",Y1298="",AA1298=""),"",IF(AND(T1298="ALTA",OR(AA1298="L0 Inexistente",AA1298="L1 Inicial / Ad Hoc",Y1298="No Iniciado")),"CRÍTICO - Incumplimiento Normativo SEPS",IF(AND(OR(AA1298="L4 Gestionado y Medible",AA1298="L5 Optimizado"),AND(AC1298&lt;&gt;"",AC1298&lt;&gt;"N/A")),"CONFORME - Control Efectivo ISO 27001","OBSERVACIÓN - Revisar Controles")))</f>
        <v/>
      </c>
    </row>
    <row r="1299">
      <c r="A1299" s="99"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c r="AD1299">
        <f>IF(OR(T1299="",Y1299="",AA1299=""),"",IF(AND(T1299="ALTA",OR(AA1299="L0 Inexistente",AA1299="L1 Inicial / Ad Hoc",Y1299="No Iniciado")),"CRÍTICO - Incumplimiento Normativo SEPS",IF(AND(OR(AA1299="L4 Gestionado y Medible",AA1299="L5 Optimizado"),AND(AC1299&lt;&gt;"",AC1299&lt;&gt;"N/A")),"CONFORME - Control Efectivo ISO 27001","OBSERVACIÓN - Revisar Controles")))</f>
        <v/>
      </c>
    </row>
    <row r="1300">
      <c r="A1300" s="99"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c r="AD1300">
        <f>IF(OR(T1300="",Y1300="",AA1300=""),"",IF(AND(T1300="ALTA",OR(AA1300="L0 Inexistente",AA1300="L1 Inicial / Ad Hoc",Y1300="No Iniciado")),"CRÍTICO - Incumplimiento Normativo SEPS",IF(AND(OR(AA1300="L4 Gestionado y Medible",AA1300="L5 Optimizado"),AND(AC1300&lt;&gt;"",AC1300&lt;&gt;"N/A")),"CONFORME - Control Efectivo ISO 27001","OBSERVACIÓN - Revisar Controles")))</f>
        <v/>
      </c>
    </row>
    <row r="1301">
      <c r="A1301" s="99"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c r="AD1301">
        <f>IF(OR(T1301="",Y1301="",AA1301=""),"",IF(AND(T1301="ALTA",OR(AA1301="L0 Inexistente",AA1301="L1 Inicial / Ad Hoc",Y1301="No Iniciado")),"CRÍTICO - Incumplimiento Normativo SEPS",IF(AND(OR(AA1301="L4 Gestionado y Medible",AA1301="L5 Optimizado"),AND(AC1301&lt;&gt;"",AC1301&lt;&gt;"N/A")),"CONFORME - Control Efectivo ISO 27001","OBSERVACIÓN - Revisar Controles")))</f>
        <v/>
      </c>
    </row>
    <row r="1302">
      <c r="A1302" s="99"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c r="AD1302">
        <f>IF(OR(T1302="",Y1302="",AA1302=""),"",IF(AND(T1302="ALTA",OR(AA1302="L0 Inexistente",AA1302="L1 Inicial / Ad Hoc",Y1302="No Iniciado")),"CRÍTICO - Incumplimiento Normativo SEPS",IF(AND(OR(AA1302="L4 Gestionado y Medible",AA1302="L5 Optimizado"),AND(AC1302&lt;&gt;"",AC1302&lt;&gt;"N/A")),"CONFORME - Control Efectivo ISO 27001","OBSERVACIÓN - Revisar Controles")))</f>
        <v/>
      </c>
    </row>
    <row r="1303">
      <c r="A1303" s="99"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c r="AD1303">
        <f>IF(OR(T1303="",Y1303="",AA1303=""),"",IF(AND(T1303="ALTA",OR(AA1303="L0 Inexistente",AA1303="L1 Inicial / Ad Hoc",Y1303="No Iniciado")),"CRÍTICO - Incumplimiento Normativo SEPS",IF(AND(OR(AA1303="L4 Gestionado y Medible",AA1303="L5 Optimizado"),AND(AC1303&lt;&gt;"",AC1303&lt;&gt;"N/A")),"CONFORME - Control Efectivo ISO 27001","OBSERVACIÓN - Revisar Controles")))</f>
        <v/>
      </c>
    </row>
    <row r="1304">
      <c r="A1304" s="99"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c r="AD1304">
        <f>IF(OR(T1304="",Y1304="",AA1304=""),"",IF(AND(T1304="ALTA",OR(AA1304="L0 Inexistente",AA1304="L1 Inicial / Ad Hoc",Y1304="No Iniciado")),"CRÍTICO - Incumplimiento Normativo SEPS",IF(AND(OR(AA1304="L4 Gestionado y Medible",AA1304="L5 Optimizado"),AND(AC1304&lt;&gt;"",AC1304&lt;&gt;"N/A")),"CONFORME - Control Efectivo ISO 27001","OBSERVACIÓN - Revisar Controles")))</f>
        <v/>
      </c>
    </row>
    <row r="1305">
      <c r="A1305" s="99"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c r="AD1305">
        <f>IF(OR(T1305="",Y1305="",AA1305=""),"",IF(AND(T1305="ALTA",OR(AA1305="L0 Inexistente",AA1305="L1 Inicial / Ad Hoc",Y1305="No Iniciado")),"CRÍTICO - Incumplimiento Normativo SEPS",IF(AND(OR(AA1305="L4 Gestionado y Medible",AA1305="L5 Optimizado"),AND(AC1305&lt;&gt;"",AC1305&lt;&gt;"N/A")),"CONFORME - Control Efectivo ISO 27001","OBSERVACIÓN - Revisar Controles")))</f>
        <v/>
      </c>
    </row>
    <row r="1306">
      <c r="A1306" s="99"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c r="AD1306">
        <f>IF(OR(T1306="",Y1306="",AA1306=""),"",IF(AND(T1306="ALTA",OR(AA1306="L0 Inexistente",AA1306="L1 Inicial / Ad Hoc",Y1306="No Iniciado")),"CRÍTICO - Incumplimiento Normativo SEPS",IF(AND(OR(AA1306="L4 Gestionado y Medible",AA1306="L5 Optimizado"),AND(AC1306&lt;&gt;"",AC1306&lt;&gt;"N/A")),"CONFORME - Control Efectivo ISO 27001","OBSERVACIÓN - Revisar Controles")))</f>
        <v/>
      </c>
    </row>
    <row r="1307">
      <c r="A1307" s="99"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c r="AD1307">
        <f>IF(OR(T1307="",Y1307="",AA1307=""),"",IF(AND(T1307="ALTA",OR(AA1307="L0 Inexistente",AA1307="L1 Inicial / Ad Hoc",Y1307="No Iniciado")),"CRÍTICO - Incumplimiento Normativo SEPS",IF(AND(OR(AA1307="L4 Gestionado y Medible",AA1307="L5 Optimizado"),AND(AC1307&lt;&gt;"",AC1307&lt;&gt;"N/A")),"CONFORME - Control Efectivo ISO 27001","OBSERVACIÓN - Revisar Controles")))</f>
        <v/>
      </c>
    </row>
    <row r="1308">
      <c r="A1308" s="99"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c r="AD1308">
        <f>IF(OR(T1308="",Y1308="",AA1308=""),"",IF(AND(T1308="ALTA",OR(AA1308="L0 Inexistente",AA1308="L1 Inicial / Ad Hoc",Y1308="No Iniciado")),"CRÍTICO - Incumplimiento Normativo SEPS",IF(AND(OR(AA1308="L4 Gestionado y Medible",AA1308="L5 Optimizado"),AND(AC1308&lt;&gt;"",AC1308&lt;&gt;"N/A")),"CONFORME - Control Efectivo ISO 27001","OBSERVACIÓN - Revisar Controles")))</f>
        <v/>
      </c>
    </row>
    <row r="1309">
      <c r="A1309" s="99"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c r="AD1309">
        <f>IF(OR(T1309="",Y1309="",AA1309=""),"",IF(AND(T1309="ALTA",OR(AA1309="L0 Inexistente",AA1309="L1 Inicial / Ad Hoc",Y1309="No Iniciado")),"CRÍTICO - Incumplimiento Normativo SEPS",IF(AND(OR(AA1309="L4 Gestionado y Medible",AA1309="L5 Optimizado"),AND(AC1309&lt;&gt;"",AC1309&lt;&gt;"N/A")),"CONFORME - Control Efectivo ISO 27001","OBSERVACIÓN - Revisar Controles")))</f>
        <v/>
      </c>
    </row>
    <row r="1310">
      <c r="A1310" s="99"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c r="AD1310">
        <f>IF(OR(T1310="",Y1310="",AA1310=""),"",IF(AND(T1310="ALTA",OR(AA1310="L0 Inexistente",AA1310="L1 Inicial / Ad Hoc",Y1310="No Iniciado")),"CRÍTICO - Incumplimiento Normativo SEPS",IF(AND(OR(AA1310="L4 Gestionado y Medible",AA1310="L5 Optimizado"),AND(AC1310&lt;&gt;"",AC1310&lt;&gt;"N/A")),"CONFORME - Control Efectivo ISO 27001","OBSERVACIÓN - Revisar Controles")))</f>
        <v/>
      </c>
    </row>
    <row r="1311">
      <c r="A1311" s="99"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c r="AD1311">
        <f>IF(OR(T1311="",Y1311="",AA1311=""),"",IF(AND(T1311="ALTA",OR(AA1311="L0 Inexistente",AA1311="L1 Inicial / Ad Hoc",Y1311="No Iniciado")),"CRÍTICO - Incumplimiento Normativo SEPS",IF(AND(OR(AA1311="L4 Gestionado y Medible",AA1311="L5 Optimizado"),AND(AC1311&lt;&gt;"",AC1311&lt;&gt;"N/A")),"CONFORME - Control Efectivo ISO 27001","OBSERVACIÓN - Revisar Controles")))</f>
        <v/>
      </c>
    </row>
    <row r="1312">
      <c r="A1312" s="99"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c r="AD1312">
        <f>IF(OR(T1312="",Y1312="",AA1312=""),"",IF(AND(T1312="ALTA",OR(AA1312="L0 Inexistente",AA1312="L1 Inicial / Ad Hoc",Y1312="No Iniciado")),"CRÍTICO - Incumplimiento Normativo SEPS",IF(AND(OR(AA1312="L4 Gestionado y Medible",AA1312="L5 Optimizado"),AND(AC1312&lt;&gt;"",AC1312&lt;&gt;"N/A")),"CONFORME - Control Efectivo ISO 27001","OBSERVACIÓN - Revisar Controles")))</f>
        <v/>
      </c>
    </row>
    <row r="1313">
      <c r="A1313" s="99"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c r="AD1313">
        <f>IF(OR(T1313="",Y1313="",AA1313=""),"",IF(AND(T1313="ALTA",OR(AA1313="L0 Inexistente",AA1313="L1 Inicial / Ad Hoc",Y1313="No Iniciado")),"CRÍTICO - Incumplimiento Normativo SEPS",IF(AND(OR(AA1313="L4 Gestionado y Medible",AA1313="L5 Optimizado"),AND(AC1313&lt;&gt;"",AC1313&lt;&gt;"N/A")),"CONFORME - Control Efectivo ISO 27001","OBSERVACIÓN - Revisar Controles")))</f>
        <v/>
      </c>
    </row>
    <row r="1314">
      <c r="A1314" s="99"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c r="AD1314">
        <f>IF(OR(T1314="",Y1314="",AA1314=""),"",IF(AND(T1314="ALTA",OR(AA1314="L0 Inexistente",AA1314="L1 Inicial / Ad Hoc",Y1314="No Iniciado")),"CRÍTICO - Incumplimiento Normativo SEPS",IF(AND(OR(AA1314="L4 Gestionado y Medible",AA1314="L5 Optimizado"),AND(AC1314&lt;&gt;"",AC1314&lt;&gt;"N/A")),"CONFORME - Control Efectivo ISO 27001","OBSERVACIÓN - Revisar Controles")))</f>
        <v/>
      </c>
    </row>
    <row r="1315">
      <c r="A1315" s="99"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c r="AD1315">
        <f>IF(OR(T1315="",Y1315="",AA1315=""),"",IF(AND(T1315="ALTA",OR(AA1315="L0 Inexistente",AA1315="L1 Inicial / Ad Hoc",Y1315="No Iniciado")),"CRÍTICO - Incumplimiento Normativo SEPS",IF(AND(OR(AA1315="L4 Gestionado y Medible",AA1315="L5 Optimizado"),AND(AC1315&lt;&gt;"",AC1315&lt;&gt;"N/A")),"CONFORME - Control Efectivo ISO 27001","OBSERVACIÓN - Revisar Controles")))</f>
        <v/>
      </c>
    </row>
    <row r="1316">
      <c r="A1316" s="99"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c r="AD1316">
        <f>IF(OR(T1316="",Y1316="",AA1316=""),"",IF(AND(T1316="ALTA",OR(AA1316="L0 Inexistente",AA1316="L1 Inicial / Ad Hoc",Y1316="No Iniciado")),"CRÍTICO - Incumplimiento Normativo SEPS",IF(AND(OR(AA1316="L4 Gestionado y Medible",AA1316="L5 Optimizado"),AND(AC1316&lt;&gt;"",AC1316&lt;&gt;"N/A")),"CONFORME - Control Efectivo ISO 27001","OBSERVACIÓN - Revisar Controles")))</f>
        <v/>
      </c>
    </row>
    <row r="1317">
      <c r="A1317" s="99"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c r="AD1317">
        <f>IF(OR(T1317="",Y1317="",AA1317=""),"",IF(AND(T1317="ALTA",OR(AA1317="L0 Inexistente",AA1317="L1 Inicial / Ad Hoc",Y1317="No Iniciado")),"CRÍTICO - Incumplimiento Normativo SEPS",IF(AND(OR(AA1317="L4 Gestionado y Medible",AA1317="L5 Optimizado"),AND(AC1317&lt;&gt;"",AC1317&lt;&gt;"N/A")),"CONFORME - Control Efectivo ISO 27001","OBSERVACIÓN - Revisar Controles")))</f>
        <v/>
      </c>
    </row>
    <row r="1318">
      <c r="A1318" s="99"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c r="AD1318">
        <f>IF(OR(T1318="",Y1318="",AA1318=""),"",IF(AND(T1318="ALTA",OR(AA1318="L0 Inexistente",AA1318="L1 Inicial / Ad Hoc",Y1318="No Iniciado")),"CRÍTICO - Incumplimiento Normativo SEPS",IF(AND(OR(AA1318="L4 Gestionado y Medible",AA1318="L5 Optimizado"),AND(AC1318&lt;&gt;"",AC1318&lt;&gt;"N/A")),"CONFORME - Control Efectivo ISO 27001","OBSERVACIÓN - Revisar Controles")))</f>
        <v/>
      </c>
    </row>
    <row r="1319">
      <c r="A1319" s="99"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c r="AD1319">
        <f>IF(OR(T1319="",Y1319="",AA1319=""),"",IF(AND(T1319="ALTA",OR(AA1319="L0 Inexistente",AA1319="L1 Inicial / Ad Hoc",Y1319="No Iniciado")),"CRÍTICO - Incumplimiento Normativo SEPS",IF(AND(OR(AA1319="L4 Gestionado y Medible",AA1319="L5 Optimizado"),AND(AC1319&lt;&gt;"",AC1319&lt;&gt;"N/A")),"CONFORME - Control Efectivo ISO 27001","OBSERVACIÓN - Revisar Controles")))</f>
        <v/>
      </c>
    </row>
    <row r="1320">
      <c r="A1320" s="99"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c r="AD1320">
        <f>IF(OR(T1320="",Y1320="",AA1320=""),"",IF(AND(T1320="ALTA",OR(AA1320="L0 Inexistente",AA1320="L1 Inicial / Ad Hoc",Y1320="No Iniciado")),"CRÍTICO - Incumplimiento Normativo SEPS",IF(AND(OR(AA1320="L4 Gestionado y Medible",AA1320="L5 Optimizado"),AND(AC1320&lt;&gt;"",AC1320&lt;&gt;"N/A")),"CONFORME - Control Efectivo ISO 27001","OBSERVACIÓN - Revisar Controles")))</f>
        <v/>
      </c>
    </row>
    <row r="1321">
      <c r="A1321" s="99"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c r="AD1321">
        <f>IF(OR(T1321="",Y1321="",AA1321=""),"",IF(AND(T1321="ALTA",OR(AA1321="L0 Inexistente",AA1321="L1 Inicial / Ad Hoc",Y1321="No Iniciado")),"CRÍTICO - Incumplimiento Normativo SEPS",IF(AND(OR(AA1321="L4 Gestionado y Medible",AA1321="L5 Optimizado"),AND(AC1321&lt;&gt;"",AC1321&lt;&gt;"N/A")),"CONFORME - Control Efectivo ISO 27001","OBSERVACIÓN - Revisar Controles")))</f>
        <v/>
      </c>
    </row>
    <row r="1322">
      <c r="A1322" s="99"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c r="AD1322">
        <f>IF(OR(T1322="",Y1322="",AA1322=""),"",IF(AND(T1322="ALTA",OR(AA1322="L0 Inexistente",AA1322="L1 Inicial / Ad Hoc",Y1322="No Iniciado")),"CRÍTICO - Incumplimiento Normativo SEPS",IF(AND(OR(AA1322="L4 Gestionado y Medible",AA1322="L5 Optimizado"),AND(AC1322&lt;&gt;"",AC1322&lt;&gt;"N/A")),"CONFORME - Control Efectivo ISO 27001","OBSERVACIÓN - Revisar Controles")))</f>
        <v/>
      </c>
    </row>
    <row r="1323">
      <c r="A1323" s="99"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c r="AD1323">
        <f>IF(OR(T1323="",Y1323="",AA1323=""),"",IF(AND(T1323="ALTA",OR(AA1323="L0 Inexistente",AA1323="L1 Inicial / Ad Hoc",Y1323="No Iniciado")),"CRÍTICO - Incumplimiento Normativo SEPS",IF(AND(OR(AA1323="L4 Gestionado y Medible",AA1323="L5 Optimizado"),AND(AC1323&lt;&gt;"",AC1323&lt;&gt;"N/A")),"CONFORME - Control Efectivo ISO 27001","OBSERVACIÓN - Revisar Controles")))</f>
        <v/>
      </c>
    </row>
    <row r="1324">
      <c r="A1324" s="99"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c r="AD1324">
        <f>IF(OR(T1324="",Y1324="",AA1324=""),"",IF(AND(T1324="ALTA",OR(AA1324="L0 Inexistente",AA1324="L1 Inicial / Ad Hoc",Y1324="No Iniciado")),"CRÍTICO - Incumplimiento Normativo SEPS",IF(AND(OR(AA1324="L4 Gestionado y Medible",AA1324="L5 Optimizado"),AND(AC1324&lt;&gt;"",AC1324&lt;&gt;"N/A")),"CONFORME - Control Efectivo ISO 27001","OBSERVACIÓN - Revisar Controles")))</f>
        <v/>
      </c>
    </row>
    <row r="1325">
      <c r="A1325" s="99"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c r="AD1325">
        <f>IF(OR(T1325="",Y1325="",AA1325=""),"",IF(AND(T1325="ALTA",OR(AA1325="L0 Inexistente",AA1325="L1 Inicial / Ad Hoc",Y1325="No Iniciado")),"CRÍTICO - Incumplimiento Normativo SEPS",IF(AND(OR(AA1325="L4 Gestionado y Medible",AA1325="L5 Optimizado"),AND(AC1325&lt;&gt;"",AC1325&lt;&gt;"N/A")),"CONFORME - Control Efectivo ISO 27001","OBSERVACIÓN - Revisar Controles")))</f>
        <v/>
      </c>
    </row>
    <row r="1326">
      <c r="A1326" s="99"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c r="AD1326">
        <f>IF(OR(T1326="",Y1326="",AA1326=""),"",IF(AND(T1326="ALTA",OR(AA1326="L0 Inexistente",AA1326="L1 Inicial / Ad Hoc",Y1326="No Iniciado")),"CRÍTICO - Incumplimiento Normativo SEPS",IF(AND(OR(AA1326="L4 Gestionado y Medible",AA1326="L5 Optimizado"),AND(AC1326&lt;&gt;"",AC1326&lt;&gt;"N/A")),"CONFORME - Control Efectivo ISO 27001","OBSERVACIÓN - Revisar Controles")))</f>
        <v/>
      </c>
    </row>
    <row r="1327">
      <c r="A1327" s="99"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c r="AD1327">
        <f>IF(OR(T1327="",Y1327="",AA1327=""),"",IF(AND(T1327="ALTA",OR(AA1327="L0 Inexistente",AA1327="L1 Inicial / Ad Hoc",Y1327="No Iniciado")),"CRÍTICO - Incumplimiento Normativo SEPS",IF(AND(OR(AA1327="L4 Gestionado y Medible",AA1327="L5 Optimizado"),AND(AC1327&lt;&gt;"",AC1327&lt;&gt;"N/A")),"CONFORME - Control Efectivo ISO 27001","OBSERVACIÓN - Revisar Controles")))</f>
        <v/>
      </c>
    </row>
    <row r="1328">
      <c r="A1328" s="99"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c r="AD1328">
        <f>IF(OR(T1328="",Y1328="",AA1328=""),"",IF(AND(T1328="ALTA",OR(AA1328="L0 Inexistente",AA1328="L1 Inicial / Ad Hoc",Y1328="No Iniciado")),"CRÍTICO - Incumplimiento Normativo SEPS",IF(AND(OR(AA1328="L4 Gestionado y Medible",AA1328="L5 Optimizado"),AND(AC1328&lt;&gt;"",AC1328&lt;&gt;"N/A")),"CONFORME - Control Efectivo ISO 27001","OBSERVACIÓN - Revisar Controles")))</f>
        <v/>
      </c>
    </row>
    <row r="1329">
      <c r="A1329" s="99"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c r="AD1329">
        <f>IF(OR(T1329="",Y1329="",AA1329=""),"",IF(AND(T1329="ALTA",OR(AA1329="L0 Inexistente",AA1329="L1 Inicial / Ad Hoc",Y1329="No Iniciado")),"CRÍTICO - Incumplimiento Normativo SEPS",IF(AND(OR(AA1329="L4 Gestionado y Medible",AA1329="L5 Optimizado"),AND(AC1329&lt;&gt;"",AC1329&lt;&gt;"N/A")),"CONFORME - Control Efectivo ISO 27001","OBSERVACIÓN - Revisar Controles")))</f>
        <v/>
      </c>
    </row>
    <row r="1330">
      <c r="A1330" s="99"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c r="AD1330">
        <f>IF(OR(T1330="",Y1330="",AA1330=""),"",IF(AND(T1330="ALTA",OR(AA1330="L0 Inexistente",AA1330="L1 Inicial / Ad Hoc",Y1330="No Iniciado")),"CRÍTICO - Incumplimiento Normativo SEPS",IF(AND(OR(AA1330="L4 Gestionado y Medible",AA1330="L5 Optimizado"),AND(AC1330&lt;&gt;"",AC1330&lt;&gt;"N/A")),"CONFORME - Control Efectivo ISO 27001","OBSERVACIÓN - Revisar Controles")))</f>
        <v/>
      </c>
    </row>
    <row r="1331">
      <c r="A1331" s="99"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c r="AD1331">
        <f>IF(OR(T1331="",Y1331="",AA1331=""),"",IF(AND(T1331="ALTA",OR(AA1331="L0 Inexistente",AA1331="L1 Inicial / Ad Hoc",Y1331="No Iniciado")),"CRÍTICO - Incumplimiento Normativo SEPS",IF(AND(OR(AA1331="L4 Gestionado y Medible",AA1331="L5 Optimizado"),AND(AC1331&lt;&gt;"",AC1331&lt;&gt;"N/A")),"CONFORME - Control Efectivo ISO 27001","OBSERVACIÓN - Revisar Controles")))</f>
        <v/>
      </c>
    </row>
    <row r="1332">
      <c r="A1332" s="99"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c r="AD1332">
        <f>IF(OR(T1332="",Y1332="",AA1332=""),"",IF(AND(T1332="ALTA",OR(AA1332="L0 Inexistente",AA1332="L1 Inicial / Ad Hoc",Y1332="No Iniciado")),"CRÍTICO - Incumplimiento Normativo SEPS",IF(AND(OR(AA1332="L4 Gestionado y Medible",AA1332="L5 Optimizado"),AND(AC1332&lt;&gt;"",AC1332&lt;&gt;"N/A")),"CONFORME - Control Efectivo ISO 27001","OBSERVACIÓN - Revisar Controles")))</f>
        <v/>
      </c>
    </row>
    <row r="1333">
      <c r="A1333" s="99"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c r="AD1333">
        <f>IF(OR(T1333="",Y1333="",AA1333=""),"",IF(AND(T1333="ALTA",OR(AA1333="L0 Inexistente",AA1333="L1 Inicial / Ad Hoc",Y1333="No Iniciado")),"CRÍTICO - Incumplimiento Normativo SEPS",IF(AND(OR(AA1333="L4 Gestionado y Medible",AA1333="L5 Optimizado"),AND(AC1333&lt;&gt;"",AC1333&lt;&gt;"N/A")),"CONFORME - Control Efectivo ISO 27001","OBSERVACIÓN - Revisar Controles")))</f>
        <v/>
      </c>
    </row>
    <row r="1334">
      <c r="A1334" s="99"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c r="AD1334">
        <f>IF(OR(T1334="",Y1334="",AA1334=""),"",IF(AND(T1334="ALTA",OR(AA1334="L0 Inexistente",AA1334="L1 Inicial / Ad Hoc",Y1334="No Iniciado")),"CRÍTICO - Incumplimiento Normativo SEPS",IF(AND(OR(AA1334="L4 Gestionado y Medible",AA1334="L5 Optimizado"),AND(AC1334&lt;&gt;"",AC1334&lt;&gt;"N/A")),"CONFORME - Control Efectivo ISO 27001","OBSERVACIÓN - Revisar Controles")))</f>
        <v/>
      </c>
    </row>
    <row r="1335">
      <c r="A1335" s="99"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c r="AD1335">
        <f>IF(OR(T1335="",Y1335="",AA1335=""),"",IF(AND(T1335="ALTA",OR(AA1335="L0 Inexistente",AA1335="L1 Inicial / Ad Hoc",Y1335="No Iniciado")),"CRÍTICO - Incumplimiento Normativo SEPS",IF(AND(OR(AA1335="L4 Gestionado y Medible",AA1335="L5 Optimizado"),AND(AC1335&lt;&gt;"",AC1335&lt;&gt;"N/A")),"CONFORME - Control Efectivo ISO 27001","OBSERVACIÓN - Revisar Controles")))</f>
        <v/>
      </c>
    </row>
    <row r="1336">
      <c r="A1336" s="99"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c r="AD1336">
        <f>IF(OR(T1336="",Y1336="",AA1336=""),"",IF(AND(T1336="ALTA",OR(AA1336="L0 Inexistente",AA1336="L1 Inicial / Ad Hoc",Y1336="No Iniciado")),"CRÍTICO - Incumplimiento Normativo SEPS",IF(AND(OR(AA1336="L4 Gestionado y Medible",AA1336="L5 Optimizado"),AND(AC1336&lt;&gt;"",AC1336&lt;&gt;"N/A")),"CONFORME - Control Efectivo ISO 27001","OBSERVACIÓN - Revisar Controles")))</f>
        <v/>
      </c>
    </row>
    <row r="1337">
      <c r="A1337" s="99"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c r="AD1337">
        <f>IF(OR(T1337="",Y1337="",AA1337=""),"",IF(AND(T1337="ALTA",OR(AA1337="L0 Inexistente",AA1337="L1 Inicial / Ad Hoc",Y1337="No Iniciado")),"CRÍTICO - Incumplimiento Normativo SEPS",IF(AND(OR(AA1337="L4 Gestionado y Medible",AA1337="L5 Optimizado"),AND(AC1337&lt;&gt;"",AC1337&lt;&gt;"N/A")),"CONFORME - Control Efectivo ISO 27001","OBSERVACIÓN - Revisar Controles")))</f>
        <v/>
      </c>
    </row>
    <row r="1338">
      <c r="A1338" s="99"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c r="AD1338">
        <f>IF(OR(T1338="",Y1338="",AA1338=""),"",IF(AND(T1338="ALTA",OR(AA1338="L0 Inexistente",AA1338="L1 Inicial / Ad Hoc",Y1338="No Iniciado")),"CRÍTICO - Incumplimiento Normativo SEPS",IF(AND(OR(AA1338="L4 Gestionado y Medible",AA1338="L5 Optimizado"),AND(AC1338&lt;&gt;"",AC1338&lt;&gt;"N/A")),"CONFORME - Control Efectivo ISO 27001","OBSERVACIÓN - Revisar Controles")))</f>
        <v/>
      </c>
    </row>
    <row r="1339">
      <c r="A1339" s="99"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c r="AD1339">
        <f>IF(OR(T1339="",Y1339="",AA1339=""),"",IF(AND(T1339="ALTA",OR(AA1339="L0 Inexistente",AA1339="L1 Inicial / Ad Hoc",Y1339="No Iniciado")),"CRÍTICO - Incumplimiento Normativo SEPS",IF(AND(OR(AA1339="L4 Gestionado y Medible",AA1339="L5 Optimizado"),AND(AC1339&lt;&gt;"",AC1339&lt;&gt;"N/A")),"CONFORME - Control Efectivo ISO 27001","OBSERVACIÓN - Revisar Controles")))</f>
        <v/>
      </c>
    </row>
    <row r="1340">
      <c r="A1340" s="99"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c r="AD1340">
        <f>IF(OR(T1340="",Y1340="",AA1340=""),"",IF(AND(T1340="ALTA",OR(AA1340="L0 Inexistente",AA1340="L1 Inicial / Ad Hoc",Y1340="No Iniciado")),"CRÍTICO - Incumplimiento Normativo SEPS",IF(AND(OR(AA1340="L4 Gestionado y Medible",AA1340="L5 Optimizado"),AND(AC1340&lt;&gt;"",AC1340&lt;&gt;"N/A")),"CONFORME - Control Efectivo ISO 27001","OBSERVACIÓN - Revisar Controles")))</f>
        <v/>
      </c>
    </row>
    <row r="1341">
      <c r="A1341" s="99"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c r="AD1341">
        <f>IF(OR(T1341="",Y1341="",AA1341=""),"",IF(AND(T1341="ALTA",OR(AA1341="L0 Inexistente",AA1341="L1 Inicial / Ad Hoc",Y1341="No Iniciado")),"CRÍTICO - Incumplimiento Normativo SEPS",IF(AND(OR(AA1341="L4 Gestionado y Medible",AA1341="L5 Optimizado"),AND(AC1341&lt;&gt;"",AC1341&lt;&gt;"N/A")),"CONFORME - Control Efectivo ISO 27001","OBSERVACIÓN - Revisar Controles")))</f>
        <v/>
      </c>
    </row>
    <row r="1342">
      <c r="A1342" s="99"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c r="AD1342">
        <f>IF(OR(T1342="",Y1342="",AA1342=""),"",IF(AND(T1342="ALTA",OR(AA1342="L0 Inexistente",AA1342="L1 Inicial / Ad Hoc",Y1342="No Iniciado")),"CRÍTICO - Incumplimiento Normativo SEPS",IF(AND(OR(AA1342="L4 Gestionado y Medible",AA1342="L5 Optimizado"),AND(AC1342&lt;&gt;"",AC1342&lt;&gt;"N/A")),"CONFORME - Control Efectivo ISO 27001","OBSERVACIÓN - Revisar Controles")))</f>
        <v/>
      </c>
    </row>
    <row r="1343">
      <c r="A1343" s="99"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c r="AD1343">
        <f>IF(OR(T1343="",Y1343="",AA1343=""),"",IF(AND(T1343="ALTA",OR(AA1343="L0 Inexistente",AA1343="L1 Inicial / Ad Hoc",Y1343="No Iniciado")),"CRÍTICO - Incumplimiento Normativo SEPS",IF(AND(OR(AA1343="L4 Gestionado y Medible",AA1343="L5 Optimizado"),AND(AC1343&lt;&gt;"",AC1343&lt;&gt;"N/A")),"CONFORME - Control Efectivo ISO 27001","OBSERVACIÓN - Revisar Controles")))</f>
        <v/>
      </c>
    </row>
    <row r="1344">
      <c r="A1344" s="99"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c r="AD1344">
        <f>IF(OR(T1344="",Y1344="",AA1344=""),"",IF(AND(T1344="ALTA",OR(AA1344="L0 Inexistente",AA1344="L1 Inicial / Ad Hoc",Y1344="No Iniciado")),"CRÍTICO - Incumplimiento Normativo SEPS",IF(AND(OR(AA1344="L4 Gestionado y Medible",AA1344="L5 Optimizado"),AND(AC1344&lt;&gt;"",AC1344&lt;&gt;"N/A")),"CONFORME - Control Efectivo ISO 27001","OBSERVACIÓN - Revisar Controles")))</f>
        <v/>
      </c>
    </row>
    <row r="1345">
      <c r="A1345" s="99"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c r="AD1345">
        <f>IF(OR(T1345="",Y1345="",AA1345=""),"",IF(AND(T1345="ALTA",OR(AA1345="L0 Inexistente",AA1345="L1 Inicial / Ad Hoc",Y1345="No Iniciado")),"CRÍTICO - Incumplimiento Normativo SEPS",IF(AND(OR(AA1345="L4 Gestionado y Medible",AA1345="L5 Optimizado"),AND(AC1345&lt;&gt;"",AC1345&lt;&gt;"N/A")),"CONFORME - Control Efectivo ISO 27001","OBSERVACIÓN - Revisar Controles")))</f>
        <v/>
      </c>
    </row>
    <row r="1346">
      <c r="A1346" s="99"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c r="AD1346">
        <f>IF(OR(T1346="",Y1346="",AA1346=""),"",IF(AND(T1346="ALTA",OR(AA1346="L0 Inexistente",AA1346="L1 Inicial / Ad Hoc",Y1346="No Iniciado")),"CRÍTICO - Incumplimiento Normativo SEPS",IF(AND(OR(AA1346="L4 Gestionado y Medible",AA1346="L5 Optimizado"),AND(AC1346&lt;&gt;"",AC1346&lt;&gt;"N/A")),"CONFORME - Control Efectivo ISO 27001","OBSERVACIÓN - Revisar Controles")))</f>
        <v/>
      </c>
    </row>
    <row r="1347">
      <c r="A1347" s="99"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c r="AD1347">
        <f>IF(OR(T1347="",Y1347="",AA1347=""),"",IF(AND(T1347="ALTA",OR(AA1347="L0 Inexistente",AA1347="L1 Inicial / Ad Hoc",Y1347="No Iniciado")),"CRÍTICO - Incumplimiento Normativo SEPS",IF(AND(OR(AA1347="L4 Gestionado y Medible",AA1347="L5 Optimizado"),AND(AC1347&lt;&gt;"",AC1347&lt;&gt;"N/A")),"CONFORME - Control Efectivo ISO 27001","OBSERVACIÓN - Revisar Controles")))</f>
        <v/>
      </c>
    </row>
    <row r="1348">
      <c r="A1348" s="99"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c r="AD1348">
        <f>IF(OR(T1348="",Y1348="",AA1348=""),"",IF(AND(T1348="ALTA",OR(AA1348="L0 Inexistente",AA1348="L1 Inicial / Ad Hoc",Y1348="No Iniciado")),"CRÍTICO - Incumplimiento Normativo SEPS",IF(AND(OR(AA1348="L4 Gestionado y Medible",AA1348="L5 Optimizado"),AND(AC1348&lt;&gt;"",AC1348&lt;&gt;"N/A")),"CONFORME - Control Efectivo ISO 27001","OBSERVACIÓN - Revisar Controles")))</f>
        <v/>
      </c>
    </row>
    <row r="1349">
      <c r="A1349" s="99"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c r="AD1349">
        <f>IF(OR(T1349="",Y1349="",AA1349=""),"",IF(AND(T1349="ALTA",OR(AA1349="L0 Inexistente",AA1349="L1 Inicial / Ad Hoc",Y1349="No Iniciado")),"CRÍTICO - Incumplimiento Normativo SEPS",IF(AND(OR(AA1349="L4 Gestionado y Medible",AA1349="L5 Optimizado"),AND(AC1349&lt;&gt;"",AC1349&lt;&gt;"N/A")),"CONFORME - Control Efectivo ISO 27001","OBSERVACIÓN - Revisar Controles")))</f>
        <v/>
      </c>
    </row>
    <row r="1350">
      <c r="A1350" s="99"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c r="AD1350">
        <f>IF(OR(T1350="",Y1350="",AA1350=""),"",IF(AND(T1350="ALTA",OR(AA1350="L0 Inexistente",AA1350="L1 Inicial / Ad Hoc",Y1350="No Iniciado")),"CRÍTICO - Incumplimiento Normativo SEPS",IF(AND(OR(AA1350="L4 Gestionado y Medible",AA1350="L5 Optimizado"),AND(AC1350&lt;&gt;"",AC1350&lt;&gt;"N/A")),"CONFORME - Control Efectivo ISO 27001","OBSERVACIÓN - Revisar Controles")))</f>
        <v/>
      </c>
    </row>
    <row r="1351" ht="12" customHeight="1" s="106">
      <c r="A1351" s="99"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c r="AD1351">
        <f>IF(OR(T1351="",Y1351="",AA1351=""),"",IF(AND(T1351="ALTA",OR(AA1351="L0 Inexistente",AA1351="L1 Inicial / Ad Hoc",Y1351="No Iniciado")),"CRÍTICO - Incumplimiento Normativo SEPS",IF(AND(OR(AA1351="L4 Gestionado y Medible",AA1351="L5 Optimizado"),AND(AC1351&lt;&gt;"",AC1351&lt;&gt;"N/A")),"CONFORME - Control Efectivo ISO 27001","OBSERVACIÓN - Revisar Controles")))</f>
        <v/>
      </c>
    </row>
    <row r="1352">
      <c r="A1352" s="99"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c r="AD1352">
        <f>IF(OR(T1352="",Y1352="",AA1352=""),"",IF(AND(T1352="ALTA",OR(AA1352="L0 Inexistente",AA1352="L1 Inicial / Ad Hoc",Y1352="No Iniciado")),"CRÍTICO - Incumplimiento Normativo SEPS",IF(AND(OR(AA1352="L4 Gestionado y Medible",AA1352="L5 Optimizado"),AND(AC1352&lt;&gt;"",AC1352&lt;&gt;"N/A")),"CONFORME - Control Efectivo ISO 27001","OBSERVACIÓN - Revisar Controles")))</f>
        <v/>
      </c>
    </row>
    <row r="1353">
      <c r="A1353" s="99"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c r="AD1353">
        <f>IF(OR(T1353="",Y1353="",AA1353=""),"",IF(AND(T1353="ALTA",OR(AA1353="L0 Inexistente",AA1353="L1 Inicial / Ad Hoc",Y1353="No Iniciado")),"CRÍTICO - Incumplimiento Normativo SEPS",IF(AND(OR(AA1353="L4 Gestionado y Medible",AA1353="L5 Optimizado"),AND(AC1353&lt;&gt;"",AC1353&lt;&gt;"N/A")),"CONFORME - Control Efectivo ISO 27001","OBSERVACIÓN - Revisar Controles")))</f>
        <v/>
      </c>
    </row>
    <row r="1354">
      <c r="A1354" s="99"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c r="AD1354">
        <f>IF(OR(T1354="",Y1354="",AA1354=""),"",IF(AND(T1354="ALTA",OR(AA1354="L0 Inexistente",AA1354="L1 Inicial / Ad Hoc",Y1354="No Iniciado")),"CRÍTICO - Incumplimiento Normativo SEPS",IF(AND(OR(AA1354="L4 Gestionado y Medible",AA1354="L5 Optimizado"),AND(AC1354&lt;&gt;"",AC1354&lt;&gt;"N/A")),"CONFORME - Control Efectivo ISO 27001","OBSERVACIÓN - Revisar Controles")))</f>
        <v/>
      </c>
    </row>
    <row r="1355">
      <c r="A1355" s="99"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c r="AD1355">
        <f>IF(OR(T1355="",Y1355="",AA1355=""),"",IF(AND(T1355="ALTA",OR(AA1355="L0 Inexistente",AA1355="L1 Inicial / Ad Hoc",Y1355="No Iniciado")),"CRÍTICO - Incumplimiento Normativo SEPS",IF(AND(OR(AA1355="L4 Gestionado y Medible",AA1355="L5 Optimizado"),AND(AC1355&lt;&gt;"",AC1355&lt;&gt;"N/A")),"CONFORME - Control Efectivo ISO 27001","OBSERVACIÓN - Revisar Controles")))</f>
        <v/>
      </c>
    </row>
    <row r="1356">
      <c r="A1356" s="99"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c r="AD1356">
        <f>IF(OR(T1356="",Y1356="",AA1356=""),"",IF(AND(T1356="ALTA",OR(AA1356="L0 Inexistente",AA1356="L1 Inicial / Ad Hoc",Y1356="No Iniciado")),"CRÍTICO - Incumplimiento Normativo SEPS",IF(AND(OR(AA1356="L4 Gestionado y Medible",AA1356="L5 Optimizado"),AND(AC1356&lt;&gt;"",AC1356&lt;&gt;"N/A")),"CONFORME - Control Efectivo ISO 27001","OBSERVACIÓN - Revisar Controles")))</f>
        <v/>
      </c>
    </row>
    <row r="1357">
      <c r="A1357" s="99"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c r="AD1357">
        <f>IF(OR(T1357="",Y1357="",AA1357=""),"",IF(AND(T1357="ALTA",OR(AA1357="L0 Inexistente",AA1357="L1 Inicial / Ad Hoc",Y1357="No Iniciado")),"CRÍTICO - Incumplimiento Normativo SEPS",IF(AND(OR(AA1357="L4 Gestionado y Medible",AA1357="L5 Optimizado"),AND(AC1357&lt;&gt;"",AC1357&lt;&gt;"N/A")),"CONFORME - Control Efectivo ISO 27001","OBSERVACIÓN - Revisar Controles")))</f>
        <v/>
      </c>
    </row>
    <row r="1358">
      <c r="A1358" s="99"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c r="AD1358">
        <f>IF(OR(T1358="",Y1358="",AA1358=""),"",IF(AND(T1358="ALTA",OR(AA1358="L0 Inexistente",AA1358="L1 Inicial / Ad Hoc",Y1358="No Iniciado")),"CRÍTICO - Incumplimiento Normativo SEPS",IF(AND(OR(AA1358="L4 Gestionado y Medible",AA1358="L5 Optimizado"),AND(AC1358&lt;&gt;"",AC1358&lt;&gt;"N/A")),"CONFORME - Control Efectivo ISO 27001","OBSERVACIÓN - Revisar Controles")))</f>
        <v/>
      </c>
    </row>
    <row r="1359">
      <c r="A1359" s="99"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c r="AD1359">
        <f>IF(OR(T1359="",Y1359="",AA1359=""),"",IF(AND(T1359="ALTA",OR(AA1359="L0 Inexistente",AA1359="L1 Inicial / Ad Hoc",Y1359="No Iniciado")),"CRÍTICO - Incumplimiento Normativo SEPS",IF(AND(OR(AA1359="L4 Gestionado y Medible",AA1359="L5 Optimizado"),AND(AC1359&lt;&gt;"",AC1359&lt;&gt;"N/A")),"CONFORME - Control Efectivo ISO 27001","OBSERVACIÓN - Revisar Controles")))</f>
        <v/>
      </c>
    </row>
    <row r="1360">
      <c r="A1360" s="99"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c r="AD1360">
        <f>IF(OR(T1360="",Y1360="",AA1360=""),"",IF(AND(T1360="ALTA",OR(AA1360="L0 Inexistente",AA1360="L1 Inicial / Ad Hoc",Y1360="No Iniciado")),"CRÍTICO - Incumplimiento Normativo SEPS",IF(AND(OR(AA1360="L4 Gestionado y Medible",AA1360="L5 Optimizado"),AND(AC1360&lt;&gt;"",AC1360&lt;&gt;"N/A")),"CONFORME - Control Efectivo ISO 27001","OBSERVACIÓN - Revisar Controles")))</f>
        <v/>
      </c>
    </row>
    <row r="1361">
      <c r="A1361" s="99"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c r="AD1361">
        <f>IF(OR(T1361="",Y1361="",AA1361=""),"",IF(AND(T1361="ALTA",OR(AA1361="L0 Inexistente",AA1361="L1 Inicial / Ad Hoc",Y1361="No Iniciado")),"CRÍTICO - Incumplimiento Normativo SEPS",IF(AND(OR(AA1361="L4 Gestionado y Medible",AA1361="L5 Optimizado"),AND(AC1361&lt;&gt;"",AC1361&lt;&gt;"N/A")),"CONFORME - Control Efectivo ISO 27001","OBSERVACIÓN - Revisar Controles")))</f>
        <v/>
      </c>
    </row>
    <row r="1362">
      <c r="A1362" s="99"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c r="AD1362">
        <f>IF(OR(T1362="",Y1362="",AA1362=""),"",IF(AND(T1362="ALTA",OR(AA1362="L0 Inexistente",AA1362="L1 Inicial / Ad Hoc",Y1362="No Iniciado")),"CRÍTICO - Incumplimiento Normativo SEPS",IF(AND(OR(AA1362="L4 Gestionado y Medible",AA1362="L5 Optimizado"),AND(AC1362&lt;&gt;"",AC1362&lt;&gt;"N/A")),"CONFORME - Control Efectivo ISO 27001","OBSERVACIÓN - Revisar Controles")))</f>
        <v/>
      </c>
    </row>
    <row r="1363">
      <c r="A1363" s="99"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c r="AD1363">
        <f>IF(OR(T1363="",Y1363="",AA1363=""),"",IF(AND(T1363="ALTA",OR(AA1363="L0 Inexistente",AA1363="L1 Inicial / Ad Hoc",Y1363="No Iniciado")),"CRÍTICO - Incumplimiento Normativo SEPS",IF(AND(OR(AA1363="L4 Gestionado y Medible",AA1363="L5 Optimizado"),AND(AC1363&lt;&gt;"",AC1363&lt;&gt;"N/A")),"CONFORME - Control Efectivo ISO 27001","OBSERVACIÓN - Revisar Controles")))</f>
        <v/>
      </c>
    </row>
    <row r="1364">
      <c r="A1364" s="99"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c r="AD1364">
        <f>IF(OR(T1364="",Y1364="",AA1364=""),"",IF(AND(T1364="ALTA",OR(AA1364="L0 Inexistente",AA1364="L1 Inicial / Ad Hoc",Y1364="No Iniciado")),"CRÍTICO - Incumplimiento Normativo SEPS",IF(AND(OR(AA1364="L4 Gestionado y Medible",AA1364="L5 Optimizado"),AND(AC1364&lt;&gt;"",AC1364&lt;&gt;"N/A")),"CONFORME - Control Efectivo ISO 27001","OBSERVACIÓN - Revisar Controles")))</f>
        <v/>
      </c>
    </row>
    <row r="1365">
      <c r="A1365" s="99"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c r="AD1365">
        <f>IF(OR(T1365="",Y1365="",AA1365=""),"",IF(AND(T1365="ALTA",OR(AA1365="L0 Inexistente",AA1365="L1 Inicial / Ad Hoc",Y1365="No Iniciado")),"CRÍTICO - Incumplimiento Normativo SEPS",IF(AND(OR(AA1365="L4 Gestionado y Medible",AA1365="L5 Optimizado"),AND(AC1365&lt;&gt;"",AC1365&lt;&gt;"N/A")),"CONFORME - Control Efectivo ISO 27001","OBSERVACIÓN - Revisar Controles")))</f>
        <v/>
      </c>
    </row>
    <row r="1366">
      <c r="A1366" s="99"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c r="AD1366">
        <f>IF(OR(T1366="",Y1366="",AA1366=""),"",IF(AND(T1366="ALTA",OR(AA1366="L0 Inexistente",AA1366="L1 Inicial / Ad Hoc",Y1366="No Iniciado")),"CRÍTICO - Incumplimiento Normativo SEPS",IF(AND(OR(AA1366="L4 Gestionado y Medible",AA1366="L5 Optimizado"),AND(AC1366&lt;&gt;"",AC1366&lt;&gt;"N/A")),"CONFORME - Control Efectivo ISO 27001","OBSERVACIÓN - Revisar Controles")))</f>
        <v/>
      </c>
    </row>
    <row r="1367">
      <c r="A1367" s="99"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c r="AD1367">
        <f>IF(OR(T1367="",Y1367="",AA1367=""),"",IF(AND(T1367="ALTA",OR(AA1367="L0 Inexistente",AA1367="L1 Inicial / Ad Hoc",Y1367="No Iniciado")),"CRÍTICO - Incumplimiento Normativo SEPS",IF(AND(OR(AA1367="L4 Gestionado y Medible",AA1367="L5 Optimizado"),AND(AC1367&lt;&gt;"",AC1367&lt;&gt;"N/A")),"CONFORME - Control Efectivo ISO 27001","OBSERVACIÓN - Revisar Controles")))</f>
        <v/>
      </c>
    </row>
    <row r="1368">
      <c r="A1368" s="99"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c r="AD1368">
        <f>IF(OR(T1368="",Y1368="",AA1368=""),"",IF(AND(T1368="ALTA",OR(AA1368="L0 Inexistente",AA1368="L1 Inicial / Ad Hoc",Y1368="No Iniciado")),"CRÍTICO - Incumplimiento Normativo SEPS",IF(AND(OR(AA1368="L4 Gestionado y Medible",AA1368="L5 Optimizado"),AND(AC1368&lt;&gt;"",AC1368&lt;&gt;"N/A")),"CONFORME - Control Efectivo ISO 27001","OBSERVACIÓN - Revisar Controles")))</f>
        <v/>
      </c>
    </row>
    <row r="1369">
      <c r="A1369" s="99"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c r="AD1369">
        <f>IF(OR(T1369="",Y1369="",AA1369=""),"",IF(AND(T1369="ALTA",OR(AA1369="L0 Inexistente",AA1369="L1 Inicial / Ad Hoc",Y1369="No Iniciado")),"CRÍTICO - Incumplimiento Normativo SEPS",IF(AND(OR(AA1369="L4 Gestionado y Medible",AA1369="L5 Optimizado"),AND(AC1369&lt;&gt;"",AC1369&lt;&gt;"N/A")),"CONFORME - Control Efectivo ISO 27001","OBSERVACIÓN - Revisar Controles")))</f>
        <v/>
      </c>
    </row>
    <row r="1370">
      <c r="A1370" s="99"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c r="AD1370">
        <f>IF(OR(T1370="",Y1370="",AA1370=""),"",IF(AND(T1370="ALTA",OR(AA1370="L0 Inexistente",AA1370="L1 Inicial / Ad Hoc",Y1370="No Iniciado")),"CRÍTICO - Incumplimiento Normativo SEPS",IF(AND(OR(AA1370="L4 Gestionado y Medible",AA1370="L5 Optimizado"),AND(AC1370&lt;&gt;"",AC1370&lt;&gt;"N/A")),"CONFORME - Control Efectivo ISO 27001","OBSERVACIÓN - Revisar Controles")))</f>
        <v/>
      </c>
    </row>
    <row r="1371">
      <c r="A1371" s="99"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c r="AD1371">
        <f>IF(OR(T1371="",Y1371="",AA1371=""),"",IF(AND(T1371="ALTA",OR(AA1371="L0 Inexistente",AA1371="L1 Inicial / Ad Hoc",Y1371="No Iniciado")),"CRÍTICO - Incumplimiento Normativo SEPS",IF(AND(OR(AA1371="L4 Gestionado y Medible",AA1371="L5 Optimizado"),AND(AC1371&lt;&gt;"",AC1371&lt;&gt;"N/A")),"CONFORME - Control Efectivo ISO 27001","OBSERVACIÓN - Revisar Controles")))</f>
        <v/>
      </c>
    </row>
    <row r="1372">
      <c r="A1372" s="99"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c r="AD1372">
        <f>IF(OR(T1372="",Y1372="",AA1372=""),"",IF(AND(T1372="ALTA",OR(AA1372="L0 Inexistente",AA1372="L1 Inicial / Ad Hoc",Y1372="No Iniciado")),"CRÍTICO - Incumplimiento Normativo SEPS",IF(AND(OR(AA1372="L4 Gestionado y Medible",AA1372="L5 Optimizado"),AND(AC1372&lt;&gt;"",AC1372&lt;&gt;"N/A")),"CONFORME - Control Efectivo ISO 27001","OBSERVACIÓN - Revisar Controles")))</f>
        <v/>
      </c>
    </row>
    <row r="1373">
      <c r="A1373" s="99"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c r="AD1373">
        <f>IF(OR(T1373="",Y1373="",AA1373=""),"",IF(AND(T1373="ALTA",OR(AA1373="L0 Inexistente",AA1373="L1 Inicial / Ad Hoc",Y1373="No Iniciado")),"CRÍTICO - Incumplimiento Normativo SEPS",IF(AND(OR(AA1373="L4 Gestionado y Medible",AA1373="L5 Optimizado"),AND(AC1373&lt;&gt;"",AC1373&lt;&gt;"N/A")),"CONFORME - Control Efectivo ISO 27001","OBSERVACIÓN - Revisar Controles")))</f>
        <v/>
      </c>
    </row>
    <row r="1374">
      <c r="A1374" s="99"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c r="AD1374">
        <f>IF(OR(T1374="",Y1374="",AA1374=""),"",IF(AND(T1374="ALTA",OR(AA1374="L0 Inexistente",AA1374="L1 Inicial / Ad Hoc",Y1374="No Iniciado")),"CRÍTICO - Incumplimiento Normativo SEPS",IF(AND(OR(AA1374="L4 Gestionado y Medible",AA1374="L5 Optimizado"),AND(AC1374&lt;&gt;"",AC1374&lt;&gt;"N/A")),"CONFORME - Control Efectivo ISO 27001","OBSERVACIÓN - Revisar Controles")))</f>
        <v/>
      </c>
    </row>
    <row r="1375">
      <c r="A1375" s="99"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c r="AD1375">
        <f>IF(OR(T1375="",Y1375="",AA1375=""),"",IF(AND(T1375="ALTA",OR(AA1375="L0 Inexistente",AA1375="L1 Inicial / Ad Hoc",Y1375="No Iniciado")),"CRÍTICO - Incumplimiento Normativo SEPS",IF(AND(OR(AA1375="L4 Gestionado y Medible",AA1375="L5 Optimizado"),AND(AC1375&lt;&gt;"",AC1375&lt;&gt;"N/A")),"CONFORME - Control Efectivo ISO 27001","OBSERVACIÓN - Revisar Controles")))</f>
        <v/>
      </c>
    </row>
    <row r="1376">
      <c r="A1376" s="99"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c r="AD1376">
        <f>IF(OR(T1376="",Y1376="",AA1376=""),"",IF(AND(T1376="ALTA",OR(AA1376="L0 Inexistente",AA1376="L1 Inicial / Ad Hoc",Y1376="No Iniciado")),"CRÍTICO - Incumplimiento Normativo SEPS",IF(AND(OR(AA1376="L4 Gestionado y Medible",AA1376="L5 Optimizado"),AND(AC1376&lt;&gt;"",AC1376&lt;&gt;"N/A")),"CONFORME - Control Efectivo ISO 27001","OBSERVACIÓN - Revisar Controles")))</f>
        <v/>
      </c>
    </row>
    <row r="1377">
      <c r="A1377" s="99"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c r="AD1377">
        <f>IF(OR(T1377="",Y1377="",AA1377=""),"",IF(AND(T1377="ALTA",OR(AA1377="L0 Inexistente",AA1377="L1 Inicial / Ad Hoc",Y1377="No Iniciado")),"CRÍTICO - Incumplimiento Normativo SEPS",IF(AND(OR(AA1377="L4 Gestionado y Medible",AA1377="L5 Optimizado"),AND(AC1377&lt;&gt;"",AC1377&lt;&gt;"N/A")),"CONFORME - Control Efectivo ISO 27001","OBSERVACIÓN - Revisar Controles")))</f>
        <v/>
      </c>
    </row>
    <row r="1378">
      <c r="A1378" s="99"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c r="AD1378">
        <f>IF(OR(T1378="",Y1378="",AA1378=""),"",IF(AND(T1378="ALTA",OR(AA1378="L0 Inexistente",AA1378="L1 Inicial / Ad Hoc",Y1378="No Iniciado")),"CRÍTICO - Incumplimiento Normativo SEPS",IF(AND(OR(AA1378="L4 Gestionado y Medible",AA1378="L5 Optimizado"),AND(AC1378&lt;&gt;"",AC1378&lt;&gt;"N/A")),"CONFORME - Control Efectivo ISO 27001","OBSERVACIÓN - Revisar Controles")))</f>
        <v/>
      </c>
    </row>
    <row r="1379">
      <c r="A1379" s="99"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c r="AD1379">
        <f>IF(OR(T1379="",Y1379="",AA1379=""),"",IF(AND(T1379="ALTA",OR(AA1379="L0 Inexistente",AA1379="L1 Inicial / Ad Hoc",Y1379="No Iniciado")),"CRÍTICO - Incumplimiento Normativo SEPS",IF(AND(OR(AA1379="L4 Gestionado y Medible",AA1379="L5 Optimizado"),AND(AC1379&lt;&gt;"",AC1379&lt;&gt;"N/A")),"CONFORME - Control Efectivo ISO 27001","OBSERVACIÓN - Revisar Controles")))</f>
        <v/>
      </c>
    </row>
    <row r="1380">
      <c r="A1380" s="99"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c r="AD1380">
        <f>IF(OR(T1380="",Y1380="",AA1380=""),"",IF(AND(T1380="ALTA",OR(AA1380="L0 Inexistente",AA1380="L1 Inicial / Ad Hoc",Y1380="No Iniciado")),"CRÍTICO - Incumplimiento Normativo SEPS",IF(AND(OR(AA1380="L4 Gestionado y Medible",AA1380="L5 Optimizado"),AND(AC1380&lt;&gt;"",AC1380&lt;&gt;"N/A")),"CONFORME - Control Efectivo ISO 27001","OBSERVACIÓN - Revisar Controles")))</f>
        <v/>
      </c>
    </row>
    <row r="1381">
      <c r="A1381" s="99"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c r="AD1381">
        <f>IF(OR(T1381="",Y1381="",AA1381=""),"",IF(AND(T1381="ALTA",OR(AA1381="L0 Inexistente",AA1381="L1 Inicial / Ad Hoc",Y1381="No Iniciado")),"CRÍTICO - Incumplimiento Normativo SEPS",IF(AND(OR(AA1381="L4 Gestionado y Medible",AA1381="L5 Optimizado"),AND(AC1381&lt;&gt;"",AC1381&lt;&gt;"N/A")),"CONFORME - Control Efectivo ISO 27001","OBSERVACIÓN - Revisar Controles")))</f>
        <v/>
      </c>
    </row>
    <row r="1382">
      <c r="A1382" s="99"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c r="AD1382">
        <f>IF(OR(T1382="",Y1382="",AA1382=""),"",IF(AND(T1382="ALTA",OR(AA1382="L0 Inexistente",AA1382="L1 Inicial / Ad Hoc",Y1382="No Iniciado")),"CRÍTICO - Incumplimiento Normativo SEPS",IF(AND(OR(AA1382="L4 Gestionado y Medible",AA1382="L5 Optimizado"),AND(AC1382&lt;&gt;"",AC1382&lt;&gt;"N/A")),"CONFORME - Control Efectivo ISO 27001","OBSERVACIÓN - Revisar Controles")))</f>
        <v/>
      </c>
    </row>
    <row r="1383">
      <c r="A1383" s="99"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c r="AD1383">
        <f>IF(OR(T1383="",Y1383="",AA1383=""),"",IF(AND(T1383="ALTA",OR(AA1383="L0 Inexistente",AA1383="L1 Inicial / Ad Hoc",Y1383="No Iniciado")),"CRÍTICO - Incumplimiento Normativo SEPS",IF(AND(OR(AA1383="L4 Gestionado y Medible",AA1383="L5 Optimizado"),AND(AC1383&lt;&gt;"",AC1383&lt;&gt;"N/A")),"CONFORME - Control Efectivo ISO 27001","OBSERVACIÓN - Revisar Controles")))</f>
        <v/>
      </c>
    </row>
    <row r="1384">
      <c r="A1384" s="99"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c r="AD1384">
        <f>IF(OR(T1384="",Y1384="",AA1384=""),"",IF(AND(T1384="ALTA",OR(AA1384="L0 Inexistente",AA1384="L1 Inicial / Ad Hoc",Y1384="No Iniciado")),"CRÍTICO - Incumplimiento Normativo SEPS",IF(AND(OR(AA1384="L4 Gestionado y Medible",AA1384="L5 Optimizado"),AND(AC1384&lt;&gt;"",AC1384&lt;&gt;"N/A")),"CONFORME - Control Efectivo ISO 27001","OBSERVACIÓN - Revisar Controles")))</f>
        <v/>
      </c>
    </row>
    <row r="1385">
      <c r="A1385" s="99"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c r="AD1385">
        <f>IF(OR(T1385="",Y1385="",AA1385=""),"",IF(AND(T1385="ALTA",OR(AA1385="L0 Inexistente",AA1385="L1 Inicial / Ad Hoc",Y1385="No Iniciado")),"CRÍTICO - Incumplimiento Normativo SEPS",IF(AND(OR(AA1385="L4 Gestionado y Medible",AA1385="L5 Optimizado"),AND(AC1385&lt;&gt;"",AC1385&lt;&gt;"N/A")),"CONFORME - Control Efectivo ISO 27001","OBSERVACIÓN - Revisar Controles")))</f>
        <v/>
      </c>
    </row>
    <row r="1386">
      <c r="A1386" s="99"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c r="AD1386">
        <f>IF(OR(T1386="",Y1386="",AA1386=""),"",IF(AND(T1386="ALTA",OR(AA1386="L0 Inexistente",AA1386="L1 Inicial / Ad Hoc",Y1386="No Iniciado")),"CRÍTICO - Incumplimiento Normativo SEPS",IF(AND(OR(AA1386="L4 Gestionado y Medible",AA1386="L5 Optimizado"),AND(AC1386&lt;&gt;"",AC1386&lt;&gt;"N/A")),"CONFORME - Control Efectivo ISO 27001","OBSERVACIÓN - Revisar Controles")))</f>
        <v/>
      </c>
    </row>
    <row r="1387">
      <c r="A1387" s="99"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c r="AD1387">
        <f>IF(OR(T1387="",Y1387="",AA1387=""),"",IF(AND(T1387="ALTA",OR(AA1387="L0 Inexistente",AA1387="L1 Inicial / Ad Hoc",Y1387="No Iniciado")),"CRÍTICO - Incumplimiento Normativo SEPS",IF(AND(OR(AA1387="L4 Gestionado y Medible",AA1387="L5 Optimizado"),AND(AC1387&lt;&gt;"",AC1387&lt;&gt;"N/A")),"CONFORME - Control Efectivo ISO 27001","OBSERVACIÓN - Revisar Controles")))</f>
        <v/>
      </c>
    </row>
    <row r="1388">
      <c r="A1388" s="99"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c r="AD1388">
        <f>IF(OR(T1388="",Y1388="",AA1388=""),"",IF(AND(T1388="ALTA",OR(AA1388="L0 Inexistente",AA1388="L1 Inicial / Ad Hoc",Y1388="No Iniciado")),"CRÍTICO - Incumplimiento Normativo SEPS",IF(AND(OR(AA1388="L4 Gestionado y Medible",AA1388="L5 Optimizado"),AND(AC1388&lt;&gt;"",AC1388&lt;&gt;"N/A")),"CONFORME - Control Efectivo ISO 27001","OBSERVACIÓN - Revisar Controles")))</f>
        <v/>
      </c>
    </row>
    <row r="1389">
      <c r="A1389" s="99"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c r="AD1389">
        <f>IF(OR(T1389="",Y1389="",AA1389=""),"",IF(AND(T1389="ALTA",OR(AA1389="L0 Inexistente",AA1389="L1 Inicial / Ad Hoc",Y1389="No Iniciado")),"CRÍTICO - Incumplimiento Normativo SEPS",IF(AND(OR(AA1389="L4 Gestionado y Medible",AA1389="L5 Optimizado"),AND(AC1389&lt;&gt;"",AC1389&lt;&gt;"N/A")),"CONFORME - Control Efectivo ISO 27001","OBSERVACIÓN - Revisar Controles")))</f>
        <v/>
      </c>
    </row>
    <row r="1390">
      <c r="A1390" s="99"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c r="AD1390">
        <f>IF(OR(T1390="",Y1390="",AA1390=""),"",IF(AND(T1390="ALTA",OR(AA1390="L0 Inexistente",AA1390="L1 Inicial / Ad Hoc",Y1390="No Iniciado")),"CRÍTICO - Incumplimiento Normativo SEPS",IF(AND(OR(AA1390="L4 Gestionado y Medible",AA1390="L5 Optimizado"),AND(AC1390&lt;&gt;"",AC1390&lt;&gt;"N/A")),"CONFORME - Control Efectivo ISO 27001","OBSERVACIÓN - Revisar Controles")))</f>
        <v/>
      </c>
    </row>
    <row r="1391">
      <c r="A1391" s="99"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c r="AD1391">
        <f>IF(OR(T1391="",Y1391="",AA1391=""),"",IF(AND(T1391="ALTA",OR(AA1391="L0 Inexistente",AA1391="L1 Inicial / Ad Hoc",Y1391="No Iniciado")),"CRÍTICO - Incumplimiento Normativo SEPS",IF(AND(OR(AA1391="L4 Gestionado y Medible",AA1391="L5 Optimizado"),AND(AC1391&lt;&gt;"",AC1391&lt;&gt;"N/A")),"CONFORME - Control Efectivo ISO 27001","OBSERVACIÓN - Revisar Controles")))</f>
        <v/>
      </c>
    </row>
    <row r="1392">
      <c r="A1392" s="99"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c r="AD1392">
        <f>IF(OR(T1392="",Y1392="",AA1392=""),"",IF(AND(T1392="ALTA",OR(AA1392="L0 Inexistente",AA1392="L1 Inicial / Ad Hoc",Y1392="No Iniciado")),"CRÍTICO - Incumplimiento Normativo SEPS",IF(AND(OR(AA1392="L4 Gestionado y Medible",AA1392="L5 Optimizado"),AND(AC1392&lt;&gt;"",AC1392&lt;&gt;"N/A")),"CONFORME - Control Efectivo ISO 27001","OBSERVACIÓN - Revisar Controles")))</f>
        <v/>
      </c>
    </row>
    <row r="1393">
      <c r="A1393" s="99"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c r="AD1393">
        <f>IF(OR(T1393="",Y1393="",AA1393=""),"",IF(AND(T1393="ALTA",OR(AA1393="L0 Inexistente",AA1393="L1 Inicial / Ad Hoc",Y1393="No Iniciado")),"CRÍTICO - Incumplimiento Normativo SEPS",IF(AND(OR(AA1393="L4 Gestionado y Medible",AA1393="L5 Optimizado"),AND(AC1393&lt;&gt;"",AC1393&lt;&gt;"N/A")),"CONFORME - Control Efectivo ISO 27001","OBSERVACIÓN - Revisar Controles")))</f>
        <v/>
      </c>
    </row>
    <row r="1394">
      <c r="A1394" s="99"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c r="AD1394">
        <f>IF(OR(T1394="",Y1394="",AA1394=""),"",IF(AND(T1394="ALTA",OR(AA1394="L0 Inexistente",AA1394="L1 Inicial / Ad Hoc",Y1394="No Iniciado")),"CRÍTICO - Incumplimiento Normativo SEPS",IF(AND(OR(AA1394="L4 Gestionado y Medible",AA1394="L5 Optimizado"),AND(AC1394&lt;&gt;"",AC1394&lt;&gt;"N/A")),"CONFORME - Control Efectivo ISO 27001","OBSERVACIÓN - Revisar Controles")))</f>
        <v/>
      </c>
    </row>
    <row r="1395">
      <c r="A1395" s="99"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c r="AD1395">
        <f>IF(OR(T1395="",Y1395="",AA1395=""),"",IF(AND(T1395="ALTA",OR(AA1395="L0 Inexistente",AA1395="L1 Inicial / Ad Hoc",Y1395="No Iniciado")),"CRÍTICO - Incumplimiento Normativo SEPS",IF(AND(OR(AA1395="L4 Gestionado y Medible",AA1395="L5 Optimizado"),AND(AC1395&lt;&gt;"",AC1395&lt;&gt;"N/A")),"CONFORME - Control Efectivo ISO 27001","OBSERVACIÓN - Revisar Controles")))</f>
        <v/>
      </c>
    </row>
    <row r="1396" ht="20.45" customHeight="1" s="106">
      <c r="A1396" s="99"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c r="AD1396">
        <f>IF(OR(T1396="",Y1396="",AA1396=""),"",IF(AND(T1396="ALTA",OR(AA1396="L0 Inexistente",AA1396="L1 Inicial / Ad Hoc",Y1396="No Iniciado")),"CRÍTICO - Incumplimiento Normativo SEPS",IF(AND(OR(AA1396="L4 Gestionado y Medible",AA1396="L5 Optimizado"),AND(AC1396&lt;&gt;"",AC1396&lt;&gt;"N/A")),"CONFORME - Control Efectivo ISO 27001","OBSERVACIÓN - Revisar Controles")))</f>
        <v/>
      </c>
    </row>
    <row r="1397">
      <c r="A1397" s="99"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c r="AD1397">
        <f>IF(OR(T1397="",Y1397="",AA1397=""),"",IF(AND(T1397="ALTA",OR(AA1397="L0 Inexistente",AA1397="L1 Inicial / Ad Hoc",Y1397="No Iniciado")),"CRÍTICO - Incumplimiento Normativo SEPS",IF(AND(OR(AA1397="L4 Gestionado y Medible",AA1397="L5 Optimizado"),AND(AC1397&lt;&gt;"",AC1397&lt;&gt;"N/A")),"CONFORME - Control Efectivo ISO 27001","OBSERVACIÓN - Revisar Controles")))</f>
        <v/>
      </c>
    </row>
    <row r="1398">
      <c r="A1398" s="99"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c r="AD1398">
        <f>IF(OR(T1398="",Y1398="",AA1398=""),"",IF(AND(T1398="ALTA",OR(AA1398="L0 Inexistente",AA1398="L1 Inicial / Ad Hoc",Y1398="No Iniciado")),"CRÍTICO - Incumplimiento Normativo SEPS",IF(AND(OR(AA1398="L4 Gestionado y Medible",AA1398="L5 Optimizado"),AND(AC1398&lt;&gt;"",AC1398&lt;&gt;"N/A")),"CONFORME - Control Efectivo ISO 27001","OBSERVACIÓN - Revisar Controles")))</f>
        <v/>
      </c>
    </row>
    <row r="1399">
      <c r="A1399" s="99"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c r="AD1399">
        <f>IF(OR(T1399="",Y1399="",AA1399=""),"",IF(AND(T1399="ALTA",OR(AA1399="L0 Inexistente",AA1399="L1 Inicial / Ad Hoc",Y1399="No Iniciado")),"CRÍTICO - Incumplimiento Normativo SEPS",IF(AND(OR(AA1399="L4 Gestionado y Medible",AA1399="L5 Optimizado"),AND(AC1399&lt;&gt;"",AC1399&lt;&gt;"N/A")),"CONFORME - Control Efectivo ISO 27001","OBSERVACIÓN - Revisar Controles")))</f>
        <v/>
      </c>
    </row>
    <row r="1400">
      <c r="A1400" s="99"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c r="AD1400">
        <f>IF(OR(T1400="",Y1400="",AA1400=""),"",IF(AND(T1400="ALTA",OR(AA1400="L0 Inexistente",AA1400="L1 Inicial / Ad Hoc",Y1400="No Iniciado")),"CRÍTICO - Incumplimiento Normativo SEPS",IF(AND(OR(AA1400="L4 Gestionado y Medible",AA1400="L5 Optimizado"),AND(AC1400&lt;&gt;"",AC1400&lt;&gt;"N/A")),"CONFORME - Control Efectivo ISO 27001","OBSERVACIÓN - Revisar Controles")))</f>
        <v/>
      </c>
    </row>
    <row r="1401">
      <c r="A1401" s="99"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c r="AD1401">
        <f>IF(OR(T1401="",Y1401="",AA1401=""),"",IF(AND(T1401="ALTA",OR(AA1401="L0 Inexistente",AA1401="L1 Inicial / Ad Hoc",Y1401="No Iniciado")),"CRÍTICO - Incumplimiento Normativo SEPS",IF(AND(OR(AA1401="L4 Gestionado y Medible",AA1401="L5 Optimizado"),AND(AC1401&lt;&gt;"",AC1401&lt;&gt;"N/A")),"CONFORME - Control Efectivo ISO 27001","OBSERVACIÓN - Revisar Controles")))</f>
        <v/>
      </c>
    </row>
    <row r="1402">
      <c r="A1402" s="99"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c r="AD1402">
        <f>IF(OR(T1402="",Y1402="",AA1402=""),"",IF(AND(T1402="ALTA",OR(AA1402="L0 Inexistente",AA1402="L1 Inicial / Ad Hoc",Y1402="No Iniciado")),"CRÍTICO - Incumplimiento Normativo SEPS",IF(AND(OR(AA1402="L4 Gestionado y Medible",AA1402="L5 Optimizado"),AND(AC1402&lt;&gt;"",AC1402&lt;&gt;"N/A")),"CONFORME - Control Efectivo ISO 27001","OBSERVACIÓN - Revisar Controles")))</f>
        <v/>
      </c>
    </row>
    <row r="1403">
      <c r="A1403" s="99"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c r="AD1403">
        <f>IF(OR(T1403="",Y1403="",AA1403=""),"",IF(AND(T1403="ALTA",OR(AA1403="L0 Inexistente",AA1403="L1 Inicial / Ad Hoc",Y1403="No Iniciado")),"CRÍTICO - Incumplimiento Normativo SEPS",IF(AND(OR(AA1403="L4 Gestionado y Medible",AA1403="L5 Optimizado"),AND(AC1403&lt;&gt;"",AC1403&lt;&gt;"N/A")),"CONFORME - Control Efectivo ISO 27001","OBSERVACIÓN - Revisar Controles")))</f>
        <v/>
      </c>
    </row>
    <row r="1404">
      <c r="A1404" s="99"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c r="AD1404">
        <f>IF(OR(T1404="",Y1404="",AA1404=""),"",IF(AND(T1404="ALTA",OR(AA1404="L0 Inexistente",AA1404="L1 Inicial / Ad Hoc",Y1404="No Iniciado")),"CRÍTICO - Incumplimiento Normativo SEPS",IF(AND(OR(AA1404="L4 Gestionado y Medible",AA1404="L5 Optimizado"),AND(AC1404&lt;&gt;"",AC1404&lt;&gt;"N/A")),"CONFORME - Control Efectivo ISO 27001","OBSERVACIÓN - Revisar Controles")))</f>
        <v/>
      </c>
    </row>
    <row r="1405">
      <c r="A1405" s="99"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c r="AD1405">
        <f>IF(OR(T1405="",Y1405="",AA1405=""),"",IF(AND(T1405="ALTA",OR(AA1405="L0 Inexistente",AA1405="L1 Inicial / Ad Hoc",Y1405="No Iniciado")),"CRÍTICO - Incumplimiento Normativo SEPS",IF(AND(OR(AA1405="L4 Gestionado y Medible",AA1405="L5 Optimizado"),AND(AC1405&lt;&gt;"",AC1405&lt;&gt;"N/A")),"CONFORME - Control Efectivo ISO 27001","OBSERVACIÓN - Revisar Controles")))</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c r="AD1406">
        <f>IF(OR(T1406="",Y1406="",AA1406=""),"",IF(AND(T1406="ALTA",OR(AA1406="L0 Inexistente",AA1406="L1 Inicial / Ad Hoc",Y1406="No Iniciado")),"CRÍTICO - Incumplimiento Normativo SEPS",IF(AND(OR(AA1406="L4 Gestionado y Medible",AA1406="L5 Optimizado"),AND(AC1406&lt;&gt;"",AC1406&lt;&gt;"N/A")),"CONFORME - Control Efectivo ISO 27001","OBSERVACIÓN - Revisar Controles")))</f>
        <v/>
      </c>
    </row>
    <row r="1407"/>
  </sheetData>
  <autoFilter ref="Y2:AC1406"/>
  <mergeCells count="3">
    <mergeCell ref="P1:R1"/>
    <mergeCell ref="S1:T1"/>
    <mergeCell ref="B1:G1"/>
  </mergeCells>
  <conditionalFormatting sqref="AD3:AD1406">
    <cfRule type="cellIs" priority="1" operator="equal" dxfId="80" stopIfTrue="1">
      <formula>"CRÍTICO - Incumplimiento Normativo SEPS"</formula>
    </cfRule>
    <cfRule type="cellIs" priority="2" operator="equal" dxfId="81" stopIfTrue="1">
      <formula>"CONFORME - Control Efectivo ISO 27001"</formula>
    </cfRule>
    <cfRule type="cellIs" priority="3" operator="equal" dxfId="82" stopIfTrue="1">
      <formula>"OBSERVACIÓN - Revisar Controles"</formula>
    </cfRule>
    <cfRule type="cellIs" priority="4" operator="equal" dxfId="80" stopIfTrue="0">
      <formula>"CRÍTICO - Incumplimiento Normativo SEPS"</formula>
    </cfRule>
    <cfRule type="cellIs" priority="5" operator="equal" dxfId="81" stopIfTrue="0">
      <formula>"CONFORME - Control Efectivo ISO 27001"</formula>
    </cfRule>
    <cfRule type="cellIs" priority="6" operator="equal" dxfId="82" stopIfTrue="0">
      <formula>"OBSERVACIÓN - Revisar Controles"</formula>
    </cfRule>
  </conditionalFormatting>
  <dataValidations count="5">
    <dataValidation sqref="Y3 Y4 Y5 Y6 Y7 Y8 Y9 Y10 Y11 Y12 Y13 Y14 Y15 Y16 Y17 Y18 Y19 Y20 Y21 Y22 Y23 Y24 Y25 Y26 Y27 Y28 Y29 Y30 Y31 Y32 Y33 Y34 Y35 Y36 Y37 Y38 Y39 Y40 Y41 Y42 Y43 Y44 Y45 Y46 Y47 Y48 Y49 Y50 Y51 Y52 Y53 Y54 Y55 Y56 Y57 Y58 Y59 Y60 Y61 Y62 Y63 Y64 Y65 Y66 Y67 Y68 Y69 Y70 Y71 Y72 Y73 Y74 Y75 Y76 Y77 Y78 Y79 Y80 Y81 Y82 Y83 Y84 Y85 Y86 Y87 Y88 Y89 Y90 Y91 Y92 Y93 Y94 Y95 Y96 Y97 Y98 Y99 Y100 Y101 Y102 Y103 Y104 Y105 Y106 Y107 Y108 Y109 Y110 Y111 Y112 Y113 Y114 Y115 Y116 Y117 Y118 Y119 Y120 Y121 Y122 Y123 Y124 Y125 Y126 Y127 Y128 Y129 Y130 Y131 Y132 Y133 Y134 Y135 Y136 Y137 Y138 Y139 Y140 Y141 Y142 Y143 Y144 Y145 Y146 Y147 Y148 Y149 Y150 Y151 Y152 Y153 Y154 Y155 Y156 Y157 Y158 Y159 Y160 Y161 Y162 Y163 Y164 Y165 Y166 Y167 Y168 Y169 Y170 Y171 Y172 Y173 Y174 Y175 Y176 Y177 Y178 Y179 Y180 Y181 Y182 Y183 Y184 Y185 Y186 Y187 Y188 Y189 Y190 Y191 Y192 Y193 Y194 Y195 Y196 Y197 Y198 Y199 Y200 Y201 Y202 Y203 Y204 Y205 Y206 Y207 Y208 Y209 Y210 Y211 Y212 Y213 Y214 Y215 Y216 Y217 Y218 Y219 Y220 Y221 Y222 Y223 Y224 Y225 Y226 Y227 Y228 Y229 Y230 Y231 Y232 Y233 Y234 Y235 Y236 Y237 Y238 Y239 Y240 Y241 Y242 Y243 Y244 Y245 Y246 Y247 Y248 Y249 Y250 Y251 Y252 Y253 Y254 Y255 Y256 Y257 Y258 Y259 Y260 Y261 Y262 Y263 Y264 Y265 Y266 Y267 Y268 Y269 Y270 Y271 Y272 Y273 Y274 Y275 Y276 Y277 Y278 Y279 Y280 Y281 Y282 Y283 Y284 Y285 Y286 Y287 Y288 Y289 Y290 Y291 Y292 Y293 Y294 Y295 Y296 Y297 Y298 Y299 Y300 Y301 Y302 Y303 Y304 Y305 Y306 Y307 Y308 Y309 Y310 Y311 Y312 Y313 Y314 Y315 Y316 Y317 Y318 Y319 Y320 Y321 Y322 Y323 Y324 Y325 Y326 Y327 Y328 Y329 Y330 Y331 Y332 Y333 Y334 Y335 Y336 Y337 Y338 Y339 Y340 Y341 Y342 Y343 Y344 Y345 Y346 Y347 Y348 Y349 Y350 Y351 Y352 Y353 Y354 Y355 Y356 Y357 Y358 Y359 Y360 Y361 Y362 Y363 Y364 Y365 Y366 Y367 Y368 Y369 Y370 Y371 Y372 Y373 Y374 Y375 Y376 Y377 Y378 Y379 Y380 Y381 Y382 Y383 Y384 Y385 Y386 Y387 Y388 Y389 Y390 Y391 Y392 Y393 Y394 Y395 Y396 Y397 Y398 Y399 Y400 Y401 Y402 Y403 Y404 Y405 Y406 Y407 Y408 Y409 Y410 Y411 Y412 Y413 Y414 Y415 Y416 Y417 Y418 Y419 Y420 Y421 Y422 Y423 Y424 Y425 Y426 Y427 Y428 Y429 Y430 Y431 Y432 Y433 Y434 Y435 Y436 Y437 Y438 Y439 Y440 Y441 Y442 Y443 Y444 Y445 Y446 Y447 Y448 Y449 Y450 Y451 Y452 Y453 Y454 Y455 Y456 Y457 Y458 Y459 Y460 Y461 Y462 Y463 Y464 Y465 Y466 Y467 Y468 Y469 Y470 Y471 Y472 Y473 Y474 Y475 Y476 Y477 Y478 Y479 Y480 Y481 Y482 Y483 Y484 Y485 Y486 Y487 Y488 Y489 Y490 Y491 Y492 Y493 Y494 Y495 Y496 Y497 Y498 Y499 Y500 Y501 Y502 Y503 Y504 Y505 Y506 Y507 Y508 Y509 Y510 Y511 Y512 Y513 Y514 Y515 Y516 Y517 Y518 Y519 Y520 Y521 Y522 Y523 Y524 Y525 Y526 Y527 Y528 Y529 Y530 Y531 Y532 Y533 Y534 Y535 Y536 Y537 Y538 Y539 Y540 Y541 Y542 Y543 Y544 Y545 Y546 Y547 Y548 Y549 Y550 Y551 Y552 Y553 Y554 Y555 Y556 Y557 Y558 Y559 Y560 Y561 Y562 Y563 Y564 Y565 Y566 Y567 Y568 Y569 Y570 Y571 Y572 Y573 Y574 Y575 Y576 Y577 Y578 Y579 Y580 Y581 Y582 Y583 Y584 Y585 Y586 Y587 Y588 Y589 Y590 Y591 Y592 Y593 Y594 Y595 Y596 Y597 Y598 Y599 Y600 Y601 Y602 Y603 Y604 Y605 Y606 Y607 Y608 Y609 Y610 Y611 Y612 Y613 Y614 Y615 Y616 Y617 Y618 Y619 Y620 Y621 Y622 Y623 Y624 Y625 Y626 Y627 Y628 Y629 Y630 Y631 Y632 Y633 Y634 Y635 Y636 Y637 Y638 Y639 Y640 Y641 Y642 Y643 Y644 Y645 Y646 Y647 Y648 Y649 Y650 Y651 Y652 Y653 Y654 Y655 Y656 Y657 Y658 Y659 Y660 Y661 Y662 Y663 Y664 Y665 Y666 Y667 Y668 Y669 Y670 Y671 Y672 Y673 Y674 Y675 Y676 Y677 Y678 Y679 Y680 Y681 Y682 Y683 Y684 Y685 Y686 Y687 Y688 Y689 Y690 Y691 Y692 Y693 Y694 Y695 Y696 Y697 Y698 Y699 Y700 Y701 Y702 Y703 Y704 Y705 Y706 Y707 Y708 Y709 Y710 Y711 Y712 Y713 Y714 Y715 Y716 Y717 Y718 Y719 Y720 Y721 Y722 Y723 Y724 Y725 Y726 Y727 Y728 Y729 Y730 Y731 Y732 Y733 Y734 Y735 Y736 Y737 Y738 Y739 Y740 Y741 Y742 Y743 Y744 Y745 Y746 Y747 Y748 Y749 Y750 Y751 Y752 Y753 Y754 Y755 Y756 Y757 Y758 Y759 Y760 Y761 Y762 Y763 Y764 Y765 Y766 Y767 Y768 Y769 Y770 Y771 Y772 Y773 Y774 Y775 Y776 Y777 Y778 Y779 Y780 Y781 Y782 Y783 Y784 Y785 Y786 Y787 Y788 Y789 Y790 Y791 Y792 Y793 Y794 Y795 Y796 Y797 Y798 Y799 Y800 Y801 Y802 Y803 Y804 Y805 Y806 Y807 Y808 Y809 Y810 Y811 Y812 Y813 Y814 Y815 Y816 Y817 Y818 Y819 Y820 Y821 Y822 Y823 Y824 Y825 Y826 Y827 Y828 Y829 Y830 Y831 Y832 Y833 Y834 Y835 Y836 Y837 Y838 Y839 Y840 Y841 Y842 Y843 Y844 Y845 Y846 Y847 Y848 Y849 Y850 Y851 Y852 Y853 Y854 Y855 Y856 Y857 Y858 Y859 Y860 Y861 Y862 Y863 Y864 Y865 Y866 Y867 Y868 Y869 Y870 Y871 Y872 Y873 Y874 Y875 Y876 Y877 Y878 Y879 Y880 Y881 Y882 Y883 Y884 Y885 Y886 Y887 Y888 Y889 Y890 Y891 Y892 Y893 Y894 Y895 Y896 Y897 Y898 Y899 Y900 Y901 Y902 Y903 Y904 Y905 Y906 Y907 Y908 Y909 Y910 Y911 Y912 Y913 Y914 Y915 Y916 Y917 Y918 Y919 Y920 Y921 Y922 Y923 Y924 Y925 Y926 Y927 Y928 Y929 Y930 Y931 Y932 Y933 Y934 Y935 Y936 Y937 Y938 Y939 Y940 Y941 Y942 Y943 Y944 Y945 Y946 Y947 Y948 Y949 Y950 Y951 Y952 Y953 Y954 Y955 Y956 Y957 Y958 Y959 Y960 Y961 Y962 Y963 Y964 Y965 Y966 Y967 Y968 Y969 Y970 Y971 Y972 Y973 Y974 Y975 Y976 Y977 Y978 Y979 Y980 Y981 Y982 Y983 Y984 Y985 Y986 Y987 Y988 Y989 Y990 Y991 Y992 Y993 Y994 Y995 Y996 Y997 Y998 Y999 Y1000 Y1001 Y1002 Y1003 Y1004 Y1005 Y1006 Y1007 Y1008 Y1009 Y1010 Y1011 Y1012 Y1013 Y1014 Y1015 Y1016 Y1017 Y1018 Y1019 Y1020 Y1021 Y1022 Y1023 Y1024 Y1025 Y1026 Y1027 Y1028 Y1029 Y1030 Y1031 Y1032 Y1033 Y1034 Y1035 Y1036 Y1037 Y1038 Y1039 Y1040 Y1041 Y1042 Y1043 Y1044 Y1045 Y1046 Y1047 Y1048 Y1049 Y1050 Y1051 Y1052 Y1053 Y1054 Y1055 Y1056 Y1057 Y1058 Y1059 Y1060 Y1061 Y1062 Y1063 Y1064 Y1065 Y1066 Y1067 Y1068 Y1069 Y1070 Y1071 Y1072 Y1073 Y1074 Y1075 Y1076 Y1077 Y1078 Y1079 Y1080 Y1081 Y1082 Y1083 Y1084 Y1085 Y1086 Y1087 Y1088 Y1089 Y1090 Y1091 Y1092 Y1093 Y1094 Y1095 Y1096 Y1097 Y1098 Y1099 Y1100 Y1101 Y1102 Y1103 Y1104 Y1105 Y1106 Y1107 Y1108 Y1109 Y1110 Y1111 Y1112 Y1113 Y1114 Y1115 Y1116 Y1117 Y1118 Y1119 Y1120 Y1121 Y1122 Y1123 Y1124 Y1125 Y1126 Y1127 Y1128 Y1129 Y1130 Y1131 Y1132 Y1133 Y1134 Y1135 Y1136 Y1137 Y1138 Y1139 Y1140 Y1141 Y1142 Y1143 Y1144 Y1145 Y1146 Y1147 Y1148 Y1149 Y1150 Y1151 Y1152 Y1153 Y1154 Y1155 Y1156 Y1157 Y1158 Y1159 Y1160 Y1161 Y1162 Y1163 Y1164 Y1165 Y1166 Y1167 Y1168 Y1169 Y1170 Y1171 Y1172 Y1173 Y1174 Y1175 Y1176 Y1177 Y1178 Y1179 Y1180 Y1181 Y1182 Y1183 Y1184 Y1185 Y1186 Y1187 Y1188 Y1189 Y1190 Y1191 Y1192 Y1193 Y1194 Y1195 Y1196 Y1197 Y1198 Y1199 Y1200 Y1201 Y1202 Y1203 Y1204 Y1205 Y1206 Y1207 Y1208 Y1209 Y1210 Y1211 Y1212 Y1213 Y1214 Y1215 Y1216 Y1217 Y1218 Y1219 Y1220 Y1221 Y1222 Y1223 Y1224 Y1225 Y1226 Y1227 Y1228 Y1229 Y1230 Y1231 Y1232 Y1233 Y1234 Y1235 Y1236 Y1237 Y1238 Y1239 Y1240 Y1241 Y1242 Y1243 Y1244 Y1245 Y1246 Y1247 Y1248 Y1249 Y1250 Y1251 Y1252 Y1253 Y1254 Y1255 Y1256 Y1257 Y1258 Y1259 Y1260 Y1261 Y1262 Y1263 Y1264 Y1265 Y1266 Y1267 Y1268 Y1269 Y1270 Y1271 Y1272 Y1273 Y1274 Y1275 Y1276 Y1277 Y1278 Y1279 Y1280 Y1281 Y1282 Y1283 Y1284 Y1285 Y1286 Y1287 Y1288 Y1289 Y1290 Y1291 Y1292 Y1293 Y1294 Y1295 Y1296 Y1297 Y1298 Y1299 Y1300 Y1301 Y1302 Y1303 Y1304 Y1305 Y1306 Y1307 Y1308 Y1309 Y1310 Y1311 Y1312 Y1313 Y1314 Y1315 Y1316 Y1317 Y1318 Y1319 Y1320 Y1321 Y1322 Y1323 Y1324 Y1325 Y1326 Y1327 Y1328 Y1329 Y1330 Y1331 Y1332 Y1333 Y1334 Y1335 Y1336 Y1337 Y1338 Y1339 Y1340 Y1341 Y1342 Y1343 Y1344 Y1345 Y1346 Y1347 Y1348 Y1349 Y1350 Y1351 Y1352 Y1353 Y1354 Y1355 Y1356 Y1357 Y1358 Y1359 Y1360 Y1361 Y1362 Y1363 Y1364 Y1365 Y1366 Y1367 Y1368 Y1369 Y1370 Y1371 Y1372 Y1373 Y1374 Y1375 Y1376 Y1377 Y1378 Y1379 Y1380 Y1381 Y1382 Y1383 Y1384 Y1385 Y1386 Y1387 Y1388 Y1389 Y1390 Y1391 Y1392 Y1393 Y1394 Y1395 Y1396 Y1397 Y1398 Y1399 Y1400 Y1401 Y1402 Y1403 Y1404 Y1405 Y1406" showDropDown="0" showInputMessage="0" showErrorMessage="0" allowBlank="1" type="list">
      <formula1>"Implementado,En proceso,No Iniciado,No Aplica"</formula1>
    </dataValidation>
    <dataValidation sqref="Z3 Z4 Z5 Z6 Z7 Z8 Z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Z147 Z148 Z149 Z150 Z151 Z152 Z153 Z154 Z155 Z156 Z157 Z158 Z159 Z160 Z161 Z162 Z163 Z164 Z165 Z166 Z167 Z168 Z169 Z170 Z171 Z172 Z173 Z174 Z175 Z176 Z177 Z178 Z179 Z180 Z181 Z182 Z183 Z184 Z185 Z186 Z187 Z188 Z189 Z190 Z191 Z192 Z193 Z194 Z195 Z196 Z197 Z198 Z199 Z200 Z201 Z202 Z203 Z204 Z205 Z206 Z207 Z208 Z209 Z210 Z211 Z212 Z213 Z214 Z215 Z216 Z217 Z218 Z219 Z220 Z221 Z222 Z223 Z224 Z225 Z226 Z227 Z228 Z229 Z230 Z231 Z232 Z233 Z234 Z235 Z236 Z237 Z238 Z239 Z240 Z241 Z242 Z243 Z244 Z245 Z246 Z247 Z248 Z249 Z250 Z251 Z252 Z253 Z254 Z255 Z256 Z257 Z258 Z259 Z260 Z261 Z262 Z263 Z264 Z265 Z266 Z267 Z268 Z269 Z270 Z271 Z272 Z273 Z274 Z275 Z276 Z277 Z278 Z279 Z280 Z281 Z282 Z283 Z284 Z285 Z286 Z287 Z288 Z289 Z290 Z291 Z292 Z293 Z294 Z295 Z296 Z297 Z298 Z299 Z300 Z301 Z302 Z303 Z304 Z305 Z306 Z307 Z308 Z309 Z310 Z311 Z312 Z313 Z314 Z315 Z316 Z317 Z318 Z319 Z320 Z321 Z322 Z323 Z324 Z325 Z326 Z327 Z328 Z329 Z330 Z331 Z332 Z333 Z334 Z335 Z336 Z337 Z338 Z339 Z340 Z341 Z342 Z343 Z344 Z345 Z346 Z347 Z348 Z349 Z350 Z351 Z352 Z353 Z354 Z355 Z356 Z357 Z358 Z359 Z360 Z361 Z362 Z363 Z364 Z365 Z366 Z367 Z368 Z369 Z370 Z371 Z372 Z373 Z374 Z375 Z376 Z377 Z378 Z379 Z380 Z381 Z382 Z383 Z384 Z385 Z386 Z387 Z388 Z389 Z390 Z391 Z392 Z393 Z394 Z395 Z396 Z397 Z398 Z399 Z400 Z401 Z402 Z403 Z404 Z405 Z406 Z407 Z408 Z409 Z410 Z411 Z412 Z413 Z414 Z415 Z416 Z417 Z418 Z419 Z420 Z421 Z422 Z423 Z424 Z425 Z426 Z427 Z428 Z429 Z430 Z431 Z432 Z433 Z434 Z435 Z436 Z437 Z438 Z439 Z440 Z441 Z442 Z443 Z444 Z445 Z446 Z447 Z448 Z449 Z450 Z451 Z452 Z453 Z454 Z455 Z456 Z457 Z458 Z459 Z460 Z461 Z462 Z463 Z464 Z465 Z466 Z467 Z468 Z469 Z470 Z471 Z472 Z473 Z474 Z475 Z476 Z477 Z478 Z479 Z480 Z481 Z482 Z483 Z484 Z485 Z486 Z487 Z488 Z489 Z490 Z491 Z492 Z493 Z494 Z495 Z496 Z497 Z498 Z499 Z500 Z501 Z502 Z503 Z504 Z505 Z506 Z507 Z508 Z509 Z510 Z511 Z512 Z513 Z514 Z515 Z516 Z517 Z518 Z519 Z520 Z521 Z522 Z523 Z524 Z525 Z526 Z527 Z528 Z529 Z530 Z531 Z532 Z533 Z534 Z535 Z536 Z537 Z538 Z539 Z540 Z541 Z542 Z543 Z544 Z545 Z546 Z547 Z548 Z549 Z550 Z551 Z552 Z553 Z554 Z555 Z556 Z557 Z558 Z559 Z560 Z561 Z562 Z563 Z564 Z565 Z566 Z567 Z568 Z569 Z570 Z571 Z572 Z573 Z574 Z575 Z576 Z577 Z578 Z579 Z580 Z581 Z582 Z583 Z584 Z585 Z586 Z587 Z588 Z589 Z590 Z591 Z592 Z593 Z594 Z595 Z596 Z597 Z598 Z599 Z600 Z601 Z602 Z603 Z604 Z605 Z606 Z607 Z608 Z609 Z610 Z611 Z612 Z613 Z614 Z615 Z616 Z617 Z618 Z619 Z620 Z621 Z622 Z623 Z624 Z625 Z626 Z627 Z628 Z629 Z630 Z631 Z632 Z633 Z634 Z635 Z636 Z637 Z638 Z639 Z640 Z641 Z642 Z643 Z644 Z645 Z646 Z647 Z648 Z649 Z650 Z651 Z652 Z653 Z654 Z655 Z656 Z657 Z658 Z659 Z660 Z661 Z662 Z663 Z664 Z665 Z666 Z667 Z668 Z669 Z670 Z671 Z672 Z673 Z674 Z675 Z676 Z677 Z678 Z679 Z680 Z681 Z682 Z683 Z684 Z685 Z686 Z687 Z688 Z689 Z690 Z691 Z692 Z693 Z694 Z695 Z696 Z697 Z698 Z699 Z700 Z701 Z702 Z703 Z704 Z705 Z706 Z707 Z708 Z709 Z710 Z711 Z712 Z713 Z714 Z715 Z716 Z717 Z718 Z719 Z720 Z721 Z722 Z723 Z724 Z725 Z726 Z727 Z728 Z729 Z730 Z731 Z732 Z733 Z734 Z735 Z736 Z737 Z738 Z739 Z740 Z741 Z742 Z743 Z744 Z745 Z746 Z747 Z748 Z749 Z750 Z751 Z752 Z753 Z754 Z755 Z756 Z757 Z758 Z759 Z760 Z761 Z762 Z763 Z764 Z765 Z766 Z767 Z768 Z769 Z770 Z771 Z772 Z773 Z774 Z775 Z776 Z777 Z778 Z779 Z780 Z781 Z782 Z783 Z784 Z785 Z786 Z787 Z788 Z789 Z790 Z791 Z792 Z793 Z794 Z795 Z796 Z797 Z798 Z799 Z800 Z801 Z802 Z803 Z804 Z805 Z806 Z807 Z808 Z809 Z810 Z811 Z812 Z813 Z814 Z815 Z816 Z817 Z818 Z819 Z820 Z821 Z822 Z823 Z824 Z825 Z826 Z827 Z828 Z829 Z830 Z831 Z832 Z833 Z834 Z835 Z836 Z837 Z838 Z839 Z840 Z841 Z842 Z843 Z844 Z845 Z846 Z847 Z848 Z849 Z850 Z851 Z852 Z853 Z854 Z855 Z856 Z857 Z858 Z859 Z860 Z861 Z862 Z863 Z864 Z865 Z866 Z867 Z868 Z869 Z870 Z871 Z872 Z873 Z874 Z875 Z876 Z877 Z878 Z879 Z880 Z881 Z882 Z883 Z884 Z885 Z886 Z887 Z888 Z889 Z890 Z891 Z892 Z893 Z894 Z895 Z896 Z897 Z898 Z899 Z900 Z901 Z902 Z903 Z904 Z905 Z906 Z907 Z908 Z909 Z910 Z911 Z912 Z913 Z914 Z915 Z916 Z917 Z918 Z919 Z920 Z921 Z922 Z923 Z924 Z925 Z926 Z927 Z928 Z929 Z930 Z931 Z932 Z933 Z934 Z935 Z936 Z937 Z938 Z939 Z940 Z941 Z942 Z943 Z944 Z945 Z946 Z947 Z948 Z949 Z950 Z951 Z952 Z953 Z954 Z955 Z956 Z957 Z958 Z959 Z960 Z961 Z962 Z963 Z964 Z965 Z966 Z967 Z968 Z969 Z970 Z971 Z972 Z973 Z974 Z975 Z976 Z977 Z978 Z979 Z980 Z981 Z982 Z983 Z984 Z985 Z986 Z987 Z988 Z989 Z990 Z991 Z992 Z993 Z994 Z995 Z996 Z997 Z998 Z999 Z1000 Z1001 Z1002 Z1003 Z1004 Z1005 Z1006 Z1007 Z1008 Z1009 Z1010 Z1011 Z1012 Z1013 Z1014 Z1015 Z1016 Z1017 Z1018 Z1019 Z1020 Z1021 Z1022 Z1023 Z1024 Z1025 Z1026 Z1027 Z1028 Z1029 Z1030 Z1031 Z1032 Z1033 Z1034 Z1035 Z1036 Z1037 Z1038 Z1039 Z1040 Z1041 Z1042 Z1043 Z1044 Z1045 Z1046 Z1047 Z1048 Z1049 Z1050 Z1051 Z1052 Z1053 Z1054 Z1055 Z1056 Z1057 Z1058 Z1059 Z1060 Z1061 Z1062 Z1063 Z1064 Z1065 Z1066 Z1067 Z1068 Z1069 Z1070 Z1071 Z1072 Z1073 Z1074 Z1075 Z1076 Z1077 Z1078 Z1079 Z1080 Z1081 Z1082 Z1083 Z1084 Z1085 Z1086 Z1087 Z1088 Z1089 Z1090 Z1091 Z1092 Z1093 Z1094 Z1095 Z1096 Z1097 Z1098 Z1099 Z1100 Z1101 Z1102 Z1103 Z1104 Z1105 Z1106 Z1107 Z1108 Z1109 Z1110 Z1111 Z1112 Z1113 Z1114 Z1115 Z1116 Z1117 Z1118 Z1119 Z1120 Z1121 Z1122 Z1123 Z1124 Z1125 Z1126 Z1127 Z1128 Z1129 Z1130 Z1131 Z1132 Z1133 Z1134 Z1135 Z1136 Z1137 Z1138 Z1139 Z1140 Z1141 Z1142 Z1143 Z1144 Z1145 Z1146 Z1147 Z1148 Z1149 Z1150 Z1151 Z1152 Z1153 Z1154 Z1155 Z1156 Z1157 Z1158 Z1159 Z1160 Z1161 Z1162 Z1163 Z1164 Z1165 Z1166 Z1167 Z1168 Z1169 Z1170 Z1171 Z1172 Z1173 Z1174 Z1175 Z1176 Z1177 Z1178 Z1179 Z1180 Z1181 Z1182 Z1183 Z1184 Z1185 Z1186 Z1187 Z1188 Z1189 Z1190 Z1191 Z1192 Z1193 Z1194 Z1195 Z1196 Z1197 Z1198 Z1199 Z1200 Z1201 Z1202 Z1203 Z1204 Z1205 Z1206 Z1207 Z1208 Z1209 Z1210 Z1211 Z1212 Z1213 Z1214 Z1215 Z1216 Z1217 Z1218 Z1219 Z1220 Z1221 Z1222 Z1223 Z1224 Z1225 Z1226 Z1227 Z1228 Z1229 Z1230 Z1231 Z1232 Z1233 Z1234 Z1235 Z1236 Z1237 Z1238 Z1239 Z1240 Z1241 Z1242 Z1243 Z1244 Z1245 Z1246 Z1247 Z1248 Z1249 Z1250 Z1251 Z1252 Z1253 Z1254 Z1255 Z1256 Z1257 Z1258 Z1259 Z1260 Z1261 Z1262 Z1263 Z1264 Z1265 Z1266 Z1267 Z1268 Z1269 Z1270 Z1271 Z1272 Z1273 Z1274 Z1275 Z1276 Z1277 Z1278 Z1279 Z1280 Z1281 Z1282 Z1283 Z1284 Z1285 Z1286 Z1287 Z1288 Z1289 Z1290 Z1291 Z1292 Z1293 Z1294 Z1295 Z1296 Z1297 Z1298 Z1299 Z1300 Z1301 Z1302 Z1303 Z1304 Z1305 Z1306 Z1307 Z1308 Z1309 Z1310 Z1311 Z1312 Z1313 Z1314 Z1315 Z1316 Z1317 Z1318 Z1319 Z1320 Z1321 Z1322 Z1323 Z1324 Z1325 Z1326 Z1327 Z1328 Z1329 Z1330 Z1331 Z1332 Z1333 Z1334 Z1335 Z1336 Z1337 Z1338 Z1339 Z1340 Z1341 Z1342 Z1343 Z1344 Z1345 Z1346 Z1347 Z1348 Z1349 Z1350 Z1351 Z1352 Z1353 Z1354 Z1355 Z1356 Z1357 Z1358 Z1359 Z1360 Z1361 Z1362 Z1363 Z1364 Z1365 Z1366 Z1367 Z1368 Z1369 Z1370 Z1371 Z1372 Z1373 Z1374 Z1375 Z1376 Z1377 Z1378 Z1379 Z1380 Z1381 Z1382 Z1383 Z1384 Z1385 Z1386 Z1387 Z1388 Z1389 Z1390 Z1391 Z1392 Z1393 Z1394 Z1395 Z1396 Z1397 Z1398 Z1399 Z1400 Z1401 Z1402 Z1403 Z1404 Z1405 Z1406" showDropDown="0" showInputMessage="0" showErrorMessage="0" allowBlank="1" type="list">
      <formula1>"PREVENTIVO,DETECTIVO,ADMINISTRACION,RECUPERACION,ELIMINACION"</formula1>
    </dataValidation>
    <dataValidation sqref="AA3 AA4 AA5 AA6 AA7 AA8 AA9 AA10 AA11 AA12 AA13 AA14 AA15 AA16 AA17 AA18 AA19 AA20 AA21 AA22 AA23 AA24 AA25 AA26 AA27 AA28 AA29 AA30 AA31 AA32 AA33 AA34 AA35 AA36 AA37 AA38 AA39 AA40 AA41 AA42 AA43 AA44 AA45 AA46 AA47 AA48 AA49 AA50 AA51 AA52 AA53 AA54 AA55 AA56 AA57 AA58 AA59 AA60 AA61 AA62 AA63 AA64 AA65 AA66 AA67 AA68 AA69 AA70 AA71 AA72 AA73 AA74 AA75 AA76 AA77 AA78 AA79 AA80 AA81 AA82 AA83 AA84 AA85 AA86 AA87 AA88 AA89 AA90 AA91 AA92 AA93 AA94 AA95 AA96 AA97 AA98 AA99 AA100 AA101 AA102 AA103 AA104 AA105 AA106 AA107 AA108 AA109 AA110 AA111 AA112 AA113 AA114 AA115 AA116 AA117 AA118 AA119 AA120 AA121 AA122 AA123 AA124 AA125 AA126 AA127 AA128 AA129 AA130 AA131 AA132 AA133 AA134 AA135 AA136 AA137 AA138 AA139 AA140 AA141 AA142 AA143 AA144 AA145 AA146 AA147 AA148 AA149 AA150 AA151 AA152 AA153 AA154 AA155 AA156 AA157 AA158 AA159 AA160 AA161 AA162 AA163 AA164 AA165 AA166 AA167 AA168 AA169 AA170 AA171 AA172 AA173 AA174 AA175 AA176 AA177 AA178 AA179 AA180 AA181 AA182 AA183 AA184 AA185 AA186 AA187 AA188 AA189 AA190 AA191 AA192 AA193 AA194 AA195 AA196 AA197 AA198 AA199 AA200 AA201 AA202 AA203 AA204 AA205 AA206 AA207 AA208 AA209 AA210 AA211 AA212 AA213 AA214 AA215 AA216 AA217 AA218 AA219 AA220 AA221 AA222 AA223 AA224 AA225 AA226 AA227 AA228 AA229 AA230 AA231 AA232 AA233 AA234 AA235 AA236 AA237 AA238 AA239 AA240 AA241 AA242 AA243 AA244 AA245 AA246 AA247 AA248 AA249 AA250 AA251 AA252 AA253 AA254 AA255 AA256 AA257 AA258 AA259 AA260 AA261 AA262 AA263 AA264 AA265 AA266 AA267 AA268 AA269 AA270 AA271 AA272 AA273 AA274 AA275 AA276 AA277 AA278 AA279 AA280 AA281 AA282 AA283 AA284 AA285 AA286 AA287 AA288 AA289 AA290 AA291 AA292 AA293 AA294 AA295 AA296 AA297 AA298 AA299 AA300 AA301 AA302 AA303 AA304 AA305 AA306 AA307 AA308 AA309 AA310 AA311 AA312 AA313 AA314 AA315 AA316 AA317 AA318 AA319 AA320 AA321 AA322 AA323 AA324 AA325 AA326 AA327 AA328 AA329 AA330 AA331 AA332 AA333 AA334 AA335 AA336 AA337 AA338 AA339 AA340 AA341 AA342 AA343 AA344 AA345 AA346 AA347 AA348 AA349 AA350 AA351 AA352 AA353 AA354 AA355 AA356 AA357 AA358 AA359 AA360 AA361 AA362 AA363 AA364 AA365 AA366 AA367 AA368 AA369 AA370 AA371 AA372 AA373 AA374 AA375 AA376 AA377 AA378 AA379 AA380 AA381 AA382 AA383 AA384 AA385 AA386 AA387 AA388 AA389 AA390 AA391 AA392 AA393 AA394 AA395 AA396 AA397 AA398 AA399 AA400 AA401 AA402 AA403 AA404 AA405 AA406 AA407 AA408 AA409 AA410 AA411 AA412 AA413 AA414 AA415 AA416 AA417 AA418 AA419 AA420 AA421 AA422 AA423 AA424 AA425 AA426 AA427 AA428 AA429 AA430 AA431 AA432 AA433 AA434 AA435 AA436 AA437 AA438 AA439 AA440 AA441 AA442 AA443 AA444 AA445 AA446 AA447 AA448 AA449 AA450 AA451 AA452 AA453 AA454 AA455 AA456 AA457 AA458 AA459 AA460 AA461 AA462 AA463 AA464 AA465 AA466 AA467 AA468 AA469 AA470 AA471 AA472 AA473 AA474 AA475 AA476 AA477 AA478 AA479 AA480 AA481 AA482 AA483 AA484 AA485 AA486 AA487 AA488 AA489 AA490 AA491 AA492 AA493 AA494 AA495 AA496 AA497 AA498 AA499 AA500 AA501 AA502 AA503 AA504 AA505 AA506 AA507 AA508 AA509 AA510 AA511 AA512 AA513 AA514 AA515 AA516 AA517 AA518 AA519 AA520 AA521 AA522 AA523 AA524 AA525 AA526 AA527 AA528 AA529 AA530 AA531 AA532 AA533 AA534 AA535 AA536 AA537 AA538 AA539 AA540 AA541 AA542 AA543 AA544 AA545 AA546 AA547 AA548 AA549 AA550 AA551 AA552 AA553 AA554 AA555 AA556 AA557 AA558 AA559 AA560 AA561 AA562 AA563 AA564 AA565 AA566 AA567 AA568 AA569 AA570 AA571 AA572 AA573 AA574 AA575 AA576 AA577 AA578 AA579 AA580 AA581 AA582 AA583 AA584 AA585 AA586 AA587 AA588 AA589 AA590 AA591 AA592 AA593 AA594 AA595 AA596 AA597 AA598 AA599 AA600 AA601 AA602 AA603 AA604 AA605 AA606 AA607 AA608 AA609 AA610 AA611 AA612 AA613 AA614 AA615 AA616 AA617 AA618 AA619 AA620 AA621 AA622 AA623 AA624 AA625 AA626 AA627 AA628 AA629 AA630 AA631 AA632 AA633 AA634 AA635 AA636 AA637 AA638 AA639 AA640 AA641 AA642 AA643 AA644 AA645 AA646 AA647 AA648 AA649 AA650 AA651 AA652 AA653 AA654 AA655 AA656 AA657 AA658 AA659 AA660 AA661 AA662 AA663 AA664 AA665 AA666 AA667 AA668 AA669 AA670 AA671 AA672 AA673 AA674 AA675 AA676 AA677 AA678 AA679 AA680 AA681 AA682 AA683 AA684 AA685 AA686 AA687 AA688 AA689 AA690 AA691 AA692 AA693 AA694 AA695 AA696 AA697 AA698 AA699 AA700 AA701 AA702 AA703 AA704 AA705 AA706 AA707 AA708 AA709 AA710 AA711 AA712 AA713 AA714 AA715 AA716 AA717 AA718 AA719 AA720 AA721 AA722 AA723 AA724 AA725 AA726 AA727 AA728 AA729 AA730 AA731 AA732 AA733 AA734 AA735 AA736 AA737 AA738 AA739 AA740 AA741 AA742 AA743 AA744 AA745 AA746 AA747 AA748 AA749 AA750 AA751 AA752 AA753 AA754 AA755 AA756 AA757 AA758 AA759 AA760 AA761 AA762 AA763 AA764 AA765 AA766 AA767 AA768 AA769 AA770 AA771 AA772 AA773 AA774 AA775 AA776 AA777 AA778 AA779 AA780 AA781 AA782 AA783 AA784 AA785 AA786 AA787 AA788 AA789 AA790 AA791 AA792 AA793 AA794 AA795 AA796 AA797 AA798 AA799 AA800 AA801 AA802 AA803 AA804 AA805 AA806 AA807 AA808 AA809 AA810 AA811 AA812 AA813 AA814 AA815 AA816 AA817 AA818 AA819 AA820 AA821 AA822 AA823 AA824 AA825 AA826 AA827 AA828 AA829 AA830 AA831 AA832 AA833 AA834 AA835 AA836 AA837 AA838 AA839 AA840 AA841 AA842 AA843 AA844 AA845 AA846 AA847 AA848 AA849 AA850 AA851 AA852 AA853 AA854 AA855 AA856 AA857 AA858 AA859 AA860 AA861 AA862 AA863 AA864 AA865 AA866 AA867 AA868 AA869 AA870 AA871 AA872 AA873 AA874 AA875 AA876 AA877 AA878 AA879 AA880 AA881 AA882 AA883 AA884 AA885 AA886 AA887 AA888 AA889 AA890 AA891 AA892 AA893 AA894 AA895 AA896 AA897 AA898 AA899 AA900 AA901 AA902 AA903 AA904 AA905 AA906 AA907 AA908 AA909 AA910 AA911 AA912 AA913 AA914 AA915 AA916 AA917 AA918 AA919 AA920 AA921 AA922 AA923 AA924 AA925 AA926 AA927 AA928 AA929 AA930 AA931 AA932 AA933 AA934 AA935 AA936 AA937 AA938 AA939 AA940 AA941 AA942 AA943 AA944 AA945 AA946 AA947 AA948 AA949 AA950 AA951 AA952 AA953 AA954 AA955 AA956 AA957 AA958 AA959 AA960 AA961 AA962 AA963 AA964 AA965 AA966 AA967 AA968 AA969 AA970 AA971 AA972 AA973 AA974 AA975 AA976 AA977 AA978 AA979 AA980 AA981 AA982 AA983 AA984 AA985 AA986 AA987 AA988 AA989 AA990 AA991 AA992 AA993 AA994 AA995 AA996 AA997 AA998 AA999 AA1000 AA1001 AA1002 AA1003 AA1004 AA1005 AA1006 AA1007 AA1008 AA1009 AA1010 AA1011 AA1012 AA1013 AA1014 AA1015 AA1016 AA1017 AA1018 AA1019 AA1020 AA1021 AA1022 AA1023 AA1024 AA1025 AA1026 AA1027 AA1028 AA1029 AA1030 AA1031 AA1032 AA1033 AA1034 AA1035 AA1036 AA1037 AA1038 AA1039 AA1040 AA1041 AA1042 AA1043 AA1044 AA1045 AA1046 AA1047 AA1048 AA1049 AA1050 AA1051 AA1052 AA1053 AA1054 AA1055 AA1056 AA1057 AA1058 AA1059 AA1060 AA1061 AA1062 AA1063 AA1064 AA1065 AA1066 AA1067 AA1068 AA1069 AA1070 AA1071 AA1072 AA1073 AA1074 AA1075 AA1076 AA1077 AA1078 AA1079 AA1080 AA1081 AA1082 AA1083 AA1084 AA1085 AA1086 AA1087 AA1088 AA1089 AA1090 AA1091 AA1092 AA1093 AA1094 AA1095 AA1096 AA1097 AA1098 AA1099 AA1100 AA1101 AA1102 AA1103 AA1104 AA1105 AA1106 AA1107 AA1108 AA1109 AA1110 AA1111 AA1112 AA1113 AA1114 AA1115 AA1116 AA1117 AA1118 AA1119 AA1120 AA1121 AA1122 AA1123 AA1124 AA1125 AA1126 AA1127 AA1128 AA1129 AA1130 AA1131 AA1132 AA1133 AA1134 AA1135 AA1136 AA1137 AA1138 AA1139 AA1140 AA1141 AA1142 AA1143 AA1144 AA1145 AA1146 AA1147 AA1148 AA1149 AA1150 AA1151 AA1152 AA1153 AA1154 AA1155 AA1156 AA1157 AA1158 AA1159 AA1160 AA1161 AA1162 AA1163 AA1164 AA1165 AA1166 AA1167 AA1168 AA1169 AA1170 AA1171 AA1172 AA1173 AA1174 AA1175 AA1176 AA1177 AA1178 AA1179 AA1180 AA1181 AA1182 AA1183 AA1184 AA1185 AA1186 AA1187 AA1188 AA1189 AA1190 AA1191 AA1192 AA1193 AA1194 AA1195 AA1196 AA1197 AA1198 AA1199 AA1200 AA1201 AA1202 AA1203 AA1204 AA1205 AA1206 AA1207 AA1208 AA1209 AA1210 AA1211 AA1212 AA1213 AA1214 AA1215 AA1216 AA1217 AA1218 AA1219 AA1220 AA1221 AA1222 AA1223 AA1224 AA1225 AA1226 AA1227 AA1228 AA1229 AA1230 AA1231 AA1232 AA1233 AA1234 AA1235 AA1236 AA1237 AA1238 AA1239 AA1240 AA1241 AA1242 AA1243 AA1244 AA1245 AA1246 AA1247 AA1248 AA1249 AA1250 AA1251 AA1252 AA1253 AA1254 AA1255 AA1256 AA1257 AA1258 AA1259 AA1260 AA1261 AA1262 AA1263 AA1264 AA1265 AA1266 AA1267 AA1268 AA1269 AA1270 AA1271 AA1272 AA1273 AA1274 AA1275 AA1276 AA1277 AA1278 AA1279 AA1280 AA1281 AA1282 AA1283 AA1284 AA1285 AA1286 AA1287 AA1288 AA1289 AA1290 AA1291 AA1292 AA1293 AA1294 AA1295 AA1296 AA1297 AA1298 AA1299 AA1300 AA1301 AA1302 AA1303 AA1304 AA1305 AA1306 AA1307 AA1308 AA1309 AA1310 AA1311 AA1312 AA1313 AA1314 AA1315 AA1316 AA1317 AA1318 AA1319 AA1320 AA1321 AA1322 AA1323 AA1324 AA1325 AA1326 AA1327 AA1328 AA1329 AA1330 AA1331 AA1332 AA1333 AA1334 AA1335 AA1336 AA1337 AA1338 AA1339 AA1340 AA1341 AA1342 AA1343 AA1344 AA1345 AA1346 AA1347 AA1348 AA1349 AA1350 AA1351 AA1352 AA1353 AA1354 AA1355 AA1356 AA1357 AA1358 AA1359 AA1360 AA1361 AA1362 AA1363 AA1364 AA1365 AA1366 AA1367 AA1368 AA1369 AA1370 AA1371 AA1372 AA1373 AA1374 AA1375 AA1376 AA1377 AA1378 AA1379 AA1380 AA1381 AA1382 AA1383 AA1384 AA1385 AA1386 AA1387 AA1388 AA1389 AA1390 AA1391 AA1392 AA1393 AA1394 AA1395 AA1396 AA1397 AA1398 AA1399 AA1400 AA1401 AA1402 AA1403 AA1404 AA1405 AA1406" showDropDown="0" showInputMessage="0" showErrorMessage="0" allowBlank="1" type="list">
      <formula1>"L0 Inexistente,L1 Inicial / Ad Hoc,L2 Reproducible pero Intuitivo,L3 Proceso Definido,L4 Gestionado y Medible,L5 Optimizado"</formula1>
    </dataValidation>
    <dataValidation sqref="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showDropDown="0" showInputMessage="0" showErrorMessage="0" allowBlank="1" type="list">
      <formula1>"[A.5] Suplantación de la identidad del usuario,[A.6] Abuso de privilegios de acceso,[A.7] Uso no previsto,[A.11] Acceso no autorizado,[A.19] Divulgación de información,[A.24] Denegación de servicio,[A.25] Robo,[A.30] Ingeniería social (Phishing),[E.2] Errores del administrador,[E.18] Destrucción de información,[E.19] Fugas de información,[E.20] Vulnerabilidades de los programas (software),[E.23] Errores de mantenimiento / actualización de equipos (hardware),[E.24] Caída del sistema por agotamiento de recursos,[E.25] Pérdida de equipos,[E.28] Indisponibilidad del personal,[N.1] Fuego,[N.2] Daños por agua"</formula1>
    </dataValidation>
    <dataValidation sqref="AC3 AC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AC105 AC106 AC107 AC108 AC109 AC110 AC111 AC112 AC113 AC114 AC115 AC116 AC117 AC118 AC119 AC120 AC121 AC122 AC123 AC124 AC125 AC126 AC127 AC128 AC129 AC130 AC131 AC132 AC133 AC134 AC135 AC136 AC137 AC138 AC139 AC140 AC141 AC142 AC143 AC144 AC145 AC146 AC147 AC148 AC149 AC150 AC151 AC152 AC153 AC154 AC155 AC156 AC157 AC158 AC159 AC160 AC161 AC162 AC163 AC164 AC165 AC166 AC167 AC168 AC169 AC170 AC171 AC172 AC173 AC174 AC175 AC176 AC177 AC178 AC179 AC180 AC181 AC182 AC183 AC184 AC185 AC186 AC187 AC188 AC189 AC190 AC191 AC192 AC193 AC194 AC195 AC196 AC197 AC198 AC199 AC200 AC201 AC202 AC203 AC204 AC205 AC206 AC207 AC208 AC209 AC210 AC211 AC212 AC213 AC214 AC215 AC216 AC217 AC218 AC219 AC220 AC221 AC222 AC223 AC224 AC225 AC226 AC227 AC228 AC229 AC230 AC231 AC232 AC233 AC234 AC235 AC236 AC237 AC238 AC239 AC240 AC241 AC242 AC243 AC244 AC245 AC246 AC247 AC248 AC249 AC250 AC251 AC252 AC253 AC254 AC255 AC256 AC257 AC258 AC259 AC260 AC261 AC262 AC263 AC264 AC265 AC266 AC267 AC268 AC269 AC270 AC271 AC272 AC273 AC274 AC275 AC276 AC277 AC278 AC279 AC280 AC281 AC282 AC283 AC284 AC285 AC286 AC287 AC288 AC289 AC290 AC291 AC292 AC293 AC294 AC295 AC296 AC297 AC298 AC299 AC300 AC301 AC302 AC303 AC304 AC305 AC306 AC307 AC308 AC309 AC310 AC311 AC312 AC313 AC314 AC315 AC316 AC317 AC318 AC319 AC320 AC321 AC322 AC323 AC324 AC325 AC326 AC327 AC328 AC329 AC330 AC331 AC332 AC333 AC334 AC335 AC336 AC337 AC338 AC339 AC340 AC341 AC342 AC343 AC344 AC345 AC346 AC347 AC348 AC349 AC350 AC351 AC352 AC353 AC354 AC355 AC356 AC357 AC358 AC359 AC360 AC361 AC362 AC363 AC364 AC365 AC366 AC367 AC368 AC369 AC370 AC371 AC372 AC373 AC374 AC375 AC376 AC377 AC378 AC379 AC380 AC381 AC382 AC383 AC384 AC385 AC386 AC387 AC388 AC389 AC390 AC391 AC392 AC393 AC394 AC395 AC396 AC397 AC398 AC399 AC400 AC401 AC402 AC403 AC404 AC405 AC406 AC407 AC408 AC409 AC410 AC411 AC412 AC413 AC414 AC415 AC416 AC417 AC418 AC419 AC420 AC421 AC422 AC423 AC424 AC425 AC426 AC427 AC428 AC429 AC430 AC431 AC432 AC433 AC434 AC435 AC436 AC437 AC438 AC439 AC440 AC441 AC442 AC443 AC444 AC445 AC446 AC447 AC448 AC449 AC450 AC451 AC452 AC453 AC454 AC455 AC456 AC457 AC458 AC459 AC460 AC461 AC462 AC463 AC464 AC465 AC466 AC467 AC468 AC469 AC470 AC471 AC472 AC473 AC474 AC475 AC476 AC477 AC478 AC479 AC480 AC481 AC482 AC483 AC484 AC485 AC486 AC487 AC488 AC489 AC490 AC491 AC492 AC493 AC494 AC495 AC496 AC497 AC498 AC499 AC500 AC501 AC502 AC503 AC504 AC505 AC506 AC507 AC508 AC509 AC510 AC511 AC512 AC513 AC514 AC515 AC516 AC517 AC518 AC519 AC520 AC521 AC522 AC523 AC524 AC525 AC526 AC527 AC528 AC529 AC530 AC531 AC532 AC533 AC534 AC535 AC536 AC537 AC538 AC539 AC540 AC541 AC542 AC543 AC544 AC545 AC546 AC547 AC548 AC549 AC550 AC551 AC552 AC553 AC554 AC555 AC556 AC557 AC558 AC559 AC560 AC561 AC562 AC563 AC564 AC565 AC566 AC567 AC568 AC569 AC570 AC571 AC572 AC573 AC574 AC575 AC576 AC577 AC578 AC579 AC580 AC581 AC582 AC583 AC584 AC585 AC586 AC587 AC588 AC589 AC590 AC591 AC592 AC593 AC594 AC595 AC596 AC597 AC598 AC599 AC600 AC601 AC602 AC603 AC604 AC605 AC606 AC607 AC608 AC609 AC610 AC611 AC612 AC613 AC614 AC615 AC616 AC617 AC618 AC619 AC620 AC621 AC622 AC623 AC624 AC625 AC626 AC627 AC628 AC629 AC630 AC631 AC632 AC633 AC634 AC635 AC636 AC637 AC638 AC639 AC640 AC641 AC642 AC643 AC644 AC645 AC646 AC647 AC648 AC649 AC650 AC651 AC652 AC653 AC654 AC655 AC656 AC657 AC658 AC659 AC660 AC661 AC662 AC663 AC664 AC665 AC666 AC667 AC668 AC669 AC670 AC671 AC672 AC673 AC674 AC675 AC676 AC677 AC678 AC679 AC680 AC681 AC682 AC683 AC684 AC685 AC686 AC687 AC688 AC689 AC690 AC691 AC692 AC693 AC694 AC695 AC696 AC697 AC698 AC699 AC700 AC701 AC702 AC703 AC704 AC705 AC706 AC707 AC708 AC709 AC710 AC711 AC712 AC713 AC714 AC715 AC716 AC717 AC718 AC719 AC720 AC721 AC722 AC723 AC724 AC725 AC726 AC727 AC728 AC729 AC730 AC731 AC732 AC733 AC734 AC735 AC736 AC737 AC738 AC739 AC740 AC741 AC742 AC743 AC744 AC745 AC746 AC747 AC748 AC749 AC750 AC751 AC752 AC753 AC754 AC755 AC756 AC757 AC758 AC759 AC760 AC761 AC762 AC763 AC764 AC765 AC766 AC767 AC768 AC769 AC770 AC771 AC772 AC773 AC774 AC775 AC776 AC777 AC778 AC779 AC780 AC781 AC782 AC783 AC784 AC785 AC786 AC787 AC788 AC789 AC790 AC791 AC792 AC793 AC794 AC795 AC796 AC797 AC798 AC799 AC800 AC801 AC802 AC803 AC804 AC805 AC806 AC807 AC808 AC809 AC810 AC811 AC812 AC813 AC814 AC815 AC816 AC817 AC818 AC819 AC820 AC821 AC822 AC823 AC824 AC825 AC826 AC827 AC828 AC829 AC830 AC831 AC832 AC833 AC834 AC835 AC836 AC837 AC838 AC839 AC840 AC841 AC842 AC843 AC844 AC845 AC846 AC847 AC848 AC849 AC850 AC851 AC852 AC853 AC854 AC855 AC856 AC857 AC858 AC859 AC860 AC861 AC862 AC863 AC864 AC865 AC866 AC867 AC868 AC869 AC870 AC871 AC872 AC873 AC874 AC875 AC876 AC877 AC878 AC879 AC880 AC881 AC882 AC883 AC884 AC885 AC886 AC887 AC888 AC889 AC890 AC891 AC892 AC893 AC894 AC895 AC896 AC897 AC898 AC899 AC900 AC901 AC902 AC903 AC904 AC905 AC906 AC907 AC908 AC909 AC910 AC911 AC912 AC913 AC914 AC915 AC916 AC917 AC918 AC919 AC920 AC921 AC922 AC923 AC924 AC925 AC926 AC927 AC928 AC929 AC930 AC931 AC932 AC933 AC934 AC935 AC936 AC937 AC938 AC939 AC940 AC941 AC942 AC943 AC944 AC945 AC946 AC947 AC948 AC949 AC950 AC951 AC952 AC953 AC954 AC955 AC956 AC957 AC958 AC959 AC960 AC961 AC962 AC963 AC964 AC965 AC966 AC967 AC968 AC969 AC970 AC971 AC972 AC973 AC974 AC975 AC976 AC977 AC978 AC979 AC980 AC981 AC982 AC983 AC984 AC985 AC986 AC987 AC988 AC989 AC990 AC991 AC992 AC993 AC994 AC995 AC996 AC997 AC998 AC999 AC1000 AC1001 AC1002 AC1003 AC1004 AC1005 AC1006 AC1007 AC1008 AC1009 AC1010 AC1011 AC1012 AC1013 AC1014 AC1015 AC1016 AC1017 AC1018 AC1019 AC1020 AC1021 AC1022 AC1023 AC1024 AC1025 AC1026 AC1027 AC1028 AC1029 AC1030 AC1031 AC1032 AC1033 AC1034 AC1035 AC1036 AC1037 AC1038 AC1039 AC1040 AC1041 AC1042 AC1043 AC1044 AC1045 AC1046 AC1047 AC1048 AC1049 AC1050 AC1051 AC1052 AC1053 AC1054 AC1055 AC1056 AC1057 AC1058 AC1059 AC1060 AC1061 AC1062 AC1063 AC1064 AC1065 AC1066 AC1067 AC1068 AC1069 AC1070 AC1071 AC1072 AC1073 AC1074 AC1075 AC1076 AC1077 AC1078 AC1079 AC1080 AC1081 AC1082 AC1083 AC1084 AC1085 AC1086 AC1087 AC1088 AC1089 AC1090 AC1091 AC1092 AC1093 AC1094 AC1095 AC1096 AC1097 AC1098 AC1099 AC1100 AC1101 AC1102 AC1103 AC1104 AC1105 AC1106 AC1107 AC1108 AC1109 AC1110 AC1111 AC1112 AC1113 AC1114 AC1115 AC1116 AC1117 AC1118 AC1119 AC1120 AC1121 AC1122 AC1123 AC1124 AC1125 AC1126 AC1127 AC1128 AC1129 AC1130 AC1131 AC1132 AC1133 AC1134 AC1135 AC1136 AC1137 AC1138 AC1139 AC1140 AC1141 AC1142 AC1143 AC1144 AC1145 AC1146 AC1147 AC1148 AC1149 AC1150 AC1151 AC1152 AC1153 AC1154 AC1155 AC1156 AC1157 AC1158 AC1159 AC1160 AC1161 AC1162 AC1163 AC1164 AC1165 AC1166 AC1167 AC1168 AC1169 AC1170 AC1171 AC1172 AC1173 AC1174 AC1175 AC1176 AC1177 AC1178 AC1179 AC1180 AC1181 AC1182 AC1183 AC1184 AC1185 AC1186 AC1187 AC1188 AC1189 AC1190 AC1191 AC1192 AC1193 AC1194 AC1195 AC1196 AC1197 AC1198 AC1199 AC1200 AC1201 AC1202 AC1203 AC1204 AC1205 AC1206 AC1207 AC1208 AC1209 AC1210 AC1211 AC1212 AC1213 AC1214 AC1215 AC1216 AC1217 AC1218 AC1219 AC1220 AC1221 AC1222 AC1223 AC1224 AC1225 AC1226 AC1227 AC1228 AC1229 AC1230 AC1231 AC1232 AC1233 AC1234 AC1235 AC1236 AC1237 AC1238 AC1239 AC1240 AC1241 AC1242 AC1243 AC1244 AC1245 AC1246 AC1247 AC1248 AC1249 AC1250 AC1251 AC1252 AC1253 AC1254 AC1255 AC1256 AC1257 AC1258 AC1259 AC1260 AC1261 AC1262 AC1263 AC1264 AC1265 AC1266 AC1267 AC1268 AC1269 AC1270 AC1271 AC1272 AC1273 AC1274 AC1275 AC1276 AC1277 AC1278 AC1279 AC1280 AC1281 AC1282 AC1283 AC1284 AC1285 AC1286 AC1287 AC1288 AC1289 AC1290 AC1291 AC1292 AC1293 AC1294 AC1295 AC1296 AC1297 AC1298 AC1299 AC1300 AC1301 AC1302 AC1303 AC1304 AC1305 AC1306 AC1307 AC1308 AC1309 AC1310 AC1311 AC1312 AC1313 AC1314 AC1315 AC1316 AC1317 AC1318 AC1319 AC1320 AC1321 AC1322 AC1323 AC1324 AC1325 AC1326 AC1327 AC1328 AC1329 AC1330 AC1331 AC1332 AC1333 AC1334 AC1335 AC1336 AC1337 AC1338 AC1339 AC1340 AC1341 AC1342 AC1343 AC1344 AC1345 AC1346 AC1347 AC1348 AC1349 AC1350 AC1351 AC1352 AC1353 AC1354 AC1355 AC1356 AC1357 AC1358 AC1359 AC1360 AC1361 AC1362 AC1363 AC1364 AC1365 AC1366 AC1367 AC1368 AC1369 AC1370 AC1371 AC1372 AC1373 AC1374 AC1375 AC1376 AC1377 AC1378 AC1379 AC1380 AC1381 AC1382 AC1383 AC1384 AC1385 AC1386 AC1387 AC1388 AC1389 AC1390 AC1391 AC1392 AC1393 AC1394 AC1395 AC1396 AC1397 AC1398 AC1399 AC1400 AC1401 AC1402 AC1403 AC1404 AC1405 AC1406" showDropDown="0" showInputMessage="0" showErrorMessage="0" allowBlank="1" type="list">
      <formula1>"Manual de Políticas de Seguridad de la Información (MPSI),Manual de Gestión de Seguridad de la Información (MGSI),Matriz de Roles y Perfiles,Informe Técnico de Pentesting / Ethical Hacking,Bitácora de Seguridad de la Información,Contrato de Proveedor / Terceros,Acta de Respaldos y Resguardo"</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2:C59"/>
  <sheetViews>
    <sheetView tabSelected="1" zoomScale="115" zoomScaleNormal="115" workbookViewId="0">
      <selection activeCell="B2" sqref="B2:B59"/>
    </sheetView>
  </sheetViews>
  <sheetFormatPr baseColWidth="10" defaultRowHeight="11.25"/>
  <cols>
    <col width="17.5" customWidth="1" style="106" min="1" max="1"/>
    <col width="57.1640625" customWidth="1" style="106" min="2" max="2"/>
    <col width="69.1640625" customWidth="1" style="16" min="3" max="3"/>
  </cols>
  <sheetData>
    <row r="2">
      <c r="A2" s="112" t="n"/>
      <c r="B2" s="111" t="inlineStr">
        <is>
          <t>Nivel de Madurez y efectivifad Magerit</t>
        </is>
      </c>
    </row>
    <row r="3">
      <c r="B3" s="112" t="n"/>
    </row>
    <row r="4">
      <c r="B4" s="108" t="inlineStr">
        <is>
          <t>L0 Inexistente</t>
        </is>
      </c>
      <c r="C4" s="16" t="inlineStr">
        <is>
          <t>La salvaguarda no está implementada en absoluto</t>
        </is>
      </c>
    </row>
    <row r="5" ht="22.5" customHeight="1" s="106">
      <c r="B5" s="108" t="inlineStr">
        <is>
          <t>L1 Inicial / Ad Hoc</t>
        </is>
      </c>
      <c r="C5" s="16" t="inlineStr">
        <is>
          <t>El control se ejecuta de manera improvisada. Las personas actúan reactivamente y no existen pautas definidas</t>
        </is>
      </c>
    </row>
    <row r="6" ht="33.75" customHeight="1" s="106">
      <c r="B6" s="108" t="inlineStr">
        <is>
          <t>L2 Reproducible pero Intuitivo</t>
        </is>
      </c>
      <c r="C6" s="16" t="inlineStr">
        <is>
          <t>Las tareas de control se repiten de forma similar ante incidentes, pero dependen enteramente del conocimiento intuitivo de las personas (no están formalizadas ni escritas).</t>
        </is>
      </c>
    </row>
    <row r="7" ht="22.5" customHeight="1" s="106">
      <c r="B7" s="108" t="inlineStr">
        <is>
          <t>L3 Proceso Definido</t>
        </is>
      </c>
      <c r="C7" s="16" t="inlineStr">
        <is>
          <t>El control está plenamente documentado, formalizado en políticas o manuales oficiales, y los empleados han sido capacitados para usarlo</t>
        </is>
      </c>
    </row>
    <row r="8" ht="22.5" customHeight="1" s="106">
      <c r="B8" s="108" t="inlineStr">
        <is>
          <t>L4 Gestionado y Medible</t>
        </is>
      </c>
      <c r="C8" s="16" t="inlineStr">
        <is>
          <t>Además de estar documentado, el control se monitorea continuamente mediante métricas o indicadores clave (KRI) para medir su efectividad real</t>
        </is>
      </c>
    </row>
    <row r="9" ht="22.5" customHeight="1" s="106">
      <c r="B9" s="108" t="inlineStr">
        <is>
          <t>L5 Optimizado</t>
        </is>
      </c>
      <c r="C9" s="16" t="inlineStr">
        <is>
          <t>El control forma parte de un ciclo de mejora continua (PDCA), donde los fallos se corrigen sistemáticamente y la medida se adapta a los cambios del entorno.</t>
        </is>
      </c>
    </row>
    <row r="12">
      <c r="B12" s="113" t="inlineStr">
        <is>
          <t xml:space="preserve">Implementacion </t>
        </is>
      </c>
    </row>
    <row r="13">
      <c r="B13" s="112" t="n"/>
      <c r="C13" s="112" t="n"/>
    </row>
    <row r="14" ht="22.5" customHeight="1" s="106">
      <c r="B14" s="114" t="inlineStr">
        <is>
          <t>Implementado</t>
        </is>
      </c>
      <c r="C14" s="112" t="inlineStr">
        <is>
          <t>El control existe, está operativo y se ejecuta de forma regular con evidencia auditable.</t>
        </is>
      </c>
    </row>
    <row r="15" ht="22.5" customHeight="1" s="106">
      <c r="B15" s="114" t="inlineStr">
        <is>
          <t>En proceso</t>
        </is>
      </c>
      <c r="C15" s="112" t="inlineStr">
        <is>
          <t>El control está diseñado o en fase de despliegue, pero aún no está 100% operativo o requiere ajustes.</t>
        </is>
      </c>
    </row>
    <row r="16" ht="22.5" customHeight="1" s="106">
      <c r="B16" s="114" t="inlineStr">
        <is>
          <t>No Iniciado</t>
        </is>
      </c>
      <c r="C16" s="112" t="inlineStr">
        <is>
          <t>El control es necesario (aplica), pero aún no se ha tomado ninguna medida operativa para su desarrollo.</t>
        </is>
      </c>
    </row>
    <row r="17" ht="22.5" customHeight="1" s="106">
      <c r="B17" s="114" t="inlineStr">
        <is>
          <t>No Aplica</t>
        </is>
      </c>
      <c r="C17" s="112" t="inlineStr">
        <is>
          <t>El control ha sido formalmente excluido mediante justificación técnica aprobada por la administración.</t>
        </is>
      </c>
    </row>
    <row r="20">
      <c r="B20" s="113" t="inlineStr">
        <is>
          <t>Tipo de Protección</t>
        </is>
      </c>
    </row>
    <row r="21">
      <c r="B21" s="114" t="n"/>
    </row>
    <row r="22" ht="22.5" customHeight="1" s="106">
      <c r="B22" s="114" t="inlineStr">
        <is>
          <t>PREVENTIVO</t>
        </is>
      </c>
      <c r="C22" s="16" t="inlineStr">
        <is>
          <t>Diseñado para evitar que ocurra un incidente de seguridad (ej. políticas, cifrado, firewall, concientización).</t>
        </is>
      </c>
    </row>
    <row r="23" ht="22.5" customHeight="1" s="106">
      <c r="B23" t="inlineStr">
        <is>
          <t>DETECTIVO</t>
        </is>
      </c>
      <c r="C23" s="16" t="inlineStr">
        <is>
          <t>Diseñado para identificar, registrar o alertar cuando ocurre una anomalía o evento inusual (ej. análisis de logs, escaneos, monitoreo).</t>
        </is>
      </c>
    </row>
    <row r="24" ht="22.5" customHeight="1" s="106">
      <c r="B24" t="inlineStr">
        <is>
          <t>ADMINISTRACION</t>
        </is>
      </c>
      <c r="C24" s="16" t="inlineStr">
        <is>
          <t>Enfocado en la gobernanza, procesos de control y aprobaciones documentadas (ej. gestión de cambios, matrices de roles)</t>
        </is>
      </c>
    </row>
    <row r="25" ht="22.5" customHeight="1" s="106">
      <c r="B25" t="inlineStr">
        <is>
          <t>RECUPERACION</t>
        </is>
      </c>
      <c r="C25" s="16" t="inlineStr">
        <is>
          <t>Diseñado para restaurar la continuidad operativa y mitigar las consecuencias de un incidente materializado (ej. DRP, backups).</t>
        </is>
      </c>
    </row>
    <row r="26" ht="22.5" customHeight="1" s="106">
      <c r="B26" t="inlineStr">
        <is>
          <t>ELIMINACION</t>
        </is>
      </c>
      <c r="C26" s="16" t="inlineStr">
        <is>
          <t>Medidas drásticas que anulan de raíz la posibilidad de que se explote una vulnerabilidad (ej. eliminar accesos genéricos, retirar tecnología obsoleta).</t>
        </is>
      </c>
    </row>
    <row r="29">
      <c r="B29" s="113" t="inlineStr">
        <is>
          <t>Riesgos / Amenazas que Mitiga Magerit</t>
        </is>
      </c>
    </row>
    <row r="30">
      <c r="A30" s="111" t="n"/>
      <c r="B30" s="114" t="n"/>
    </row>
    <row r="31" ht="22.5" customHeight="1" s="106">
      <c r="A31" s="111" t="inlineStr">
        <is>
          <t>Ataques Intencionados [A]</t>
        </is>
      </c>
      <c r="B31" s="112" t="inlineStr">
        <is>
          <t>[A.5] Suplantación de la identidad del usuario</t>
        </is>
      </c>
    </row>
    <row r="32">
      <c r="B32" s="112" t="inlineStr">
        <is>
          <t>[A.6] Abuso de privilegios de acceso</t>
        </is>
      </c>
    </row>
    <row r="33">
      <c r="B33" s="112" t="inlineStr">
        <is>
          <t>[A.7] Uso no previsto</t>
        </is>
      </c>
    </row>
    <row r="34">
      <c r="B34" s="112" t="inlineStr">
        <is>
          <t>[A.11] Acceso no autorizado</t>
        </is>
      </c>
    </row>
    <row r="35">
      <c r="B35" s="112" t="inlineStr">
        <is>
          <t>[A.19] Divulgación de información</t>
        </is>
      </c>
    </row>
    <row r="36">
      <c r="B36" s="112" t="inlineStr">
        <is>
          <t>[A.24] Denegación de servicio</t>
        </is>
      </c>
    </row>
    <row r="37">
      <c r="B37" s="112" t="inlineStr">
        <is>
          <t>[A.25] Robo</t>
        </is>
      </c>
    </row>
    <row r="38">
      <c r="B38" s="112" t="inlineStr">
        <is>
          <t>[A.30] Ingeniería social (Phishing)</t>
        </is>
      </c>
    </row>
    <row r="39" ht="33.75" customHeight="1" s="106">
      <c r="A39" s="111" t="inlineStr">
        <is>
          <t>Errores y fallos no intencionados [E]</t>
        </is>
      </c>
      <c r="B39" s="112" t="inlineStr">
        <is>
          <t>[E.2] Errores del administrador</t>
        </is>
      </c>
    </row>
    <row r="40">
      <c r="A40" s="111" t="n"/>
      <c r="B40" s="112" t="inlineStr">
        <is>
          <t>[E.18] Destrucción de información</t>
        </is>
      </c>
    </row>
    <row r="41">
      <c r="B41" s="112" t="inlineStr">
        <is>
          <t>[E.19] Fugas de información</t>
        </is>
      </c>
    </row>
    <row r="42">
      <c r="B42" s="112" t="inlineStr">
        <is>
          <t>[E.20] Vulnerabilidades de los programas (software)</t>
        </is>
      </c>
    </row>
    <row r="43" ht="22.5" customHeight="1" s="106">
      <c r="B43" s="112" t="inlineStr">
        <is>
          <t>[E.23] Errores de mantenimiento / actualización de equipos (hardware)</t>
        </is>
      </c>
    </row>
    <row r="44">
      <c r="B44" s="112" t="inlineStr">
        <is>
          <t>[E.24] Caída del sistema por agotamiento de recursos</t>
        </is>
      </c>
    </row>
    <row r="45">
      <c r="B45" s="112" t="inlineStr">
        <is>
          <t>[E.25] Pérdida de equipos</t>
        </is>
      </c>
      <c r="C45" s="90" t="n"/>
    </row>
    <row r="46">
      <c r="B46" s="112" t="inlineStr">
        <is>
          <t>[E.28] Indisponibilidad del personal</t>
        </is>
      </c>
    </row>
    <row r="47" ht="22.5" customHeight="1" s="106">
      <c r="A47" s="111" t="inlineStr">
        <is>
          <t>Desastres naturales [N]</t>
        </is>
      </c>
      <c r="B47" s="112" t="inlineStr">
        <is>
          <t>[N.1] Fuego</t>
        </is>
      </c>
    </row>
    <row r="48">
      <c r="B48" s="112" t="inlineStr">
        <is>
          <t>[N.2] Daños por agua</t>
        </is>
      </c>
    </row>
    <row r="49">
      <c r="A49" s="111" t="n"/>
    </row>
    <row r="51">
      <c r="B51" s="111" t="inlineStr">
        <is>
          <t>Evidencia</t>
        </is>
      </c>
    </row>
    <row r="53">
      <c r="B53" t="inlineStr">
        <is>
          <t>Manual de Políticas de Seguridad de la Información (MPSI)</t>
        </is>
      </c>
    </row>
    <row r="54">
      <c r="B54" t="inlineStr">
        <is>
          <t>Manual de Gestión de Seguridad de la Información (MGSI)</t>
        </is>
      </c>
    </row>
    <row r="55">
      <c r="B55" t="inlineStr">
        <is>
          <t>Matriz de Roles y Perfiles</t>
        </is>
      </c>
    </row>
    <row r="56">
      <c r="B56" t="inlineStr">
        <is>
          <t>Informe Técnico de Pentesting / Ethical Hacking</t>
        </is>
      </c>
    </row>
    <row r="57">
      <c r="B57" t="inlineStr">
        <is>
          <t>Bitácora de Seguridad de la Información</t>
        </is>
      </c>
    </row>
    <row r="58">
      <c r="B58" t="inlineStr">
        <is>
          <t>Contrato de Proveedor / Terceros</t>
        </is>
      </c>
    </row>
    <row r="59">
      <c r="B59" t="inlineStr">
        <is>
          <t>Acta de Respaldos y Resguardo</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6" min="1" max="1"/>
    <col width="16.5" customWidth="1" style="106" min="2" max="2"/>
    <col width="20.6640625" customWidth="1" style="106" min="3" max="3"/>
    <col width="24.1640625" bestFit="1" customWidth="1" style="106" min="4" max="4"/>
  </cols>
  <sheetData>
    <row r="1">
      <c r="A1" s="100" t="inlineStr">
        <is>
          <t>PROBABILIDAD</t>
        </is>
      </c>
      <c r="B1" s="101" t="n"/>
      <c r="C1" s="101" t="n"/>
      <c r="D1" s="101" t="n"/>
    </row>
    <row r="2" ht="25.5" customHeight="1" s="106">
      <c r="A2" s="1" t="inlineStr">
        <is>
          <t>Descripción</t>
        </is>
      </c>
      <c r="B2" s="1" t="inlineStr">
        <is>
          <t>Nivel</t>
        </is>
      </c>
      <c r="C2" s="9" t="inlineStr">
        <is>
          <t xml:space="preserve">Porcentaje de ocurrencia del evento </t>
        </is>
      </c>
      <c r="D2" s="9" t="inlineStr">
        <is>
          <t>Frecuencia</t>
        </is>
      </c>
    </row>
    <row r="3" ht="12" customHeight="1" s="106">
      <c r="A3" s="2" t="inlineStr">
        <is>
          <t>Muy Baja</t>
        </is>
      </c>
      <c r="B3" s="3" t="n">
        <v>1</v>
      </c>
      <c r="C3" s="3" t="inlineStr">
        <is>
          <t>0,00% al 4,64%</t>
        </is>
      </c>
      <c r="D3" s="4" t="inlineStr">
        <is>
          <t>Ocurre una vez al año</t>
        </is>
      </c>
    </row>
    <row r="4" ht="12" customHeight="1" s="106">
      <c r="A4" s="5" t="inlineStr">
        <is>
          <t>Baja</t>
        </is>
      </c>
      <c r="B4" s="3" t="n">
        <v>2</v>
      </c>
      <c r="C4" s="3" t="inlineStr">
        <is>
          <t>4,65% al 7,60%</t>
        </is>
      </c>
      <c r="D4" s="4" t="inlineStr">
        <is>
          <t>Ocurre una vez al mes</t>
        </is>
      </c>
    </row>
    <row r="5" ht="20.45" customHeight="1" s="106">
      <c r="A5" s="6" t="inlineStr">
        <is>
          <t>Media</t>
        </is>
      </c>
      <c r="B5" s="3" t="n">
        <v>3</v>
      </c>
      <c r="C5" s="3" t="inlineStr">
        <is>
          <t>7.61% al 28,26%</t>
        </is>
      </c>
      <c r="D5" s="4" t="inlineStr">
        <is>
          <t>Ocurre una vez a la semana</t>
        </is>
      </c>
    </row>
    <row r="6" ht="12" customHeight="1" s="106">
      <c r="A6" s="7" t="inlineStr">
        <is>
          <t>Alta</t>
        </is>
      </c>
      <c r="B6" s="3" t="n">
        <v>4</v>
      </c>
      <c r="C6" s="3" t="inlineStr">
        <is>
          <t>28,27% al 40,70%</t>
        </is>
      </c>
      <c r="D6" s="4" t="inlineStr">
        <is>
          <t>Ocurre una vez al día</t>
        </is>
      </c>
    </row>
    <row r="7" ht="24" customHeight="1" s="106">
      <c r="A7" s="8" t="inlineStr">
        <is>
          <t>Muy Alta</t>
        </is>
      </c>
      <c r="B7" s="3" t="n">
        <v>5</v>
      </c>
      <c r="C7" s="3" t="inlineStr">
        <is>
          <t>40,71% al 100%</t>
        </is>
      </c>
      <c r="D7" s="4" t="inlineStr">
        <is>
          <t>Ocurre varias veces al día.</t>
        </is>
      </c>
    </row>
    <row r="9">
      <c r="A9" s="100" t="inlineStr">
        <is>
          <t>IMPACTO/DEGRADACIÓN</t>
        </is>
      </c>
      <c r="B9" s="101"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102" t="inlineStr">
        <is>
          <t>NIVEL DE RIESGO DE SEGURIDAD = IMPACTO * PROBABILIDAD</t>
        </is>
      </c>
      <c r="B17" s="98" t="n"/>
      <c r="C17" s="98" t="n"/>
      <c r="D17" s="98" t="n"/>
      <c r="E17" s="98" t="n"/>
      <c r="F17" s="99" t="n"/>
      <c r="H17" s="105" t="n"/>
    </row>
    <row r="18">
      <c r="A18" s="103" t="inlineStr">
        <is>
          <t>PROBABILIDAD</t>
        </is>
      </c>
      <c r="B18" s="102" t="inlineStr">
        <is>
          <t>IMPACTO</t>
        </is>
      </c>
      <c r="C18" s="98" t="n"/>
      <c r="D18" s="98" t="n"/>
      <c r="E18" s="98" t="n"/>
      <c r="F18" s="99" t="n"/>
    </row>
    <row r="19">
      <c r="A19" s="104" t="n"/>
      <c r="B19" s="3" t="inlineStr">
        <is>
          <t>Insignificante</t>
        </is>
      </c>
      <c r="C19" s="3" t="inlineStr">
        <is>
          <t>Bajo</t>
        </is>
      </c>
      <c r="D19" s="3" t="inlineStr">
        <is>
          <t>Medio</t>
        </is>
      </c>
      <c r="E19" s="3" t="inlineStr">
        <is>
          <t>Alto</t>
        </is>
      </c>
      <c r="F19" s="3" t="inlineStr">
        <is>
          <t>Severo</t>
        </is>
      </c>
      <c r="H19" s="102" t="inlineStr">
        <is>
          <t>NIVEL DE RIESGO</t>
        </is>
      </c>
      <c r="I19" s="99"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4.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112" min="3" max="3"/>
    <col hidden="1" width="32.5" customWidth="1" style="112"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6" min="22" max="22"/>
    <col width="14.5" customWidth="1" style="106" min="23" max="23"/>
    <col width="19.1640625" customWidth="1" style="106" min="24" max="24"/>
    <col width="13.1640625" customWidth="1" style="106" min="25" max="25"/>
    <col width="37.1640625" customWidth="1" style="106" min="26" max="26"/>
  </cols>
  <sheetData>
    <row r="1">
      <c r="O1" s="16" t="n"/>
      <c r="P1" s="16" t="n"/>
      <c r="Q1" s="16" t="n"/>
    </row>
    <row r="2" ht="41.1" customHeight="1" s="106">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6">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6">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6">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6">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6">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6">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6">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6">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6">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6">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6">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6">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6">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6">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6">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6">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6">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6">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6">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6">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6">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6">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6">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6">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6">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6">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6">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6">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6">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6">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6">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6">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6">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6">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6">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6">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6">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6">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6">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6">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6">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6">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6">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6">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6">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6">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6">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6">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6">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6">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6">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6">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6">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6">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6">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6">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6">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6">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6">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6">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6">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6">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6">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6">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6">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6">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6">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6">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6">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6">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6">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6">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6">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6">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6">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6">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6">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6">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6">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6">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6">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6">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6">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6">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6">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6">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6">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6">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6">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6">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6">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6">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6">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6">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6">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6">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6">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6">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6">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6">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6">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6">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6">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6">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6">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6">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6">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6">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6">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6">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6">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6">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6">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6">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6">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6">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6">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6">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6">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6">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6">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6">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6">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6">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6">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6">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6">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6">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6">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6">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6">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6">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6">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6">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6">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6">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6">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6">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6">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6">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6">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6">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6">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6">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6">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6">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6">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6">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6">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6">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6">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6">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6">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6">
      <c r="A156" s="99"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6">
      <c r="A157" s="99"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6">
      <c r="A158" s="99"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6">
      <c r="A159" s="99"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6">
      <c r="A160" s="99"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6">
      <c r="A161" s="99"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6">
      <c r="A162" s="99"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6">
      <c r="A163" s="99"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6">
      <c r="A164" s="99"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6">
      <c r="A165" s="99"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6">
      <c r="A166" s="99"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6">
      <c r="A167" s="99"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6">
      <c r="A168" s="99"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6">
      <c r="A169" s="99"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6">
      <c r="A170" s="99"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6">
      <c r="A171" s="99"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6">
      <c r="A172" s="99"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6">
      <c r="A173" s="99"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6">
      <c r="A174" s="99"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6">
      <c r="A175" s="99"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6">
      <c r="A176" s="99"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6">
      <c r="A177" s="99"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6">
      <c r="A178" s="99"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6">
      <c r="A179" s="99"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6">
      <c r="A180" s="99"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6">
      <c r="A181" s="99"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6">
      <c r="A182" s="99"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6">
      <c r="A183" s="99"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6">
      <c r="A184" s="99"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6">
      <c r="A185" s="99"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6">
      <c r="A186" s="99"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6">
      <c r="A187" s="99"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6">
      <c r="A188" s="99"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6">
      <c r="A189" s="99"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6">
      <c r="A190" s="99"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6">
      <c r="A191" s="99"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6">
      <c r="A192" s="99"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6">
      <c r="A193" s="99"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6">
      <c r="A194" s="99"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6">
      <c r="A195" s="99"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6">
      <c r="A196" s="99"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6">
      <c r="A197" s="99"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6">
      <c r="A198" s="99"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6">
      <c r="A199" s="99"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6">
      <c r="A200" s="99"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6">
      <c r="A201" s="99"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6">
      <c r="A202" s="99"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6">
      <c r="A203" s="99"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6">
      <c r="A204" s="99"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6">
      <c r="A205" s="99"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6">
      <c r="A206" s="99"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6">
      <c r="A207" s="99"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6">
      <c r="A208" s="99"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6">
      <c r="A209" s="99"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6">
      <c r="A210" s="99"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6">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6" min="1" max="1"/>
    <col width="46.6640625" customWidth="1" style="16" min="2" max="2"/>
    <col width="40.1640625" bestFit="1" customWidth="1" style="16" min="3" max="3"/>
    <col width="10" bestFit="1" customWidth="1" style="106" min="4" max="4"/>
  </cols>
  <sheetData>
    <row r="1" ht="20.45" customHeight="1" s="106">
      <c r="A1" s="83" t="inlineStr">
        <is>
          <t>PLAN DE ACCION</t>
        </is>
      </c>
      <c r="B1" s="84" t="inlineStr">
        <is>
          <t>DESCIPCION PLAN DE ACCIÓN</t>
        </is>
      </c>
      <c r="C1" s="81" t="inlineStr">
        <is>
          <t>RESPONSABLE</t>
        </is>
      </c>
      <c r="D1" s="86" t="inlineStr">
        <is>
          <t>PLAZO</t>
        </is>
      </c>
    </row>
    <row r="2" ht="20.45" customHeight="1" s="106">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6">
      <c r="A3" s="82" t="inlineStr">
        <is>
          <t>PA-SI-002</t>
        </is>
      </c>
      <c r="B3" s="82" t="inlineStr">
        <is>
          <t>Fortalecer mecanismos de protección contra ataques DoS/DDoS</t>
        </is>
      </c>
      <c r="C3" s="82" t="inlineStr">
        <is>
          <t>JEFE DE SEGURIDAD DE LA INFORMACION</t>
        </is>
      </c>
      <c r="D3" s="85" t="inlineStr">
        <is>
          <t>3 MESES</t>
        </is>
      </c>
    </row>
    <row r="4" ht="20.45" customHeight="1" s="106">
      <c r="A4" s="82" t="inlineStr">
        <is>
          <t>PA-SI-003</t>
        </is>
      </c>
      <c r="B4" s="82" t="inlineStr">
        <is>
          <t>Determinar accesos restringidos para la consola administrativa</t>
        </is>
      </c>
      <c r="C4" s="82" t="inlineStr">
        <is>
          <t>JEFE DE SEGURIDAD DE LA INFORMACION</t>
        </is>
      </c>
      <c r="D4" s="85" t="inlineStr">
        <is>
          <t>3 MESES</t>
        </is>
      </c>
    </row>
    <row r="5" ht="24" customHeight="1" s="106">
      <c r="A5" s="82" t="inlineStr">
        <is>
          <t>PA-SI-004</t>
        </is>
      </c>
      <c r="B5" s="82" t="inlineStr">
        <is>
          <t>Aplicar política de expiración de contraseñas VPN.</t>
        </is>
      </c>
      <c r="C5" s="82" t="inlineStr">
        <is>
          <t>JEFE DE SEGURIDAD DE LA INFORMACION</t>
        </is>
      </c>
      <c r="D5" s="85" t="inlineStr">
        <is>
          <t>6 MESES</t>
        </is>
      </c>
    </row>
    <row r="6" ht="20.45" customHeight="1" s="106">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6">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6" min="1" max="1"/>
    <col width="12.5" customWidth="1" style="106" min="2" max="2"/>
    <col width="6.1640625" bestFit="1" customWidth="1" style="106" min="3" max="3"/>
    <col width="7.1640625" bestFit="1" customWidth="1" style="106" min="4" max="4"/>
    <col width="13.1640625" bestFit="1" customWidth="1" style="106" min="5" max="6"/>
    <col width="68.1640625" bestFit="1" customWidth="1" style="106" min="7" max="22"/>
    <col width="13.1640625" bestFit="1" customWidth="1" style="106"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6" min="2" max="2"/>
  </cols>
  <sheetData>
    <row r="1">
      <c r="A1" s="100" t="n"/>
      <c r="B1" s="101" t="n"/>
    </row>
    <row r="2">
      <c r="A2" s="102" t="inlineStr">
        <is>
          <t>Código</t>
        </is>
      </c>
      <c r="B2" s="102"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8.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8"/>
    <col width="11.5" customWidth="1" style="16" min="19" max="16384"/>
  </cols>
  <sheetData>
    <row r="1">
      <c r="A1" s="17" t="n"/>
      <c r="B1" s="34" t="n"/>
      <c r="C1" s="17" t="n"/>
      <c r="D1" s="34" t="n"/>
      <c r="E1" s="107" t="inlineStr">
        <is>
          <t>TIPOS DE ACTIVOS</t>
        </is>
      </c>
      <c r="F1" s="98" t="n"/>
      <c r="G1" s="98" t="n"/>
      <c r="H1" s="98" t="n"/>
      <c r="I1" s="98" t="n"/>
      <c r="J1" s="98" t="n"/>
      <c r="K1" s="98" t="n"/>
      <c r="L1" s="98" t="n"/>
      <c r="M1" s="98" t="n"/>
      <c r="N1" s="99" t="n"/>
    </row>
    <row r="2" ht="101.1" customHeight="1" s="106">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6">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6">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6">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6">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6">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6">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6">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6">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6">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6">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6">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6">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6">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6">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6">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6">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6">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6">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6">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6">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6">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6">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6">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6">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6">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6">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6">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6">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6">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6">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6">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6">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6">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6">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6">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6">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6">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6">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6">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6">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6">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6">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6">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6">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6" min="1" max="1"/>
    <col width="79.5" customWidth="1" style="106" min="2" max="2"/>
  </cols>
  <sheetData>
    <row r="1">
      <c r="A1" t="inlineStr">
        <is>
          <t>TIPO DE ACTIVO</t>
        </is>
      </c>
      <c r="B1" t="inlineStr">
        <is>
          <t>DESCRIPCION</t>
        </is>
      </c>
    </row>
    <row r="2" ht="41.1" customHeight="1" s="106">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6">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6">
      <c r="A4" s="41" t="inlineStr">
        <is>
          <t>[S] Servicios</t>
        </is>
      </c>
      <c r="B4" s="17" t="inlineStr">
        <is>
          <t>Función que satisface una necesidad de los usuarios (del servicio). Esta sección contempla servicios prestados por el sistema.</t>
        </is>
      </c>
    </row>
    <row r="5" ht="41.1" customHeight="1" s="106">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6">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6">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6">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6">
      <c r="A9" s="41" t="inlineStr">
        <is>
          <t>[AUX] equipamiento auxiliar</t>
        </is>
      </c>
      <c r="B9" s="17" t="inlineStr">
        <is>
          <t>En este epígrafe se consideran otros equipos que sirven de soporte a los sistemas de información, sin estar directamente relacionados con datos.</t>
        </is>
      </c>
    </row>
    <row r="10" ht="20.45" customHeight="1" s="106">
      <c r="A10" s="41" t="inlineStr">
        <is>
          <t>[L] Instalaciones</t>
        </is>
      </c>
      <c r="B10" s="17" t="inlineStr">
        <is>
          <t>En este epígrafe entran los lugares donde se hospedan los sistemas de información y comunicaciones.</t>
        </is>
      </c>
    </row>
    <row r="11" ht="12" customHeight="1" s="106">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6" min="1" max="1"/>
    <col width="82" bestFit="1" customWidth="1" style="106" min="2" max="2"/>
    <col width="86" bestFit="1" customWidth="1" style="106" min="3" max="3"/>
  </cols>
  <sheetData>
    <row r="1">
      <c r="A1" s="102" t="inlineStr">
        <is>
          <t>CONTROLES IMPLEMENTADOS</t>
        </is>
      </c>
      <c r="B1" s="99" t="n"/>
    </row>
    <row r="2">
      <c r="A2" s="102" t="inlineStr">
        <is>
          <t>Código</t>
        </is>
      </c>
      <c r="B2" s="102" t="inlineStr">
        <is>
          <t>Descripción</t>
        </is>
      </c>
    </row>
    <row r="3">
      <c r="A3" s="102" t="inlineStr">
        <is>
          <t>1. Política de Seguridad de la Información</t>
        </is>
      </c>
      <c r="B3" s="99"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102" t="inlineStr">
        <is>
          <t>2. Organización de la Seguridad de la Información</t>
        </is>
      </c>
      <c r="B8" s="99"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102" t="inlineStr">
        <is>
          <t>3. Gestión de Activos</t>
        </is>
      </c>
      <c r="B12" s="99"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102" t="inlineStr">
        <is>
          <t>4. Seguridad de los Recursos Humanos</t>
        </is>
      </c>
      <c r="B16" s="99"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102" t="inlineStr">
        <is>
          <t>5. Control de Acceso</t>
        </is>
      </c>
      <c r="B19" s="99"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102" t="inlineStr">
        <is>
          <t>6. Criptografía</t>
        </is>
      </c>
      <c r="B26" s="99"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102" t="inlineStr">
        <is>
          <t>7. Seguridad Física y del Entorno</t>
        </is>
      </c>
      <c r="B29" s="99"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102" t="inlineStr">
        <is>
          <t>8. Seguridad de las Operaciones</t>
        </is>
      </c>
      <c r="B32" s="99"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102" t="inlineStr">
        <is>
          <t>9. Seguridad en las Comunicaciones</t>
        </is>
      </c>
      <c r="B40" s="99"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102" t="inlineStr">
        <is>
          <t>10. Adquisición, desarrollo y mantenimiento</t>
        </is>
      </c>
      <c r="B43" s="99"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102" t="inlineStr">
        <is>
          <t>11. Relaciones con Proveedores</t>
        </is>
      </c>
      <c r="B48" s="99"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102" t="inlineStr">
        <is>
          <t>12. Gestión de Incidentes de Seguridad</t>
        </is>
      </c>
      <c r="B51" s="99"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102" t="inlineStr">
        <is>
          <t>13. Gestión de Continuidad del Negocio</t>
        </is>
      </c>
      <c r="B54" s="99"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102" t="inlineStr">
        <is>
          <t>14. Cumplimiento</t>
        </is>
      </c>
      <c r="B57" s="99"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L94"/>
  <sheetViews>
    <sheetView zoomScale="90" zoomScaleNormal="90" workbookViewId="0">
      <selection activeCell="J24" sqref="J24"/>
    </sheetView>
  </sheetViews>
  <sheetFormatPr baseColWidth="10" defaultColWidth="9.1640625" defaultRowHeight="11.25"/>
  <cols>
    <col width="11.83203125" customWidth="1" style="38" min="1" max="1"/>
    <col width="19.5" customWidth="1" style="112" min="2" max="2"/>
    <col width="12.6640625" customWidth="1" style="112" min="3" max="3"/>
    <col width="17.6640625" customWidth="1" style="112" min="4" max="4"/>
    <col width="14" customWidth="1" style="112" min="5" max="5"/>
    <col width="39.1640625" customWidth="1" style="38" min="6" max="6"/>
    <col width="25" customWidth="1" style="112" min="7" max="7"/>
    <col width="29.6640625" customWidth="1" style="112" min="8" max="8"/>
    <col width="18.6640625" customWidth="1" style="112" min="9" max="9"/>
    <col width="16.1640625" customWidth="1" style="112" min="10" max="10"/>
    <col width="13.1640625" customWidth="1" style="112" min="11" max="11"/>
    <col width="19.6640625" customWidth="1" style="112" min="12" max="12"/>
    <col width="9.1640625" customWidth="1" style="112" min="13" max="15"/>
    <col width="9.1640625" customWidth="1" style="112" min="16" max="16384"/>
  </cols>
  <sheetData>
    <row r="1" ht="60" customHeight="1" s="106">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6">
      <c r="A2" s="38" t="inlineStr">
        <is>
          <t>5.1</t>
        </is>
      </c>
      <c r="B2" s="112" t="inlineStr">
        <is>
          <t>Políticas para la seguridad de la información</t>
        </is>
      </c>
      <c r="C2" s="112" t="inlineStr">
        <is>
          <t>#Preventivo</t>
        </is>
      </c>
      <c r="D2" s="112" t="inlineStr">
        <is>
          <t>#Confidencialidad, #Integridad, #Disponibilidad</t>
        </is>
      </c>
      <c r="E2" s="112" t="inlineStr">
        <is>
          <t>#Identificar</t>
        </is>
      </c>
      <c r="F2" s="38" t="inlineStr">
        <is>
          <t>#Gobernanza</t>
        </is>
      </c>
      <c r="G2" s="112" t="inlineStr">
        <is>
          <t>#Gobernanza_y_Ecosistema</t>
        </is>
      </c>
      <c r="H2" s="112" t="inlineStr">
        <is>
          <t>Obligatorio SEPS (Régimen General)</t>
        </is>
      </c>
      <c r="I2" s="112" t="inlineStr">
        <is>
          <t>C1: Revisión periódica de políticas y procedimientos</t>
        </is>
      </c>
      <c r="J2" s="112" t="inlineStr">
        <is>
          <t>2. Metodología Interna GSO-GSI + ISO 27001</t>
        </is>
      </c>
      <c r="K2" s="112" t="inlineStr">
        <is>
          <t>Aplica</t>
        </is>
      </c>
      <c r="L2" s="112" t="inlineStr">
        <is>
          <t>Requisito interno GSO-GSI</t>
        </is>
      </c>
    </row>
    <row r="3" ht="48" customHeight="1" s="106">
      <c r="A3" s="38" t="inlineStr">
        <is>
          <t>5.2</t>
        </is>
      </c>
      <c r="B3" s="112" t="inlineStr">
        <is>
          <t>Funciones y responsabilidades de seguridad de la información</t>
        </is>
      </c>
      <c r="C3" s="112" t="inlineStr">
        <is>
          <t>#Preventivo</t>
        </is>
      </c>
      <c r="D3" s="112" t="inlineStr">
        <is>
          <t>#Confidencialidad, #Integridad, #Disponibilidad</t>
        </is>
      </c>
      <c r="E3" s="112" t="inlineStr">
        <is>
          <t>#Identificar</t>
        </is>
      </c>
      <c r="F3" s="38" t="inlineStr">
        <is>
          <t>#Gobernanza</t>
        </is>
      </c>
      <c r="G3" s="112" t="inlineStr">
        <is>
          <t>#Gobernanza_y_Ecosistema</t>
        </is>
      </c>
      <c r="H3" s="112" t="inlineStr">
        <is>
          <t>Obligatorio SEPS (Régimen General)</t>
        </is>
      </c>
      <c r="I3" s="112" t="inlineStr">
        <is>
          <t>-</t>
        </is>
      </c>
      <c r="J3" s="112" t="inlineStr">
        <is>
          <t>1. Regulatorio SEPS 002-2022 + ISO 27001</t>
        </is>
      </c>
      <c r="K3" s="112" t="inlineStr">
        <is>
          <t>Aplica</t>
        </is>
      </c>
      <c r="L3" s="112" t="inlineStr">
        <is>
          <t>Requerido por ente regulador SEPS</t>
        </is>
      </c>
    </row>
    <row r="4" ht="36" customHeight="1" s="106">
      <c r="A4" s="38" t="inlineStr">
        <is>
          <t>5.3</t>
        </is>
      </c>
      <c r="B4" s="112" t="inlineStr">
        <is>
          <t>Segregación de funciones</t>
        </is>
      </c>
      <c r="C4" s="112" t="inlineStr">
        <is>
          <t>#Preventivo</t>
        </is>
      </c>
      <c r="D4" s="112" t="inlineStr">
        <is>
          <t>#Confidencialidad, #Integridad</t>
        </is>
      </c>
      <c r="E4" s="112" t="inlineStr">
        <is>
          <t>#Proteger</t>
        </is>
      </c>
      <c r="F4" s="38" t="inlineStr">
        <is>
          <t>#Gobernanza</t>
        </is>
      </c>
      <c r="G4" s="112" t="inlineStr">
        <is>
          <t>#Gobernanza_y_Ecosistema</t>
        </is>
      </c>
      <c r="H4" s="112" t="inlineStr">
        <is>
          <t>Obligatorio SEPS (Régimen General)</t>
        </is>
      </c>
      <c r="I4" s="112" t="inlineStr">
        <is>
          <t>-</t>
        </is>
      </c>
      <c r="J4" s="112" t="inlineStr">
        <is>
          <t>1. Regulatorio SEPS 002-2022 + ISO 27001</t>
        </is>
      </c>
      <c r="K4" s="112" t="inlineStr">
        <is>
          <t>Aplica</t>
        </is>
      </c>
      <c r="L4" s="112" t="inlineStr">
        <is>
          <t>Requerido por ente regulador SEPS</t>
        </is>
      </c>
    </row>
    <row r="5" ht="36" customHeight="1" s="106">
      <c r="A5" s="38" t="inlineStr">
        <is>
          <t>5.4</t>
        </is>
      </c>
      <c r="B5" s="112" t="inlineStr">
        <is>
          <t>Responsabilidades de la dirección</t>
        </is>
      </c>
      <c r="C5" s="112" t="inlineStr">
        <is>
          <t>#Preventivo</t>
        </is>
      </c>
      <c r="D5" s="112" t="inlineStr">
        <is>
          <t>#Confidencialidad, #Integridad, #Disponibilidad</t>
        </is>
      </c>
      <c r="E5" s="112" t="inlineStr">
        <is>
          <t>#Identificar</t>
        </is>
      </c>
      <c r="F5" s="38" t="inlineStr">
        <is>
          <t>#Gobernanza</t>
        </is>
      </c>
      <c r="G5" s="112" t="inlineStr">
        <is>
          <t>#Gobernanza_y_Ecosistema</t>
        </is>
      </c>
      <c r="H5" s="112" t="inlineStr">
        <is>
          <t>Obligatorio SEPS (Régimen General)</t>
        </is>
      </c>
      <c r="I5" s="112" t="inlineStr">
        <is>
          <t>-</t>
        </is>
      </c>
      <c r="J5" s="112" t="inlineStr">
        <is>
          <t>1. Regulatorio SEPS 002-2022 + ISO 27001</t>
        </is>
      </c>
      <c r="K5" s="112" t="inlineStr">
        <is>
          <t>Aplica</t>
        </is>
      </c>
      <c r="L5" s="112" t="inlineStr">
        <is>
          <t>Requerido por ente regulador SEPS</t>
        </is>
      </c>
    </row>
    <row r="6" ht="36" customHeight="1" s="106">
      <c r="A6" s="38" t="inlineStr">
        <is>
          <t>5.5</t>
        </is>
      </c>
      <c r="B6" s="112" t="inlineStr">
        <is>
          <t>Contacto con las autoridades</t>
        </is>
      </c>
      <c r="C6" s="112" t="inlineStr">
        <is>
          <t>#Preventivo</t>
        </is>
      </c>
      <c r="D6" s="112" t="inlineStr">
        <is>
          <t>#Disponibilidad</t>
        </is>
      </c>
      <c r="E6" s="112" t="inlineStr">
        <is>
          <t>#Responder</t>
        </is>
      </c>
      <c r="F6" s="38" t="inlineStr">
        <is>
          <t>#Gobernanza</t>
        </is>
      </c>
      <c r="G6" s="112" t="inlineStr">
        <is>
          <t>#Gobernanza_y_Ecosistema</t>
        </is>
      </c>
      <c r="H6" s="112" t="inlineStr">
        <is>
          <t>Obligatorio SEPS (Régimen General)</t>
        </is>
      </c>
      <c r="I6" s="112" t="inlineStr">
        <is>
          <t>-</t>
        </is>
      </c>
      <c r="J6" s="112" t="inlineStr">
        <is>
          <t>1. Regulatorio SEPS 002-2022 + ISO 27001</t>
        </is>
      </c>
      <c r="K6" s="112" t="inlineStr">
        <is>
          <t>Aplica</t>
        </is>
      </c>
      <c r="L6" s="112" t="inlineStr">
        <is>
          <t>Requerido por ente regulador SEPS</t>
        </is>
      </c>
    </row>
    <row r="7" ht="60" customHeight="1" s="106">
      <c r="A7" s="38" t="inlineStr">
        <is>
          <t>5.6</t>
        </is>
      </c>
      <c r="B7" s="112" t="inlineStr">
        <is>
          <t>Contacto con grupos de interés especial</t>
        </is>
      </c>
      <c r="C7" s="112" t="inlineStr">
        <is>
          <t>#Preventivo</t>
        </is>
      </c>
      <c r="D7" s="112" t="inlineStr">
        <is>
          <t>#Disponibilidad</t>
        </is>
      </c>
      <c r="E7" s="112" t="inlineStr">
        <is>
          <t>#Identificar</t>
        </is>
      </c>
      <c r="F7" s="38" t="inlineStr">
        <is>
          <t>#Gobernanza</t>
        </is>
      </c>
      <c r="G7" s="112" t="inlineStr">
        <is>
          <t>#Gobernanza_y_Ecosistema</t>
        </is>
      </c>
      <c r="H7" s="112" t="inlineStr">
        <is>
          <t>Mejor Práctica (No obligatorio SEPS)</t>
        </is>
      </c>
      <c r="I7" s="112" t="inlineStr">
        <is>
          <t>-</t>
        </is>
      </c>
      <c r="J7" s="112" t="inlineStr">
        <is>
          <t>3. Tratamiento de Riesgos Específico (ISO 27002 / MAGERIT)</t>
        </is>
      </c>
      <c r="K7" s="112" t="inlineStr">
        <is>
          <t>Aplica</t>
        </is>
      </c>
      <c r="L7" s="112" t="inlineStr">
        <is>
          <t>Requisito de control complementario y mejor práctica de seguridad</t>
        </is>
      </c>
    </row>
    <row r="8" ht="60" customHeight="1" s="106">
      <c r="A8" s="38" t="inlineStr">
        <is>
          <t>5.7</t>
        </is>
      </c>
      <c r="B8" s="112" t="inlineStr">
        <is>
          <t>Inteligencia de amenazas</t>
        </is>
      </c>
      <c r="C8" s="112" t="inlineStr">
        <is>
          <t>#Detectivo, #Preventivo</t>
        </is>
      </c>
      <c r="D8" s="112" t="inlineStr">
        <is>
          <t>#Confidencialidad, #Integridad, #Disponibilidad</t>
        </is>
      </c>
      <c r="E8" s="112" t="inlineStr">
        <is>
          <t>#Identificar</t>
        </is>
      </c>
      <c r="F8" s="38" t="inlineStr">
        <is>
          <t>#Gestión_de_amenazas_y_vulnerabilidades</t>
        </is>
      </c>
      <c r="G8" s="112" t="inlineStr">
        <is>
          <t>#Gobernanza_y_Ecosistema</t>
        </is>
      </c>
      <c r="H8" s="112" t="inlineStr">
        <is>
          <t>Mejor Práctica (No obligatorio SEPS)</t>
        </is>
      </c>
      <c r="I8" s="112" t="inlineStr">
        <is>
          <t>-</t>
        </is>
      </c>
      <c r="J8" s="112" t="inlineStr">
        <is>
          <t>3. Tratamiento de Riesgos Específico (ISO 27002 / MAGERIT)</t>
        </is>
      </c>
      <c r="K8" s="112" t="inlineStr">
        <is>
          <t>Aplica</t>
        </is>
      </c>
      <c r="L8" s="112" t="inlineStr">
        <is>
          <t>Requisito de control complementario y mejor práctica de seguridad</t>
        </is>
      </c>
    </row>
    <row r="9" ht="36" customHeight="1" s="106">
      <c r="A9" s="38" t="inlineStr">
        <is>
          <t>5.8</t>
        </is>
      </c>
      <c r="B9" s="112" t="inlineStr">
        <is>
          <t>Seguridad de la información en la gestión de proyectos</t>
        </is>
      </c>
      <c r="C9" s="112" t="inlineStr">
        <is>
          <t>#Preventivo</t>
        </is>
      </c>
      <c r="D9" s="112" t="inlineStr">
        <is>
          <t>#Confidencialidad, #Integridad, #Disponibilidad</t>
        </is>
      </c>
      <c r="E9" s="112" t="inlineStr">
        <is>
          <t>#Proteger</t>
        </is>
      </c>
      <c r="F9" s="38" t="inlineStr">
        <is>
          <t>#Gobernanza</t>
        </is>
      </c>
      <c r="G9" s="112" t="inlineStr">
        <is>
          <t>#Gobernanza_y_Ecosistema</t>
        </is>
      </c>
      <c r="H9" s="112" t="inlineStr">
        <is>
          <t>Obligatorio SEPS (Régimen General)</t>
        </is>
      </c>
      <c r="I9" s="112" t="inlineStr">
        <is>
          <t>-</t>
        </is>
      </c>
      <c r="J9" s="112" t="inlineStr">
        <is>
          <t>1. Regulatorio SEPS 002-2022 + ISO 27001</t>
        </is>
      </c>
      <c r="K9" s="112" t="inlineStr">
        <is>
          <t>Aplica</t>
        </is>
      </c>
      <c r="L9" s="112" t="inlineStr">
        <is>
          <t>Requerido por ente regulador SEPS</t>
        </is>
      </c>
    </row>
    <row r="10" ht="36" customHeight="1" s="106">
      <c r="A10" s="38" t="inlineStr">
        <is>
          <t>5.9</t>
        </is>
      </c>
      <c r="B10" s="112" t="inlineStr">
        <is>
          <t>Inventario de información y otros activos asociados</t>
        </is>
      </c>
      <c r="C10" s="112" t="inlineStr">
        <is>
          <t>#Preventivo</t>
        </is>
      </c>
      <c r="D10" s="112" t="inlineStr">
        <is>
          <t>#Confidencialidad, #Integridad, #Disponibilidad</t>
        </is>
      </c>
      <c r="E10" s="112" t="inlineStr">
        <is>
          <t>#Identificar</t>
        </is>
      </c>
      <c r="F10" s="38" t="inlineStr">
        <is>
          <t>#Gestión_de_activos</t>
        </is>
      </c>
      <c r="G10" s="112" t="inlineStr">
        <is>
          <t>#Gobernanza_y_Ecosistema</t>
        </is>
      </c>
      <c r="H10" s="112" t="inlineStr">
        <is>
          <t>Obligatorio SEPS (Régimen General)</t>
        </is>
      </c>
      <c r="I10" s="112" t="inlineStr">
        <is>
          <t>-</t>
        </is>
      </c>
      <c r="J10" s="112" t="inlineStr">
        <is>
          <t>1. Regulatorio SEPS 002-2022 + ISO 27001</t>
        </is>
      </c>
      <c r="K10" s="112" t="inlineStr">
        <is>
          <t>Aplica</t>
        </is>
      </c>
      <c r="L10" s="112" t="inlineStr">
        <is>
          <t>Requerido por ente regulador SEPS</t>
        </is>
      </c>
    </row>
    <row r="11" ht="36" customHeight="1" s="106">
      <c r="A11" s="38" t="inlineStr">
        <is>
          <t>5.10</t>
        </is>
      </c>
      <c r="B11" s="112" t="inlineStr">
        <is>
          <t>Uso aceptable de la información y otros activos asociados</t>
        </is>
      </c>
      <c r="C11" s="112" t="inlineStr">
        <is>
          <t>#Preventivo</t>
        </is>
      </c>
      <c r="D11" s="112" t="inlineStr">
        <is>
          <t>#Confidencialidad, #Integridad, #Disponibilidad</t>
        </is>
      </c>
      <c r="E11" s="112" t="inlineStr">
        <is>
          <t>#Proteger</t>
        </is>
      </c>
      <c r="F11" s="38" t="inlineStr">
        <is>
          <t>#Protección_de_la_información</t>
        </is>
      </c>
      <c r="G11" s="112" t="inlineStr">
        <is>
          <t>#Gobernanza_y_Ecosistema</t>
        </is>
      </c>
      <c r="H11" s="112" t="inlineStr">
        <is>
          <t>Obligatorio SEPS (Régimen General)</t>
        </is>
      </c>
      <c r="I11" s="112" t="inlineStr">
        <is>
          <t>-</t>
        </is>
      </c>
      <c r="J11" s="112" t="inlineStr">
        <is>
          <t>1. Regulatorio SEPS 002-2022 + ISO 27001</t>
        </is>
      </c>
      <c r="K11" s="112" t="inlineStr">
        <is>
          <t>Aplica</t>
        </is>
      </c>
      <c r="L11" s="112" t="inlineStr">
        <is>
          <t>Requerido por ente regulador SEPS</t>
        </is>
      </c>
    </row>
    <row r="12" ht="36" customHeight="1" s="106">
      <c r="A12" s="38" t="inlineStr">
        <is>
          <t>5.11</t>
        </is>
      </c>
      <c r="B12" s="112" t="inlineStr">
        <is>
          <t>Devolución de activos</t>
        </is>
      </c>
      <c r="C12" s="112" t="inlineStr">
        <is>
          <t>#Preventivo</t>
        </is>
      </c>
      <c r="D12" s="112" t="inlineStr">
        <is>
          <t>#Confidencialidad, #Integridad, #Disponibilidad</t>
        </is>
      </c>
      <c r="E12" s="112" t="inlineStr">
        <is>
          <t>#Proteger</t>
        </is>
      </c>
      <c r="F12" s="38" t="inlineStr">
        <is>
          <t>#Gestión_de_activos</t>
        </is>
      </c>
      <c r="G12" s="112" t="inlineStr">
        <is>
          <t>#Gobernanza_y_Ecosistema</t>
        </is>
      </c>
      <c r="H12" s="112" t="inlineStr">
        <is>
          <t>Obligatorio SEPS (Régimen General)</t>
        </is>
      </c>
      <c r="I12" s="112" t="inlineStr">
        <is>
          <t>-</t>
        </is>
      </c>
      <c r="J12" s="112" t="inlineStr">
        <is>
          <t>1. Regulatorio SEPS 002-2022 + ISO 27001</t>
        </is>
      </c>
      <c r="K12" s="112" t="inlineStr">
        <is>
          <t>Aplica</t>
        </is>
      </c>
      <c r="L12" s="112" t="inlineStr">
        <is>
          <t>Requerido por ente regulador SEPS</t>
        </is>
      </c>
    </row>
    <row r="13" ht="36" customHeight="1" s="106">
      <c r="A13" s="38" t="inlineStr">
        <is>
          <t>5.12</t>
        </is>
      </c>
      <c r="B13" s="112" t="inlineStr">
        <is>
          <t>Clasificación de la información</t>
        </is>
      </c>
      <c r="C13" s="112" t="inlineStr">
        <is>
          <t>#Preventivo</t>
        </is>
      </c>
      <c r="D13" s="112" t="inlineStr">
        <is>
          <t>#Confidencialidad, #Integridad, #Disponibilidad</t>
        </is>
      </c>
      <c r="E13" s="112" t="inlineStr">
        <is>
          <t>#Identificar</t>
        </is>
      </c>
      <c r="F13" s="38" t="inlineStr">
        <is>
          <t>#Protección_de_la_información</t>
        </is>
      </c>
      <c r="G13" s="112" t="inlineStr">
        <is>
          <t>#Gobernanza_y_Ecosistema</t>
        </is>
      </c>
      <c r="H13" s="112" t="inlineStr">
        <is>
          <t>Obligatorio SEPS (Régimen General)</t>
        </is>
      </c>
      <c r="I13" s="112" t="inlineStr">
        <is>
          <t>C2: Clasificación de la información</t>
        </is>
      </c>
      <c r="J13" s="112" t="inlineStr">
        <is>
          <t>2. Metodología Interna GSO-GSI + ISO 27001</t>
        </is>
      </c>
      <c r="K13" s="112" t="inlineStr">
        <is>
          <t>Aplica</t>
        </is>
      </c>
      <c r="L13" s="112" t="inlineStr">
        <is>
          <t>Requisito interno GSO-GSI</t>
        </is>
      </c>
    </row>
    <row r="14" ht="36" customHeight="1" s="106">
      <c r="A14" s="38" t="inlineStr">
        <is>
          <t>5.13</t>
        </is>
      </c>
      <c r="B14" s="112" t="inlineStr">
        <is>
          <t>Etiquetado de la información</t>
        </is>
      </c>
      <c r="C14" s="112" t="inlineStr">
        <is>
          <t>#Preventivo</t>
        </is>
      </c>
      <c r="D14" s="112" t="inlineStr">
        <is>
          <t>#Confidencialidad, #Integridad, #Disponibilidad</t>
        </is>
      </c>
      <c r="E14" s="112" t="inlineStr">
        <is>
          <t>#Proteger</t>
        </is>
      </c>
      <c r="F14" s="38" t="inlineStr">
        <is>
          <t>#Protección_de_la_información</t>
        </is>
      </c>
      <c r="G14" s="112" t="inlineStr">
        <is>
          <t>#Gobernanza_y_Ecosistema</t>
        </is>
      </c>
      <c r="H14" s="112" t="inlineStr">
        <is>
          <t>Obligatorio SEPS (Régimen General)</t>
        </is>
      </c>
      <c r="I14" s="112" t="inlineStr">
        <is>
          <t>C2: Clasificación de la información</t>
        </is>
      </c>
      <c r="J14" s="112" t="inlineStr">
        <is>
          <t>2. Metodología Interna GSO-GSI + ISO 27001</t>
        </is>
      </c>
      <c r="K14" s="112" t="inlineStr">
        <is>
          <t>Aplica</t>
        </is>
      </c>
      <c r="L14" s="112" t="inlineStr">
        <is>
          <t>Requisito interno GSO-GSI</t>
        </is>
      </c>
    </row>
    <row r="15" ht="36" customHeight="1" s="106">
      <c r="A15" s="38" t="inlineStr">
        <is>
          <t>5.14</t>
        </is>
      </c>
      <c r="B15" s="112" t="inlineStr">
        <is>
          <t>Transferencia de información</t>
        </is>
      </c>
      <c r="C15" s="112" t="inlineStr">
        <is>
          <t>#Preventivo</t>
        </is>
      </c>
      <c r="D15" s="112" t="inlineStr">
        <is>
          <t>#Confidencialidad, #Integridad, #Disponibilidad</t>
        </is>
      </c>
      <c r="E15" s="112" t="inlineStr">
        <is>
          <t>#Proteger</t>
        </is>
      </c>
      <c r="F15" s="38" t="inlineStr">
        <is>
          <t>#Protección_de_la_información</t>
        </is>
      </c>
      <c r="G15" s="112" t="inlineStr">
        <is>
          <t>#Gobernanza_y_Ecosistema</t>
        </is>
      </c>
      <c r="H15" s="112" t="inlineStr">
        <is>
          <t>Obligatorio SEPS (Régimen General)</t>
        </is>
      </c>
      <c r="I15" s="112" t="inlineStr">
        <is>
          <t>-</t>
        </is>
      </c>
      <c r="J15" s="112" t="inlineStr">
        <is>
          <t>1. Regulatorio SEPS 002-2022 + ISO 27001</t>
        </is>
      </c>
      <c r="K15" s="112" t="inlineStr">
        <is>
          <t>Aplica</t>
        </is>
      </c>
      <c r="L15" s="112" t="inlineStr">
        <is>
          <t>Requerido por ente regulador SEPS</t>
        </is>
      </c>
    </row>
    <row r="16" ht="36" customHeight="1" s="106">
      <c r="A16" s="38" t="inlineStr">
        <is>
          <t>5.15</t>
        </is>
      </c>
      <c r="B16" s="112" t="inlineStr">
        <is>
          <t>Control de acceso</t>
        </is>
      </c>
      <c r="C16" s="112" t="inlineStr">
        <is>
          <t>#Preventivo</t>
        </is>
      </c>
      <c r="D16" s="112" t="inlineStr">
        <is>
          <t>#Confidencialidad, #Integridad, #Disponibilidad</t>
        </is>
      </c>
      <c r="E16" s="112" t="inlineStr">
        <is>
          <t>#Proteger</t>
        </is>
      </c>
      <c r="F16" s="38" t="inlineStr">
        <is>
          <t>#Administración_de_identidad_y_acceso</t>
        </is>
      </c>
      <c r="G16" s="112" t="inlineStr">
        <is>
          <t>#Gobernanza_y_Ecosistema</t>
        </is>
      </c>
      <c r="H16" s="112" t="inlineStr">
        <is>
          <t>Obligatorio SEPS (Régimen General)</t>
        </is>
      </c>
      <c r="I16" s="112" t="inlineStr">
        <is>
          <t>C4: Restricción del control de acceso</t>
        </is>
      </c>
      <c r="J16" s="112" t="inlineStr">
        <is>
          <t>2. Metodología Interna GSO-GSI + ISO 27001</t>
        </is>
      </c>
      <c r="K16" s="112" t="inlineStr">
        <is>
          <t>Aplica</t>
        </is>
      </c>
      <c r="L16" s="112" t="inlineStr">
        <is>
          <t>Requisito interno GSO-GSI</t>
        </is>
      </c>
    </row>
    <row r="17" ht="36" customHeight="1" s="106">
      <c r="A17" s="38" t="inlineStr">
        <is>
          <t>5.16</t>
        </is>
      </c>
      <c r="B17" s="112" t="inlineStr">
        <is>
          <t>Gestión de identidades</t>
        </is>
      </c>
      <c r="C17" s="112" t="inlineStr">
        <is>
          <t>#Preventivo</t>
        </is>
      </c>
      <c r="D17" s="112" t="inlineStr">
        <is>
          <t>#Confidencialidad, #Integridad, #Disponibilidad</t>
        </is>
      </c>
      <c r="E17" s="112" t="inlineStr">
        <is>
          <t>#Proteger</t>
        </is>
      </c>
      <c r="F17" s="38" t="inlineStr">
        <is>
          <t>#Administración_de_identidad_y_acceso</t>
        </is>
      </c>
      <c r="G17" s="112" t="inlineStr">
        <is>
          <t>#Gobernanza_y_Ecosistema</t>
        </is>
      </c>
      <c r="H17" s="112" t="inlineStr">
        <is>
          <t>Obligatorio SEPS (Régimen General)</t>
        </is>
      </c>
      <c r="I17" s="112" t="inlineStr">
        <is>
          <t>-</t>
        </is>
      </c>
      <c r="J17" s="112" t="inlineStr">
        <is>
          <t>1. Regulatorio SEPS 002-2022 + ISO 27001</t>
        </is>
      </c>
      <c r="K17" s="112" t="inlineStr">
        <is>
          <t>Aplica</t>
        </is>
      </c>
      <c r="L17" s="112" t="inlineStr">
        <is>
          <t>Requerido por ente regulador SEPS</t>
        </is>
      </c>
    </row>
    <row r="18" ht="36" customHeight="1" s="106">
      <c r="A18" s="38" t="inlineStr">
        <is>
          <t>5.17</t>
        </is>
      </c>
      <c r="B18" s="112" t="inlineStr">
        <is>
          <t>Información de autenticación</t>
        </is>
      </c>
      <c r="C18" s="112" t="inlineStr">
        <is>
          <t>#Preventivo</t>
        </is>
      </c>
      <c r="D18" s="112" t="inlineStr">
        <is>
          <t>#Confidencialidad, #Integridad, #Disponibilidad</t>
        </is>
      </c>
      <c r="E18" s="112" t="inlineStr">
        <is>
          <t>#Proteger</t>
        </is>
      </c>
      <c r="F18" s="38" t="inlineStr">
        <is>
          <t>#Administración_de_identidad_y_acceso</t>
        </is>
      </c>
      <c r="G18" s="112" t="inlineStr">
        <is>
          <t>#Gobernanza_y_Ecosistema</t>
        </is>
      </c>
      <c r="H18" s="112" t="inlineStr">
        <is>
          <t>Obligatorio SEPS (Régimen General)</t>
        </is>
      </c>
      <c r="I18" s="112" t="inlineStr">
        <is>
          <t>C8: Uso de contraseñas fuertes</t>
        </is>
      </c>
      <c r="J18" s="112" t="inlineStr">
        <is>
          <t>2. Metodología Interna GSO-GSI + ISO 27001</t>
        </is>
      </c>
      <c r="K18" s="112" t="inlineStr">
        <is>
          <t>Aplica</t>
        </is>
      </c>
      <c r="L18" s="112" t="inlineStr">
        <is>
          <t>Requisito interno GSO-GSI</t>
        </is>
      </c>
    </row>
    <row r="19" ht="36" customHeight="1" s="106">
      <c r="A19" s="38" t="inlineStr">
        <is>
          <t>5.18</t>
        </is>
      </c>
      <c r="B19" s="112" t="inlineStr">
        <is>
          <t>Derechos de acceso</t>
        </is>
      </c>
      <c r="C19" s="112" t="inlineStr">
        <is>
          <t>#Preventivo</t>
        </is>
      </c>
      <c r="D19" s="112" t="inlineStr">
        <is>
          <t>#Confidencialidad, #Integridad, #Disponibilidad</t>
        </is>
      </c>
      <c r="E19" s="112" t="inlineStr">
        <is>
          <t>#Proteger</t>
        </is>
      </c>
      <c r="F19" s="38" t="inlineStr">
        <is>
          <t>#Administración_de_identidad_y_acceso</t>
        </is>
      </c>
      <c r="G19" s="112" t="inlineStr">
        <is>
          <t>#Gobernanza_y_Ecosistema</t>
        </is>
      </c>
      <c r="H19" s="112" t="inlineStr">
        <is>
          <t>Obligatorio SEPS (Régimen General)</t>
        </is>
      </c>
      <c r="I19" s="112" t="inlineStr">
        <is>
          <t>C7: Revisión periódica de los derechos de acceso</t>
        </is>
      </c>
      <c r="J19" s="112" t="inlineStr">
        <is>
          <t>2. Metodología Interna GSO-GSI + ISO 27001</t>
        </is>
      </c>
      <c r="K19" s="112" t="inlineStr">
        <is>
          <t>Aplica</t>
        </is>
      </c>
      <c r="L19" s="112" t="inlineStr">
        <is>
          <t>Requisito interno GSO-GSI</t>
        </is>
      </c>
    </row>
    <row r="20" ht="48" customHeight="1" s="106">
      <c r="A20" s="38" t="inlineStr">
        <is>
          <t>5.19</t>
        </is>
      </c>
      <c r="B20" s="112" t="inlineStr">
        <is>
          <t>Seguridad de la información en las relaciones con los proveedores</t>
        </is>
      </c>
      <c r="C20" s="112" t="inlineStr">
        <is>
          <t>#Preventivo</t>
        </is>
      </c>
      <c r="D20" s="112" t="inlineStr">
        <is>
          <t>#Confidencialidad, #Integridad, #Disponibilidad</t>
        </is>
      </c>
      <c r="E20" s="112" t="inlineStr">
        <is>
          <t>#Proteger</t>
        </is>
      </c>
      <c r="F20" s="38" t="inlineStr">
        <is>
          <t>#Seguridad_en_relaciones_con_proveedores</t>
        </is>
      </c>
      <c r="G20" s="112" t="inlineStr">
        <is>
          <t>#Gobernanza_y_Ecosistema</t>
        </is>
      </c>
      <c r="H20" s="112" t="inlineStr">
        <is>
          <t>Obligatorio SEPS (Régimen General)</t>
        </is>
      </c>
      <c r="I20" s="112" t="inlineStr">
        <is>
          <t>-</t>
        </is>
      </c>
      <c r="J20" s="112" t="inlineStr">
        <is>
          <t>1. Regulatorio SEPS 002-2022 + ISO 27001</t>
        </is>
      </c>
      <c r="K20" s="112" t="inlineStr">
        <is>
          <t>Aplica</t>
        </is>
      </c>
      <c r="L20" s="112" t="inlineStr">
        <is>
          <t>Requerido por ente regulador SEPS</t>
        </is>
      </c>
    </row>
    <row r="21" ht="60" customHeight="1" s="106">
      <c r="A21" s="38" t="inlineStr">
        <is>
          <t>5.20</t>
        </is>
      </c>
      <c r="B21" s="112" t="inlineStr">
        <is>
          <t>Tratamiento de la seguridad de la información en los acuerdos con los proveedores</t>
        </is>
      </c>
      <c r="C21" s="112" t="inlineStr">
        <is>
          <t>#Preventivo</t>
        </is>
      </c>
      <c r="D21" s="112" t="inlineStr">
        <is>
          <t>#Confidencialidad, #Integridad, #Disponibilidad</t>
        </is>
      </c>
      <c r="E21" s="112" t="inlineStr">
        <is>
          <t>#Proteger</t>
        </is>
      </c>
      <c r="F21" s="38" t="inlineStr">
        <is>
          <t>#Seguridad_en_relaciones_con_proveedores</t>
        </is>
      </c>
      <c r="G21" s="112" t="inlineStr">
        <is>
          <t>#Gobernanza_y_Ecosistema</t>
        </is>
      </c>
      <c r="H21" s="112" t="inlineStr">
        <is>
          <t>Obligatorio SEPS (Régimen General)</t>
        </is>
      </c>
      <c r="I21" s="112" t="inlineStr">
        <is>
          <t>-</t>
        </is>
      </c>
      <c r="J21" s="112" t="inlineStr">
        <is>
          <t>1. Regulatorio SEPS 002-2022 + ISO 27001</t>
        </is>
      </c>
      <c r="K21" s="112" t="inlineStr">
        <is>
          <t>Aplica</t>
        </is>
      </c>
      <c r="L21" s="112" t="inlineStr">
        <is>
          <t>Requerido por ente regulador SEPS</t>
        </is>
      </c>
    </row>
    <row r="22" ht="60" customHeight="1" s="106">
      <c r="A22" s="38" t="inlineStr">
        <is>
          <t>5.21</t>
        </is>
      </c>
      <c r="B22" s="112" t="inlineStr">
        <is>
          <t>Gestión de la seguridad de la información en la cadena de suministro de TIC</t>
        </is>
      </c>
      <c r="C22" s="112" t="inlineStr">
        <is>
          <t>#Preventivo</t>
        </is>
      </c>
      <c r="D22" s="112" t="inlineStr">
        <is>
          <t>#Confidencialidad, #Integridad, #Disponibilidad</t>
        </is>
      </c>
      <c r="E22" s="112" t="inlineStr">
        <is>
          <t>#Proteger</t>
        </is>
      </c>
      <c r="F22" s="38" t="inlineStr">
        <is>
          <t>#Seguridad_en_relaciones_con_proveedores</t>
        </is>
      </c>
      <c r="G22" s="112" t="inlineStr">
        <is>
          <t>#Gobernanza_y_Ecosistema</t>
        </is>
      </c>
      <c r="H22" s="112" t="inlineStr">
        <is>
          <t>Obligatorio SEPS (Régimen General)</t>
        </is>
      </c>
      <c r="I22" s="112" t="inlineStr">
        <is>
          <t>-</t>
        </is>
      </c>
      <c r="J22" s="112" t="inlineStr">
        <is>
          <t>1. Regulatorio SEPS 002-2022 + ISO 27001</t>
        </is>
      </c>
      <c r="K22" s="112" t="inlineStr">
        <is>
          <t>Aplica</t>
        </is>
      </c>
      <c r="L22" s="112" t="inlineStr">
        <is>
          <t>Requerido por ente regulador SEPS</t>
        </is>
      </c>
    </row>
    <row r="23" ht="60" customHeight="1" s="106">
      <c r="A23" s="38" t="inlineStr">
        <is>
          <t>5.22</t>
        </is>
      </c>
      <c r="B23" s="112" t="inlineStr">
        <is>
          <t>Seguimiento, revisión y gestión de cambios en los servicios de los proveedores</t>
        </is>
      </c>
      <c r="C23" s="112" t="inlineStr">
        <is>
          <t>#Preventivo</t>
        </is>
      </c>
      <c r="D23" s="112" t="inlineStr">
        <is>
          <t>#Confidencialidad, #Integridad, #Disponibilidad</t>
        </is>
      </c>
      <c r="E23" s="112" t="inlineStr">
        <is>
          <t>#Proteger</t>
        </is>
      </c>
      <c r="F23" s="38" t="inlineStr">
        <is>
          <t>#Seguridad_en_relaciones_con_proveedores</t>
        </is>
      </c>
      <c r="G23" s="112" t="inlineStr">
        <is>
          <t>#Gobernanza_y_Ecosistema</t>
        </is>
      </c>
      <c r="H23" s="112" t="inlineStr">
        <is>
          <t>Obligatorio SEPS (Régimen General)</t>
        </is>
      </c>
      <c r="I23" s="112" t="inlineStr">
        <is>
          <t>-</t>
        </is>
      </c>
      <c r="J23" s="112" t="inlineStr">
        <is>
          <t>1. Regulatorio SEPS 002-2022 + ISO 27001</t>
        </is>
      </c>
      <c r="K23" s="112" t="inlineStr">
        <is>
          <t>Aplica</t>
        </is>
      </c>
      <c r="L23" s="112" t="inlineStr">
        <is>
          <t>Requerido por ente regulador SEPS</t>
        </is>
      </c>
    </row>
    <row r="24" ht="48" customHeight="1" s="106">
      <c r="A24" s="38" t="inlineStr">
        <is>
          <t>5.23</t>
        </is>
      </c>
      <c r="B24" s="112" t="inlineStr">
        <is>
          <t>Seguridad de la información en el uso de servicios en la nube</t>
        </is>
      </c>
      <c r="C24" s="112" t="inlineStr">
        <is>
          <t>#Preventivo</t>
        </is>
      </c>
      <c r="D24" s="112" t="inlineStr">
        <is>
          <t>#Confidencialidad, #Integridad, #Disponibilidad</t>
        </is>
      </c>
      <c r="E24" s="112" t="inlineStr">
        <is>
          <t>#Proteger</t>
        </is>
      </c>
      <c r="F24" s="38" t="inlineStr">
        <is>
          <t>#Seguridad_en_relaciones_con_proveedores</t>
        </is>
      </c>
      <c r="G24" s="112" t="inlineStr">
        <is>
          <t>#Gobernanza_y_Ecosistema</t>
        </is>
      </c>
      <c r="H24" s="112" t="inlineStr">
        <is>
          <t>Obligatorio SEPS (Régimen General)</t>
        </is>
      </c>
      <c r="I24" s="112" t="inlineStr">
        <is>
          <t>-</t>
        </is>
      </c>
      <c r="J24" s="112" t="inlineStr">
        <is>
          <t>4. No Aplica</t>
        </is>
      </c>
      <c r="K24" s="112" t="inlineStr">
        <is>
          <t>No Aplica</t>
        </is>
      </c>
      <c r="L24" s="112" t="inlineStr">
        <is>
          <t>Control 5.23 no es pertinente a los procesos actuales de la entidad</t>
        </is>
      </c>
    </row>
    <row r="25" ht="36" customHeight="1" s="106">
      <c r="A25" s="38" t="inlineStr">
        <is>
          <t>5.24</t>
        </is>
      </c>
      <c r="B25" s="112" t="inlineStr">
        <is>
          <t>Planificación y preparación de la gestión de incidentes</t>
        </is>
      </c>
      <c r="C25" s="112" t="inlineStr">
        <is>
          <t>#Preventivo</t>
        </is>
      </c>
      <c r="D25" s="112" t="inlineStr">
        <is>
          <t>#Confidencialidad, #Integridad, #Disponibilidad</t>
        </is>
      </c>
      <c r="E25" s="112" t="inlineStr">
        <is>
          <t>#Responder</t>
        </is>
      </c>
      <c r="F25" s="38" t="inlineStr">
        <is>
          <t>#Seguridad_de_la_información_gestión_de_eventos</t>
        </is>
      </c>
      <c r="G25" s="112" t="inlineStr">
        <is>
          <t>#Gobernanza_y_Ecosistema</t>
        </is>
      </c>
      <c r="H25" s="112" t="inlineStr">
        <is>
          <t>Obligatorio SEPS (Régimen General)</t>
        </is>
      </c>
      <c r="I25" s="112" t="inlineStr">
        <is>
          <t>-</t>
        </is>
      </c>
      <c r="J25" s="112" t="inlineStr">
        <is>
          <t>1. Regulatorio SEPS 002-2022 + ISO 27001</t>
        </is>
      </c>
      <c r="K25" s="112" t="inlineStr">
        <is>
          <t>Aplica</t>
        </is>
      </c>
      <c r="L25" s="112" t="inlineStr">
        <is>
          <t>Requerido por ente regulador SEPS</t>
        </is>
      </c>
    </row>
    <row r="26" ht="36" customHeight="1" s="106">
      <c r="A26" s="38" t="inlineStr">
        <is>
          <t>5.25</t>
        </is>
      </c>
      <c r="B26" s="112" t="inlineStr">
        <is>
          <t>Evaluación y decisión sobre los eventos de seguridad</t>
        </is>
      </c>
      <c r="C26" s="112" t="inlineStr">
        <is>
          <t>#Detectivo</t>
        </is>
      </c>
      <c r="D26" s="112" t="inlineStr">
        <is>
          <t>#Confidencialidad, #Integridad, #Disponibilidad</t>
        </is>
      </c>
      <c r="E26" s="112" t="inlineStr">
        <is>
          <t>#Detectar</t>
        </is>
      </c>
      <c r="F26" s="38" t="inlineStr">
        <is>
          <t>#Seguridad_de_la_información_gestión_de_eventos</t>
        </is>
      </c>
      <c r="G26" s="112" t="inlineStr">
        <is>
          <t>#Gobernanza_y_Ecosistema</t>
        </is>
      </c>
      <c r="H26" s="112" t="inlineStr">
        <is>
          <t>Obligatorio SEPS (Régimen General)</t>
        </is>
      </c>
      <c r="I26" s="112" t="inlineStr">
        <is>
          <t>-</t>
        </is>
      </c>
      <c r="J26" s="112" t="inlineStr">
        <is>
          <t>1. Regulatorio SEPS 002-2022 + ISO 27001</t>
        </is>
      </c>
      <c r="K26" s="112" t="inlineStr">
        <is>
          <t>Aplica</t>
        </is>
      </c>
      <c r="L26" s="112" t="inlineStr">
        <is>
          <t>Requerido por ente regulador SEPS</t>
        </is>
      </c>
    </row>
    <row r="27" ht="48" customHeight="1" s="106">
      <c r="A27" s="38" t="inlineStr">
        <is>
          <t>5.26</t>
        </is>
      </c>
      <c r="B27" s="112" t="inlineStr">
        <is>
          <t>Respuesta a los incidentes de seguridad de la información</t>
        </is>
      </c>
      <c r="C27" s="112" t="inlineStr">
        <is>
          <t>#Correctivo</t>
        </is>
      </c>
      <c r="D27" s="112" t="inlineStr">
        <is>
          <t>#Confidencialidad, #Integridad, #Disponibilidad</t>
        </is>
      </c>
      <c r="E27" s="112" t="inlineStr">
        <is>
          <t>#Responder</t>
        </is>
      </c>
      <c r="F27" s="38" t="inlineStr">
        <is>
          <t>#Seguridad_de_la_información_gestión_de_eventos</t>
        </is>
      </c>
      <c r="G27" s="112" t="inlineStr">
        <is>
          <t>#Gobernanza_y_Ecosistema</t>
        </is>
      </c>
      <c r="H27" s="112" t="inlineStr">
        <is>
          <t>Obligatorio SEPS (Régimen General)</t>
        </is>
      </c>
      <c r="I27" s="112" t="inlineStr">
        <is>
          <t>-</t>
        </is>
      </c>
      <c r="J27" s="112" t="inlineStr">
        <is>
          <t>1. Regulatorio SEPS 002-2022 + ISO 27001</t>
        </is>
      </c>
      <c r="K27" s="112" t="inlineStr">
        <is>
          <t>Aplica</t>
        </is>
      </c>
      <c r="L27" s="112" t="inlineStr">
        <is>
          <t>Requerido por ente regulador SEPS</t>
        </is>
      </c>
    </row>
    <row r="28" ht="48" customHeight="1" s="106">
      <c r="A28" s="38" t="inlineStr">
        <is>
          <t>5.27</t>
        </is>
      </c>
      <c r="B28" s="112" t="inlineStr">
        <is>
          <t>Aprendizaje de los incidentes de seguridad de la información</t>
        </is>
      </c>
      <c r="C28" s="112" t="inlineStr">
        <is>
          <t>#Preventivo</t>
        </is>
      </c>
      <c r="D28" s="112" t="inlineStr">
        <is>
          <t>#Confidencialidad, #Integridad, #Disponibilidad</t>
        </is>
      </c>
      <c r="E28" s="112" t="inlineStr">
        <is>
          <t>#Identificar</t>
        </is>
      </c>
      <c r="F28" s="38" t="inlineStr">
        <is>
          <t>#Seguridad_de_la_información_gestión_de_eventos</t>
        </is>
      </c>
      <c r="G28" s="112" t="inlineStr">
        <is>
          <t>#Gobernanza_y_Ecosistema</t>
        </is>
      </c>
      <c r="H28" s="112" t="inlineStr">
        <is>
          <t>Obligatorio SEPS (Régimen General)</t>
        </is>
      </c>
      <c r="I28" s="112" t="inlineStr">
        <is>
          <t>-</t>
        </is>
      </c>
      <c r="J28" s="112" t="inlineStr">
        <is>
          <t>1. Regulatorio SEPS 002-2022 + ISO 27001</t>
        </is>
      </c>
      <c r="K28" s="112" t="inlineStr">
        <is>
          <t>Aplica</t>
        </is>
      </c>
      <c r="L28" s="112" t="inlineStr">
        <is>
          <t>Requerido por ente regulador SEPS</t>
        </is>
      </c>
    </row>
    <row r="29" ht="36" customHeight="1" s="106">
      <c r="A29" s="38" t="inlineStr">
        <is>
          <t>5.28</t>
        </is>
      </c>
      <c r="B29" s="112" t="inlineStr">
        <is>
          <t>Recolección de evidencias</t>
        </is>
      </c>
      <c r="C29" s="112" t="inlineStr">
        <is>
          <t>#Preventivo, #Correctivo</t>
        </is>
      </c>
      <c r="D29" s="112" t="inlineStr">
        <is>
          <t>#Confidencialidad, #Integridad, #Disponibilidad</t>
        </is>
      </c>
      <c r="E29" s="112" t="inlineStr">
        <is>
          <t>#Responder</t>
        </is>
      </c>
      <c r="F29" s="38" t="inlineStr">
        <is>
          <t>#Seguridad_de_la_información_gestión_de_eventos</t>
        </is>
      </c>
      <c r="G29" s="112" t="inlineStr">
        <is>
          <t>#Gobernanza_y_Ecosistema</t>
        </is>
      </c>
      <c r="H29" s="112" t="inlineStr">
        <is>
          <t>Obligatorio SEPS (Régimen General)</t>
        </is>
      </c>
      <c r="I29" s="112" t="inlineStr">
        <is>
          <t>-</t>
        </is>
      </c>
      <c r="J29" s="112" t="inlineStr">
        <is>
          <t>1. Regulatorio SEPS 002-2022 + ISO 27001</t>
        </is>
      </c>
      <c r="K29" s="112" t="inlineStr">
        <is>
          <t>Aplica</t>
        </is>
      </c>
      <c r="L29" s="112" t="inlineStr">
        <is>
          <t>Requerido por ente regulador SEPS</t>
        </is>
      </c>
    </row>
    <row r="30" ht="48" customHeight="1" s="106">
      <c r="A30" s="38" t="inlineStr">
        <is>
          <t>5.29</t>
        </is>
      </c>
      <c r="B30" s="112" t="inlineStr">
        <is>
          <t>Seguridad de la información durante la interrupción</t>
        </is>
      </c>
      <c r="C30" s="112" t="inlineStr">
        <is>
          <t>#Preventivo</t>
        </is>
      </c>
      <c r="D30" s="112" t="inlineStr">
        <is>
          <t>#Confidencialidad, #Integridad, #Disponibilidad</t>
        </is>
      </c>
      <c r="E30" s="112" t="inlineStr">
        <is>
          <t>#Recuperar</t>
        </is>
      </c>
      <c r="F30" s="38" t="inlineStr">
        <is>
          <t>#Continuidad</t>
        </is>
      </c>
      <c r="G30" s="112" t="inlineStr">
        <is>
          <t>#Resiliencia</t>
        </is>
      </c>
      <c r="H30" s="112" t="inlineStr">
        <is>
          <t>Obligatorio SEPS (Régimen General)</t>
        </is>
      </c>
      <c r="I30" s="112" t="inlineStr">
        <is>
          <t>C6: Procedimientos de reversión (rollback) / Respaldo</t>
        </is>
      </c>
      <c r="J30" s="112" t="inlineStr">
        <is>
          <t>2. Metodología Interna GSO-GSI + ISO 27001</t>
        </is>
      </c>
      <c r="K30" s="112" t="inlineStr">
        <is>
          <t>Aplica</t>
        </is>
      </c>
      <c r="L30" s="112" t="inlineStr">
        <is>
          <t>Requisito interno GSO-GSI</t>
        </is>
      </c>
    </row>
    <row r="31" ht="48" customHeight="1" s="106">
      <c r="A31" s="38" t="inlineStr">
        <is>
          <t>5.30</t>
        </is>
      </c>
      <c r="B31" s="112" t="inlineStr">
        <is>
          <t>Preparación de las TIC para la continuidad del negocio</t>
        </is>
      </c>
      <c r="C31" s="112" t="inlineStr">
        <is>
          <t>#Preventivo</t>
        </is>
      </c>
      <c r="D31" s="112" t="inlineStr">
        <is>
          <t>#Confidencialidad, #Integridad, #Disponibilidad</t>
        </is>
      </c>
      <c r="E31" s="112" t="inlineStr">
        <is>
          <t>#Recuperar</t>
        </is>
      </c>
      <c r="F31" s="38" t="inlineStr">
        <is>
          <t>#Continuidad</t>
        </is>
      </c>
      <c r="G31" s="112" t="inlineStr">
        <is>
          <t>#Resiliencia</t>
        </is>
      </c>
      <c r="H31" s="112" t="inlineStr">
        <is>
          <t>Obligatorio SEPS (Régimen General)</t>
        </is>
      </c>
      <c r="I31" s="112" t="inlineStr">
        <is>
          <t>-</t>
        </is>
      </c>
      <c r="J31" s="112" t="inlineStr">
        <is>
          <t>1. Regulatorio SEPS 002-2022 + ISO 27001</t>
        </is>
      </c>
      <c r="K31" s="112" t="inlineStr">
        <is>
          <t>Aplica</t>
        </is>
      </c>
      <c r="L31" s="112" t="inlineStr">
        <is>
          <t>Requerido por ente regulador SEPS</t>
        </is>
      </c>
    </row>
    <row r="32" ht="48" customHeight="1" s="106">
      <c r="A32" s="38" t="inlineStr">
        <is>
          <t>5.31</t>
        </is>
      </c>
      <c r="B32" s="112" t="inlineStr">
        <is>
          <t>Requisitos legales, estatutarios, reglamentarios y contractuales</t>
        </is>
      </c>
      <c r="C32" s="112" t="inlineStr">
        <is>
          <t>#Preventivo</t>
        </is>
      </c>
      <c r="D32" s="112" t="inlineStr">
        <is>
          <t>#Confidencialidad, #Integridad, #Disponibilidad</t>
        </is>
      </c>
      <c r="E32" s="112" t="inlineStr">
        <is>
          <t>#Identificar</t>
        </is>
      </c>
      <c r="F32" s="38" t="inlineStr">
        <is>
          <t>#Gobernanza</t>
        </is>
      </c>
      <c r="G32" s="112" t="inlineStr">
        <is>
          <t>#Gobernanza_y_Ecosistema</t>
        </is>
      </c>
      <c r="H32" s="112" t="inlineStr">
        <is>
          <t>Obligatorio SEPS (Régimen General)</t>
        </is>
      </c>
      <c r="I32" s="112" t="inlineStr">
        <is>
          <t>-</t>
        </is>
      </c>
      <c r="J32" s="112" t="inlineStr">
        <is>
          <t>1. Regulatorio SEPS 002-2022 + ISO 27001</t>
        </is>
      </c>
      <c r="K32" s="112" t="inlineStr">
        <is>
          <t>Aplica</t>
        </is>
      </c>
      <c r="L32" s="112" t="inlineStr">
        <is>
          <t>Requerido por ente regulador SEPS</t>
        </is>
      </c>
    </row>
    <row r="33" ht="60" customHeight="1" s="106">
      <c r="A33" s="38" t="inlineStr">
        <is>
          <t>5.32</t>
        </is>
      </c>
      <c r="B33" s="112" t="inlineStr">
        <is>
          <t>Derechos de propiedad intelectual</t>
        </is>
      </c>
      <c r="C33" s="112" t="inlineStr">
        <is>
          <t>#Preventivo</t>
        </is>
      </c>
      <c r="D33" s="112" t="inlineStr">
        <is>
          <t>#Confidencialidad, #Integridad, #Disponibilidad</t>
        </is>
      </c>
      <c r="E33" s="112" t="inlineStr">
        <is>
          <t>#Proteger</t>
        </is>
      </c>
      <c r="F33" s="38" t="inlineStr">
        <is>
          <t>#Gobernanza</t>
        </is>
      </c>
      <c r="G33" s="112" t="inlineStr">
        <is>
          <t>#Gobernanza_y_Ecosistema</t>
        </is>
      </c>
      <c r="H33" s="112" t="inlineStr">
        <is>
          <t>Mejor Práctica (No obligatorio SEPS)</t>
        </is>
      </c>
      <c r="I33" s="112" t="inlineStr">
        <is>
          <t>-</t>
        </is>
      </c>
      <c r="J33" s="112" t="inlineStr">
        <is>
          <t>3. Tratamiento de Riesgos Específico (ISO 27002 / MAGERIT)</t>
        </is>
      </c>
      <c r="K33" s="112" t="inlineStr">
        <is>
          <t>No Aplica</t>
        </is>
      </c>
      <c r="L33" s="112" t="inlineStr">
        <is>
          <t>No aplicable a la arquitectura/infraestructura actual</t>
        </is>
      </c>
    </row>
    <row r="34" ht="36" customHeight="1" s="106">
      <c r="A34" s="38" t="inlineStr">
        <is>
          <t>5.33</t>
        </is>
      </c>
      <c r="B34" s="112" t="inlineStr">
        <is>
          <t>Protección de los registros</t>
        </is>
      </c>
      <c r="C34" s="112" t="inlineStr">
        <is>
          <t>#Preventivo</t>
        </is>
      </c>
      <c r="D34" s="112" t="inlineStr">
        <is>
          <t>#Confidencialidad, #Integridad, #Disponibilidad</t>
        </is>
      </c>
      <c r="E34" s="112" t="inlineStr">
        <is>
          <t>#Proteger</t>
        </is>
      </c>
      <c r="F34" s="38" t="inlineStr">
        <is>
          <t>#Protección_de_la_información</t>
        </is>
      </c>
      <c r="G34" s="112" t="inlineStr">
        <is>
          <t>#Gobernanza_y_Ecosistema</t>
        </is>
      </c>
      <c r="H34" s="112" t="inlineStr">
        <is>
          <t>Obligatorio SEPS (Régimen General)</t>
        </is>
      </c>
      <c r="I34" s="112" t="inlineStr">
        <is>
          <t>-</t>
        </is>
      </c>
      <c r="J34" s="112" t="inlineStr">
        <is>
          <t>1. Regulatorio SEPS 002-2022 + ISO 27001</t>
        </is>
      </c>
      <c r="K34" s="112" t="inlineStr">
        <is>
          <t>Aplica</t>
        </is>
      </c>
      <c r="L34" s="112" t="inlineStr">
        <is>
          <t>Requerido por ente regulador SEPS</t>
        </is>
      </c>
    </row>
    <row r="35" ht="60" customHeight="1" s="106">
      <c r="A35" s="38" t="inlineStr">
        <is>
          <t>5.34</t>
        </is>
      </c>
      <c r="B35" s="112" t="inlineStr">
        <is>
          <t>Privacidad y protección de la información de identificación personal (PII)</t>
        </is>
      </c>
      <c r="C35" s="112" t="inlineStr">
        <is>
          <t>#Preventivo</t>
        </is>
      </c>
      <c r="D35" s="112" t="inlineStr">
        <is>
          <t>#Confidencialidad, #Integridad</t>
        </is>
      </c>
      <c r="E35" s="112" t="inlineStr">
        <is>
          <t>#Proteger</t>
        </is>
      </c>
      <c r="F35" s="38" t="inlineStr">
        <is>
          <t>#Gobernanza</t>
        </is>
      </c>
      <c r="G35" s="112" t="inlineStr">
        <is>
          <t>#Gobernanza_y_Ecosistema</t>
        </is>
      </c>
      <c r="H35" s="112" t="inlineStr">
        <is>
          <t>Obligatorio SEPS (Régimen General)</t>
        </is>
      </c>
      <c r="I35" s="112" t="inlineStr">
        <is>
          <t>-</t>
        </is>
      </c>
      <c r="J35" s="112" t="inlineStr">
        <is>
          <t>1. Regulatorio SEPS 002-2022 + ISO 27001</t>
        </is>
      </c>
      <c r="K35" s="112" t="inlineStr">
        <is>
          <t>Aplica</t>
        </is>
      </c>
      <c r="L35" s="112" t="inlineStr">
        <is>
          <t>Requerido por ente regulador SEPS</t>
        </is>
      </c>
    </row>
    <row r="36" ht="48" customHeight="1" s="106">
      <c r="A36" s="38" t="inlineStr">
        <is>
          <t>5.35</t>
        </is>
      </c>
      <c r="B36" s="112" t="inlineStr">
        <is>
          <t>Revisión independiente de la seguridad de la información</t>
        </is>
      </c>
      <c r="C36" s="112" t="inlineStr">
        <is>
          <t>#Preventivo</t>
        </is>
      </c>
      <c r="D36" s="112" t="inlineStr">
        <is>
          <t>#Confidencialidad, #Integridad, #Disponibilidad</t>
        </is>
      </c>
      <c r="E36" s="112" t="inlineStr">
        <is>
          <t>#Identificar</t>
        </is>
      </c>
      <c r="F36" s="38" t="inlineStr">
        <is>
          <t>#Información_seguridad_garantía</t>
        </is>
      </c>
      <c r="G36" s="112" t="inlineStr">
        <is>
          <t>#Gobernanza_y_Ecosistema</t>
        </is>
      </c>
      <c r="H36" s="112" t="inlineStr">
        <is>
          <t>Obligatorio SEPS (Régimen General)</t>
        </is>
      </c>
      <c r="I36" s="112" t="inlineStr">
        <is>
          <t>-</t>
        </is>
      </c>
      <c r="J36" s="112" t="inlineStr">
        <is>
          <t>1. Regulatorio SEPS 002-2022 + ISO 27001</t>
        </is>
      </c>
      <c r="K36" s="112" t="inlineStr">
        <is>
          <t>Aplica</t>
        </is>
      </c>
      <c r="L36" s="112" t="inlineStr">
        <is>
          <t>Requerido por ente regulador SEPS</t>
        </is>
      </c>
    </row>
    <row r="37" ht="48" customHeight="1" s="106">
      <c r="A37" s="38" t="inlineStr">
        <is>
          <t>5.36</t>
        </is>
      </c>
      <c r="B37" s="112" t="inlineStr">
        <is>
          <t>Cumplimiento de las políticas, normas y estándares de seguridad</t>
        </is>
      </c>
      <c r="C37" s="112" t="inlineStr">
        <is>
          <t>#Preventivo</t>
        </is>
      </c>
      <c r="D37" s="112" t="inlineStr">
        <is>
          <t>#Confidencialidad, #Integridad, #Disponibilidad</t>
        </is>
      </c>
      <c r="E37" s="112" t="inlineStr">
        <is>
          <t>#Identificar</t>
        </is>
      </c>
      <c r="F37" s="38" t="inlineStr">
        <is>
          <t>#Gobernanza</t>
        </is>
      </c>
      <c r="G37" s="112" t="inlineStr">
        <is>
          <t>#Gobernanza_y_Ecosistema</t>
        </is>
      </c>
      <c r="H37" s="112" t="inlineStr">
        <is>
          <t>Obligatorio SEPS (Régimen General)</t>
        </is>
      </c>
      <c r="I37" s="112" t="inlineStr">
        <is>
          <t>-</t>
        </is>
      </c>
      <c r="J37" s="112" t="inlineStr">
        <is>
          <t>1. Regulatorio SEPS 002-2022 + ISO 27001</t>
        </is>
      </c>
      <c r="K37" s="112" t="inlineStr">
        <is>
          <t>Aplica</t>
        </is>
      </c>
      <c r="L37" s="112" t="inlineStr">
        <is>
          <t>Requerido por ente regulador SEPS</t>
        </is>
      </c>
    </row>
    <row r="38" ht="36" customHeight="1" s="106">
      <c r="A38" s="38" t="inlineStr">
        <is>
          <t>5.37</t>
        </is>
      </c>
      <c r="B38" s="112" t="inlineStr">
        <is>
          <t>Procedimientos operativos documentados</t>
        </is>
      </c>
      <c r="C38" s="112" t="inlineStr">
        <is>
          <t>#Preventivo</t>
        </is>
      </c>
      <c r="D38" s="112" t="inlineStr">
        <is>
          <t>#Confidencialidad, #Integridad, #Disponibilidad</t>
        </is>
      </c>
      <c r="E38" s="112" t="inlineStr">
        <is>
          <t>#Proteger</t>
        </is>
      </c>
      <c r="F38" s="38" t="inlineStr">
        <is>
          <t>#Gobernanza</t>
        </is>
      </c>
      <c r="G38" s="112" t="inlineStr">
        <is>
          <t>#Gobernanza_y_Ecosistema</t>
        </is>
      </c>
      <c r="H38" s="112" t="inlineStr">
        <is>
          <t>Obligatorio SEPS (Régimen General)</t>
        </is>
      </c>
      <c r="I38" s="112" t="inlineStr">
        <is>
          <t>-</t>
        </is>
      </c>
      <c r="J38" s="112" t="inlineStr">
        <is>
          <t>1. Regulatorio SEPS 002-2022 + ISO 27001</t>
        </is>
      </c>
      <c r="K38" s="112" t="inlineStr">
        <is>
          <t>Aplica</t>
        </is>
      </c>
      <c r="L38" s="112" t="inlineStr">
        <is>
          <t>Requerido por ente regulador SEPS</t>
        </is>
      </c>
    </row>
    <row r="39" ht="36" customHeight="1" s="106">
      <c r="A39" s="38" t="inlineStr">
        <is>
          <t>6.1</t>
        </is>
      </c>
      <c r="B39" s="112" t="inlineStr">
        <is>
          <t>Investigación de antecedentes</t>
        </is>
      </c>
      <c r="C39" s="112" t="inlineStr">
        <is>
          <t>#Preventivo</t>
        </is>
      </c>
      <c r="D39" s="112" t="inlineStr">
        <is>
          <t>#Confidencialidad, #Integridad, #Disponibilidad</t>
        </is>
      </c>
      <c r="E39" s="112" t="inlineStr">
        <is>
          <t>#Proteger</t>
        </is>
      </c>
      <c r="F39" s="38" t="inlineStr">
        <is>
          <t>#Seguridad_de_recursos_humanos</t>
        </is>
      </c>
      <c r="G39" s="112" t="inlineStr">
        <is>
          <t>#Proteccion</t>
        </is>
      </c>
      <c r="H39" s="112" t="inlineStr">
        <is>
          <t>Obligatorio SEPS (Régimen General)</t>
        </is>
      </c>
      <c r="I39" s="112" t="inlineStr">
        <is>
          <t>-</t>
        </is>
      </c>
      <c r="J39" s="112" t="inlineStr">
        <is>
          <t>1. Regulatorio SEPS 002-2022 + ISO 27001</t>
        </is>
      </c>
      <c r="K39" s="112" t="inlineStr">
        <is>
          <t>Aplica</t>
        </is>
      </c>
      <c r="L39" s="112" t="inlineStr">
        <is>
          <t>Requerido por ente regulador SEPS</t>
        </is>
      </c>
    </row>
    <row r="40" ht="36" customHeight="1" s="106">
      <c r="A40" s="38" t="inlineStr">
        <is>
          <t>6.2</t>
        </is>
      </c>
      <c r="B40" s="112" t="inlineStr">
        <is>
          <t>Términos y condiciones de empleo</t>
        </is>
      </c>
      <c r="C40" s="112" t="inlineStr">
        <is>
          <t>#Preventivo</t>
        </is>
      </c>
      <c r="D40" s="112" t="inlineStr">
        <is>
          <t>#Confidencialidad, #Integridad, #Disponibilidad</t>
        </is>
      </c>
      <c r="E40" s="112" t="inlineStr">
        <is>
          <t>#Proteger</t>
        </is>
      </c>
      <c r="F40" s="38" t="inlineStr">
        <is>
          <t>#Seguridad_de_recursos_humanos</t>
        </is>
      </c>
      <c r="G40" s="112" t="inlineStr">
        <is>
          <t>#Proteccion</t>
        </is>
      </c>
      <c r="H40" s="112" t="inlineStr">
        <is>
          <t>Obligatorio SEPS (Régimen General)</t>
        </is>
      </c>
      <c r="I40" s="112" t="inlineStr">
        <is>
          <t>-</t>
        </is>
      </c>
      <c r="J40" s="112" t="inlineStr">
        <is>
          <t>1. Regulatorio SEPS 002-2022 + ISO 27001</t>
        </is>
      </c>
      <c r="K40" s="112" t="inlineStr">
        <is>
          <t>Aplica</t>
        </is>
      </c>
      <c r="L40" s="112" t="inlineStr">
        <is>
          <t>Requerido por ente regulador SEPS</t>
        </is>
      </c>
    </row>
    <row r="41" ht="36" customHeight="1" s="106">
      <c r="A41" s="38" t="inlineStr">
        <is>
          <t>6.3</t>
        </is>
      </c>
      <c r="B41" s="112" t="inlineStr">
        <is>
          <t>Concienciación, educación y capacitación</t>
        </is>
      </c>
      <c r="C41" s="112" t="inlineStr">
        <is>
          <t>#Preventivo</t>
        </is>
      </c>
      <c r="D41" s="112" t="inlineStr">
        <is>
          <t>#Confidencialidad, #Integridad, #Disponibilidad</t>
        </is>
      </c>
      <c r="E41" s="112" t="inlineStr">
        <is>
          <t>#Proteger</t>
        </is>
      </c>
      <c r="F41" s="38" t="inlineStr">
        <is>
          <t>#Seguridad_de_recursos_humanos</t>
        </is>
      </c>
      <c r="G41" s="112" t="inlineStr">
        <is>
          <t>#Proteccion</t>
        </is>
      </c>
      <c r="H41" s="112" t="inlineStr">
        <is>
          <t>Obligatorio SEPS (Régimen General)</t>
        </is>
      </c>
      <c r="I41" s="112" t="inlineStr">
        <is>
          <t>C5: Programas de concienciación y capacitación</t>
        </is>
      </c>
      <c r="J41" s="112" t="inlineStr">
        <is>
          <t>2. Metodología Interna GSO-GSI + ISO 27001</t>
        </is>
      </c>
      <c r="K41" s="112" t="inlineStr">
        <is>
          <t>Aplica</t>
        </is>
      </c>
      <c r="L41" s="112" t="inlineStr">
        <is>
          <t>Requisito interno GSO-GSI</t>
        </is>
      </c>
    </row>
    <row r="42" ht="36" customHeight="1" s="106">
      <c r="A42" s="38" t="inlineStr">
        <is>
          <t>6.4</t>
        </is>
      </c>
      <c r="B42" s="112" t="inlineStr">
        <is>
          <t>Proceso disciplinario</t>
        </is>
      </c>
      <c r="C42" s="112" t="inlineStr">
        <is>
          <t>#Correctivo, #Preventivo</t>
        </is>
      </c>
      <c r="D42" s="112" t="inlineStr">
        <is>
          <t>#Confidencialidad, #Integridad, #Disponibilidad</t>
        </is>
      </c>
      <c r="E42" s="112" t="inlineStr">
        <is>
          <t>#Responder</t>
        </is>
      </c>
      <c r="F42" s="38" t="inlineStr">
        <is>
          <t>#Seguridad_de_recursos_humanos</t>
        </is>
      </c>
      <c r="G42" s="112" t="inlineStr">
        <is>
          <t>#Defensa</t>
        </is>
      </c>
      <c r="H42" s="112" t="inlineStr">
        <is>
          <t>Obligatorio SEPS (Régimen General)</t>
        </is>
      </c>
      <c r="I42" s="112" t="inlineStr">
        <is>
          <t>-</t>
        </is>
      </c>
      <c r="J42" s="112" t="inlineStr">
        <is>
          <t>1. Regulatorio SEPS 002-2022 + ISO 27001</t>
        </is>
      </c>
      <c r="K42" s="112" t="inlineStr">
        <is>
          <t>Aplica</t>
        </is>
      </c>
      <c r="L42" s="112" t="inlineStr">
        <is>
          <t>Requerido por ente regulador SEPS</t>
        </is>
      </c>
    </row>
    <row r="43" ht="48" customHeight="1" s="106">
      <c r="A43" s="38" t="inlineStr">
        <is>
          <t>6.5</t>
        </is>
      </c>
      <c r="B43" s="112" t="inlineStr">
        <is>
          <t>Responsabilidades después de la terminación o cambio de empleo</t>
        </is>
      </c>
      <c r="C43" s="112" t="inlineStr">
        <is>
          <t>#Preventivo</t>
        </is>
      </c>
      <c r="D43" s="112" t="inlineStr">
        <is>
          <t>#Confidencialidad, #Integridad, #Disponibilidad</t>
        </is>
      </c>
      <c r="E43" s="112" t="inlineStr">
        <is>
          <t>#Proteger</t>
        </is>
      </c>
      <c r="F43" s="38" t="inlineStr">
        <is>
          <t>#Seguridad_de_recursos_humanos</t>
        </is>
      </c>
      <c r="G43" s="112" t="inlineStr">
        <is>
          <t>#Proteccion</t>
        </is>
      </c>
      <c r="H43" s="112" t="inlineStr">
        <is>
          <t>Obligatorio SEPS (Régimen General)</t>
        </is>
      </c>
      <c r="I43" s="112" t="inlineStr">
        <is>
          <t>-</t>
        </is>
      </c>
      <c r="J43" s="112" t="inlineStr">
        <is>
          <t>1. Regulatorio SEPS 002-2022 + ISO 27001</t>
        </is>
      </c>
      <c r="K43" s="112" t="inlineStr">
        <is>
          <t>Aplica</t>
        </is>
      </c>
      <c r="L43" s="112" t="inlineStr">
        <is>
          <t>Requerido por ente regulador SEPS</t>
        </is>
      </c>
    </row>
    <row r="44" ht="36" customHeight="1" s="106">
      <c r="A44" s="38" t="inlineStr">
        <is>
          <t>6.6</t>
        </is>
      </c>
      <c r="B44" s="112" t="inlineStr">
        <is>
          <t>Acuerdos de confidencialidad o no divulgación</t>
        </is>
      </c>
      <c r="C44" s="112" t="inlineStr">
        <is>
          <t>#Preventivo</t>
        </is>
      </c>
      <c r="D44" s="112" t="inlineStr">
        <is>
          <t>#Confidencialidad, #Integridad, #Disponibilidad</t>
        </is>
      </c>
      <c r="E44" s="112" t="inlineStr">
        <is>
          <t>#Proteger</t>
        </is>
      </c>
      <c r="F44" s="38" t="inlineStr">
        <is>
          <t>#Seguridad_de_recursos_humanos</t>
        </is>
      </c>
      <c r="G44" s="112" t="inlineStr">
        <is>
          <t>#Proteccion</t>
        </is>
      </c>
      <c r="H44" s="112" t="inlineStr">
        <is>
          <t>Obligatorio SEPS (Régimen General)</t>
        </is>
      </c>
      <c r="I44" s="112" t="inlineStr">
        <is>
          <t>C3: Acuerdos de confidencialidad</t>
        </is>
      </c>
      <c r="J44" s="112" t="inlineStr">
        <is>
          <t>2. Metodología Interna GSO-GSI + ISO 27001</t>
        </is>
      </c>
      <c r="K44" s="112" t="inlineStr">
        <is>
          <t>Aplica</t>
        </is>
      </c>
      <c r="L44" s="112" t="inlineStr">
        <is>
          <t>Requisito interno GSO-GSI</t>
        </is>
      </c>
    </row>
    <row r="45" ht="48" customHeight="1" s="106">
      <c r="A45" s="38" t="inlineStr">
        <is>
          <t>6.7</t>
        </is>
      </c>
      <c r="B45" s="112" t="inlineStr">
        <is>
          <t>Trabajo a distancia</t>
        </is>
      </c>
      <c r="C45" s="112" t="inlineStr">
        <is>
          <t>#Preventivo</t>
        </is>
      </c>
      <c r="D45" s="112" t="inlineStr">
        <is>
          <t>#Confidencialidad, #Integridad, #Disponibilidad</t>
        </is>
      </c>
      <c r="E45" s="112" t="inlineStr">
        <is>
          <t>#Proteger</t>
        </is>
      </c>
      <c r="F45" s="38" t="inlineStr">
        <is>
          <t>#Seguridad_de_recursos_humanos</t>
        </is>
      </c>
      <c r="G45" s="112" t="inlineStr">
        <is>
          <t>#Proteccion</t>
        </is>
      </c>
      <c r="H45" s="112" t="inlineStr">
        <is>
          <t>Obligatorio SEPS (Régimen General)</t>
        </is>
      </c>
      <c r="I45" s="112" t="inlineStr">
        <is>
          <t>-</t>
        </is>
      </c>
      <c r="J45" s="112" t="inlineStr">
        <is>
          <t>4. No Aplica</t>
        </is>
      </c>
      <c r="K45" s="112" t="inlineStr">
        <is>
          <t>No Aplica</t>
        </is>
      </c>
      <c r="L45" s="112" t="inlineStr">
        <is>
          <t>Control 6.7 no es pertinente a los procesos actuales de la entidad</t>
        </is>
      </c>
    </row>
    <row r="46" ht="36" customHeight="1" s="106">
      <c r="A46" s="38" t="inlineStr">
        <is>
          <t>6.8</t>
        </is>
      </c>
      <c r="B46" s="112" t="inlineStr">
        <is>
          <t>Notificación de eventos de seguridad de la información</t>
        </is>
      </c>
      <c r="C46" s="112" t="inlineStr">
        <is>
          <t>#Preventivo, #Detectivo</t>
        </is>
      </c>
      <c r="D46" s="112" t="inlineStr">
        <is>
          <t>#Confidencialidad, #Integridad, #Disponibilidad</t>
        </is>
      </c>
      <c r="E46" s="112" t="inlineStr">
        <is>
          <t>#Detectar</t>
        </is>
      </c>
      <c r="F46" s="38" t="inlineStr">
        <is>
          <t>#Seguridad_de_recursos_humanos</t>
        </is>
      </c>
      <c r="G46" s="112" t="inlineStr">
        <is>
          <t>#Defensa</t>
        </is>
      </c>
      <c r="H46" s="112" t="inlineStr">
        <is>
          <t>Obligatorio SEPS (Régimen General)</t>
        </is>
      </c>
      <c r="I46" s="112" t="inlineStr">
        <is>
          <t>-</t>
        </is>
      </c>
      <c r="J46" s="112" t="inlineStr">
        <is>
          <t>1. Regulatorio SEPS 002-2022 + ISO 27001</t>
        </is>
      </c>
      <c r="K46" s="112" t="inlineStr">
        <is>
          <t>Aplica</t>
        </is>
      </c>
      <c r="L46" s="112" t="inlineStr">
        <is>
          <t>Requerido por ente regulador SEPS</t>
        </is>
      </c>
    </row>
    <row r="47" ht="36" customHeight="1" s="106">
      <c r="A47" s="38" t="inlineStr">
        <is>
          <t>7.1</t>
        </is>
      </c>
      <c r="B47" s="112" t="inlineStr">
        <is>
          <t>Perímetros de seguridad física</t>
        </is>
      </c>
      <c r="C47" s="112" t="inlineStr">
        <is>
          <t>#Preventivo</t>
        </is>
      </c>
      <c r="D47" s="112" t="inlineStr">
        <is>
          <t>#Confidencialidad, #Integridad, #Disponibilidad</t>
        </is>
      </c>
      <c r="E47" s="112" t="inlineStr">
        <is>
          <t>#Proteger</t>
        </is>
      </c>
      <c r="F47" s="38" t="inlineStr">
        <is>
          <t>#Seguridad_física</t>
        </is>
      </c>
      <c r="G47" s="112" t="inlineStr">
        <is>
          <t>#Proteccion</t>
        </is>
      </c>
      <c r="H47" s="112" t="inlineStr">
        <is>
          <t>Obligatorio SEPS (Régimen General)</t>
        </is>
      </c>
      <c r="I47" s="112" t="inlineStr">
        <is>
          <t>-</t>
        </is>
      </c>
      <c r="J47" s="112" t="inlineStr">
        <is>
          <t>1. Regulatorio SEPS 002-2022 + ISO 27001</t>
        </is>
      </c>
      <c r="K47" s="112" t="inlineStr">
        <is>
          <t>Aplica</t>
        </is>
      </c>
      <c r="L47" s="112" t="inlineStr">
        <is>
          <t>Requerido por ente regulador SEPS</t>
        </is>
      </c>
    </row>
    <row r="48" ht="36" customHeight="1" s="106">
      <c r="A48" s="38" t="inlineStr">
        <is>
          <t>7.2</t>
        </is>
      </c>
      <c r="B48" s="112" t="inlineStr">
        <is>
          <t>Controles de entrada física</t>
        </is>
      </c>
      <c r="C48" s="112" t="inlineStr">
        <is>
          <t>#Preventivo</t>
        </is>
      </c>
      <c r="D48" s="112" t="inlineStr">
        <is>
          <t>#Confidencialidad, #Integridad, #Disponibilidad</t>
        </is>
      </c>
      <c r="E48" s="112" t="inlineStr">
        <is>
          <t>#Proteger</t>
        </is>
      </c>
      <c r="F48" s="38" t="inlineStr">
        <is>
          <t>#Seguridad_física</t>
        </is>
      </c>
      <c r="G48" s="112" t="inlineStr">
        <is>
          <t>#Proteccion</t>
        </is>
      </c>
      <c r="H48" s="112" t="inlineStr">
        <is>
          <t>Obligatorio SEPS (Régimen General)</t>
        </is>
      </c>
      <c r="I48" s="112" t="inlineStr">
        <is>
          <t>-</t>
        </is>
      </c>
      <c r="J48" s="112" t="inlineStr">
        <is>
          <t>1. Regulatorio SEPS 002-2022 + ISO 27001</t>
        </is>
      </c>
      <c r="K48" s="112" t="inlineStr">
        <is>
          <t>Aplica</t>
        </is>
      </c>
      <c r="L48" s="112" t="inlineStr">
        <is>
          <t>Requerido por ente regulador SEPS</t>
        </is>
      </c>
    </row>
    <row r="49" ht="36" customHeight="1" s="106">
      <c r="A49" s="38" t="inlineStr">
        <is>
          <t>7.3</t>
        </is>
      </c>
      <c r="B49" s="112" t="inlineStr">
        <is>
          <t>Seguridad de oficinas, despachos e instalaciones</t>
        </is>
      </c>
      <c r="C49" s="112" t="inlineStr">
        <is>
          <t>#Preventivo</t>
        </is>
      </c>
      <c r="D49" s="112" t="inlineStr">
        <is>
          <t>#Confidencialidad, #Integridad, #Disponibilidad</t>
        </is>
      </c>
      <c r="E49" s="112" t="inlineStr">
        <is>
          <t>#Proteger</t>
        </is>
      </c>
      <c r="F49" s="38" t="inlineStr">
        <is>
          <t>#Seguridad_física</t>
        </is>
      </c>
      <c r="G49" s="112" t="inlineStr">
        <is>
          <t>#Proteccion</t>
        </is>
      </c>
      <c r="H49" s="112" t="inlineStr">
        <is>
          <t>Obligatorio SEPS (Régimen General)</t>
        </is>
      </c>
      <c r="I49" s="112" t="inlineStr">
        <is>
          <t>-</t>
        </is>
      </c>
      <c r="J49" s="112" t="inlineStr">
        <is>
          <t>1. Regulatorio SEPS 002-2022 + ISO 27001</t>
        </is>
      </c>
      <c r="K49" s="112" t="inlineStr">
        <is>
          <t>Aplica</t>
        </is>
      </c>
      <c r="L49" s="112" t="inlineStr">
        <is>
          <t>Requerido por ente regulador SEPS</t>
        </is>
      </c>
    </row>
    <row r="50" ht="36" customHeight="1" s="106">
      <c r="A50" s="38" t="inlineStr">
        <is>
          <t>7.4</t>
        </is>
      </c>
      <c r="B50" s="112" t="inlineStr">
        <is>
          <t>Supervisión de la seguridad física</t>
        </is>
      </c>
      <c r="C50" s="112" t="inlineStr">
        <is>
          <t>#Detectivo</t>
        </is>
      </c>
      <c r="D50" s="112" t="inlineStr">
        <is>
          <t>#Confidencialidad, #Integridad, #Disponibilidad</t>
        </is>
      </c>
      <c r="E50" s="112" t="inlineStr">
        <is>
          <t>#Detectar</t>
        </is>
      </c>
      <c r="F50" s="38" t="inlineStr">
        <is>
          <t>#Seguridad_física</t>
        </is>
      </c>
      <c r="G50" s="112" t="inlineStr">
        <is>
          <t>#Proteccion</t>
        </is>
      </c>
      <c r="H50" s="112" t="inlineStr">
        <is>
          <t>Obligatorio SEPS (Régimen General)</t>
        </is>
      </c>
      <c r="I50" s="112" t="inlineStr">
        <is>
          <t>-</t>
        </is>
      </c>
      <c r="J50" s="112" t="inlineStr">
        <is>
          <t>1. Regulatorio SEPS 002-2022 + ISO 27001</t>
        </is>
      </c>
      <c r="K50" s="112" t="inlineStr">
        <is>
          <t>Aplica</t>
        </is>
      </c>
      <c r="L50" s="112" t="inlineStr">
        <is>
          <t>Requerido por ente regulador SEPS</t>
        </is>
      </c>
    </row>
    <row r="51" ht="36" customHeight="1" s="106">
      <c r="A51" s="38" t="inlineStr">
        <is>
          <t>7.5</t>
        </is>
      </c>
      <c r="B51" s="112" t="inlineStr">
        <is>
          <t>Protección contra amenazas físicas y ambientales</t>
        </is>
      </c>
      <c r="C51" s="112" t="inlineStr">
        <is>
          <t>#Preventivo</t>
        </is>
      </c>
      <c r="D51" s="112" t="inlineStr">
        <is>
          <t>#Confidencialidad, #Integridad, #Disponibilidad</t>
        </is>
      </c>
      <c r="E51" s="112" t="inlineStr">
        <is>
          <t>#Proteger</t>
        </is>
      </c>
      <c r="F51" s="38" t="inlineStr">
        <is>
          <t>#Seguridad_física</t>
        </is>
      </c>
      <c r="G51" s="112" t="inlineStr">
        <is>
          <t>#Resiliencia</t>
        </is>
      </c>
      <c r="H51" s="112" t="inlineStr">
        <is>
          <t>Obligatorio SEPS (Régimen General)</t>
        </is>
      </c>
      <c r="I51" s="112" t="inlineStr">
        <is>
          <t>-</t>
        </is>
      </c>
      <c r="J51" s="112" t="inlineStr">
        <is>
          <t>1. Regulatorio SEPS 002-2022 + ISO 27001</t>
        </is>
      </c>
      <c r="K51" s="112" t="inlineStr">
        <is>
          <t>Aplica</t>
        </is>
      </c>
      <c r="L51" s="112" t="inlineStr">
        <is>
          <t>Requerido por ente regulador SEPS</t>
        </is>
      </c>
    </row>
    <row r="52" ht="36" customHeight="1" s="106">
      <c r="A52" s="38" t="inlineStr">
        <is>
          <t>7.6</t>
        </is>
      </c>
      <c r="B52" s="112" t="inlineStr">
        <is>
          <t>Trabajo en áreas seguras</t>
        </is>
      </c>
      <c r="C52" s="112" t="inlineStr">
        <is>
          <t>#Preventivo</t>
        </is>
      </c>
      <c r="D52" s="112" t="inlineStr">
        <is>
          <t>#Confidencialidad, #Integridad, #Disponibilidad</t>
        </is>
      </c>
      <c r="E52" s="112" t="inlineStr">
        <is>
          <t>#Proteger</t>
        </is>
      </c>
      <c r="F52" s="38" t="inlineStr">
        <is>
          <t>#Seguridad_física</t>
        </is>
      </c>
      <c r="G52" s="112" t="inlineStr">
        <is>
          <t>#Proteccion</t>
        </is>
      </c>
      <c r="H52" s="112" t="inlineStr">
        <is>
          <t>Obligatorio SEPS (Régimen General)</t>
        </is>
      </c>
      <c r="I52" s="112" t="inlineStr">
        <is>
          <t>-</t>
        </is>
      </c>
      <c r="J52" s="112" t="inlineStr">
        <is>
          <t>1. Regulatorio SEPS 002-2022 + ISO 27001</t>
        </is>
      </c>
      <c r="K52" s="112" t="inlineStr">
        <is>
          <t>Aplica</t>
        </is>
      </c>
      <c r="L52" s="112" t="inlineStr">
        <is>
          <t>Requerido por ente regulador SEPS</t>
        </is>
      </c>
    </row>
    <row r="53" ht="36" customHeight="1" s="106">
      <c r="A53" s="38" t="inlineStr">
        <is>
          <t>7.7</t>
        </is>
      </c>
      <c r="B53" s="112" t="inlineStr">
        <is>
          <t>Política de escritorio despejado y pantalla despejada</t>
        </is>
      </c>
      <c r="C53" s="112" t="inlineStr">
        <is>
          <t>#Preventivo</t>
        </is>
      </c>
      <c r="D53" s="112" t="inlineStr">
        <is>
          <t>#Confidencialidad, #Integridad, #Disponibilidad</t>
        </is>
      </c>
      <c r="E53" s="112" t="inlineStr">
        <is>
          <t>#Proteger</t>
        </is>
      </c>
      <c r="F53" s="38" t="inlineStr">
        <is>
          <t>#Seguridad_física</t>
        </is>
      </c>
      <c r="G53" s="112" t="inlineStr">
        <is>
          <t>#Proteccion</t>
        </is>
      </c>
      <c r="H53" s="112" t="inlineStr">
        <is>
          <t>Obligatorio SEPS (Régimen General)</t>
        </is>
      </c>
      <c r="I53" s="112" t="inlineStr">
        <is>
          <t>-</t>
        </is>
      </c>
      <c r="J53" s="112" t="inlineStr">
        <is>
          <t>1. Regulatorio SEPS 002-2022 + ISO 27001</t>
        </is>
      </c>
      <c r="K53" s="112" t="inlineStr">
        <is>
          <t>Aplica</t>
        </is>
      </c>
      <c r="L53" s="112" t="inlineStr">
        <is>
          <t>Requerido por ente regulador SEPS</t>
        </is>
      </c>
    </row>
    <row r="54" ht="36" customHeight="1" s="106">
      <c r="A54" s="38" t="inlineStr">
        <is>
          <t>7.8</t>
        </is>
      </c>
      <c r="B54" s="112" t="inlineStr">
        <is>
          <t>Emplazamiento y protección de equipos</t>
        </is>
      </c>
      <c r="C54" s="112" t="inlineStr">
        <is>
          <t>#Preventivo</t>
        </is>
      </c>
      <c r="D54" s="112" t="inlineStr">
        <is>
          <t>#Confidencialidad, #Integridad, #Disponibilidad</t>
        </is>
      </c>
      <c r="E54" s="112" t="inlineStr">
        <is>
          <t>#Proteger</t>
        </is>
      </c>
      <c r="F54" s="38" t="inlineStr">
        <is>
          <t>#Seguridad_física</t>
        </is>
      </c>
      <c r="G54" s="112" t="inlineStr">
        <is>
          <t>#Proteccion</t>
        </is>
      </c>
      <c r="H54" s="112" t="inlineStr">
        <is>
          <t>Obligatorio SEPS (Régimen General)</t>
        </is>
      </c>
      <c r="I54" s="112" t="inlineStr">
        <is>
          <t>-</t>
        </is>
      </c>
      <c r="J54" s="112" t="inlineStr">
        <is>
          <t>1. Regulatorio SEPS 002-2022 + ISO 27001</t>
        </is>
      </c>
      <c r="K54" s="112" t="inlineStr">
        <is>
          <t>Aplica</t>
        </is>
      </c>
      <c r="L54" s="112" t="inlineStr">
        <is>
          <t>Requerido por ente regulador SEPS</t>
        </is>
      </c>
    </row>
    <row r="55" ht="36" customHeight="1" s="106">
      <c r="A55" s="38" t="inlineStr">
        <is>
          <t>7.9</t>
        </is>
      </c>
      <c r="B55" s="112" t="inlineStr">
        <is>
          <t>Seguridad de los activos fuera de las instalaciones</t>
        </is>
      </c>
      <c r="C55" s="112" t="inlineStr">
        <is>
          <t>#Preventivo</t>
        </is>
      </c>
      <c r="D55" s="112" t="inlineStr">
        <is>
          <t>#Confidencialidad, #Integridad, #Disponibilidad</t>
        </is>
      </c>
      <c r="E55" s="112" t="inlineStr">
        <is>
          <t>#Proteger</t>
        </is>
      </c>
      <c r="F55" s="38" t="inlineStr">
        <is>
          <t>#Gestión_de_activos</t>
        </is>
      </c>
      <c r="G55" s="112" t="inlineStr">
        <is>
          <t>#Proteccion</t>
        </is>
      </c>
      <c r="H55" s="112" t="inlineStr">
        <is>
          <t>Obligatorio SEPS (Régimen General)</t>
        </is>
      </c>
      <c r="I55" s="112" t="inlineStr">
        <is>
          <t>-</t>
        </is>
      </c>
      <c r="J55" s="112" t="inlineStr">
        <is>
          <t>1. Regulatorio SEPS 002-2022 + ISO 27001</t>
        </is>
      </c>
      <c r="K55" s="112" t="inlineStr">
        <is>
          <t>Aplica</t>
        </is>
      </c>
      <c r="L55" s="112" t="inlineStr">
        <is>
          <t>Requerido por ente regulador SEPS</t>
        </is>
      </c>
    </row>
    <row r="56" ht="36" customHeight="1" s="106">
      <c r="A56" s="38" t="inlineStr">
        <is>
          <t>7.10</t>
        </is>
      </c>
      <c r="B56" s="112" t="inlineStr">
        <is>
          <t>Soportes de almacenamiento</t>
        </is>
      </c>
      <c r="C56" s="112" t="inlineStr">
        <is>
          <t>#Preventivo</t>
        </is>
      </c>
      <c r="D56" s="112" t="inlineStr">
        <is>
          <t>#Confidencialidad, #Integridad, #Disponibilidad</t>
        </is>
      </c>
      <c r="E56" s="112" t="inlineStr">
        <is>
          <t>#Proteger</t>
        </is>
      </c>
      <c r="F56" s="38" t="inlineStr">
        <is>
          <t>#Gestión_de_activos</t>
        </is>
      </c>
      <c r="G56" s="112" t="inlineStr">
        <is>
          <t>#Proteccion</t>
        </is>
      </c>
      <c r="H56" s="112" t="inlineStr">
        <is>
          <t>Obligatorio SEPS (Régimen General)</t>
        </is>
      </c>
      <c r="I56" s="112" t="inlineStr">
        <is>
          <t>-</t>
        </is>
      </c>
      <c r="J56" s="112" t="inlineStr">
        <is>
          <t>1. Regulatorio SEPS 002-2022 + ISO 27001</t>
        </is>
      </c>
      <c r="K56" s="112" t="inlineStr">
        <is>
          <t>Aplica</t>
        </is>
      </c>
      <c r="L56" s="112" t="inlineStr">
        <is>
          <t>Requerido por ente regulador SEPS</t>
        </is>
      </c>
    </row>
    <row r="57" ht="36" customHeight="1" s="106">
      <c r="A57" s="38" t="inlineStr">
        <is>
          <t>7.11</t>
        </is>
      </c>
      <c r="B57" s="112" t="inlineStr">
        <is>
          <t>Servicios públicos</t>
        </is>
      </c>
      <c r="C57" s="112" t="inlineStr">
        <is>
          <t>#Preventivo</t>
        </is>
      </c>
      <c r="D57" s="112" t="inlineStr">
        <is>
          <t>#Confidencialidad, #Integridad, #Disponibilidad</t>
        </is>
      </c>
      <c r="E57" s="112" t="inlineStr">
        <is>
          <t>#Proteger</t>
        </is>
      </c>
      <c r="F57" s="38" t="inlineStr">
        <is>
          <t>#Seguridad_física</t>
        </is>
      </c>
      <c r="G57" s="112" t="inlineStr">
        <is>
          <t>#Resiliencia</t>
        </is>
      </c>
      <c r="H57" s="112" t="inlineStr">
        <is>
          <t>Obligatorio SEPS (Régimen General)</t>
        </is>
      </c>
      <c r="I57" s="112" t="inlineStr">
        <is>
          <t>-</t>
        </is>
      </c>
      <c r="J57" s="112" t="inlineStr">
        <is>
          <t>1. Regulatorio SEPS 002-2022 + ISO 27001</t>
        </is>
      </c>
      <c r="K57" s="112" t="inlineStr">
        <is>
          <t>Aplica</t>
        </is>
      </c>
      <c r="L57" s="112" t="inlineStr">
        <is>
          <t>Requerido por ente regulador SEPS</t>
        </is>
      </c>
    </row>
    <row r="58" ht="36" customHeight="1" s="106">
      <c r="A58" s="38" t="inlineStr">
        <is>
          <t>7.12</t>
        </is>
      </c>
      <c r="B58" s="112" t="inlineStr">
        <is>
          <t>Seguridad del cableado</t>
        </is>
      </c>
      <c r="C58" s="112" t="inlineStr">
        <is>
          <t>#Preventivo</t>
        </is>
      </c>
      <c r="D58" s="112" t="inlineStr">
        <is>
          <t>#Confidencialidad, #Integridad, #Disponibilidad</t>
        </is>
      </c>
      <c r="E58" s="112" t="inlineStr">
        <is>
          <t>#Proteger</t>
        </is>
      </c>
      <c r="F58" s="38" t="inlineStr">
        <is>
          <t>#Seguridad_física</t>
        </is>
      </c>
      <c r="G58" s="112" t="inlineStr">
        <is>
          <t>#Proteccion</t>
        </is>
      </c>
      <c r="H58" s="112" t="inlineStr">
        <is>
          <t>Obligatorio SEPS (Régimen General)</t>
        </is>
      </c>
      <c r="I58" s="112" t="inlineStr">
        <is>
          <t>-</t>
        </is>
      </c>
      <c r="J58" s="112" t="inlineStr">
        <is>
          <t>1. Regulatorio SEPS 002-2022 + ISO 27001</t>
        </is>
      </c>
      <c r="K58" s="112" t="inlineStr">
        <is>
          <t>Aplica</t>
        </is>
      </c>
      <c r="L58" s="112" t="inlineStr">
        <is>
          <t>Requerido por ente regulador SEPS</t>
        </is>
      </c>
    </row>
    <row r="59" ht="36" customHeight="1" s="106">
      <c r="A59" s="38" t="inlineStr">
        <is>
          <t>7.13</t>
        </is>
      </c>
      <c r="B59" s="112" t="inlineStr">
        <is>
          <t>Mantenimiento de equipos</t>
        </is>
      </c>
      <c r="C59" s="112" t="inlineStr">
        <is>
          <t>#Preventivo</t>
        </is>
      </c>
      <c r="D59" s="112" t="inlineStr">
        <is>
          <t>#Confidencialidad, #Integridad, #Disponibilidad</t>
        </is>
      </c>
      <c r="E59" s="112" t="inlineStr">
        <is>
          <t>#Proteger</t>
        </is>
      </c>
      <c r="F59" s="38" t="inlineStr">
        <is>
          <t>#Seguridad_física</t>
        </is>
      </c>
      <c r="G59" s="112" t="inlineStr">
        <is>
          <t>#Proteccion</t>
        </is>
      </c>
      <c r="H59" s="112" t="inlineStr">
        <is>
          <t>Obligatorio SEPS (Régimen General)</t>
        </is>
      </c>
      <c r="I59" s="112" t="inlineStr">
        <is>
          <t>C11: Mantenimiento periódico de activos físicos</t>
        </is>
      </c>
      <c r="J59" s="112" t="inlineStr">
        <is>
          <t>2. Metodología Interna GSO-GSI + ISO 27001</t>
        </is>
      </c>
      <c r="K59" s="112" t="inlineStr">
        <is>
          <t>Aplica</t>
        </is>
      </c>
      <c r="L59" s="112" t="inlineStr">
        <is>
          <t>Requisito interno GSO-GSI</t>
        </is>
      </c>
    </row>
    <row r="60" ht="36" customHeight="1" s="106">
      <c r="A60" s="38" t="inlineStr">
        <is>
          <t>7.14</t>
        </is>
      </c>
      <c r="B60" s="112" t="inlineStr">
        <is>
          <t>Eliminación segura o reutilización de equipos</t>
        </is>
      </c>
      <c r="C60" s="112" t="inlineStr">
        <is>
          <t>#Preventivo</t>
        </is>
      </c>
      <c r="D60" s="112" t="inlineStr">
        <is>
          <t>#Confidencialidad, #Integridad, #Disponibilidad</t>
        </is>
      </c>
      <c r="E60" s="112" t="inlineStr">
        <is>
          <t>#Proteger</t>
        </is>
      </c>
      <c r="F60" s="38" t="inlineStr">
        <is>
          <t>#Seguridad_física</t>
        </is>
      </c>
      <c r="G60" s="112" t="inlineStr">
        <is>
          <t>#Proteccion</t>
        </is>
      </c>
      <c r="H60" s="112" t="inlineStr">
        <is>
          <t>Obligatorio SEPS (Régimen General)</t>
        </is>
      </c>
      <c r="I60" s="112" t="inlineStr">
        <is>
          <t>-</t>
        </is>
      </c>
      <c r="J60" s="112" t="inlineStr">
        <is>
          <t>1. Regulatorio SEPS 002-2022 + ISO 27001</t>
        </is>
      </c>
      <c r="K60" s="112" t="inlineStr">
        <is>
          <t>Aplica</t>
        </is>
      </c>
      <c r="L60" s="112" t="inlineStr">
        <is>
          <t>Requerido por ente regulador SEPS</t>
        </is>
      </c>
    </row>
    <row r="61" ht="36" customHeight="1" s="106">
      <c r="A61" s="38" t="inlineStr">
        <is>
          <t>8.1</t>
        </is>
      </c>
      <c r="B61" s="112" t="inlineStr">
        <is>
          <t>Dispositivos de punto final de usuario</t>
        </is>
      </c>
      <c r="C61" s="112" t="inlineStr">
        <is>
          <t>#Preventivo</t>
        </is>
      </c>
      <c r="D61" s="112" t="inlineStr">
        <is>
          <t>#Confidencialidad, #Integridad, #Disponibilidad</t>
        </is>
      </c>
      <c r="E61" s="112" t="inlineStr">
        <is>
          <t>#Proteger</t>
        </is>
      </c>
      <c r="F61" s="38" t="inlineStr">
        <is>
          <t>#Gestión_de_activos</t>
        </is>
      </c>
      <c r="G61" s="112" t="inlineStr">
        <is>
          <t>#Proteccion</t>
        </is>
      </c>
      <c r="H61" s="112" t="inlineStr">
        <is>
          <t>Obligatorio SEPS (Régimen General)</t>
        </is>
      </c>
      <c r="I61" s="112" t="inlineStr">
        <is>
          <t>-</t>
        </is>
      </c>
      <c r="J61" s="112" t="inlineStr">
        <is>
          <t>1. Regulatorio SEPS 002-2022 + ISO 27001</t>
        </is>
      </c>
      <c r="K61" s="112" t="inlineStr">
        <is>
          <t>Aplica</t>
        </is>
      </c>
      <c r="L61" s="112" t="inlineStr">
        <is>
          <t>Requerido por ente regulador SEPS</t>
        </is>
      </c>
    </row>
    <row r="62" ht="36" customHeight="1" s="106">
      <c r="A62" s="38" t="inlineStr">
        <is>
          <t>8.2</t>
        </is>
      </c>
      <c r="B62" s="112" t="inlineStr">
        <is>
          <t>Derechos de acceso privilegiado</t>
        </is>
      </c>
      <c r="C62" s="112" t="inlineStr">
        <is>
          <t>#Preventivo</t>
        </is>
      </c>
      <c r="D62" s="112" t="inlineStr">
        <is>
          <t>#Confidencialidad, #Integridad, #Disponibilidad</t>
        </is>
      </c>
      <c r="E62" s="112" t="inlineStr">
        <is>
          <t>#Proteger</t>
        </is>
      </c>
      <c r="F62" s="38" t="inlineStr">
        <is>
          <t>#Administración_de_identidad_y_acceso</t>
        </is>
      </c>
      <c r="G62" s="112" t="inlineStr">
        <is>
          <t>#Proteccion</t>
        </is>
      </c>
      <c r="H62" s="112" t="inlineStr">
        <is>
          <t>Obligatorio SEPS (Régimen General)</t>
        </is>
      </c>
      <c r="I62" s="112" t="inlineStr">
        <is>
          <t>C9: Principio de mínimos privilegios</t>
        </is>
      </c>
      <c r="J62" s="112" t="inlineStr">
        <is>
          <t>2. Metodología Interna GSO-GSI + ISO 27001</t>
        </is>
      </c>
      <c r="K62" s="112" t="inlineStr">
        <is>
          <t>Aplica</t>
        </is>
      </c>
      <c r="L62" s="112" t="inlineStr">
        <is>
          <t>Requisito interno GSO-GSI</t>
        </is>
      </c>
    </row>
    <row r="63" ht="36" customHeight="1" s="106">
      <c r="A63" s="38" t="inlineStr">
        <is>
          <t>8.3</t>
        </is>
      </c>
      <c r="B63" s="112" t="inlineStr">
        <is>
          <t>Restricción del acceso a la información</t>
        </is>
      </c>
      <c r="C63" s="112" t="inlineStr">
        <is>
          <t>#Preventivo</t>
        </is>
      </c>
      <c r="D63" s="112" t="inlineStr">
        <is>
          <t>#Confidencialidad, #Integridad, #Disponibilidad</t>
        </is>
      </c>
      <c r="E63" s="112" t="inlineStr">
        <is>
          <t>#Proteger</t>
        </is>
      </c>
      <c r="F63" s="38" t="inlineStr">
        <is>
          <t>#Administración_de_identidad_y_acceso</t>
        </is>
      </c>
      <c r="G63" s="112" t="inlineStr">
        <is>
          <t>#Proteccion</t>
        </is>
      </c>
      <c r="H63" s="112" t="inlineStr">
        <is>
          <t>Obligatorio SEPS (Régimen General)</t>
        </is>
      </c>
      <c r="I63" s="112" t="inlineStr">
        <is>
          <t>C4: Restricción del control de acceso</t>
        </is>
      </c>
      <c r="J63" s="112" t="inlineStr">
        <is>
          <t>2. Metodología Interna GSO-GSI + ISO 27001</t>
        </is>
      </c>
      <c r="K63" s="112" t="inlineStr">
        <is>
          <t>Aplica</t>
        </is>
      </c>
      <c r="L63" s="112" t="inlineStr">
        <is>
          <t>Requisito interno GSO-GSI</t>
        </is>
      </c>
    </row>
    <row r="64" ht="36" customHeight="1" s="106">
      <c r="A64" s="38" t="inlineStr">
        <is>
          <t>8.4</t>
        </is>
      </c>
      <c r="B64" s="112" t="inlineStr">
        <is>
          <t>Acceso al código fuente</t>
        </is>
      </c>
      <c r="C64" s="112" t="inlineStr">
        <is>
          <t>#Preventivo</t>
        </is>
      </c>
      <c r="D64" s="112" t="inlineStr">
        <is>
          <t>#Confidencialidad, #Integridad, #Disponibilidad</t>
        </is>
      </c>
      <c r="E64" s="112" t="inlineStr">
        <is>
          <t>#Proteger</t>
        </is>
      </c>
      <c r="F64" s="38" t="inlineStr">
        <is>
          <t>#Seguridad_de_aplicaciones</t>
        </is>
      </c>
      <c r="G64" s="112" t="inlineStr">
        <is>
          <t>#Proteccion</t>
        </is>
      </c>
      <c r="H64" s="112" t="inlineStr">
        <is>
          <t>Obligatorio SEPS (Régimen General)</t>
        </is>
      </c>
      <c r="I64" s="112" t="inlineStr">
        <is>
          <t>-</t>
        </is>
      </c>
      <c r="J64" s="112" t="inlineStr">
        <is>
          <t>1. Regulatorio SEPS 002-2022 + ISO 27001</t>
        </is>
      </c>
      <c r="K64" s="112" t="inlineStr">
        <is>
          <t>Aplica</t>
        </is>
      </c>
      <c r="L64" s="112" t="inlineStr">
        <is>
          <t>Requerido por ente regulador SEPS</t>
        </is>
      </c>
    </row>
    <row r="65" ht="36" customHeight="1" s="106">
      <c r="A65" s="38" t="inlineStr">
        <is>
          <t>8.5</t>
        </is>
      </c>
      <c r="B65" s="112" t="inlineStr">
        <is>
          <t>Autenticación segura</t>
        </is>
      </c>
      <c r="C65" s="112" t="inlineStr">
        <is>
          <t>#Preventivo</t>
        </is>
      </c>
      <c r="D65" s="112" t="inlineStr">
        <is>
          <t>#Confidencialidad, #Integridad, #Disponibilidad</t>
        </is>
      </c>
      <c r="E65" s="112" t="inlineStr">
        <is>
          <t>#Proteger</t>
        </is>
      </c>
      <c r="F65" s="38" t="inlineStr">
        <is>
          <t>#Administración_de_identidad_y_acceso</t>
        </is>
      </c>
      <c r="G65" s="112" t="inlineStr">
        <is>
          <t>#Proteccion</t>
        </is>
      </c>
      <c r="H65" s="112" t="inlineStr">
        <is>
          <t>Obligatorio SEPS (Régimen General)</t>
        </is>
      </c>
      <c r="I65" s="112" t="inlineStr">
        <is>
          <t>-</t>
        </is>
      </c>
      <c r="J65" s="112" t="inlineStr">
        <is>
          <t>1. Regulatorio SEPS 002-2022 + ISO 27001</t>
        </is>
      </c>
      <c r="K65" s="112" t="inlineStr">
        <is>
          <t>Aplica</t>
        </is>
      </c>
      <c r="L65" s="112" t="inlineStr">
        <is>
          <t>Requerido por ente regulador SEPS</t>
        </is>
      </c>
    </row>
    <row r="66" ht="36" customHeight="1" s="106">
      <c r="A66" s="38" t="inlineStr">
        <is>
          <t>8.6</t>
        </is>
      </c>
      <c r="B66" s="112" t="inlineStr">
        <is>
          <t>Gestión de capacidad</t>
        </is>
      </c>
      <c r="C66" s="112" t="inlineStr">
        <is>
          <t>#Preventivo</t>
        </is>
      </c>
      <c r="D66" s="112" t="inlineStr">
        <is>
          <t>#Confidencialidad, #Integridad, #Disponibilidad</t>
        </is>
      </c>
      <c r="E66" s="112" t="inlineStr">
        <is>
          <t>#Proteger</t>
        </is>
      </c>
      <c r="F66" s="38" t="inlineStr">
        <is>
          <t>#Seguridad_de_sistemas_y_redes</t>
        </is>
      </c>
      <c r="G66" s="112" t="inlineStr">
        <is>
          <t>#Resiliencia</t>
        </is>
      </c>
      <c r="H66" s="112" t="inlineStr">
        <is>
          <t>Obligatorio SEPS (Régimen General)</t>
        </is>
      </c>
      <c r="I66" s="112" t="inlineStr">
        <is>
          <t>-</t>
        </is>
      </c>
      <c r="J66" s="112" t="inlineStr">
        <is>
          <t>1. Regulatorio SEPS 002-2022 + ISO 27001</t>
        </is>
      </c>
      <c r="K66" s="112" t="inlineStr">
        <is>
          <t>Aplica</t>
        </is>
      </c>
      <c r="L66" s="112" t="inlineStr">
        <is>
          <t>Requerido por ente regulador SEPS</t>
        </is>
      </c>
    </row>
    <row r="67" ht="36" customHeight="1" s="106">
      <c r="A67" s="38" t="inlineStr">
        <is>
          <t>8.7</t>
        </is>
      </c>
      <c r="B67" s="112" t="inlineStr">
        <is>
          <t>Protección contra malware</t>
        </is>
      </c>
      <c r="C67" s="112" t="inlineStr">
        <is>
          <t>#Preventivo, #Detectivo, #Correctivo</t>
        </is>
      </c>
      <c r="D67" s="112" t="inlineStr">
        <is>
          <t>#Confidencialidad, #Integridad, #Disponibilidad</t>
        </is>
      </c>
      <c r="E67" s="112" t="inlineStr">
        <is>
          <t>#Proteger</t>
        </is>
      </c>
      <c r="F67" s="38" t="inlineStr">
        <is>
          <t>#Seguridad_de_sistemas_y_redes</t>
        </is>
      </c>
      <c r="G67" s="112" t="inlineStr">
        <is>
          <t>#Defensa</t>
        </is>
      </c>
      <c r="H67" s="112" t="inlineStr">
        <is>
          <t>Obligatorio SEPS (Régimen General)</t>
        </is>
      </c>
      <c r="I67" s="112" t="inlineStr">
        <is>
          <t>-</t>
        </is>
      </c>
      <c r="J67" s="112" t="inlineStr">
        <is>
          <t>1. Regulatorio SEPS 002-2022 + ISO 27001</t>
        </is>
      </c>
      <c r="K67" s="112" t="inlineStr">
        <is>
          <t>Aplica</t>
        </is>
      </c>
      <c r="L67" s="112" t="inlineStr">
        <is>
          <t>Requerido por ente regulador SEPS</t>
        </is>
      </c>
    </row>
    <row r="68" ht="48" customHeight="1" s="106">
      <c r="A68" s="38" t="inlineStr">
        <is>
          <t>8.8</t>
        </is>
      </c>
      <c r="B68" s="112" t="inlineStr">
        <is>
          <t>Gestión de vulnerabilidades técnicas</t>
        </is>
      </c>
      <c r="C68" s="112" t="inlineStr">
        <is>
          <t>#Preventivo, #Correctivo</t>
        </is>
      </c>
      <c r="D68" s="112" t="inlineStr">
        <is>
          <t>#Confidencialidad, #Integridad, #Disponibilidad</t>
        </is>
      </c>
      <c r="E68" s="112" t="inlineStr">
        <is>
          <t>#Proteger</t>
        </is>
      </c>
      <c r="F68" s="38" t="inlineStr">
        <is>
          <t>#Gestión_de_amenazas_y_vulnerabilidades</t>
        </is>
      </c>
      <c r="G68" s="112" t="inlineStr">
        <is>
          <t>#Defensa</t>
        </is>
      </c>
      <c r="H68" s="112" t="inlineStr">
        <is>
          <t>Obligatorio SEPS (Régimen General)</t>
        </is>
      </c>
      <c r="I68" s="112" t="inlineStr">
        <is>
          <t>C12: Actualizaciones periódicas firmware/software</t>
        </is>
      </c>
      <c r="J68" s="112" t="inlineStr">
        <is>
          <t>2. Metodología Interna GSO-GSI + ISO 27001</t>
        </is>
      </c>
      <c r="K68" s="112" t="inlineStr">
        <is>
          <t>Aplica</t>
        </is>
      </c>
      <c r="L68" s="112" t="inlineStr">
        <is>
          <t>Requisito interno GSO-GSI</t>
        </is>
      </c>
    </row>
    <row r="69" ht="48" customHeight="1" s="106">
      <c r="A69" s="38" t="inlineStr">
        <is>
          <t>8.9</t>
        </is>
      </c>
      <c r="B69" s="112" t="inlineStr">
        <is>
          <t>Gestión de la configuración</t>
        </is>
      </c>
      <c r="C69" s="112" t="inlineStr">
        <is>
          <t>#Preventivo</t>
        </is>
      </c>
      <c r="D69" s="112" t="inlineStr">
        <is>
          <t>#Confidencialidad, #Integridad, #Disponibilidad</t>
        </is>
      </c>
      <c r="E69" s="112" t="inlineStr">
        <is>
          <t>#Proteger</t>
        </is>
      </c>
      <c r="F69" s="38" t="inlineStr">
        <is>
          <t>#Configuración_segura</t>
        </is>
      </c>
      <c r="G69" s="112" t="inlineStr">
        <is>
          <t>#Proteccion</t>
        </is>
      </c>
      <c r="H69" s="112" t="inlineStr">
        <is>
          <t>Obligatorio SEPS (Régimen General)</t>
        </is>
      </c>
      <c r="I69" s="112" t="inlineStr">
        <is>
          <t>C52: Mantenimiento preventivo / Configuración segura</t>
        </is>
      </c>
      <c r="J69" s="112" t="inlineStr">
        <is>
          <t>2. Metodología Interna GSO-GSI + ISO 27001</t>
        </is>
      </c>
      <c r="K69" s="112" t="inlineStr">
        <is>
          <t>Aplica</t>
        </is>
      </c>
      <c r="L69" s="112" t="inlineStr">
        <is>
          <t>Requisito interno GSO-GSI</t>
        </is>
      </c>
    </row>
    <row r="70" ht="36" customHeight="1" s="106">
      <c r="A70" s="38" t="inlineStr">
        <is>
          <t>8.10</t>
        </is>
      </c>
      <c r="B70" s="112" t="inlineStr">
        <is>
          <t>Eliminación de información</t>
        </is>
      </c>
      <c r="C70" s="112" t="inlineStr">
        <is>
          <t>#Preventivo</t>
        </is>
      </c>
      <c r="D70" s="112" t="inlineStr">
        <is>
          <t>#Confidencialidad, #Integridad, #Disponibilidad</t>
        </is>
      </c>
      <c r="E70" s="112" t="inlineStr">
        <is>
          <t>#Proteger</t>
        </is>
      </c>
      <c r="F70" s="38" t="inlineStr">
        <is>
          <t>#Protección_de_la_información</t>
        </is>
      </c>
      <c r="G70" s="112" t="inlineStr">
        <is>
          <t>#Proteccion</t>
        </is>
      </c>
      <c r="H70" s="112" t="inlineStr">
        <is>
          <t>Obligatorio SEPS (Régimen General)</t>
        </is>
      </c>
      <c r="I70" s="112" t="inlineStr">
        <is>
          <t>-</t>
        </is>
      </c>
      <c r="J70" s="112" t="inlineStr">
        <is>
          <t>1. Regulatorio SEPS 002-2022 + ISO 27001</t>
        </is>
      </c>
      <c r="K70" s="112" t="inlineStr">
        <is>
          <t>Aplica</t>
        </is>
      </c>
      <c r="L70" s="112" t="inlineStr">
        <is>
          <t>Requerido por ente regulador SEPS</t>
        </is>
      </c>
    </row>
    <row r="71" ht="60" customHeight="1" s="106">
      <c r="A71" s="38" t="inlineStr">
        <is>
          <t>8.11</t>
        </is>
      </c>
      <c r="B71" s="112" t="inlineStr">
        <is>
          <t>Enmascaramiento de datos</t>
        </is>
      </c>
      <c r="C71" s="112" t="inlineStr">
        <is>
          <t>#Preventivo</t>
        </is>
      </c>
      <c r="D71" s="112" t="inlineStr">
        <is>
          <t>#Confidencialidad, #Integridad, #Disponibilidad</t>
        </is>
      </c>
      <c r="E71" s="112" t="inlineStr">
        <is>
          <t>#Proteger</t>
        </is>
      </c>
      <c r="F71" s="38" t="inlineStr">
        <is>
          <t>#Protección_de_la_información</t>
        </is>
      </c>
      <c r="G71" s="112" t="inlineStr">
        <is>
          <t>#Proteccion</t>
        </is>
      </c>
      <c r="H71" s="112" t="inlineStr">
        <is>
          <t>Mejor Práctica (No obligatorio SEPS)</t>
        </is>
      </c>
      <c r="I71" s="112" t="inlineStr">
        <is>
          <t>-</t>
        </is>
      </c>
      <c r="J71" s="112" t="inlineStr">
        <is>
          <t>3. Tratamiento de Riesgos Específico (ISO 27002 / MAGERIT)</t>
        </is>
      </c>
      <c r="K71" s="112" t="inlineStr">
        <is>
          <t>Aplica</t>
        </is>
      </c>
      <c r="L71" s="112" t="inlineStr">
        <is>
          <t>Requisito de control complementario y mejor práctica de seguridad</t>
        </is>
      </c>
    </row>
    <row r="72" ht="36" customHeight="1" s="106">
      <c r="A72" s="38" t="inlineStr">
        <is>
          <t>8.12</t>
        </is>
      </c>
      <c r="B72" s="112" t="inlineStr">
        <is>
          <t>Prevención de fuga de datos</t>
        </is>
      </c>
      <c r="C72" s="112" t="inlineStr">
        <is>
          <t>#Preventivo, #Detectivo</t>
        </is>
      </c>
      <c r="D72" s="112" t="inlineStr">
        <is>
          <t>#Confidencialidad, #Integridad, #Disponibilidad</t>
        </is>
      </c>
      <c r="E72" s="112" t="inlineStr">
        <is>
          <t>#Proteger</t>
        </is>
      </c>
      <c r="F72" s="38" t="inlineStr">
        <is>
          <t>#Protección_de_la_información</t>
        </is>
      </c>
      <c r="G72" s="112" t="inlineStr">
        <is>
          <t>#Proteccion</t>
        </is>
      </c>
      <c r="H72" s="112" t="inlineStr">
        <is>
          <t>Obligatorio SEPS (Régimen General)</t>
        </is>
      </c>
      <c r="I72" s="112" t="inlineStr">
        <is>
          <t>-</t>
        </is>
      </c>
      <c r="J72" s="112" t="inlineStr">
        <is>
          <t>1. Regulatorio SEPS 002-2022 + ISO 27001</t>
        </is>
      </c>
      <c r="K72" s="112" t="inlineStr">
        <is>
          <t>Aplica</t>
        </is>
      </c>
      <c r="L72" s="112" t="inlineStr">
        <is>
          <t>Requerido por ente regulador SEPS</t>
        </is>
      </c>
    </row>
    <row r="73" ht="48" customHeight="1" s="106">
      <c r="A73" s="38" t="inlineStr">
        <is>
          <t>8.13</t>
        </is>
      </c>
      <c r="B73" s="112" t="inlineStr">
        <is>
          <t>Copias de seguridad de la información</t>
        </is>
      </c>
      <c r="C73" s="112" t="inlineStr">
        <is>
          <t>#Preventivo, #Correctivo</t>
        </is>
      </c>
      <c r="D73" s="112" t="inlineStr">
        <is>
          <t>#Confidencialidad, #Integridad, #Disponibilidad</t>
        </is>
      </c>
      <c r="E73" s="112" t="inlineStr">
        <is>
          <t>#Recuperar</t>
        </is>
      </c>
      <c r="F73" s="38" t="inlineStr">
        <is>
          <t>#Continuidad</t>
        </is>
      </c>
      <c r="G73" s="112" t="inlineStr">
        <is>
          <t>#Resiliencia</t>
        </is>
      </c>
      <c r="H73" s="112" t="inlineStr">
        <is>
          <t>Obligatorio SEPS (Régimen General)</t>
        </is>
      </c>
      <c r="I73" s="112" t="inlineStr">
        <is>
          <t>C6: Procedimientos de reversión (rollback) / Respaldo</t>
        </is>
      </c>
      <c r="J73" s="112" t="inlineStr">
        <is>
          <t>2. Metodología Interna GSO-GSI + ISO 27001</t>
        </is>
      </c>
      <c r="K73" s="112" t="inlineStr">
        <is>
          <t>Aplica</t>
        </is>
      </c>
      <c r="L73" s="112" t="inlineStr">
        <is>
          <t>Requisito interno GSO-GSI</t>
        </is>
      </c>
    </row>
    <row r="74" ht="48" customHeight="1" s="106">
      <c r="A74" s="38" t="inlineStr">
        <is>
          <t>8.14</t>
        </is>
      </c>
      <c r="B74" s="112" t="inlineStr">
        <is>
          <t>Redundancia de las instalaciones de procesamiento de información</t>
        </is>
      </c>
      <c r="C74" s="112" t="inlineStr">
        <is>
          <t>#Preventivo</t>
        </is>
      </c>
      <c r="D74" s="112" t="inlineStr">
        <is>
          <t>#Confidencialidad, #Integridad, #Disponibilidad</t>
        </is>
      </c>
      <c r="E74" s="112" t="inlineStr">
        <is>
          <t>#Recuperar</t>
        </is>
      </c>
      <c r="F74" s="38" t="inlineStr">
        <is>
          <t>#Continuidad</t>
        </is>
      </c>
      <c r="G74" s="112" t="inlineStr">
        <is>
          <t>#Resiliencia</t>
        </is>
      </c>
      <c r="H74" s="112" t="inlineStr">
        <is>
          <t>Obligatorio SEPS (Régimen General)</t>
        </is>
      </c>
      <c r="I74" s="112" t="inlineStr">
        <is>
          <t>-</t>
        </is>
      </c>
      <c r="J74" s="112" t="inlineStr">
        <is>
          <t>1. Regulatorio SEPS 002-2022 + ISO 27001</t>
        </is>
      </c>
      <c r="K74" s="112" t="inlineStr">
        <is>
          <t>Aplica</t>
        </is>
      </c>
      <c r="L74" s="112" t="inlineStr">
        <is>
          <t>Requerido por ente regulador SEPS</t>
        </is>
      </c>
    </row>
    <row r="75" ht="36" customHeight="1" s="106">
      <c r="A75" s="38" t="inlineStr">
        <is>
          <t>8.15</t>
        </is>
      </c>
      <c r="B75" s="112" t="inlineStr">
        <is>
          <t>Registro de eventos (Logging)</t>
        </is>
      </c>
      <c r="C75" s="112" t="inlineStr">
        <is>
          <t>#Detectivo</t>
        </is>
      </c>
      <c r="D75" s="112" t="inlineStr">
        <is>
          <t>#Confidencialidad, #Integridad, #Disponibilidad</t>
        </is>
      </c>
      <c r="E75" s="112" t="inlineStr">
        <is>
          <t>#Detectar</t>
        </is>
      </c>
      <c r="F75" s="38" t="inlineStr">
        <is>
          <t>#Seguridad_de_la_información_gestión_de_eventos</t>
        </is>
      </c>
      <c r="G75" s="112" t="inlineStr">
        <is>
          <t>#Defensa</t>
        </is>
      </c>
      <c r="H75" s="112" t="inlineStr">
        <is>
          <t>Obligatorio SEPS (Régimen General)</t>
        </is>
      </c>
      <c r="I75" s="112" t="inlineStr">
        <is>
          <t>C10: Registro de fallos en el control de acceso</t>
        </is>
      </c>
      <c r="J75" s="112" t="inlineStr">
        <is>
          <t>2. Metodología Interna GSO-GSI + ISO 27001</t>
        </is>
      </c>
      <c r="K75" s="112" t="inlineStr">
        <is>
          <t>Aplica</t>
        </is>
      </c>
      <c r="L75" s="112" t="inlineStr">
        <is>
          <t>Requisito interno GSO-GSI</t>
        </is>
      </c>
    </row>
    <row r="76" ht="36" customHeight="1" s="106">
      <c r="A76" s="38" t="inlineStr">
        <is>
          <t>8.16</t>
        </is>
      </c>
      <c r="B76" s="112" t="inlineStr">
        <is>
          <t>Actividades de seguimiento (Monitoring)</t>
        </is>
      </c>
      <c r="C76" s="112" t="inlineStr">
        <is>
          <t>#Detectivo</t>
        </is>
      </c>
      <c r="D76" s="112" t="inlineStr">
        <is>
          <t>#Confidencialidad, #Integridad, #Disponibilidad</t>
        </is>
      </c>
      <c r="E76" s="112" t="inlineStr">
        <is>
          <t>#Detectar</t>
        </is>
      </c>
      <c r="F76" s="38" t="inlineStr">
        <is>
          <t>#Seguridad_de_la_información_gestión_de_eventos</t>
        </is>
      </c>
      <c r="G76" s="112" t="inlineStr">
        <is>
          <t>#Defensa</t>
        </is>
      </c>
      <c r="H76" s="112" t="inlineStr">
        <is>
          <t>Obligatorio SEPS (Régimen General)</t>
        </is>
      </c>
      <c r="I76" s="112" t="inlineStr">
        <is>
          <t>C13: Monitoreo y control</t>
        </is>
      </c>
      <c r="J76" s="112" t="inlineStr">
        <is>
          <t>2. Metodología Interna GSO-GSI + ISO 27001</t>
        </is>
      </c>
      <c r="K76" s="112" t="inlineStr">
        <is>
          <t>Aplica</t>
        </is>
      </c>
      <c r="L76" s="112" t="inlineStr">
        <is>
          <t>Requisito interno GSO-GSI</t>
        </is>
      </c>
    </row>
    <row r="77" ht="36" customHeight="1" s="106">
      <c r="A77" s="38" t="inlineStr">
        <is>
          <t>8.17</t>
        </is>
      </c>
      <c r="B77" s="112" t="inlineStr">
        <is>
          <t>Sincronización de relojes</t>
        </is>
      </c>
      <c r="C77" s="112" t="inlineStr">
        <is>
          <t>#Preventivo</t>
        </is>
      </c>
      <c r="D77" s="112" t="inlineStr">
        <is>
          <t>#Confidencialidad, #Integridad, #Disponibilidad</t>
        </is>
      </c>
      <c r="E77" s="112" t="inlineStr">
        <is>
          <t>#Proteger</t>
        </is>
      </c>
      <c r="F77" s="38" t="inlineStr">
        <is>
          <t>#Seguridad_de_sistemas_y_redes</t>
        </is>
      </c>
      <c r="G77" s="112" t="inlineStr">
        <is>
          <t>#Proteccion</t>
        </is>
      </c>
      <c r="H77" s="112" t="inlineStr">
        <is>
          <t>Obligatorio SEPS (Régimen General)</t>
        </is>
      </c>
      <c r="I77" s="112" t="inlineStr">
        <is>
          <t>-</t>
        </is>
      </c>
      <c r="J77" s="112" t="inlineStr">
        <is>
          <t>1. Regulatorio SEPS 002-2022 + ISO 27001</t>
        </is>
      </c>
      <c r="K77" s="112" t="inlineStr">
        <is>
          <t>Aplica</t>
        </is>
      </c>
      <c r="L77" s="112" t="inlineStr">
        <is>
          <t>Requerido por ente regulador SEPS</t>
        </is>
      </c>
    </row>
    <row r="78" ht="36" customHeight="1" s="106">
      <c r="A78" s="38" t="inlineStr">
        <is>
          <t>8.18</t>
        </is>
      </c>
      <c r="B78" s="112" t="inlineStr">
        <is>
          <t>Uso de programas de utilidad privilegiados</t>
        </is>
      </c>
      <c r="C78" s="112" t="inlineStr">
        <is>
          <t>#Preventivo</t>
        </is>
      </c>
      <c r="D78" s="112" t="inlineStr">
        <is>
          <t>#Confidencialidad, #Integridad, #Disponibilidad</t>
        </is>
      </c>
      <c r="E78" s="112" t="inlineStr">
        <is>
          <t>#Proteger</t>
        </is>
      </c>
      <c r="F78" s="38" t="inlineStr">
        <is>
          <t>#Administración_de_identidad_y_acceso</t>
        </is>
      </c>
      <c r="G78" s="112" t="inlineStr">
        <is>
          <t>#Proteccion</t>
        </is>
      </c>
      <c r="H78" s="112" t="inlineStr">
        <is>
          <t>Obligatorio SEPS (Régimen General)</t>
        </is>
      </c>
      <c r="I78" s="112" t="inlineStr">
        <is>
          <t>-</t>
        </is>
      </c>
      <c r="J78" s="112" t="inlineStr">
        <is>
          <t>1. Regulatorio SEPS 002-2022 + ISO 27001</t>
        </is>
      </c>
      <c r="K78" s="112" t="inlineStr">
        <is>
          <t>Aplica</t>
        </is>
      </c>
      <c r="L78" s="112" t="inlineStr">
        <is>
          <t>Requerido por ente regulador SEPS</t>
        </is>
      </c>
    </row>
    <row r="79" ht="48" customHeight="1" s="106">
      <c r="A79" s="38" t="inlineStr">
        <is>
          <t>8.19</t>
        </is>
      </c>
      <c r="B79" s="112" t="inlineStr">
        <is>
          <t>Instalación de software en sistemas operativos</t>
        </is>
      </c>
      <c r="C79" s="112" t="inlineStr">
        <is>
          <t>#Preventivo</t>
        </is>
      </c>
      <c r="D79" s="112" t="inlineStr">
        <is>
          <t>#Confidencialidad, #Integridad, #Disponibilidad</t>
        </is>
      </c>
      <c r="E79" s="112" t="inlineStr">
        <is>
          <t>#Proteger</t>
        </is>
      </c>
      <c r="F79" s="38" t="inlineStr">
        <is>
          <t>#Configuración_segura</t>
        </is>
      </c>
      <c r="G79" s="112" t="inlineStr">
        <is>
          <t>#Proteccion</t>
        </is>
      </c>
      <c r="H79" s="112" t="inlineStr">
        <is>
          <t>Obligatorio SEPS (Régimen General)</t>
        </is>
      </c>
      <c r="I79" s="112" t="inlineStr">
        <is>
          <t>C12: Actualizaciones periódicas firmware/software</t>
        </is>
      </c>
      <c r="J79" s="112" t="inlineStr">
        <is>
          <t>2. Metodología Interna GSO-GSI + ISO 27001</t>
        </is>
      </c>
      <c r="K79" s="112" t="inlineStr">
        <is>
          <t>Aplica</t>
        </is>
      </c>
      <c r="L79" s="112" t="inlineStr">
        <is>
          <t>Requisito interno GSO-GSI</t>
        </is>
      </c>
    </row>
    <row r="80" ht="48" customHeight="1" s="106">
      <c r="A80" s="38" t="inlineStr">
        <is>
          <t>8.20</t>
        </is>
      </c>
      <c r="B80" s="112" t="inlineStr">
        <is>
          <t>Seguridad de las redes</t>
        </is>
      </c>
      <c r="C80" s="112" t="inlineStr">
        <is>
          <t>#Preventivo</t>
        </is>
      </c>
      <c r="D80" s="112" t="inlineStr">
        <is>
          <t>#Confidencialidad, #Integridad, #Disponibilidad</t>
        </is>
      </c>
      <c r="E80" s="112" t="inlineStr">
        <is>
          <t>#Proteger</t>
        </is>
      </c>
      <c r="F80" s="38" t="inlineStr">
        <is>
          <t>#Seguridad_de_sistemas_y_redes</t>
        </is>
      </c>
      <c r="G80" s="112" t="inlineStr">
        <is>
          <t>#Proteccion</t>
        </is>
      </c>
      <c r="H80" s="112" t="inlineStr">
        <is>
          <t>Obligatorio SEPS (Régimen General)</t>
        </is>
      </c>
      <c r="I80" s="112" t="inlineStr">
        <is>
          <t>C52: Mantenimiento preventivo / Configuración segura</t>
        </is>
      </c>
      <c r="J80" s="112" t="inlineStr">
        <is>
          <t>2. Metodología Interna GSO-GSI + ISO 27001</t>
        </is>
      </c>
      <c r="K80" s="112" t="inlineStr">
        <is>
          <t>Aplica</t>
        </is>
      </c>
      <c r="L80" s="112" t="inlineStr">
        <is>
          <t>Requisito interno GSO-GSI</t>
        </is>
      </c>
    </row>
    <row r="81" ht="36" customHeight="1" s="106">
      <c r="A81" s="38" t="inlineStr">
        <is>
          <t>8.21</t>
        </is>
      </c>
      <c r="B81" s="112" t="inlineStr">
        <is>
          <t>Seguridad de los servicios de red</t>
        </is>
      </c>
      <c r="C81" s="112" t="inlineStr">
        <is>
          <t>#Preventivo</t>
        </is>
      </c>
      <c r="D81" s="112" t="inlineStr">
        <is>
          <t>#Confidencialidad, #Integridad, #Disponibilidad</t>
        </is>
      </c>
      <c r="E81" s="112" t="inlineStr">
        <is>
          <t>#Proteger</t>
        </is>
      </c>
      <c r="F81" s="38" t="inlineStr">
        <is>
          <t>#Seguridad_de_sistemas_y_redes</t>
        </is>
      </c>
      <c r="G81" s="112" t="inlineStr">
        <is>
          <t>#Proteccion</t>
        </is>
      </c>
      <c r="H81" s="112" t="inlineStr">
        <is>
          <t>Obligatorio SEPS (Régimen General)</t>
        </is>
      </c>
      <c r="I81" s="112" t="inlineStr">
        <is>
          <t>-</t>
        </is>
      </c>
      <c r="J81" s="112" t="inlineStr">
        <is>
          <t>1. Regulatorio SEPS 002-2022 + ISO 27001</t>
        </is>
      </c>
      <c r="K81" s="112" t="inlineStr">
        <is>
          <t>Aplica</t>
        </is>
      </c>
      <c r="L81" s="112" t="inlineStr">
        <is>
          <t>Requerido por ente regulador SEPS</t>
        </is>
      </c>
    </row>
    <row r="82" ht="36" customHeight="1" s="106">
      <c r="A82" s="38" t="inlineStr">
        <is>
          <t>8.22</t>
        </is>
      </c>
      <c r="B82" s="112" t="inlineStr">
        <is>
          <t>Segregación de redes</t>
        </is>
      </c>
      <c r="C82" s="112" t="inlineStr">
        <is>
          <t>#Preventivo</t>
        </is>
      </c>
      <c r="D82" s="112" t="inlineStr">
        <is>
          <t>#Confidencialidad, #Integridad, #Disponibilidad</t>
        </is>
      </c>
      <c r="E82" s="112" t="inlineStr">
        <is>
          <t>#Proteger</t>
        </is>
      </c>
      <c r="F82" s="38" t="inlineStr">
        <is>
          <t>#Seguridad_de_sistemas_y_redes</t>
        </is>
      </c>
      <c r="G82" s="112" t="inlineStr">
        <is>
          <t>#Proteccion</t>
        </is>
      </c>
      <c r="H82" s="112" t="inlineStr">
        <is>
          <t>Obligatorio SEPS (Régimen General)</t>
        </is>
      </c>
      <c r="I82" s="112" t="inlineStr">
        <is>
          <t>-</t>
        </is>
      </c>
      <c r="J82" s="112" t="inlineStr">
        <is>
          <t>1. Regulatorio SEPS 002-2022 + ISO 27001</t>
        </is>
      </c>
      <c r="K82" s="112" t="inlineStr">
        <is>
          <t>Aplica</t>
        </is>
      </c>
      <c r="L82" s="112" t="inlineStr">
        <is>
          <t>Requerido por ente regulador SEPS</t>
        </is>
      </c>
    </row>
    <row r="83" ht="60" customHeight="1" s="106">
      <c r="A83" s="38" t="inlineStr">
        <is>
          <t>8.23</t>
        </is>
      </c>
      <c r="B83" s="112" t="inlineStr">
        <is>
          <t>Filtrado web</t>
        </is>
      </c>
      <c r="C83" s="112" t="inlineStr">
        <is>
          <t>#Preventivo</t>
        </is>
      </c>
      <c r="D83" s="112" t="inlineStr">
        <is>
          <t>#Confidencialidad, #Integridad, #Disponibilidad</t>
        </is>
      </c>
      <c r="E83" s="112" t="inlineStr">
        <is>
          <t>#Proteger</t>
        </is>
      </c>
      <c r="F83" s="38" t="inlineStr">
        <is>
          <t>#Seguridad_de_sistemas_y_redes</t>
        </is>
      </c>
      <c r="G83" s="112" t="inlineStr">
        <is>
          <t>#Proteccion</t>
        </is>
      </c>
      <c r="H83" s="112" t="inlineStr">
        <is>
          <t>Mejor Práctica (No obligatorio SEPS)</t>
        </is>
      </c>
      <c r="I83" s="112" t="inlineStr">
        <is>
          <t>-</t>
        </is>
      </c>
      <c r="J83" s="112" t="inlineStr">
        <is>
          <t>3. Tratamiento de Riesgos Específico (ISO 27002 / MAGERIT)</t>
        </is>
      </c>
      <c r="K83" s="112" t="inlineStr">
        <is>
          <t>Aplica</t>
        </is>
      </c>
      <c r="L83" s="112" t="inlineStr">
        <is>
          <t>Requisito de control complementario y mejor práctica de seguridad</t>
        </is>
      </c>
    </row>
    <row r="84" ht="36" customHeight="1" s="106">
      <c r="A84" s="38" t="inlineStr">
        <is>
          <t>8.24</t>
        </is>
      </c>
      <c r="B84" s="112" t="inlineStr">
        <is>
          <t>Uso de criptografía</t>
        </is>
      </c>
      <c r="C84" s="112" t="inlineStr">
        <is>
          <t>#Preventivo</t>
        </is>
      </c>
      <c r="D84" s="112" t="inlineStr">
        <is>
          <t>#Confidencialidad, #Integridad, #Disponibilidad</t>
        </is>
      </c>
      <c r="E84" s="112" t="inlineStr">
        <is>
          <t>#Proteger</t>
        </is>
      </c>
      <c r="F84" s="38" t="inlineStr">
        <is>
          <t>#Protección_de_la_información</t>
        </is>
      </c>
      <c r="G84" s="112" t="inlineStr">
        <is>
          <t>#Proteccion</t>
        </is>
      </c>
      <c r="H84" s="112" t="inlineStr">
        <is>
          <t>Obligatorio SEPS (Régimen General)</t>
        </is>
      </c>
      <c r="I84" s="112" t="inlineStr">
        <is>
          <t>-</t>
        </is>
      </c>
      <c r="J84" s="112" t="inlineStr">
        <is>
          <t>1. Regulatorio SEPS 002-2022 + ISO 27001</t>
        </is>
      </c>
      <c r="K84" s="112" t="inlineStr">
        <is>
          <t>Aplica</t>
        </is>
      </c>
      <c r="L84" s="112" t="inlineStr">
        <is>
          <t>Requerido por ente regulador SEPS</t>
        </is>
      </c>
    </row>
    <row r="85" ht="36" customHeight="1" s="106">
      <c r="A85" s="38" t="inlineStr">
        <is>
          <t>8.25</t>
        </is>
      </c>
      <c r="B85" s="112" t="inlineStr">
        <is>
          <t>Ciclo de vida del desarrollo seguro</t>
        </is>
      </c>
      <c r="C85" s="112" t="inlineStr">
        <is>
          <t>#Preventivo</t>
        </is>
      </c>
      <c r="D85" s="112" t="inlineStr">
        <is>
          <t>#Confidencialidad, #Integridad, #Disponibilidad</t>
        </is>
      </c>
      <c r="E85" s="112" t="inlineStr">
        <is>
          <t>#Proteger</t>
        </is>
      </c>
      <c r="F85" s="38" t="inlineStr">
        <is>
          <t>#Seguridad_de_aplicaciones</t>
        </is>
      </c>
      <c r="G85" s="112" t="inlineStr">
        <is>
          <t>#Proteccion</t>
        </is>
      </c>
      <c r="H85" s="112" t="inlineStr">
        <is>
          <t>Obligatorio SEPS (Régimen General)</t>
        </is>
      </c>
      <c r="I85" s="112" t="inlineStr">
        <is>
          <t>-</t>
        </is>
      </c>
      <c r="J85" s="112" t="inlineStr">
        <is>
          <t>1. Regulatorio SEPS 002-2022 + ISO 27001</t>
        </is>
      </c>
      <c r="K85" s="112" t="inlineStr">
        <is>
          <t>Aplica</t>
        </is>
      </c>
      <c r="L85" s="112" t="inlineStr">
        <is>
          <t>Requerido por ente regulador SEPS</t>
        </is>
      </c>
    </row>
    <row r="86" ht="36" customHeight="1" s="106">
      <c r="A86" s="38" t="inlineStr">
        <is>
          <t>8.26</t>
        </is>
      </c>
      <c r="B86" s="112" t="inlineStr">
        <is>
          <t>Requisitos de seguridad de las aplicaciones</t>
        </is>
      </c>
      <c r="C86" s="112" t="inlineStr">
        <is>
          <t>#Preventivo</t>
        </is>
      </c>
      <c r="D86" s="112" t="inlineStr">
        <is>
          <t>#Confidencialidad, #Integridad, #Disponibilidad</t>
        </is>
      </c>
      <c r="E86" s="112" t="inlineStr">
        <is>
          <t>#Proteger</t>
        </is>
      </c>
      <c r="F86" s="38" t="inlineStr">
        <is>
          <t>#Seguridad_de_aplicaciones</t>
        </is>
      </c>
      <c r="G86" s="112" t="inlineStr">
        <is>
          <t>#Proteccion</t>
        </is>
      </c>
      <c r="H86" s="112" t="inlineStr">
        <is>
          <t>Obligatorio SEPS (Régimen General)</t>
        </is>
      </c>
      <c r="I86" s="112" t="inlineStr">
        <is>
          <t>-</t>
        </is>
      </c>
      <c r="J86" s="112" t="inlineStr">
        <is>
          <t>1. Regulatorio SEPS 002-2022 + ISO 27001</t>
        </is>
      </c>
      <c r="K86" s="112" t="inlineStr">
        <is>
          <t>Aplica</t>
        </is>
      </c>
      <c r="L86" s="112" t="inlineStr">
        <is>
          <t>Requerido por ente regulador SEPS</t>
        </is>
      </c>
    </row>
    <row r="87" ht="48" customHeight="1" s="106">
      <c r="A87" s="38" t="inlineStr">
        <is>
          <t>8.27</t>
        </is>
      </c>
      <c r="B87" s="112" t="inlineStr">
        <is>
          <t>Arquitectura de sistemas seguros y principios de ingeniería</t>
        </is>
      </c>
      <c r="C87" s="112" t="inlineStr">
        <is>
          <t>#Preventivo</t>
        </is>
      </c>
      <c r="D87" s="112" t="inlineStr">
        <is>
          <t>#Confidencialidad, #Integridad, #Disponibilidad</t>
        </is>
      </c>
      <c r="E87" s="112" t="inlineStr">
        <is>
          <t>#Proteger</t>
        </is>
      </c>
      <c r="F87" s="38" t="inlineStr">
        <is>
          <t>#Seguridad_de_aplicaciones</t>
        </is>
      </c>
      <c r="G87" s="112" t="inlineStr">
        <is>
          <t>#Proteccion</t>
        </is>
      </c>
      <c r="H87" s="112" t="inlineStr">
        <is>
          <t>Obligatorio SEPS (Régimen General)</t>
        </is>
      </c>
      <c r="I87" s="112" t="inlineStr">
        <is>
          <t>-</t>
        </is>
      </c>
      <c r="J87" s="112" t="inlineStr">
        <is>
          <t>1. Regulatorio SEPS 002-2022 + ISO 27001</t>
        </is>
      </c>
      <c r="K87" s="112" t="inlineStr">
        <is>
          <t>Aplica</t>
        </is>
      </c>
      <c r="L87" s="112" t="inlineStr">
        <is>
          <t>Requerido por ente regulador SEPS</t>
        </is>
      </c>
    </row>
    <row r="88" ht="36" customHeight="1" s="106">
      <c r="A88" s="38" t="inlineStr">
        <is>
          <t>8.28</t>
        </is>
      </c>
      <c r="B88" s="112" t="inlineStr">
        <is>
          <t>Codificación segura</t>
        </is>
      </c>
      <c r="C88" s="112" t="inlineStr">
        <is>
          <t>#Preventivo</t>
        </is>
      </c>
      <c r="D88" s="112" t="inlineStr">
        <is>
          <t>#Confidencialidad, #Integridad, #Disponibilidad</t>
        </is>
      </c>
      <c r="E88" s="112" t="inlineStr">
        <is>
          <t>#Proteger</t>
        </is>
      </c>
      <c r="F88" s="38" t="inlineStr">
        <is>
          <t>#Seguridad_de_aplicaciones</t>
        </is>
      </c>
      <c r="G88" s="112" t="inlineStr">
        <is>
          <t>#Proteccion</t>
        </is>
      </c>
      <c r="H88" s="112" t="inlineStr">
        <is>
          <t>Obligatorio SEPS (Régimen General)</t>
        </is>
      </c>
      <c r="I88" s="112" t="inlineStr">
        <is>
          <t>-</t>
        </is>
      </c>
      <c r="J88" s="112" t="inlineStr">
        <is>
          <t>1. Regulatorio SEPS 002-2022 + ISO 27001</t>
        </is>
      </c>
      <c r="K88" s="112" t="inlineStr">
        <is>
          <t>Aplica</t>
        </is>
      </c>
      <c r="L88" s="112" t="inlineStr">
        <is>
          <t>Requerido por ente regulador SEPS</t>
        </is>
      </c>
    </row>
    <row r="89" ht="48" customHeight="1" s="106">
      <c r="A89" s="38" t="inlineStr">
        <is>
          <t>8.29</t>
        </is>
      </c>
      <c r="B89" s="112" t="inlineStr">
        <is>
          <t>Pruebas de seguridad en el desarrollo y la aceptación</t>
        </is>
      </c>
      <c r="C89" s="112" t="inlineStr">
        <is>
          <t>#Preventivo, #Detectivo</t>
        </is>
      </c>
      <c r="D89" s="112" t="inlineStr">
        <is>
          <t>#Confidencialidad, #Integridad, #Disponibilidad</t>
        </is>
      </c>
      <c r="E89" s="112" t="inlineStr">
        <is>
          <t>#Proteger</t>
        </is>
      </c>
      <c r="F89" s="38" t="inlineStr">
        <is>
          <t>#Seguridad_de_aplicaciones</t>
        </is>
      </c>
      <c r="G89" s="112" t="inlineStr">
        <is>
          <t>#Proteccion</t>
        </is>
      </c>
      <c r="H89" s="112" t="inlineStr">
        <is>
          <t>Obligatorio SEPS (Régimen General)</t>
        </is>
      </c>
      <c r="I89" s="112" t="inlineStr">
        <is>
          <t>-</t>
        </is>
      </c>
      <c r="J89" s="112" t="inlineStr">
        <is>
          <t>1. Regulatorio SEPS 002-2022 + ISO 27001</t>
        </is>
      </c>
      <c r="K89" s="112" t="inlineStr">
        <is>
          <t>Aplica</t>
        </is>
      </c>
      <c r="L89" s="112" t="inlineStr">
        <is>
          <t>Requerido por ente regulador SEPS</t>
        </is>
      </c>
    </row>
    <row r="90" ht="48" customHeight="1" s="106">
      <c r="A90" s="38" t="inlineStr">
        <is>
          <t>8.30</t>
        </is>
      </c>
      <c r="B90" s="112" t="inlineStr">
        <is>
          <t>Desarrollo externalizado</t>
        </is>
      </c>
      <c r="C90" s="112" t="inlineStr">
        <is>
          <t>#Preventivo</t>
        </is>
      </c>
      <c r="D90" s="112" t="inlineStr">
        <is>
          <t>#Confidencialidad, #Integridad, #Disponibilidad</t>
        </is>
      </c>
      <c r="E90" s="112" t="inlineStr">
        <is>
          <t>#Proteger</t>
        </is>
      </c>
      <c r="F90" s="38" t="inlineStr">
        <is>
          <t>#Seguridad_de_aplicaciones</t>
        </is>
      </c>
      <c r="G90" s="112" t="inlineStr">
        <is>
          <t>#Proteccion</t>
        </is>
      </c>
      <c r="H90" s="112" t="inlineStr">
        <is>
          <t>Mejor Práctica (No obligatorio SEPS)</t>
        </is>
      </c>
      <c r="I90" s="112" t="inlineStr">
        <is>
          <t>-</t>
        </is>
      </c>
      <c r="J90" s="112" t="inlineStr">
        <is>
          <t>4. No Aplica</t>
        </is>
      </c>
      <c r="K90" s="112" t="inlineStr">
        <is>
          <t>No Aplica</t>
        </is>
      </c>
      <c r="L90" s="112" t="inlineStr">
        <is>
          <t>Control 8.30 no es pertinente a los procesos actuales de la entidad</t>
        </is>
      </c>
    </row>
    <row r="91" ht="48" customHeight="1" s="106">
      <c r="A91" s="38" t="inlineStr">
        <is>
          <t>8.31</t>
        </is>
      </c>
      <c r="B91" s="112" t="inlineStr">
        <is>
          <t>Separación de entornos de desarrollo, pruebas y producción</t>
        </is>
      </c>
      <c r="C91" s="112" t="inlineStr">
        <is>
          <t>#Preventivo</t>
        </is>
      </c>
      <c r="D91" s="112" t="inlineStr">
        <is>
          <t>#Confidencialidad, #Integridad, #Disponibilidad</t>
        </is>
      </c>
      <c r="E91" s="112" t="inlineStr">
        <is>
          <t>#Proteger</t>
        </is>
      </c>
      <c r="F91" s="38" t="inlineStr">
        <is>
          <t>#Seguridad_de_sistemas_y_redes</t>
        </is>
      </c>
      <c r="G91" s="112" t="inlineStr">
        <is>
          <t>#Proteccion</t>
        </is>
      </c>
      <c r="H91" s="112" t="inlineStr">
        <is>
          <t>Obligatorio SEPS (Régimen General)</t>
        </is>
      </c>
      <c r="I91" s="112" t="inlineStr">
        <is>
          <t>-</t>
        </is>
      </c>
      <c r="J91" s="112" t="inlineStr">
        <is>
          <t>1. Regulatorio SEPS 002-2022 + ISO 27001</t>
        </is>
      </c>
      <c r="K91" s="112" t="inlineStr">
        <is>
          <t>Aplica</t>
        </is>
      </c>
      <c r="L91" s="112" t="inlineStr">
        <is>
          <t>Requerido por ente regulador SEPS</t>
        </is>
      </c>
    </row>
    <row r="92" ht="36" customHeight="1" s="106">
      <c r="A92" s="38" t="inlineStr">
        <is>
          <t>8.32</t>
        </is>
      </c>
      <c r="B92" s="112" t="inlineStr">
        <is>
          <t>Gestión de cambios</t>
        </is>
      </c>
      <c r="C92" s="112" t="inlineStr">
        <is>
          <t>#Preventivo</t>
        </is>
      </c>
      <c r="D92" s="112" t="inlineStr">
        <is>
          <t>#Confidencialidad, #Integridad, #Disponibilidad</t>
        </is>
      </c>
      <c r="E92" s="112" t="inlineStr">
        <is>
          <t>#Proteger</t>
        </is>
      </c>
      <c r="F92" s="38" t="inlineStr">
        <is>
          <t>#Seguridad_de_sistemas_y_redes</t>
        </is>
      </c>
      <c r="G92" s="112" t="inlineStr">
        <is>
          <t>#Proteccion</t>
        </is>
      </c>
      <c r="H92" s="112" t="inlineStr">
        <is>
          <t>Obligatorio SEPS (Régimen General)</t>
        </is>
      </c>
      <c r="I92" s="112" t="inlineStr">
        <is>
          <t>-</t>
        </is>
      </c>
      <c r="J92" s="112" t="inlineStr">
        <is>
          <t>1. Regulatorio SEPS 002-2022 + ISO 27001</t>
        </is>
      </c>
      <c r="K92" s="112" t="inlineStr">
        <is>
          <t>Aplica</t>
        </is>
      </c>
      <c r="L92" s="112" t="inlineStr">
        <is>
          <t>Requerido por ente regulador SEPS</t>
        </is>
      </c>
    </row>
    <row r="93" ht="36" customHeight="1" s="106">
      <c r="A93" s="38" t="inlineStr">
        <is>
          <t>8.33</t>
        </is>
      </c>
      <c r="B93" s="112" t="inlineStr">
        <is>
          <t>Información de prueba</t>
        </is>
      </c>
      <c r="C93" s="112" t="inlineStr">
        <is>
          <t>#Preventivo</t>
        </is>
      </c>
      <c r="D93" s="112" t="inlineStr">
        <is>
          <t>#Confidencialidad, #Integridad, #Disponibilidad</t>
        </is>
      </c>
      <c r="E93" s="112" t="inlineStr">
        <is>
          <t>#Proteger</t>
        </is>
      </c>
      <c r="F93" s="38" t="inlineStr">
        <is>
          <t>#Seguridad_de_aplicaciones</t>
        </is>
      </c>
      <c r="G93" s="112" t="inlineStr">
        <is>
          <t>#Proteccion</t>
        </is>
      </c>
      <c r="H93" s="112" t="inlineStr">
        <is>
          <t>Obligatorio SEPS (Régimen General)</t>
        </is>
      </c>
      <c r="I93" s="112" t="inlineStr">
        <is>
          <t>-</t>
        </is>
      </c>
      <c r="J93" s="112" t="inlineStr">
        <is>
          <t>1. Regulatorio SEPS 002-2022 + ISO 27001</t>
        </is>
      </c>
      <c r="K93" s="112" t="inlineStr">
        <is>
          <t>Aplica</t>
        </is>
      </c>
      <c r="L93" s="112" t="inlineStr">
        <is>
          <t>Requerido por ente regulador SEPS</t>
        </is>
      </c>
    </row>
    <row r="94" ht="60" customHeight="1" s="106">
      <c r="A94" s="38" t="inlineStr">
        <is>
          <t>8.34</t>
        </is>
      </c>
      <c r="B94" s="112" t="inlineStr">
        <is>
          <t>Protección de los sistemas de información durante las pruebas de auditoría</t>
        </is>
      </c>
      <c r="C94" s="112" t="inlineStr">
        <is>
          <t>#Preventivo</t>
        </is>
      </c>
      <c r="D94" s="112" t="inlineStr">
        <is>
          <t>#Confidencialidad, #Integridad, #Disponibilidad</t>
        </is>
      </c>
      <c r="E94" s="112" t="inlineStr">
        <is>
          <t>#Proteger</t>
        </is>
      </c>
      <c r="F94" s="38" t="inlineStr">
        <is>
          <t>#Seguridad_de_sistemas_y_redes</t>
        </is>
      </c>
      <c r="G94" s="112" t="inlineStr">
        <is>
          <t>#Proteccion</t>
        </is>
      </c>
      <c r="H94" s="112" t="inlineStr">
        <is>
          <t>Mejor Práctica (No obligatorio SEPS)</t>
        </is>
      </c>
      <c r="I94" s="112" t="inlineStr">
        <is>
          <t>-</t>
        </is>
      </c>
      <c r="J94" s="112" t="inlineStr">
        <is>
          <t>3. Tratamiento de Riesgos Específico (ISO 27002 / MAGERIT)</t>
        </is>
      </c>
      <c r="K94" s="112" t="inlineStr">
        <is>
          <t>No Aplica</t>
        </is>
      </c>
      <c r="L94" s="112" t="inlineStr">
        <is>
          <t>No aplicable a la arquitectura/infraestructura actual</t>
        </is>
      </c>
    </row>
  </sheetData>
  <autoFilter ref="A1:L9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94"/>
  <sheetViews>
    <sheetView topLeftCell="D1" zoomScale="93" zoomScaleNormal="93" workbookViewId="0">
      <selection activeCell="I90" sqref="I90"/>
    </sheetView>
  </sheetViews>
  <sheetFormatPr baseColWidth="10" defaultColWidth="8.6640625" defaultRowHeight="11.25"/>
  <cols>
    <col width="9.6640625" customWidth="1" style="33" min="1" max="1"/>
    <col width="35.1640625" customWidth="1" style="112"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91" min="9" max="9"/>
    <col width="17.5" customWidth="1" style="106" min="10" max="10"/>
    <col width="19.1640625" customWidth="1" style="106" min="11" max="11"/>
    <col width="18" customWidth="1" style="106" min="12" max="12"/>
    <col width="13.83203125" customWidth="1" style="106" min="13" max="13"/>
    <col width="14.6640625" customWidth="1" style="106" min="14" max="14"/>
  </cols>
  <sheetData>
    <row r="1" ht="33.75" customHeight="1" s="106">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92"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6">
      <c r="A2" s="33">
        <f>'ANEXO A'!A2</f>
        <v/>
      </c>
      <c r="B2" s="112">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91" t="inlineStr">
        <is>
          <t>6.1. Políticas Generales - Establecer directrices de seguridad (GSO-GSI-MP-GSI)</t>
        </is>
      </c>
    </row>
    <row r="3" ht="33.75" customHeight="1" s="106">
      <c r="A3" s="33">
        <f>'ANEXO A'!A3</f>
        <v/>
      </c>
      <c r="B3" s="112">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91" t="inlineStr">
        <is>
          <t>6.1 Políticas Generales / Sec. 12 SEPS 002: Definir, asignar y comunicar formalmente las funciones del Oficial/Jefe de SI, custodios y comités (GSO-GSI-MP-GSI / SEPS-2022-002).</t>
        </is>
      </c>
    </row>
    <row r="4" ht="33.75" customHeight="1" s="106">
      <c r="A4" s="33">
        <f>'ANEXO A'!A4</f>
        <v/>
      </c>
      <c r="B4" s="112">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91" t="inlineStr">
        <is>
          <t>6.7 Administración de roles y perfiles: Parametrizar y validar incompatibilidad de funciones y accesos mediante matrices SoD y workflows (GSO-GSI-MP-GSI).</t>
        </is>
      </c>
    </row>
    <row r="5" ht="33.75" customHeight="1" s="106">
      <c r="A5" s="33">
        <f>'ANEXO A'!A5</f>
        <v/>
      </c>
      <c r="B5" s="112">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91" t="inlineStr">
        <is>
          <t>6.1 Políticas Generales / Sec. 12 SEPS 002: Compromiso de la Alta Dirección y jefaturas en la exigencia y cumplimiento de políticas de SI (GSO-GSI-MP-GSI / SEPS-2022-002).</t>
        </is>
      </c>
    </row>
    <row r="6" ht="45" customHeight="1" s="106">
      <c r="A6" s="33">
        <f>'ANEXO A'!A6</f>
        <v/>
      </c>
      <c r="B6" s="112">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91" t="inlineStr">
        <is>
          <t>Disposición General 1era SEPS 002 / 6.15 Gestión de Incidentes: Notificación obligatoria e inmediata a la SEPS, Fiscalía y entes de control ante eventos críticos (SEPS-2022-002 / GSO-GSI-MP-GSI).</t>
        </is>
      </c>
    </row>
    <row r="7" ht="45" customHeight="1" s="106">
      <c r="A7" s="33">
        <f>'ANEXO A'!A7</f>
        <v/>
      </c>
      <c r="B7" s="112">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91" t="inlineStr">
        <is>
          <t>Marco Normativo y Alianzas: Mantener membresías, foros y canales de comunicación técnica con asociaciones del sector financiero popular y solidario (ISO 27002 / GSO-GSI-MP-GSI).</t>
        </is>
      </c>
    </row>
    <row r="8" ht="33.75" customHeight="1" s="106">
      <c r="A8" s="33">
        <f>'ANEXO A'!A8</f>
        <v/>
      </c>
      <c r="B8" s="112">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91" t="inlineStr">
        <is>
          <t>10.2 Metodología GAI / 6.19 Escaneo: Recopilación y análisis de fuentes de amenazas adversarias y no adversarias (S1-S40) (GSO-GSI-ME-GAI / GSO-GSI-MP-GSI).</t>
        </is>
      </c>
    </row>
    <row r="9" ht="45" customHeight="1" s="106">
      <c r="A9" s="33">
        <f>'ANEXO A'!A9</f>
        <v/>
      </c>
      <c r="B9" s="112">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91" t="inlineStr">
        <is>
          <t>6.13 Gestión de activos / Anexo 1 SEPS: Inclusión de directrices y análisis de riesgos de SI desde las fases iniciales de nuevos proyectos y servicios (GSO-GSI-ME-GAI / SEPS-2022-002).</t>
        </is>
      </c>
    </row>
    <row r="10" ht="22.5" customHeight="1" s="106">
      <c r="A10" s="33">
        <f>'ANEXO A'!A10</f>
        <v/>
      </c>
      <c r="B10" s="112">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91" t="inlineStr">
        <is>
          <t>6.13. Gestión de activos de información - Mantener un inventario actualizado (GSO-GSI-MP-GSI)</t>
        </is>
      </c>
    </row>
    <row r="11" ht="33.75" customHeight="1" s="106">
      <c r="A11" s="33">
        <f>'ANEXO A'!A11</f>
        <v/>
      </c>
      <c r="B11" s="112">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91" t="inlineStr">
        <is>
          <t>6.16 Revisión y monitoreo de políticas: Difundir y fiscalizar el uso legítimo de estaciones, correo y recursos corporativos (GSO-GSI-MP-GSI).</t>
        </is>
      </c>
    </row>
    <row r="12" ht="33.75" customHeight="1" s="106">
      <c r="A12" s="33">
        <f>'ANEXO A'!A12</f>
        <v/>
      </c>
      <c r="B12" s="112">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91" t="inlineStr">
        <is>
          <t>6.5 Eliminación de usuarios: Recepción formal y descargo de equipos, accesos y credenciales ante terminación o rotación laboral (GSO-GSI-MP-GSI / GSO-GSI-ME-GAI Sec. 1).</t>
        </is>
      </c>
    </row>
    <row r="13" ht="33.75" customHeight="1" s="106">
      <c r="A13" s="33">
        <f>'ANEXO A'!A13</f>
        <v/>
      </c>
      <c r="B13" s="112">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91" t="inlineStr">
        <is>
          <t>Sec. 7 y 8 Metodología GAI: Clasificación y valoración de activos en Confidencialidad, Integridad y Disponibilidad (Pública, Uso Interno, Restringida) (GSO-GSI-ME-GAI).</t>
        </is>
      </c>
    </row>
    <row r="14" ht="33.75" customHeight="1" s="106">
      <c r="A14" s="33">
        <f>'ANEXO A'!A14</f>
        <v/>
      </c>
      <c r="B14" s="112">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91" t="inlineStr">
        <is>
          <t>Sec. 5 y 7 Metodología GAI: Aplicación de lineamientos para marcado y rotulado de información física y digital según su confidencialidad (GSO-GSI-ME-GAI).</t>
        </is>
      </c>
    </row>
    <row r="15" ht="33.75" customHeight="1" s="106">
      <c r="A15" s="33">
        <f>'ANEXO A'!A15</f>
        <v/>
      </c>
      <c r="B15" s="112">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91" t="inlineStr">
        <is>
          <t>6.9 Control de acceso FTP / Acuerdos: Procedimientos seguros de transmisión de datos cifrados interna y externamente vía canales autorizados (GSO-GSI-MP-GSI).</t>
        </is>
      </c>
    </row>
    <row r="16" ht="22.5" customHeight="1" s="106">
      <c r="A16" s="33">
        <f>'ANEXO A'!A16</f>
        <v/>
      </c>
      <c r="B16" s="112">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91" t="inlineStr">
        <is>
          <t>6.2. Creación de nuevos usuarios - Asignación de usuarios y roles según GSO-GSI-MP-GSI</t>
        </is>
      </c>
    </row>
    <row r="17" ht="22.5" customHeight="1" s="106">
      <c r="A17" s="33">
        <f>'ANEXO A'!A17</f>
        <v/>
      </c>
      <c r="B17" s="112">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91" t="inlineStr">
        <is>
          <t>6.2. Creación de nuevos usuarios - Asignación de usuarios y roles según GSO-GSI-MP-GSI</t>
        </is>
      </c>
    </row>
    <row r="18" ht="33.75" customHeight="1" s="106">
      <c r="A18" s="33">
        <f>'ANEXO A'!A18</f>
        <v/>
      </c>
      <c r="B18" s="112">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91" t="inlineStr">
        <is>
          <t>6.11. Cambio de claves de cuentas críticas - Renovar periódicamente las contraseñas (GSO-GSI-MP-GSI)</t>
        </is>
      </c>
    </row>
    <row r="19" ht="45" customHeight="1" s="106">
      <c r="A19" s="33">
        <f>'ANEXO A'!A19</f>
        <v/>
      </c>
      <c r="B19" s="112">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91" t="inlineStr">
        <is>
          <t>6.10. Revisión periódica de roles y usuarios - Control y auditoría de accesos (GSO-GSI-MP-GSI)</t>
        </is>
      </c>
    </row>
    <row r="20" ht="45" customHeight="1" s="106">
      <c r="A20" s="33">
        <f>'ANEXO A'!A20</f>
        <v/>
      </c>
      <c r="B20" s="112">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91" t="inlineStr">
        <is>
          <t>6.19 Escaneo / Disp. General 2da SEPS 002: Evaluación periódica de riesgos de seguridad y solicitud de auditorías a prestadores de servicios (SEPS-2022-002 / GSO-GSI-MP-GSI).</t>
        </is>
      </c>
    </row>
    <row r="21" ht="33.75" customHeight="1" s="106">
      <c r="A21" s="33">
        <f>'ANEXO A'!A21</f>
        <v/>
      </c>
      <c r="B21" s="112">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91" t="inlineStr">
        <is>
          <t>Disp. General 3era SEPS 002: Incorporación obligatoria de cláusulas de seguridad de la información, protección de datos y confidencialidad en contratos (SEPS-2022-002).</t>
        </is>
      </c>
    </row>
    <row r="22" ht="33.75" customHeight="1" s="106">
      <c r="A22" s="33">
        <f>'ANEXO A'!A22</f>
        <v/>
      </c>
      <c r="B22" s="112">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91" t="inlineStr">
        <is>
          <t>Anexo 1 SEPS 002: Evaluación de procedencia, confiabilidad y riesgos en la adquisición de hardware, software y suministros de TIC (SEPS-2022-002).</t>
        </is>
      </c>
    </row>
    <row r="23" ht="33.75" customHeight="1" s="106">
      <c r="A23" s="33">
        <f>'ANEXO A'!A23</f>
        <v/>
      </c>
      <c r="B23" s="112">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91" t="inlineStr">
        <is>
          <t>Anexo 1 SEPS 002 / Disp. General 2da: Supervisión continua de ANS (SLA) y auditoría a cambios técnicos en plataformas provistas por terceros (SEPS-2022-002).</t>
        </is>
      </c>
    </row>
    <row r="24" ht="33.75" customHeight="1" s="106">
      <c r="A24" s="33">
        <f>'ANEXO A'!A24</f>
        <v/>
      </c>
      <c r="B24" s="112">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91" t="inlineStr">
        <is>
          <t>6.2 Azure / 6.12 MyHSM: Gestión de configuraciones, segregación y control de llaves y servicios en esquemas SaaS/PaaS (GSO-GSI-MP-GSI).</t>
        </is>
      </c>
    </row>
    <row r="25" ht="22.5" customHeight="1" s="106">
      <c r="A25" s="33">
        <f>'ANEXO A'!A25</f>
        <v/>
      </c>
      <c r="B25" s="112">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91" t="inlineStr">
        <is>
          <t>6.15. Gestión de incidentes de seguridad de la información - Planificación de respuesta (GSO-GSI-MP-GSI)</t>
        </is>
      </c>
    </row>
    <row r="26" ht="33.75" customHeight="1" s="106">
      <c r="A26" s="33">
        <f>'ANEXO A'!A26</f>
        <v/>
      </c>
      <c r="B26" s="112">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91" t="inlineStr">
        <is>
          <t>6.15 Gestión de incidentes (Act. 2 y 3): Análisis, categorización, clasificación y registro de eventos y riesgos en el sistema RDS (GSO-GSI-MP-GSI).</t>
        </is>
      </c>
    </row>
    <row r="27" ht="33.75" customHeight="1" s="106">
      <c r="A27" s="33">
        <f>'ANEXO A'!A27</f>
        <v/>
      </c>
      <c r="B27" s="112">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91" t="inlineStr">
        <is>
          <t>6.15 Gestión de incidentes (Act. 3, 4 y 5): Ejecución de acciones de contención, mitigación y escalamiento a Gerencia y Comité de Seguridad (GSO-GSI-MP-GSI).</t>
        </is>
      </c>
    </row>
    <row r="28" ht="33.75" customHeight="1" s="106">
      <c r="A28" s="33">
        <f>'ANEXO A'!A28</f>
        <v/>
      </c>
      <c r="B28" s="112">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91" t="inlineStr">
        <is>
          <t>6.15 Gestión de incidentes (Act. 7 y 8): Análisis de causa raíz, actualización de controles y enriquecimiento del Plan Anual de SI (GSO-GSI-MP-GSI).</t>
        </is>
      </c>
    </row>
    <row r="29" ht="33.75" customHeight="1" s="106">
      <c r="A29" s="33">
        <f>'ANEXO A'!A29</f>
        <v/>
      </c>
      <c r="B29" s="112">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91" t="inlineStr">
        <is>
          <t>6.14 Auditoría BD / 6.15 Incidentes: Preservación de logs, pistas de auditoría y cadena de custodia técnica (GSO-GSI-MP-GSI / ISO 27002).</t>
        </is>
      </c>
    </row>
    <row r="30" ht="45" customHeight="1" s="106">
      <c r="A30" s="33">
        <f>'ANEXO A'!A30</f>
        <v/>
      </c>
      <c r="B30" s="112">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91" t="inlineStr">
        <is>
          <t>Anexo 1 SEPS / DRP: Mantenimiento de las salvaguardas de confidencialidad e integridad durante la activación de contingencias (SEPS-2022-002 / ISO 27001).</t>
        </is>
      </c>
    </row>
    <row r="31" ht="33.75" customHeight="1" s="106">
      <c r="A31" s="33">
        <f>'ANEXO A'!A31</f>
        <v/>
      </c>
      <c r="B31" s="112">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91" t="inlineStr">
        <is>
          <t>Anexo 1 SEPS (Planes de Contingencia): Definición y pruebas periódicas de RTO/RPO y continuidad en infraestructura tecnológica (SEPS-2022-002).</t>
        </is>
      </c>
    </row>
    <row r="32" ht="33.75" customHeight="1" s="106">
      <c r="A32" s="33">
        <f>'ANEXO A'!A32</f>
        <v/>
      </c>
      <c r="B32" s="112">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91" t="inlineStr">
        <is>
          <t>Sec. 3 Marco Normativo SEPS 002: Mapeo y cumplimiento sistemático del marco legal (SEPS, LOPDP, ISO 27001) (GSO-GSI-MP-GSI / SEPS-2022-002).</t>
        </is>
      </c>
    </row>
    <row r="33" ht="33.75" customHeight="1" s="106">
      <c r="A33" s="33">
        <f>'ANEXO A'!A33</f>
        <v/>
      </c>
      <c r="B33" s="112">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91" t="inlineStr">
        <is>
          <t>6.13 Gestión de activos / Anexo 1 SEPS: Control y verificación de licenciamiento de software y restricción de uso no autorizado (GSO-GSI-ME-GAI / SEPS-2022-002).</t>
        </is>
      </c>
    </row>
    <row r="34" ht="33.75" customHeight="1" s="106">
      <c r="A34" s="33">
        <f>'ANEXO A'!A34</f>
        <v/>
      </c>
      <c r="B34" s="112">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91" t="inlineStr">
        <is>
          <t>6.1 Políticas / 6.14 Auditoría BD: Custodia, retención y protección física y lógica de bitácoras, actas y registros digitales (GSO-GSI-MP-GSI).</t>
        </is>
      </c>
    </row>
    <row r="35" ht="33.75" customHeight="1" s="106">
      <c r="A35" s="33">
        <f>'ANEXO A'!A35</f>
        <v/>
      </c>
      <c r="B35" s="112">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91" t="inlineStr">
        <is>
          <t>6.17 Escaneo PCI DSS / LOPDP: Tratamiento lícito, enmascaramiento y resguardo de datos personales y tarjetahabientes (GSO-GSI-MP-GSI / SEPS-2022-002).</t>
        </is>
      </c>
    </row>
    <row r="36" ht="33.75" customHeight="1" s="106">
      <c r="A36" s="33">
        <f>'ANEXO A'!A36</f>
        <v/>
      </c>
      <c r="B36" s="112">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91" t="inlineStr">
        <is>
          <t>6.2 Controles / Sec. 12 SEPS 002: Auditorías informáticas internas y externas anuales al SGSI (GSO-GSI-MP-GSI / SEPS-2022-002).</t>
        </is>
      </c>
    </row>
    <row r="37" ht="33.75" customHeight="1" s="106">
      <c r="A37" s="33">
        <f>'ANEXO A'!A37</f>
        <v/>
      </c>
      <c r="B37" s="112">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91" t="inlineStr">
        <is>
          <t>6.16 Revisión y monitoreo: Ejecución de checklist semestral y elaboración de informe de cumplimiento de políticas (GSO-GSI-MP-GSI).</t>
        </is>
      </c>
    </row>
    <row r="38" ht="33.75" customHeight="1" s="106">
      <c r="A38" s="33">
        <f>'ANEXO A'!A38</f>
        <v/>
      </c>
      <c r="B38" s="112">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91" t="inlineStr">
        <is>
          <t>Sec. 6 Procedimientos Operativos GSI: Elaboración, actualización y formalización de manuales e instructivos de seguridad (GSO-GSI-MP-GSI).</t>
        </is>
      </c>
    </row>
    <row r="39" ht="33.75" customHeight="1" s="106">
      <c r="A39" s="33">
        <f>'ANEXO A'!A39</f>
        <v/>
      </c>
      <c r="B39" s="112">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91" t="inlineStr">
        <is>
          <t>6.2 Creación de nuevos usuarios (GTH): Validación previa de antecedentes laborales, penales y académicos por Talento Humano (GSO-GSI-MP-GSI / GTH-IDP).</t>
        </is>
      </c>
    </row>
    <row r="40" ht="33.75" customHeight="1" s="106">
      <c r="A40" s="33">
        <f>'ANEXO A'!A40</f>
        <v/>
      </c>
      <c r="B40" s="112">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91" t="inlineStr">
        <is>
          <t>6.2 Políticas Específicas / GTH: Inclusión contractual de responsabilidades de seguridad y deber de sigilo institucional (GSO-GSI-MP-GSI / SEPS-2022-002).</t>
        </is>
      </c>
    </row>
    <row r="41" ht="33.75" customHeight="1" s="106">
      <c r="A41" s="33">
        <f>'ANEXO A'!A41</f>
        <v/>
      </c>
      <c r="B41" s="112">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91" t="inlineStr">
        <is>
          <t>Anexo 1 SEPS 002 (Cultura de SI): Ejecución del plan anual de capacitación y evaluación de efectividad/madurez en seguridad (SEPS-2022-002).</t>
        </is>
      </c>
    </row>
    <row r="42" ht="33.75" customHeight="1" s="106">
      <c r="A42" s="33">
        <f>'ANEXO A'!A42</f>
        <v/>
      </c>
      <c r="B42" s="112">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91" t="inlineStr">
        <is>
          <t>6.4 Políticas / Reglamento Interno: Aplicación de sanciones ante reincidencia en bloqueos, negligencia o vulneración de políticas de SI (GSO-GSI-MP-GSI).</t>
        </is>
      </c>
    </row>
    <row r="43" ht="33.75" customHeight="1" s="106">
      <c r="A43" s="33">
        <f>'ANEXO A'!A43</f>
        <v/>
      </c>
      <c r="B43" s="112">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91" t="inlineStr">
        <is>
          <t>6.3 Modificación / 6.5 Eliminación de usuarios: Suscripción de acuerdos de confidencialidad permanentes y revocación de accesos al cesar funciones (GSO-GSI-MP-GSI).</t>
        </is>
      </c>
    </row>
    <row r="44" ht="33.75" customHeight="1" s="106">
      <c r="A44" s="33">
        <f>'ANEXO A'!A44</f>
        <v/>
      </c>
      <c r="B44" s="112">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91" t="inlineStr">
        <is>
          <t>6.2 Creación (Equifax/Aval) / GTH: Firma obligatoria de convenios de confidencialidad por colaboradores y terceros (GSO-GSI-MP-GSI).</t>
        </is>
      </c>
    </row>
    <row r="45" ht="33.75" customHeight="1" s="106">
      <c r="A45" s="33">
        <f>'ANEXO A'!A45</f>
        <v/>
      </c>
      <c r="B45" s="112">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91" t="inlineStr">
        <is>
          <t>6.2 VPN Directorio Activo: Uso obligatorio de VPN corporativa y autenticación multifactor para accesos remotos autorizados (GSO-GSI-MP-GSI)</t>
        </is>
      </c>
    </row>
    <row r="46" ht="33.75" customHeight="1" s="106">
      <c r="A46" s="33">
        <f>'ANEXO A'!A46</f>
        <v/>
      </c>
      <c r="B46" s="112">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91" t="inlineStr">
        <is>
          <t>6.15 Gestión de incidentes (Act. 1): Canalización formal vía Service Desk y correo de cualquier evento o anomalía detectada (GSO-GSI-MP-GSI).</t>
        </is>
      </c>
    </row>
    <row r="47" ht="33.75" customHeight="1" s="106">
      <c r="A47" s="33">
        <f>'ANEXO A'!A47</f>
        <v/>
      </c>
      <c r="B47" s="112">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91" t="inlineStr">
        <is>
          <t>Anexo 1 SEPS 002 (Seguridad Física): Delimitación perimetral, puertas de seguridad y áreas de data center con acceso restringido (SEPS-2022-002).</t>
        </is>
      </c>
    </row>
    <row r="48" ht="33.75" customHeight="1" s="106">
      <c r="A48" s="33">
        <f>'ANEXO A'!A48</f>
        <v/>
      </c>
      <c r="B48" s="112">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91" t="inlineStr">
        <is>
          <t>Anexo 1 SEPS 002 / GAD: Control biométrico, tarjetas de proximidad y registro bitacorizado de visitantes (SEPS-2022-002).</t>
        </is>
      </c>
    </row>
    <row r="49" ht="33.75" customHeight="1" s="106">
      <c r="A49" s="33">
        <f>'ANEXO A'!A49</f>
        <v/>
      </c>
      <c r="B49" s="112">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91" t="inlineStr">
        <is>
          <t>Anexo 1 SEPS 002: Protección de zonas sensibles y aislamiento físico de áreas de procesamiento crítico (SEPS-2022-002).</t>
        </is>
      </c>
    </row>
    <row r="50" ht="33.75" customHeight="1" s="106">
      <c r="A50" s="33">
        <f>'ANEXO A'!A50</f>
        <v/>
      </c>
      <c r="B50" s="112">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91" t="inlineStr">
        <is>
          <t>Anexo 1 SEPS 002 / CCTV: Monitoreo y grabación permanente mediante Circuito Cerrado de Televisión y sensores de alarma (SEPS-2022-002).</t>
        </is>
      </c>
    </row>
    <row r="51" ht="45" customHeight="1" s="106">
      <c r="A51" s="33">
        <f>'ANEXO A'!A51</f>
        <v/>
      </c>
      <c r="B51" s="112">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91" t="inlineStr">
        <is>
          <t>Sec. 10.2.1 Metodología GAI (S31-S40): Sistemas de detección y extinción de incendios (FM200/gas), sensores de inundación y pararrayos (GSO-GSI-ME-GAI / SEPS-2022-002).</t>
        </is>
      </c>
    </row>
    <row r="52" ht="33.75" customHeight="1" s="106">
      <c r="A52" s="33">
        <f>'ANEXO A'!A52</f>
        <v/>
      </c>
      <c r="B52" s="112">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91" t="inlineStr">
        <is>
          <t>6.11 Claves críticas / 6.12 Llaves: Procedimientos restringidos para custodia de cajas fuertes y zonas de cifrado bajo estricto control (GSO-GSI-MP-GSI).</t>
        </is>
      </c>
    </row>
    <row r="53" ht="33.75" customHeight="1" s="106">
      <c r="A53" s="33">
        <f>'ANEXO A'!A53</f>
        <v/>
      </c>
      <c r="B53" s="112">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91" t="inlineStr">
        <is>
          <t>6.16 Revisión y monitoreo de políticas: Bloqueo automático de estación por inactividad y resguardo bajo llave de documentos físicos (GSO-GSI-MP-GSI).</t>
        </is>
      </c>
    </row>
    <row r="54" ht="33.75" customHeight="1" s="106">
      <c r="A54" s="33">
        <f>'ANEXO A'!A54</f>
        <v/>
      </c>
      <c r="B54" s="112">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91" t="inlineStr">
        <is>
          <t>6.13 Gestión de activos / TI: Ubicación de servidores y racks en centros de datos con control de clima y energía (GSO-GSI-ME-GAI / SEPS-2022-002).</t>
        </is>
      </c>
    </row>
    <row r="55" ht="33.75" customHeight="1" s="106">
      <c r="A55" s="33">
        <f>'ANEXO A'!A55</f>
        <v/>
      </c>
      <c r="B55" s="112">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91" t="inlineStr">
        <is>
          <t>6.1 Políticas Generales (Item 4): Equipos portátiles integrados al Directorio Activo, antivirus y cifrado de disco (GSO-GSI-MP-GSI).</t>
        </is>
      </c>
    </row>
    <row r="56" ht="33.75" customHeight="1" s="106">
      <c r="A56" s="33">
        <f>'ANEXO A'!A56</f>
        <v/>
      </c>
      <c r="B56" s="112">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91" t="inlineStr">
        <is>
          <t>6.9 FTP / 6.13 Activos: Control y restricción de medios extraíbles (USB/discos) y almacenamiento de backups (GSO-GSI-MP-GSI / GSO-GSI-ME-GAI).</t>
        </is>
      </c>
    </row>
    <row r="57" ht="33.75" customHeight="1" s="106">
      <c r="A57" s="33">
        <f>'ANEXO A'!A57</f>
        <v/>
      </c>
      <c r="B57" s="112">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91" t="inlineStr">
        <is>
          <t>Sec. 10.2.1 Metodología GAI (S32-S33): Respaldo eléctrico mediante UPS redundantes y generador eléctrico (GSO-GSI-ME-GAI / SEPS-2022-002).</t>
        </is>
      </c>
    </row>
    <row r="58" ht="33.75" customHeight="1" s="106">
      <c r="A58" s="33">
        <f>'ANEXO A'!A58</f>
        <v/>
      </c>
      <c r="B58" s="112">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91" t="inlineStr">
        <is>
          <t>Anexo 1 SEPS (Infraestructura): Cableado estructurado canalizado, ordenado y protegido en ductos cerrados (SEPS-2022-002).</t>
        </is>
      </c>
    </row>
    <row r="59" ht="33.75" customHeight="1" s="106">
      <c r="A59" s="33">
        <f>'ANEXO A'!A59</f>
        <v/>
      </c>
      <c r="B59" s="112">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91" t="inlineStr">
        <is>
          <t>6.19 Escaneo / Plan TI: Mantenimiento preventivo y correctivo periódico a infraestructura bajo bitácora y supervisión (GSO-GSI-MP-GSI / SEPS-2022-002).</t>
        </is>
      </c>
    </row>
    <row r="60" ht="33.75" customHeight="1" s="106">
      <c r="A60" s="33">
        <f>'ANEXO A'!A60</f>
        <v/>
      </c>
      <c r="B60" s="112">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91" t="inlineStr">
        <is>
          <t>Sec. 1 Metodología GAI / Bajas TI: Borrado seguro de medios de almacenamiento y desmagnetización/destrucción de discos dados de baja (GSO-GSI-ME-GAI / ISO 27002).</t>
        </is>
      </c>
    </row>
    <row r="61" ht="33.75" customHeight="1" s="106">
      <c r="A61" s="33">
        <f>'ANEXO A'!A61</f>
        <v/>
      </c>
      <c r="B61" s="112">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91" t="inlineStr">
        <is>
          <t>6.1 Políticas Generales (Item 4) / 6.16: Gestión unificada por Directorio Activo, políticas GPO y monitoreo de terminales (GSO-GSI-MP-GSI).</t>
        </is>
      </c>
    </row>
    <row r="62" ht="22.5" customHeight="1" s="106">
      <c r="A62" s="33">
        <f>'ANEXO A'!A62</f>
        <v/>
      </c>
      <c r="B62" s="112">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91" t="inlineStr">
        <is>
          <t>6.7. Administración de roles y perfiles - Control de acceso privilegiado (GSO-GSI-MP-GSI)</t>
        </is>
      </c>
    </row>
    <row r="63" ht="22.5" customHeight="1" s="106">
      <c r="A63" s="33">
        <f>'ANEXO A'!A63</f>
        <v/>
      </c>
      <c r="B63" s="112">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91" t="inlineStr">
        <is>
          <t>6.4. Bloqueo y Desbloqueo de usuarios / 6.5 Eliminación de usuarios (GSO-GSI-MP-GSI)</t>
        </is>
      </c>
    </row>
    <row r="64" ht="45" customHeight="1" s="106">
      <c r="A64" s="33">
        <f>'ANEXO A'!A64</f>
        <v/>
      </c>
      <c r="B64" s="112">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91" t="inlineStr">
        <is>
          <t>Anexo 1 SEPS (Desarrollo): Restricción y control de repositorios de software y herramientas de desarrollo bajo mínima asignación de privilegios (SEPS-2022-002 / ISO 27002).</t>
        </is>
      </c>
    </row>
    <row r="65" ht="33.75" customHeight="1" s="106">
      <c r="A65" s="33">
        <f>'ANEXO A'!A65</f>
        <v/>
      </c>
      <c r="B65" s="112">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91" t="inlineStr">
        <is>
          <t>6.4 Bloqueo / 6.2 MFA Azure: Implementación de contraseñas robustas, bloqueo por intentos fallidos y autenticación multifactor (GSO-GSI-MP-GSI).</t>
        </is>
      </c>
    </row>
    <row r="66" ht="33.75" customHeight="1" s="106">
      <c r="A66" s="33">
        <f>'ANEXO A'!A66</f>
        <v/>
      </c>
      <c r="B66" s="112">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91" t="inlineStr">
        <is>
          <t>6.14 Auditoría BD (Pol. 5): Monitoreo semestral del consumo de recursos, almacenamiento y rendimiento de base de datos y Core (GSO-GSI-MP-GSI).</t>
        </is>
      </c>
    </row>
    <row r="67" ht="33.75" customHeight="1" s="106">
      <c r="A67" s="33">
        <f>'ANEXO A'!A67</f>
        <v/>
      </c>
      <c r="B67" s="112">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91" t="inlineStr">
        <is>
          <t>6.11 Cuentas Críticas (Antivirus/AntiSpam): Administración centralizada de consola antivirus, filtros antispam y actualización de firmas (GSO-GSI-MP-GSI).</t>
        </is>
      </c>
    </row>
    <row r="68" ht="45" customHeight="1" s="106">
      <c r="A68" s="33">
        <f>'ANEXO A'!A68</f>
        <v/>
      </c>
      <c r="B68" s="112">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91" t="inlineStr">
        <is>
          <t>6.19. Escaneo de vulnerabilidades internas y externas - Mantenimiento de software (GSO-GSI-MP-GSI)</t>
        </is>
      </c>
    </row>
    <row r="69" ht="45" customHeight="1" s="106">
      <c r="A69" s="33">
        <f>'ANEXO A'!A69</f>
        <v/>
      </c>
      <c r="B69" s="112">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91" t="inlineStr">
        <is>
          <t>Anexo 1 SEPS 002 (Configuración): Establecimiento y auditoría de líneas base seguras (Hardening) en servidores, BD y comunicaciones (SEPS-2022-002).</t>
        </is>
      </c>
    </row>
    <row r="70" ht="33.75" customHeight="1" s="106">
      <c r="A70" s="33">
        <f>'ANEXO A'!A70</f>
        <v/>
      </c>
      <c r="B70" s="112">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91" t="inlineStr">
        <is>
          <t>6.5 Eliminación de usuarios / Retención: Expiración de productos/roles y purga segura de archivos temporales (GSO-GSI-MP-GSI / ISO 27002).</t>
        </is>
      </c>
    </row>
    <row r="71" ht="33.75" customHeight="1" s="106">
      <c r="A71" s="33">
        <f>'ANEXO A'!A71</f>
        <v/>
      </c>
      <c r="B71" s="112">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91" t="inlineStr">
        <is>
          <t>6.17 Escaneo PCI DSS (Pol. 3-6): Truncamiento y ofuscación del PAN (visibilidad máx. primeros 6 y últimos 4 dígitos) (GSO-GSI-MP-GSI).</t>
        </is>
      </c>
    </row>
    <row r="72" ht="33.75" customHeight="1" s="106">
      <c r="A72" s="33">
        <f>'ANEXO A'!A72</f>
        <v/>
      </c>
      <c r="B72" s="112">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91" t="inlineStr">
        <is>
          <t>6.9 Control FTP / 6.17 PCI DSS: Restricción de descargas masivas, monitoreo de canales de salida y bloqueo de fuga de información crítica (GSO-GSI-MP-GSI).</t>
        </is>
      </c>
    </row>
    <row r="73" ht="45" customHeight="1" s="106">
      <c r="A73" s="33">
        <f>'ANEXO A'!A73</f>
        <v/>
      </c>
      <c r="B73" s="112">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91" t="inlineStr">
        <is>
          <t>Anexo 1 SEPS 002 (Respaldos): Resguardo periódico automatizado de BD y aplicativos, y pruebas semestrales de restauración (SEPS-2022-002).</t>
        </is>
      </c>
    </row>
    <row r="74" ht="33.75" customHeight="1" s="106">
      <c r="A74" s="33">
        <f>'ANEXO A'!A74</f>
        <v/>
      </c>
      <c r="B74" s="112">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91" t="inlineStr">
        <is>
          <t>Anexo 1 SEPS (Arquitectura): Implementación de clúster de servidores, alta disponibilidad de BD y enlaces de comunicación alternos (SEPS-2022-002).</t>
        </is>
      </c>
    </row>
    <row r="75" ht="33.75" customHeight="1" s="106">
      <c r="A75" s="33">
        <f>'ANEXO A'!A75</f>
        <v/>
      </c>
      <c r="B75" s="112">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91" t="inlineStr">
        <is>
          <t>6.14. Administración de la auditoría de la base de datos - Registro y monitoreo de eventos (GSO-GSI-MP-GSI)</t>
        </is>
      </c>
    </row>
    <row r="76" ht="33.75" customHeight="1" s="106">
      <c r="A76" s="33">
        <f>'ANEXO A'!A76</f>
        <v/>
      </c>
      <c r="B76" s="112">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91" t="inlineStr">
        <is>
          <t>6.14 Auditoría BD / 6.16 Monitoreo: Supervisión continua mediante scripts, logs de base de datos y herramientas de red (GSO-GSI-MP-GSI).</t>
        </is>
      </c>
    </row>
    <row r="77" ht="33.75" customHeight="1" s="106">
      <c r="A77" s="33">
        <f>'ANEXO A'!A77</f>
        <v/>
      </c>
      <c r="B77" s="112">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91" t="inlineStr">
        <is>
          <t>Anexo 1 SEPS (Logs y Detección): Sincronización automática de todos los servidores y estaciones a fuentes horarias oficiales (NTP) (SEPS-2022-002 / ISO 27002).</t>
        </is>
      </c>
    </row>
    <row r="78" ht="33.75" customHeight="1" s="106">
      <c r="A78" s="33">
        <f>'ANEXO A'!A78</f>
        <v/>
      </c>
      <c r="B78" s="112">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91" t="inlineStr">
        <is>
          <t>6.11 Cuentas Críticas / 6.14 BD: Restricción estricta de ejecución de scripts DDL/DML directos y herramientas de bajo nivel (GSO-GSI-MP-GSI).</t>
        </is>
      </c>
    </row>
    <row r="79" ht="45" customHeight="1" s="106">
      <c r="A79" s="33">
        <f>'ANEXO A'!A79</f>
        <v/>
      </c>
      <c r="B79" s="112">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91" t="inlineStr">
        <is>
          <t>6.1 Políticas (Item 4) / GPO: Bloqueo de permisos de instalación a usuarios finales; software desplegado centralmente por TI (GSO-GSI-MP-GSI).</t>
        </is>
      </c>
    </row>
    <row r="80" ht="45" customHeight="1" s="106">
      <c r="A80" s="33">
        <f>'ANEXO A'!A80</f>
        <v/>
      </c>
      <c r="B80" s="112">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91" t="inlineStr">
        <is>
          <t>6.11 Firewalls / Enrutadores: Administración de firewalls de borde, políticas de enrutamiento y reglas de filtrado perimetral (GSO-GSI-MP-GSI).</t>
        </is>
      </c>
    </row>
    <row r="81" ht="33.75" customHeight="1" s="106">
      <c r="A81" s="33">
        <f>'ANEXO A'!A81</f>
        <v/>
      </c>
      <c r="B81" s="112">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91" t="inlineStr">
        <is>
          <t>6.11 FiltraWeb / AntiSpam: Gestión de seguridad y niveles de servicio en DNS, navegación y correo electrónico (GSO-GSI-MP-GSI).</t>
        </is>
      </c>
    </row>
    <row r="82" ht="33.75" customHeight="1" s="106">
      <c r="A82" s="33">
        <f>'ANEXO A'!A82</f>
        <v/>
      </c>
      <c r="B82" s="112">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91" t="inlineStr">
        <is>
          <t>6.17 Ambiente PCI / 6.18 Wireless: Aislamiento de VLANs operativas, red de ambiente de tarjetas (PCI) y red Wi-Fi de clientes (GSO-GSI-MP-GSI).</t>
        </is>
      </c>
    </row>
    <row r="83" ht="33.75" customHeight="1" s="106">
      <c r="A83" s="33">
        <f>'ANEXO A'!A83</f>
        <v/>
      </c>
      <c r="B83" s="112">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91" t="inlineStr">
        <is>
          <t>6.11 Cuentas Críticas (FiltraWeb): Bloqueo de sitios web maliciosos, redes no laborales y categorías de riesgo (GSO-GSI-MP-GSI).</t>
        </is>
      </c>
    </row>
    <row r="84" ht="22.5" customHeight="1" s="106">
      <c r="A84" s="33">
        <f>'ANEXO A'!A84</f>
        <v/>
      </c>
      <c r="B84" s="112">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91" t="inlineStr">
        <is>
          <t>6.12. Creación, ingreso y custodia de llaves criptográficas - Cifrado (GSO-GSI-MP-GSI)</t>
        </is>
      </c>
    </row>
    <row r="85" ht="33.75" customHeight="1" s="106">
      <c r="A85" s="33">
        <f>'ANEXO A'!A85</f>
        <v/>
      </c>
      <c r="B85" s="112">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91" t="inlineStr">
        <is>
          <t>6.11 Cuentas Críticas (FiltraWeb): Bloqueo de sitios web maliciosos, redes no laborales y categorías de riesgo (GSO-GSI-MP-GSI).</t>
        </is>
      </c>
    </row>
    <row r="86" ht="33.75" customHeight="1" s="106">
      <c r="A86" s="33">
        <f>'ANEXO A'!A86</f>
        <v/>
      </c>
      <c r="B86" s="112">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91" t="inlineStr">
        <is>
          <t>Anexo 1 SEPS 002 (Gestión de software): Definición de requisitos de autenticación, transaccionalidad y cifrado en nuevas soluciones (SEPS-2022-002).</t>
        </is>
      </c>
    </row>
    <row r="87" ht="33.75" customHeight="1" s="106">
      <c r="A87" s="33">
        <f>'ANEXO A'!A87</f>
        <v/>
      </c>
      <c r="B87" s="112">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91" t="inlineStr">
        <is>
          <t>Anexo 1 SEPS 002 (Arquitectura Segura): Aplicación de principios de defensa en profundidad, zonas desmilitarizadas y segmentación (SEPS-2022-002).</t>
        </is>
      </c>
    </row>
    <row r="88" ht="33.75" customHeight="1" s="106">
      <c r="A88" s="33">
        <f>'ANEXO A'!A88</f>
        <v/>
      </c>
      <c r="B88" s="112">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91" t="inlineStr">
        <is>
          <t>Anexo 1 SEPS / OWASP: Implementación de buenas prácticas de programación para evitar inyecciones, XSS y fallos lógicos (SEPS-2022-002 / ISO 27002).</t>
        </is>
      </c>
    </row>
    <row r="89" ht="45" customHeight="1" s="106">
      <c r="A89" s="33">
        <f>'ANEXO A'!A89</f>
        <v/>
      </c>
      <c r="B89" s="112">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91" t="inlineStr">
        <is>
          <t>6.19 Escaneo / Anexo 1 SEPS: Ejecución de pruebas de vulnerabilidad, análisis estático y pruebas de aceptación previas a pase a producción (GSO-GSI-MP-GSI / SEPS-2022-002).</t>
        </is>
      </c>
    </row>
    <row r="90" ht="33.75" customHeight="1" s="106">
      <c r="A90" s="33">
        <f>'ANEXO A'!A90</f>
        <v/>
      </c>
      <c r="B90" s="112">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91" t="inlineStr">
        <is>
          <t>Anexo 1 SEPS / Disposición 2da: Exigir entrega de código probado, escaneos de seguridad y cumplimiento normativo a fábricas de software (SEPS-2022-002).</t>
        </is>
      </c>
    </row>
    <row r="91" ht="33.75" customHeight="1" s="106">
      <c r="A91" s="33">
        <f>'ANEXO A'!A91</f>
        <v/>
      </c>
      <c r="B91" s="112">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91" t="inlineStr">
        <is>
          <t>Anexo 1 SEPS (Desarrollo y Pruebas): Aislamiento estricto de ambientes de desarrollo, pruebas y producción sin uso de datos reales (SEPS-2022-002).</t>
        </is>
      </c>
    </row>
    <row r="92" ht="33.75" customHeight="1" s="106">
      <c r="A92" s="33">
        <f>'ANEXO A'!A92</f>
        <v/>
      </c>
      <c r="B92" s="112">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91" t="inlineStr">
        <is>
          <t>Anexo 1 SEPS (Gestión de Cambios): Procedimiento formal de solicitud, evaluación de impacto de seguridad, aprobación y rollback de cambios (SEPS-2022-002).</t>
        </is>
      </c>
    </row>
    <row r="93" ht="33.75" customHeight="1" s="106">
      <c r="A93" s="33">
        <f>'ANEXO A'!A93</f>
        <v/>
      </c>
      <c r="B93" s="112">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91" t="inlineStr">
        <is>
          <t>6.17 PCI DSS / Anexo 1 SEPS: Uso de datos ficticios, anonimizados u ofuscados para las pruebas de aplicaciones (GSO-GSI-MP-GSI / SEPS-2022-002).</t>
        </is>
      </c>
    </row>
    <row r="94" ht="33.75" customHeight="1" s="106">
      <c r="A94" s="33">
        <f>'ANEXO A'!A94</f>
        <v/>
      </c>
      <c r="B94" s="112">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91"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94"/>
  <sheetViews>
    <sheetView workbookViewId="0">
      <selection activeCell="L3" sqref="L3"/>
    </sheetView>
  </sheetViews>
  <sheetFormatPr baseColWidth="10" defaultColWidth="9.33203125" defaultRowHeight="11.25"/>
  <cols>
    <col width="9.33203125" customWidth="1" style="38" min="1" max="1"/>
    <col width="24.1640625" customWidth="1" style="38" min="2" max="2"/>
    <col width="18.83203125" customWidth="1" style="38" min="3" max="3"/>
    <col width="9.33203125" customWidth="1" style="38" min="4" max="4"/>
    <col width="18" customWidth="1" style="38" min="5" max="5"/>
    <col width="20.83203125" customWidth="1" style="38" min="6" max="6"/>
    <col width="15.33203125" customWidth="1" style="38" min="7" max="7"/>
    <col width="21.83203125" customWidth="1" style="38" min="8" max="8"/>
    <col width="38.1640625" customWidth="1" style="38" min="9" max="9"/>
    <col width="32.1640625" customWidth="1" style="112" min="10" max="10"/>
    <col width="46.83203125" customWidth="1" style="112" min="11" max="11"/>
    <col width="37.1640625" customWidth="1" style="112" min="12" max="12"/>
    <col width="18" customWidth="1" style="38" min="13" max="13"/>
    <col width="17.1640625" customWidth="1" style="38" min="14" max="14"/>
    <col width="20.5" customWidth="1" style="38" min="15" max="15"/>
    <col width="22.6640625" customWidth="1" style="38" min="16" max="16"/>
    <col width="23.6640625" customWidth="1" style="38" min="17" max="17"/>
    <col width="9.33203125" customWidth="1" style="38" min="18" max="18"/>
    <col width="9.33203125" customWidth="1" style="38" min="19" max="16384"/>
  </cols>
  <sheetData>
    <row r="1" ht="33.75" customFormat="1" customHeight="1" s="112">
      <c r="A1" s="94" t="inlineStr">
        <is>
          <t>ID Control</t>
        </is>
      </c>
      <c r="B1" s="94" t="inlineStr">
        <is>
          <t>Nombre del Control</t>
        </is>
      </c>
      <c r="C1" s="94" t="inlineStr">
        <is>
          <t>Dominio ISO 27001</t>
        </is>
      </c>
      <c r="D1" s="94" t="inlineStr">
        <is>
          <t>¿Aplica?</t>
        </is>
      </c>
      <c r="E1" s="94" t="inlineStr">
        <is>
          <t>Obligatoriedad Regulatoria SEPS</t>
        </is>
      </c>
      <c r="F1" s="94" t="inlineStr">
        <is>
          <t>Control Metodología GSO-GSI</t>
        </is>
      </c>
      <c r="G1" s="94" t="inlineStr">
        <is>
          <t>Origen de Aplicabilidad</t>
        </is>
      </c>
      <c r="H1" s="94" t="inlineStr">
        <is>
          <t>Justificación Inclusión / Exclusión</t>
        </is>
      </c>
      <c r="I1" s="93" t="inlineStr">
        <is>
          <t>Acción</t>
        </is>
      </c>
      <c r="J1" s="93" t="inlineStr">
        <is>
          <t>Tareas</t>
        </is>
      </c>
      <c r="K1" s="93" t="inlineStr">
        <is>
          <t>Objetivo</t>
        </is>
      </c>
      <c r="L1" s="93" t="inlineStr">
        <is>
          <t>Control</t>
        </is>
      </c>
      <c r="M1" s="93" t="inlineStr">
        <is>
          <t>Estado de Implementación</t>
        </is>
      </c>
      <c r="N1" s="93" t="inlineStr">
        <is>
          <t>Tipo de Protección</t>
        </is>
      </c>
      <c r="O1" s="93" t="inlineStr">
        <is>
          <t>Nivel de Madurez / Efectividad</t>
        </is>
      </c>
      <c r="P1" s="93" t="inlineStr">
        <is>
          <t>Riesgos / Amenazas que Mitiga</t>
        </is>
      </c>
      <c r="Q1" s="93" t="inlineStr">
        <is>
          <t>Evidencia / Documentación Asociada</t>
        </is>
      </c>
    </row>
    <row r="2" ht="67.5" customHeight="1" s="106">
      <c r="A2" s="38">
        <f>'ANEXO A'!A2</f>
        <v/>
      </c>
      <c r="B2" s="38">
        <f>IFERROR(VLOOKUP(A2, 'ANEXO A'!$A$2:$L$94, 2, FALSE), "")</f>
        <v/>
      </c>
      <c r="C2" s="38">
        <f>IF(LEFT(A2,1)="5", "5. Organizacionales", IF(LEFT(A2,1)="6", "6. Personas", IF(LEFT(A2,1)="7", "7. Físicos", "8. Tecnológicos")))</f>
        <v/>
      </c>
      <c r="D2" s="38">
        <f>IFERROR(VLOOKUP(A2, 'ANEXO A'!$A$2:$L$94, 11, FALSE), "")</f>
        <v/>
      </c>
      <c r="E2" s="38">
        <f>IFERROR(VLOOKUP(A2, 'ANEXO A'!$A$2:$L$94, 8, FALSE), "")</f>
        <v/>
      </c>
      <c r="F2" s="38">
        <f>IFERROR(VLOOKUP(A2, 'ANEXO A'!$A$2:$L$94, 9, FALSE), "")</f>
        <v/>
      </c>
      <c r="G2" s="38">
        <f>IFERROR(VLOOKUP(A2, 'ANEXO A'!$A$2:$L$94, 10, FALSE), "")</f>
        <v/>
      </c>
      <c r="H2" s="38">
        <f>IFERROR(VLOOKUP(A2, 'ANEXO A'!$A$2:$L$94, 12, FALSE), "")</f>
        <v/>
      </c>
      <c r="I2" s="38" t="inlineStr">
        <is>
          <t>6.1. Políticas Generales - Establecer directrices de seguridad (GSO-GSI-MP-GSI)</t>
        </is>
      </c>
      <c r="J2" s="112">
        <f>"• Establecer lineamientos para " &amp; IFERROR(VLOOKUP(A2, 'ANEXO A'!$A$2:$L$94, 2, FALSE), "Este Control") &amp; CHAR(10) &amp; "• Definir roles para el control " &amp; A2 &amp; CHAR(10) &amp; "• Revisar efectividad de " &amp; IFERROR(VLOOKUP(A2, 'ANEXO A'!$A$2:$L$94, 2, FALSE), "Este Control")</f>
        <v/>
      </c>
      <c r="K2" s="112" t="inlineStr">
        <is>
          <t>Asegurar el cumplimiento, control y resguardo continuo de los procesos de Políticas para la seguridad de la información a fin de mitigar riesgos y mantener la alineación a los principios de confidencialidad, integridad y disponibilidad aplicables a este dominio.</t>
        </is>
      </c>
      <c r="L2" s="112" t="inlineStr">
        <is>
          <t>La organización deberá implementar, registrar y monitorear operativamente todos los protocolos relacionados a Políticas para la seguridad de la información, estableciendo políticas técnicas correspondientes.</t>
        </is>
      </c>
    </row>
    <row r="3" ht="78.75" customHeight="1" s="106">
      <c r="A3" s="38">
        <f>'ANEXO A'!A3</f>
        <v/>
      </c>
      <c r="B3" s="38">
        <f>IFERROR(VLOOKUP(A3, 'ANEXO A'!$A$2:$L$94, 2, FALSE), "")</f>
        <v/>
      </c>
      <c r="C3" s="38">
        <f>IF(LEFT(A3,1)="5", "5. Organizacionales", IF(LEFT(A3,1)="6", "6. Personas", IF(LEFT(A3,1)="7", "7. Físicos", "8. Tecnológicos")))</f>
        <v/>
      </c>
      <c r="D3" s="38">
        <f>IFERROR(VLOOKUP(A3, 'ANEXO A'!$A$2:$L$94, 11, FALSE), "")</f>
        <v/>
      </c>
      <c r="E3" s="38">
        <f>IFERROR(VLOOKUP(A3, 'ANEXO A'!$A$2:$L$94, 8, FALSE), "")</f>
        <v/>
      </c>
      <c r="F3" s="38">
        <f>IFERROR(VLOOKUP(A3, 'ANEXO A'!$A$2:$L$94, 9, FALSE), "")</f>
        <v/>
      </c>
      <c r="G3" s="38">
        <f>IFERROR(VLOOKUP(A3, 'ANEXO A'!$A$2:$L$94, 10, FALSE), "")</f>
        <v/>
      </c>
      <c r="H3" s="38">
        <f>IFERROR(VLOOKUP(A3, 'ANEXO A'!$A$2:$L$94, 12, FALSE), "")</f>
        <v/>
      </c>
      <c r="I3" s="38" t="inlineStr">
        <is>
          <t>6.1 Políticas Generales / Sec. 12 SEPS 002: Definir, asignar y comunicar formalmente las funciones del Oficial/Jefe de SI, custodios y comités (GSO-GSI-MP-GSI / SEPS-2022-002).</t>
        </is>
      </c>
      <c r="J3" s="112">
        <f>"• Establecer lineamientos para " &amp; IFERROR(VLOOKUP(A3, 'ANEXO A'!$A$2:$L$94, 2, FALSE), "Este Control") &amp; CHAR(10) &amp; "• Definir roles para el control " &amp; A3 &amp; CHAR(10) &amp; "• Revisar efectividad de " &amp; IFERROR(VLOOKUP(A3, 'ANEXO A'!$A$2:$L$94, 2, FALSE), "Este Control")</f>
        <v/>
      </c>
      <c r="K3" s="112" t="inlineStr">
        <is>
          <t>Asegurar el cumplimiento, control y resguardo continuo de los procesos de Funciones y responsabilidades de seguridad de la información a fin de mitigar riesgos y mantener la alineación a los principios de confidencialidad, integridad y disponibilidad aplicables a este dominio.</t>
        </is>
      </c>
      <c r="L3" s="112" t="inlineStr">
        <is>
          <t>La organización deberá implementar, registrar y monitorear operativamente todos los protocolos relacionados a Funciones y responsabilidades de seguridad de la información, estableciendo políticas técnicas correspondientes.</t>
        </is>
      </c>
    </row>
    <row r="4" ht="56.25" customHeight="1" s="106">
      <c r="A4" s="38">
        <f>'ANEXO A'!A4</f>
        <v/>
      </c>
      <c r="B4" s="38">
        <f>IFERROR(VLOOKUP(A4, 'ANEXO A'!$A$2:$L$94, 2, FALSE), "")</f>
        <v/>
      </c>
      <c r="C4" s="38">
        <f>IF(LEFT(A4,1)="5", "5. Organizacionales", IF(LEFT(A4,1)="6", "6. Personas", IF(LEFT(A4,1)="7", "7. Físicos", "8. Tecnológicos")))</f>
        <v/>
      </c>
      <c r="D4" s="38">
        <f>IFERROR(VLOOKUP(A4, 'ANEXO A'!$A$2:$L$94, 11, FALSE), "")</f>
        <v/>
      </c>
      <c r="E4" s="38">
        <f>IFERROR(VLOOKUP(A4, 'ANEXO A'!$A$2:$L$94, 8, FALSE), "")</f>
        <v/>
      </c>
      <c r="F4" s="38">
        <f>IFERROR(VLOOKUP(A4, 'ANEXO A'!$A$2:$L$94, 9, FALSE), "")</f>
        <v/>
      </c>
      <c r="G4" s="38">
        <f>IFERROR(VLOOKUP(A4, 'ANEXO A'!$A$2:$L$94, 10, FALSE), "")</f>
        <v/>
      </c>
      <c r="H4" s="38">
        <f>IFERROR(VLOOKUP(A4, 'ANEXO A'!$A$2:$L$94, 12, FALSE), "")</f>
        <v/>
      </c>
      <c r="I4" s="38" t="inlineStr">
        <is>
          <t>6.7 Administración de roles y perfiles: Parametrizar y validar incompatibilidad de funciones y accesos mediante matrices SoD y workflows (GSO-GSI-MP-GSI).</t>
        </is>
      </c>
      <c r="J4" s="112">
        <f>"• Establecer lineamientos para " &amp; IFERROR(VLOOKUP(A4, 'ANEXO A'!$A$2:$L$94, 2, FALSE), "Este Control") &amp; CHAR(10) &amp; "• Definir roles para el control " &amp; A4 &amp; CHAR(10) &amp; "• Revisar efectividad de " &amp; IFERROR(VLOOKUP(A4, 'ANEXO A'!$A$2:$L$94, 2, FALSE), "Este Control")</f>
        <v/>
      </c>
      <c r="K4" s="112" t="inlineStr">
        <is>
          <t>Asegurar el cumplimiento, control y resguardo continuo de los procesos de Segregación de funciones a fin de mitigar riesgos y mantener la alineación a los principios de confidencialidad, integridad y disponibilidad aplicables a este dominio.</t>
        </is>
      </c>
      <c r="L4" s="112" t="inlineStr">
        <is>
          <t>La organización deberá implementar, registrar y monitorear operativamente todos los protocolos relacionados a Segregación de funciones, estableciendo políticas técnicas correspondientes.</t>
        </is>
      </c>
    </row>
    <row r="5" ht="67.5" customHeight="1" s="106">
      <c r="A5" s="38">
        <f>'ANEXO A'!A5</f>
        <v/>
      </c>
      <c r="B5" s="38">
        <f>IFERROR(VLOOKUP(A5, 'ANEXO A'!$A$2:$L$94, 2, FALSE), "")</f>
        <v/>
      </c>
      <c r="C5" s="38">
        <f>IF(LEFT(A5,1)="5", "5. Organizacionales", IF(LEFT(A5,1)="6", "6. Personas", IF(LEFT(A5,1)="7", "7. Físicos", "8. Tecnológicos")))</f>
        <v/>
      </c>
      <c r="D5" s="38">
        <f>IFERROR(VLOOKUP(A5, 'ANEXO A'!$A$2:$L$94, 11, FALSE), "")</f>
        <v/>
      </c>
      <c r="E5" s="38">
        <f>IFERROR(VLOOKUP(A5, 'ANEXO A'!$A$2:$L$94, 8, FALSE), "")</f>
        <v/>
      </c>
      <c r="F5" s="38">
        <f>IFERROR(VLOOKUP(A5, 'ANEXO A'!$A$2:$L$94, 9, FALSE), "")</f>
        <v/>
      </c>
      <c r="G5" s="38">
        <f>IFERROR(VLOOKUP(A5, 'ANEXO A'!$A$2:$L$94, 10, FALSE), "")</f>
        <v/>
      </c>
      <c r="H5" s="38">
        <f>IFERROR(VLOOKUP(A5, 'ANEXO A'!$A$2:$L$94, 12, FALSE), "")</f>
        <v/>
      </c>
      <c r="I5" s="38" t="inlineStr">
        <is>
          <t>6.1 Políticas Generales / Sec. 12 SEPS 002: Compromiso de la Alta Dirección y jefaturas en la exigencia y cumplimiento de políticas de SI (GSO-GSI-MP-GSI / SEPS-2022-002).</t>
        </is>
      </c>
      <c r="J5" s="112">
        <f>"• Establecer lineamientos para " &amp; IFERROR(VLOOKUP(A5, 'ANEXO A'!$A$2:$L$94, 2, FALSE), "Este Control") &amp; CHAR(10) &amp; "• Definir roles para el control " &amp; A5 &amp; CHAR(10) &amp; "• Revisar efectividad de " &amp; IFERROR(VLOOKUP(A5, 'ANEXO A'!$A$2:$L$94, 2, FALSE), "Este Control")</f>
        <v/>
      </c>
      <c r="K5" s="112" t="inlineStr">
        <is>
          <t>Asegurar el cumplimiento, control y resguardo continuo de los procesos de Responsabilidades de la dirección a fin de mitigar riesgos y mantener la alineación a los principios de confidencialidad, integridad y disponibilidad aplicables a este dominio.</t>
        </is>
      </c>
      <c r="L5" s="112" t="inlineStr">
        <is>
          <t>La organización deberá implementar, registrar y monitorear operativamente todos los protocolos relacionados a Responsabilidades de la dirección, estableciendo políticas técnicas correspondientes.</t>
        </is>
      </c>
    </row>
    <row r="6" ht="56.25" customHeight="1" s="106">
      <c r="A6" s="38">
        <f>'ANEXO A'!A6</f>
        <v/>
      </c>
      <c r="B6" s="38">
        <f>IFERROR(VLOOKUP(A6, 'ANEXO A'!$A$2:$L$94, 2, FALSE), "")</f>
        <v/>
      </c>
      <c r="C6" s="38">
        <f>IF(LEFT(A6,1)="5", "5. Organizacionales", IF(LEFT(A6,1)="6", "6. Personas", IF(LEFT(A6,1)="7", "7. Físicos", "8. Tecnológicos")))</f>
        <v/>
      </c>
      <c r="D6" s="38">
        <f>IFERROR(VLOOKUP(A6, 'ANEXO A'!$A$2:$L$94, 11, FALSE), "")</f>
        <v/>
      </c>
      <c r="E6" s="38">
        <f>IFERROR(VLOOKUP(A6, 'ANEXO A'!$A$2:$L$94, 8, FALSE), "")</f>
        <v/>
      </c>
      <c r="F6" s="38">
        <f>IFERROR(VLOOKUP(A6, 'ANEXO A'!$A$2:$L$94, 9, FALSE), "")</f>
        <v/>
      </c>
      <c r="G6" s="38">
        <f>IFERROR(VLOOKUP(A6, 'ANEXO A'!$A$2:$L$94, 10, FALSE), "")</f>
        <v/>
      </c>
      <c r="H6" s="38">
        <f>IFERROR(VLOOKUP(A6, 'ANEXO A'!$A$2:$L$94, 12, FALSE), "")</f>
        <v/>
      </c>
      <c r="I6" s="38" t="inlineStr">
        <is>
          <t>Disposición General 1era SEPS 002 / 6.15 Gestión de Incidentes: Notificación obligatoria e inmediata a la SEPS, Fiscalía y entes de control ante eventos críticos (SEPS-2022-002 / GSO-GSI-MP-GSI).</t>
        </is>
      </c>
      <c r="J6" s="112">
        <f>"• Establecer lineamientos para " &amp; IFERROR(VLOOKUP(A6, 'ANEXO A'!$A$2:$L$94, 2, FALSE), "Este Control") &amp; CHAR(10) &amp; "• Definir roles para el control " &amp; A6 &amp; CHAR(10) &amp; "• Revisar efectividad de " &amp; IFERROR(VLOOKUP(A6, 'ANEXO A'!$A$2:$L$94, 2, FALSE), "Este Control")</f>
        <v/>
      </c>
      <c r="K6" s="112" t="inlineStr">
        <is>
          <t>Asegurar el cumplimiento, control y resguardo continuo de los procesos de Contacto con las autoridades a fin de mitigar riesgos y mantener la alineación a los principios de confidencialidad, integridad y disponibilidad aplicables a este dominio.</t>
        </is>
      </c>
      <c r="L6" s="112" t="inlineStr">
        <is>
          <t>La organización deberá implementar, registrar y monitorear operativamente todos los protocolos relacionados a Contacto con las autoridades, estableciendo políticas técnicas correspondientes.</t>
        </is>
      </c>
    </row>
    <row r="7" ht="67.5" customHeight="1" s="106">
      <c r="A7" s="38">
        <f>'ANEXO A'!A7</f>
        <v/>
      </c>
      <c r="B7" s="38">
        <f>IFERROR(VLOOKUP(A7, 'ANEXO A'!$A$2:$L$94, 2, FALSE), "")</f>
        <v/>
      </c>
      <c r="C7" s="38">
        <f>IF(LEFT(A7,1)="5", "5. Organizacionales", IF(LEFT(A7,1)="6", "6. Personas", IF(LEFT(A7,1)="7", "7. Físicos", "8. Tecnológicos")))</f>
        <v/>
      </c>
      <c r="D7" s="38">
        <f>IFERROR(VLOOKUP(A7, 'ANEXO A'!$A$2:$L$94, 11, FALSE), "")</f>
        <v/>
      </c>
      <c r="E7" s="38">
        <f>IFERROR(VLOOKUP(A7, 'ANEXO A'!$A$2:$L$94, 8, FALSE), "")</f>
        <v/>
      </c>
      <c r="F7" s="38">
        <f>IFERROR(VLOOKUP(A7, 'ANEXO A'!$A$2:$L$94, 9, FALSE), "")</f>
        <v/>
      </c>
      <c r="G7" s="38">
        <f>IFERROR(VLOOKUP(A7, 'ANEXO A'!$A$2:$L$94, 10, FALSE), "")</f>
        <v/>
      </c>
      <c r="H7" s="38">
        <f>IFERROR(VLOOKUP(A7, 'ANEXO A'!$A$2:$L$94, 12, FALSE), "")</f>
        <v/>
      </c>
      <c r="I7" s="38" t="inlineStr">
        <is>
          <t>Marco Normativo y Alianzas: Mantener membresías, foros y canales de comunicación técnica con asociaciones del sector financiero popular y solidario (ISO 27002 / GSO-GSI-MP-GSI).</t>
        </is>
      </c>
      <c r="J7" s="112">
        <f>"• Establecer lineamientos para " &amp; IFERROR(VLOOKUP(A7, 'ANEXO A'!$A$2:$L$94, 2, FALSE), "Este Control") &amp; CHAR(10) &amp; "• Definir roles para el control " &amp; A7 &amp; CHAR(10) &amp; "• Revisar efectividad de " &amp; IFERROR(VLOOKUP(A7, 'ANEXO A'!$A$2:$L$94, 2, FALSE), "Este Control")</f>
        <v/>
      </c>
      <c r="K7" s="112" t="inlineStr">
        <is>
          <t>Asegurar el cumplimiento, control y resguardo continuo de los procesos de Contacto con grupos de interés especial a fin de mitigar riesgos y mantener la alineación a los principios de confidencialidad, integridad y disponibilidad aplicables a este dominio.</t>
        </is>
      </c>
      <c r="L7" s="112" t="inlineStr">
        <is>
          <t>La organización deberá implementar, registrar y monitorear operativamente todos los protocolos relacionados a Contacto con grupos de interés especial, estableciendo políticas técnicas correspondientes.</t>
        </is>
      </c>
    </row>
    <row r="8" ht="56.25" customHeight="1" s="106">
      <c r="A8" s="38">
        <f>'ANEXO A'!A8</f>
        <v/>
      </c>
      <c r="B8" s="38">
        <f>IFERROR(VLOOKUP(A8, 'ANEXO A'!$A$2:$L$94, 2, FALSE), "")</f>
        <v/>
      </c>
      <c r="C8" s="38">
        <f>IF(LEFT(A8,1)="5", "5. Organizacionales", IF(LEFT(A8,1)="6", "6. Personas", IF(LEFT(A8,1)="7", "7. Físicos", "8. Tecnológicos")))</f>
        <v/>
      </c>
      <c r="D8" s="38">
        <f>IFERROR(VLOOKUP(A8, 'ANEXO A'!$A$2:$L$94, 11, FALSE), "")</f>
        <v/>
      </c>
      <c r="E8" s="38">
        <f>IFERROR(VLOOKUP(A8, 'ANEXO A'!$A$2:$L$94, 8, FALSE), "")</f>
        <v/>
      </c>
      <c r="F8" s="38">
        <f>IFERROR(VLOOKUP(A8, 'ANEXO A'!$A$2:$L$94, 9, FALSE), "")</f>
        <v/>
      </c>
      <c r="G8" s="38">
        <f>IFERROR(VLOOKUP(A8, 'ANEXO A'!$A$2:$L$94, 10, FALSE), "")</f>
        <v/>
      </c>
      <c r="H8" s="38">
        <f>IFERROR(VLOOKUP(A8, 'ANEXO A'!$A$2:$L$94, 12, FALSE), "")</f>
        <v/>
      </c>
      <c r="I8" s="38" t="inlineStr">
        <is>
          <t>10.2 Metodología GAI / 6.19 Escaneo: Recopilación y análisis de fuentes de amenazas adversarias y no adversarias (S1-S40) (GSO-GSI-ME-GAI / GSO-GSI-MP-GSI).</t>
        </is>
      </c>
      <c r="J8" s="112">
        <f>"• Establecer lineamientos para " &amp; IFERROR(VLOOKUP(A8, 'ANEXO A'!$A$2:$L$94, 2, FALSE), "Este Control") &amp; CHAR(10) &amp; "• Definir roles para el control " &amp; A8 &amp; CHAR(10) &amp; "• Revisar efectividad de " &amp; IFERROR(VLOOKUP(A8, 'ANEXO A'!$A$2:$L$94, 2, FALSE), "Este Control")</f>
        <v/>
      </c>
      <c r="K8" s="112" t="inlineStr">
        <is>
          <t>Asegurar el cumplimiento, control y resguardo continuo de los procesos de Inteligencia de amenazas a fin de mitigar riesgos y mantener la alineación a los principios de confidencialidad, integridad y disponibilidad aplicables a este dominio.</t>
        </is>
      </c>
      <c r="L8" s="112" t="inlineStr">
        <is>
          <t>La organización deberá implementar, registrar y monitorear operativamente todos los protocolos relacionados a Inteligencia de amenazas, estableciendo políticas técnicas correspondientes.</t>
        </is>
      </c>
    </row>
    <row r="9" ht="78.75" customHeight="1" s="106">
      <c r="A9" s="38">
        <f>'ANEXO A'!A9</f>
        <v/>
      </c>
      <c r="B9" s="38">
        <f>IFERROR(VLOOKUP(A9, 'ANEXO A'!$A$2:$L$94, 2, FALSE), "")</f>
        <v/>
      </c>
      <c r="C9" s="38">
        <f>IF(LEFT(A9,1)="5", "5. Organizacionales", IF(LEFT(A9,1)="6", "6. Personas", IF(LEFT(A9,1)="7", "7. Físicos", "8. Tecnológicos")))</f>
        <v/>
      </c>
      <c r="D9" s="38">
        <f>IFERROR(VLOOKUP(A9, 'ANEXO A'!$A$2:$L$94, 11, FALSE), "")</f>
        <v/>
      </c>
      <c r="E9" s="38">
        <f>IFERROR(VLOOKUP(A9, 'ANEXO A'!$A$2:$L$94, 8, FALSE), "")</f>
        <v/>
      </c>
      <c r="F9" s="38">
        <f>IFERROR(VLOOKUP(A9, 'ANEXO A'!$A$2:$L$94, 9, FALSE), "")</f>
        <v/>
      </c>
      <c r="G9" s="38">
        <f>IFERROR(VLOOKUP(A9, 'ANEXO A'!$A$2:$L$94, 10, FALSE), "")</f>
        <v/>
      </c>
      <c r="H9" s="38">
        <f>IFERROR(VLOOKUP(A9, 'ANEXO A'!$A$2:$L$94, 12, FALSE), "")</f>
        <v/>
      </c>
      <c r="I9" s="38" t="inlineStr">
        <is>
          <t>6.13 Gestión de activos / Anexo 1 SEPS: Inclusión de directrices y análisis de riesgos de SI desde las fases iniciales de nuevos proyectos y servicios (GSO-GSI-ME-GAI / SEPS-2022-002).</t>
        </is>
      </c>
      <c r="J9" s="112">
        <f>"• Establecer lineamientos para " &amp; IFERROR(VLOOKUP(A9, 'ANEXO A'!$A$2:$L$94, 2, FALSE), "Este Control") &amp; CHAR(10) &amp; "• Definir roles para el control " &amp; A9 &amp; CHAR(10) &amp; "• Revisar efectividad de " &amp; IFERROR(VLOOKUP(A9, 'ANEXO A'!$A$2:$L$94, 2, FALSE), "Este Control")</f>
        <v/>
      </c>
      <c r="K9" s="112" t="inlineStr">
        <is>
          <t>Asegurar el cumplimiento, control y resguardo continuo de los procesos de Seguridad de la información en la gestión de proyectos a fin de mitigar riesgos y mantener la alineación a los principios de confidencialidad, integridad y disponibilidad aplicables a este dominio.</t>
        </is>
      </c>
      <c r="L9" s="112" t="inlineStr">
        <is>
          <t>La organización deberá implementar, registrar y monitorear operativamente todos los protocolos relacionados a Seguridad de la información en la gestión de proyectos, estableciendo políticas técnicas correspondientes.</t>
        </is>
      </c>
    </row>
    <row r="10" ht="78.75" customHeight="1" s="106">
      <c r="A10" s="38">
        <f>'ANEXO A'!A10</f>
        <v/>
      </c>
      <c r="B10" s="38">
        <f>IFERROR(VLOOKUP(A10, 'ANEXO A'!$A$2:$L$94, 2, FALSE), "")</f>
        <v/>
      </c>
      <c r="C10" s="38">
        <f>IF(LEFT(A10,1)="5", "5. Organizacionales", IF(LEFT(A10,1)="6", "6. Personas", IF(LEFT(A10,1)="7", "7. Físicos", "8. Tecnológicos")))</f>
        <v/>
      </c>
      <c r="D10" s="38">
        <f>IFERROR(VLOOKUP(A10, 'ANEXO A'!$A$2:$L$94, 11, FALSE), "")</f>
        <v/>
      </c>
      <c r="E10" s="38">
        <f>IFERROR(VLOOKUP(A10, 'ANEXO A'!$A$2:$L$94, 8, FALSE), "")</f>
        <v/>
      </c>
      <c r="F10" s="38">
        <f>IFERROR(VLOOKUP(A10, 'ANEXO A'!$A$2:$L$94, 9, FALSE), "")</f>
        <v/>
      </c>
      <c r="G10" s="38">
        <f>IFERROR(VLOOKUP(A10, 'ANEXO A'!$A$2:$L$94, 10, FALSE), "")</f>
        <v/>
      </c>
      <c r="H10" s="38">
        <f>IFERROR(VLOOKUP(A10, 'ANEXO A'!$A$2:$L$94, 12, FALSE), "")</f>
        <v/>
      </c>
      <c r="I10" s="38" t="inlineStr">
        <is>
          <t>6.13. Gestión de activos de información - Mantener un inventario actualizado (GSO-GSI-MP-GSI)</t>
        </is>
      </c>
      <c r="J10" s="112">
        <f>"• Establecer lineamientos para " &amp; IFERROR(VLOOKUP(A10, 'ANEXO A'!$A$2:$L$94, 2, FALSE), "Este Control") &amp; CHAR(10) &amp; "• Definir roles para el control " &amp; A10 &amp; CHAR(10) &amp; "• Revisar efectividad de " &amp; IFERROR(VLOOKUP(A10, 'ANEXO A'!$A$2:$L$94, 2, FALSE), "Este Control")</f>
        <v/>
      </c>
      <c r="K10" s="112" t="inlineStr">
        <is>
          <t>Asegurar el cumplimiento, control y resguardo continuo de los procesos de Inventario de información y otros activos asociados a fin de mitigar riesgos y mantener la alineación a los principios de confidencialidad, integridad y disponibilidad aplicables a este dominio.</t>
        </is>
      </c>
      <c r="L10" s="112" t="inlineStr">
        <is>
          <t>La organización deberá implementar, registrar y monitorear operativamente todos los protocolos relacionados a Inventario de información y otros activos asociados, estableciendo políticas técnicas correspondientes.</t>
        </is>
      </c>
    </row>
    <row r="11" ht="78.75" customHeight="1" s="106">
      <c r="A11" s="38">
        <f>'ANEXO A'!A11</f>
        <v/>
      </c>
      <c r="B11" s="38">
        <f>IFERROR(VLOOKUP(A11, 'ANEXO A'!$A$2:$L$94, 2, FALSE), "")</f>
        <v/>
      </c>
      <c r="C11" s="38">
        <f>IF(LEFT(A11,1)="5", "5. Organizacionales", IF(LEFT(A11,1)="6", "6. Personas", IF(LEFT(A11,1)="7", "7. Físicos", "8. Tecnológicos")))</f>
        <v/>
      </c>
      <c r="D11" s="38">
        <f>IFERROR(VLOOKUP(A11, 'ANEXO A'!$A$2:$L$94, 11, FALSE), "")</f>
        <v/>
      </c>
      <c r="E11" s="38">
        <f>IFERROR(VLOOKUP(A11, 'ANEXO A'!$A$2:$L$94, 8, FALSE), "")</f>
        <v/>
      </c>
      <c r="F11" s="38">
        <f>IFERROR(VLOOKUP(A11, 'ANEXO A'!$A$2:$L$94, 9, FALSE), "")</f>
        <v/>
      </c>
      <c r="G11" s="38">
        <f>IFERROR(VLOOKUP(A11, 'ANEXO A'!$A$2:$L$94, 10, FALSE), "")</f>
        <v/>
      </c>
      <c r="H11" s="38">
        <f>IFERROR(VLOOKUP(A11, 'ANEXO A'!$A$2:$L$94, 12, FALSE), "")</f>
        <v/>
      </c>
      <c r="I11" s="38" t="inlineStr">
        <is>
          <t>6.16 Revisión y monitoreo de políticas: Difundir y fiscalizar el uso legítimo de estaciones, correo y recursos corporativos (GSO-GSI-MP-GSI).</t>
        </is>
      </c>
      <c r="J11" s="112">
        <f>"• Establecer lineamientos para " &amp; IFERROR(VLOOKUP(A11, 'ANEXO A'!$A$2:$L$94, 2, FALSE), "Este Control") &amp; CHAR(10) &amp; "• Definir roles para el control " &amp; A11 &amp; CHAR(10) &amp; "• Revisar efectividad de " &amp; IFERROR(VLOOKUP(A11, 'ANEXO A'!$A$2:$L$94, 2, FALSE), "Este Control")</f>
        <v/>
      </c>
      <c r="K11" s="112" t="inlineStr">
        <is>
          <t>Asegurar el cumplimiento, control y resguardo continuo de los procesos de Uso aceptable de la información y otros activos asociados a fin de mitigar riesgos y mantener la alineación a los principios de confidencialidad, integridad y disponibilidad aplicables a este dominio.</t>
        </is>
      </c>
      <c r="L11" s="112" t="inlineStr">
        <is>
          <t>La organización deberá implementar, registrar y monitorear operativamente todos los protocolos relacionados a Uso aceptable de la información y otros activos asociados, estableciendo políticas técnicas correspondientes.</t>
        </is>
      </c>
    </row>
    <row r="12" ht="56.25" customHeight="1" s="106">
      <c r="A12" s="38">
        <f>'ANEXO A'!A12</f>
        <v/>
      </c>
      <c r="B12" s="38">
        <f>IFERROR(VLOOKUP(A12, 'ANEXO A'!$A$2:$L$94, 2, FALSE), "")</f>
        <v/>
      </c>
      <c r="C12" s="38">
        <f>IF(LEFT(A12,1)="5", "5. Organizacionales", IF(LEFT(A12,1)="6", "6. Personas", IF(LEFT(A12,1)="7", "7. Físicos", "8. Tecnológicos")))</f>
        <v/>
      </c>
      <c r="D12" s="38">
        <f>IFERROR(VLOOKUP(A12, 'ANEXO A'!$A$2:$L$94, 11, FALSE), "")</f>
        <v/>
      </c>
      <c r="E12" s="38">
        <f>IFERROR(VLOOKUP(A12, 'ANEXO A'!$A$2:$L$94, 8, FALSE), "")</f>
        <v/>
      </c>
      <c r="F12" s="38">
        <f>IFERROR(VLOOKUP(A12, 'ANEXO A'!$A$2:$L$94, 9, FALSE), "")</f>
        <v/>
      </c>
      <c r="G12" s="38">
        <f>IFERROR(VLOOKUP(A12, 'ANEXO A'!$A$2:$L$94, 10, FALSE), "")</f>
        <v/>
      </c>
      <c r="H12" s="38">
        <f>IFERROR(VLOOKUP(A12, 'ANEXO A'!$A$2:$L$94, 12, FALSE), "")</f>
        <v/>
      </c>
      <c r="I12" s="38" t="inlineStr">
        <is>
          <t>6.5 Eliminación de usuarios: Recepción formal y descargo de equipos, accesos y credenciales ante terminación o rotación laboral (GSO-GSI-MP-GSI / GSO-GSI-ME-GAI Sec. 1).</t>
        </is>
      </c>
      <c r="J12" s="112">
        <f>"• Establecer lineamientos para " &amp; IFERROR(VLOOKUP(A12, 'ANEXO A'!$A$2:$L$94, 2, FALSE), "Este Control") &amp; CHAR(10) &amp; "• Definir roles para el control " &amp; A12 &amp; CHAR(10) &amp; "• Revisar efectividad de " &amp; IFERROR(VLOOKUP(A12, 'ANEXO A'!$A$2:$L$94, 2, FALSE), "Este Control")</f>
        <v/>
      </c>
      <c r="K12" s="112" t="inlineStr">
        <is>
          <t>Asegurar el cumplimiento, control y resguardo continuo de los procesos de Devolución de activos a fin de mitigar riesgos y mantener la alineación a los principios de confidencialidad, integridad y disponibilidad aplicables a este dominio.</t>
        </is>
      </c>
      <c r="L12" s="112" t="inlineStr">
        <is>
          <t>La organización deberá implementar, registrar y monitorear operativamente todos los protocolos relacionados a Devolución de activos, estableciendo políticas técnicas correspondientes.</t>
        </is>
      </c>
    </row>
    <row r="13" ht="56.25" customHeight="1" s="106">
      <c r="A13" s="38">
        <f>'ANEXO A'!A13</f>
        <v/>
      </c>
      <c r="B13" s="38">
        <f>IFERROR(VLOOKUP(A13, 'ANEXO A'!$A$2:$L$94, 2, FALSE), "")</f>
        <v/>
      </c>
      <c r="C13" s="38">
        <f>IF(LEFT(A13,1)="5", "5. Organizacionales", IF(LEFT(A13,1)="6", "6. Personas", IF(LEFT(A13,1)="7", "7. Físicos", "8. Tecnológicos")))</f>
        <v/>
      </c>
      <c r="D13" s="38">
        <f>IFERROR(VLOOKUP(A13, 'ANEXO A'!$A$2:$L$94, 11, FALSE), "")</f>
        <v/>
      </c>
      <c r="E13" s="38">
        <f>IFERROR(VLOOKUP(A13, 'ANEXO A'!$A$2:$L$94, 8, FALSE), "")</f>
        <v/>
      </c>
      <c r="F13" s="38">
        <f>IFERROR(VLOOKUP(A13, 'ANEXO A'!$A$2:$L$94, 9, FALSE), "")</f>
        <v/>
      </c>
      <c r="G13" s="38">
        <f>IFERROR(VLOOKUP(A13, 'ANEXO A'!$A$2:$L$94, 10, FALSE), "")</f>
        <v/>
      </c>
      <c r="H13" s="38">
        <f>IFERROR(VLOOKUP(A13, 'ANEXO A'!$A$2:$L$94, 12, FALSE), "")</f>
        <v/>
      </c>
      <c r="I13" s="38" t="inlineStr">
        <is>
          <t>Sec. 7 y 8 Metodología GAI: Clasificación y valoración de activos en Confidencialidad, Integridad y Disponibilidad (Pública, Uso Interno, Restringida) (GSO-GSI-ME-GAI).</t>
        </is>
      </c>
      <c r="J13" s="112">
        <f>"• Establecer lineamientos para " &amp; IFERROR(VLOOKUP(A13, 'ANEXO A'!$A$2:$L$94, 2, FALSE), "Este Control") &amp; CHAR(10) &amp; "• Definir roles para el control " &amp; A13 &amp; CHAR(10) &amp; "• Revisar efectividad de " &amp; IFERROR(VLOOKUP(A13, 'ANEXO A'!$A$2:$L$94, 2, FALSE), "Este Control")</f>
        <v/>
      </c>
      <c r="K13" s="112" t="inlineStr">
        <is>
          <t>Asegurar el cumplimiento, control y resguardo continuo de los procesos de Clasificación de la información a fin de mitigar riesgos y mantener la alineación a los principios de confidencialidad, integridad y disponibilidad aplicables a este dominio.</t>
        </is>
      </c>
      <c r="L13" s="112" t="inlineStr">
        <is>
          <t>La organización deberá implementar, registrar y monitorear operativamente todos los protocolos relacionados a Clasificación de la información, estableciendo políticas técnicas correspondientes.</t>
        </is>
      </c>
    </row>
    <row r="14" ht="56.25" customHeight="1" s="106">
      <c r="A14" s="38">
        <f>'ANEXO A'!A14</f>
        <v/>
      </c>
      <c r="B14" s="38">
        <f>IFERROR(VLOOKUP(A14, 'ANEXO A'!$A$2:$L$94, 2, FALSE), "")</f>
        <v/>
      </c>
      <c r="C14" s="38">
        <f>IF(LEFT(A14,1)="5", "5. Organizacionales", IF(LEFT(A14,1)="6", "6. Personas", IF(LEFT(A14,1)="7", "7. Físicos", "8. Tecnológicos")))</f>
        <v/>
      </c>
      <c r="D14" s="38">
        <f>IFERROR(VLOOKUP(A14, 'ANEXO A'!$A$2:$L$94, 11, FALSE), "")</f>
        <v/>
      </c>
      <c r="E14" s="38">
        <f>IFERROR(VLOOKUP(A14, 'ANEXO A'!$A$2:$L$94, 8, FALSE), "")</f>
        <v/>
      </c>
      <c r="F14" s="38">
        <f>IFERROR(VLOOKUP(A14, 'ANEXO A'!$A$2:$L$94, 9, FALSE), "")</f>
        <v/>
      </c>
      <c r="G14" s="38">
        <f>IFERROR(VLOOKUP(A14, 'ANEXO A'!$A$2:$L$94, 10, FALSE), "")</f>
        <v/>
      </c>
      <c r="H14" s="38">
        <f>IFERROR(VLOOKUP(A14, 'ANEXO A'!$A$2:$L$94, 12, FALSE), "")</f>
        <v/>
      </c>
      <c r="I14" s="38" t="inlineStr">
        <is>
          <t>Sec. 5 y 7 Metodología GAI: Aplicación de lineamientos para marcado y rotulado de información física y digital según su confidencialidad (GSO-GSI-ME-GAI).</t>
        </is>
      </c>
      <c r="J14" s="112">
        <f>"• Establecer lineamientos para " &amp; IFERROR(VLOOKUP(A14, 'ANEXO A'!$A$2:$L$94, 2, FALSE), "Este Control") &amp; CHAR(10) &amp; "• Definir roles para el control " &amp; A14 &amp; CHAR(10) &amp; "• Revisar efectividad de " &amp; IFERROR(VLOOKUP(A14, 'ANEXO A'!$A$2:$L$94, 2, FALSE), "Este Control")</f>
        <v/>
      </c>
      <c r="K14" s="112" t="inlineStr">
        <is>
          <t>Asegurar el cumplimiento, control y resguardo continuo de los procesos de Etiquetado de la información a fin de mitigar riesgos y mantener la alineación a los principios de confidencialidad, integridad y disponibilidad aplicables a este dominio.</t>
        </is>
      </c>
      <c r="L14" s="112" t="inlineStr">
        <is>
          <t>La organización deberá implementar, registrar y monitorear operativamente todos los protocolos relacionados a Etiquetado de la información, estableciendo políticas técnicas correspondientes.</t>
        </is>
      </c>
    </row>
    <row r="15" ht="67.5" customHeight="1" s="106">
      <c r="A15" s="38">
        <f>'ANEXO A'!A15</f>
        <v/>
      </c>
      <c r="B15" s="38">
        <f>IFERROR(VLOOKUP(A15, 'ANEXO A'!$A$2:$L$94, 2, FALSE), "")</f>
        <v/>
      </c>
      <c r="C15" s="38">
        <f>IF(LEFT(A15,1)="5", "5. Organizacionales", IF(LEFT(A15,1)="6", "6. Personas", IF(LEFT(A15,1)="7", "7. Físicos", "8. Tecnológicos")))</f>
        <v/>
      </c>
      <c r="D15" s="38">
        <f>IFERROR(VLOOKUP(A15, 'ANEXO A'!$A$2:$L$94, 11, FALSE), "")</f>
        <v/>
      </c>
      <c r="E15" s="38">
        <f>IFERROR(VLOOKUP(A15, 'ANEXO A'!$A$2:$L$94, 8, FALSE), "")</f>
        <v/>
      </c>
      <c r="F15" s="38">
        <f>IFERROR(VLOOKUP(A15, 'ANEXO A'!$A$2:$L$94, 9, FALSE), "")</f>
        <v/>
      </c>
      <c r="G15" s="38">
        <f>IFERROR(VLOOKUP(A15, 'ANEXO A'!$A$2:$L$94, 10, FALSE), "")</f>
        <v/>
      </c>
      <c r="H15" s="38">
        <f>IFERROR(VLOOKUP(A15, 'ANEXO A'!$A$2:$L$94, 12, FALSE), "")</f>
        <v/>
      </c>
      <c r="I15" s="38" t="inlineStr">
        <is>
          <t>6.9 Control de acceso FTP / Acuerdos: Procedimientos seguros de transmisión de datos cifrados interna y externamente vía canales autorizados (GSO-GSI-MP-GSI).</t>
        </is>
      </c>
      <c r="J15" s="112">
        <f>"• Establecer lineamientos para " &amp; IFERROR(VLOOKUP(A15, 'ANEXO A'!$A$2:$L$94, 2, FALSE), "Este Control") &amp; CHAR(10) &amp; "• Definir roles para el control " &amp; A15 &amp; CHAR(10) &amp; "• Revisar efectividad de " &amp; IFERROR(VLOOKUP(A15, 'ANEXO A'!$A$2:$L$94, 2, FALSE), "Este Control")</f>
        <v/>
      </c>
      <c r="K15" s="112" t="inlineStr">
        <is>
          <t>Asegurar el cumplimiento, control y resguardo continuo de los procesos de Transferencia de información a fin de mitigar riesgos y mantener la alineación a los principios de confidencialidad, integridad y disponibilidad aplicables a este dominio.</t>
        </is>
      </c>
      <c r="L15" s="112" t="inlineStr">
        <is>
          <t>La organización deberá implementar, registrar y monitorear operativamente todos los protocolos relacionados a Transferencia de información, estableciendo políticas técnicas correspondientes.</t>
        </is>
      </c>
    </row>
    <row r="16" ht="56.25" customHeight="1" s="106">
      <c r="A16" s="38">
        <f>'ANEXO A'!A16</f>
        <v/>
      </c>
      <c r="B16" s="38">
        <f>IFERROR(VLOOKUP(A16, 'ANEXO A'!$A$2:$L$94, 2, FALSE), "")</f>
        <v/>
      </c>
      <c r="C16" s="38">
        <f>IF(LEFT(A16,1)="5", "5. Organizacionales", IF(LEFT(A16,1)="6", "6. Personas", IF(LEFT(A16,1)="7", "7. Físicos", "8. Tecnológicos")))</f>
        <v/>
      </c>
      <c r="D16" s="38">
        <f>IFERROR(VLOOKUP(A16, 'ANEXO A'!$A$2:$L$94, 11, FALSE), "")</f>
        <v/>
      </c>
      <c r="E16" s="38">
        <f>IFERROR(VLOOKUP(A16, 'ANEXO A'!$A$2:$L$94, 8, FALSE), "")</f>
        <v/>
      </c>
      <c r="F16" s="38">
        <f>IFERROR(VLOOKUP(A16, 'ANEXO A'!$A$2:$L$94, 9, FALSE), "")</f>
        <v/>
      </c>
      <c r="G16" s="38">
        <f>IFERROR(VLOOKUP(A16, 'ANEXO A'!$A$2:$L$94, 10, FALSE), "")</f>
        <v/>
      </c>
      <c r="H16" s="38">
        <f>IFERROR(VLOOKUP(A16, 'ANEXO A'!$A$2:$L$94, 12, FALSE), "")</f>
        <v/>
      </c>
      <c r="I16" s="38" t="inlineStr">
        <is>
          <t>6.2. Creación de nuevos usuarios - Asignación de usuarios y roles según GSO-GSI-MP-GSI</t>
        </is>
      </c>
      <c r="J16" s="112">
        <f>"• Establecer lineamientos para " &amp; IFERROR(VLOOKUP(A16, 'ANEXO A'!$A$2:$L$94, 2, FALSE), "Este Control") &amp; CHAR(10) &amp; "• Definir roles para el control " &amp; A16 &amp; CHAR(10) &amp; "• Revisar efectividad de " &amp; IFERROR(VLOOKUP(A16, 'ANEXO A'!$A$2:$L$94, 2, FALSE), "Este Control")</f>
        <v/>
      </c>
      <c r="K16" s="112" t="inlineStr">
        <is>
          <t>Asegurar el cumplimiento, control y resguardo continuo de los procesos de Control de acceso a fin de mitigar riesgos y mantener la alineación a los principios de confidencialidad, integridad y disponibilidad aplicables a este dominio.</t>
        </is>
      </c>
      <c r="L16" s="112" t="inlineStr">
        <is>
          <t>La organización deberá implementar, registrar y monitorear operativamente todos los protocolos relacionados a Control de acceso, estableciendo políticas técnicas correspondientes.</t>
        </is>
      </c>
    </row>
    <row r="17" ht="56.25" customHeight="1" s="106">
      <c r="A17" s="38">
        <f>'ANEXO A'!A17</f>
        <v/>
      </c>
      <c r="B17" s="38">
        <f>IFERROR(VLOOKUP(A17, 'ANEXO A'!$A$2:$L$94, 2, FALSE), "")</f>
        <v/>
      </c>
      <c r="C17" s="38">
        <f>IF(LEFT(A17,1)="5", "5. Organizacionales", IF(LEFT(A17,1)="6", "6. Personas", IF(LEFT(A17,1)="7", "7. Físicos", "8. Tecnológicos")))</f>
        <v/>
      </c>
      <c r="D17" s="38">
        <f>IFERROR(VLOOKUP(A17, 'ANEXO A'!$A$2:$L$94, 11, FALSE), "")</f>
        <v/>
      </c>
      <c r="E17" s="38">
        <f>IFERROR(VLOOKUP(A17, 'ANEXO A'!$A$2:$L$94, 8, FALSE), "")</f>
        <v/>
      </c>
      <c r="F17" s="38">
        <f>IFERROR(VLOOKUP(A17, 'ANEXO A'!$A$2:$L$94, 9, FALSE), "")</f>
        <v/>
      </c>
      <c r="G17" s="38">
        <f>IFERROR(VLOOKUP(A17, 'ANEXO A'!$A$2:$L$94, 10, FALSE), "")</f>
        <v/>
      </c>
      <c r="H17" s="38">
        <f>IFERROR(VLOOKUP(A17, 'ANEXO A'!$A$2:$L$94, 12, FALSE), "")</f>
        <v/>
      </c>
      <c r="I17" s="38" t="inlineStr">
        <is>
          <t>6.2. Creación de nuevos usuarios - Asignación de usuarios y roles según GSO-GSI-MP-GSI</t>
        </is>
      </c>
      <c r="J17" s="112">
        <f>"• Establecer lineamientos para " &amp; IFERROR(VLOOKUP(A17, 'ANEXO A'!$A$2:$L$94, 2, FALSE), "Este Control") &amp; CHAR(10) &amp; "• Definir roles para el control " &amp; A17 &amp; CHAR(10) &amp; "• Revisar efectividad de " &amp; IFERROR(VLOOKUP(A17, 'ANEXO A'!$A$2:$L$94, 2, FALSE), "Este Control")</f>
        <v/>
      </c>
      <c r="K17" s="112" t="inlineStr">
        <is>
          <t>Asegurar el cumplimiento, control y resguardo continuo de los procesos de Gestión de identidades a fin de mitigar riesgos y mantener la alineación a los principios de confidencialidad, integridad y disponibilidad aplicables a este dominio.</t>
        </is>
      </c>
      <c r="L17" s="112" t="inlineStr">
        <is>
          <t>La organización deberá implementar, registrar y monitorear operativamente todos los protocolos relacionados a Gestión de identidades, estableciendo políticas técnicas correspondientes.</t>
        </is>
      </c>
    </row>
    <row r="18" ht="56.25" customHeight="1" s="106">
      <c r="A18" s="38">
        <f>'ANEXO A'!A18</f>
        <v/>
      </c>
      <c r="B18" s="38">
        <f>IFERROR(VLOOKUP(A18, 'ANEXO A'!$A$2:$L$94, 2, FALSE), "")</f>
        <v/>
      </c>
      <c r="C18" s="38">
        <f>IF(LEFT(A18,1)="5", "5. Organizacionales", IF(LEFT(A18,1)="6", "6. Personas", IF(LEFT(A18,1)="7", "7. Físicos", "8. Tecnológicos")))</f>
        <v/>
      </c>
      <c r="D18" s="38">
        <f>IFERROR(VLOOKUP(A18, 'ANEXO A'!$A$2:$L$94, 11, FALSE), "")</f>
        <v/>
      </c>
      <c r="E18" s="38">
        <f>IFERROR(VLOOKUP(A18, 'ANEXO A'!$A$2:$L$94, 8, FALSE), "")</f>
        <v/>
      </c>
      <c r="F18" s="38">
        <f>IFERROR(VLOOKUP(A18, 'ANEXO A'!$A$2:$L$94, 9, FALSE), "")</f>
        <v/>
      </c>
      <c r="G18" s="38">
        <f>IFERROR(VLOOKUP(A18, 'ANEXO A'!$A$2:$L$94, 10, FALSE), "")</f>
        <v/>
      </c>
      <c r="H18" s="38">
        <f>IFERROR(VLOOKUP(A18, 'ANEXO A'!$A$2:$L$94, 12, FALSE), "")</f>
        <v/>
      </c>
      <c r="I18" s="38" t="inlineStr">
        <is>
          <t>6.11. Cambio de claves de cuentas críticas - Renovar periódicamente las contraseñas (GSO-GSI-MP-GSI)</t>
        </is>
      </c>
      <c r="J18" s="112">
        <f>"• Establecer lineamientos para " &amp; IFERROR(VLOOKUP(A18, 'ANEXO A'!$A$2:$L$94, 2, FALSE), "Este Control") &amp; CHAR(10) &amp; "• Definir roles para el control " &amp; A18 &amp; CHAR(10) &amp; "• Revisar efectividad de " &amp; IFERROR(VLOOKUP(A18, 'ANEXO A'!$A$2:$L$94, 2, FALSE), "Este Control")</f>
        <v/>
      </c>
      <c r="K18" s="112" t="inlineStr">
        <is>
          <t>Asegurar el cumplimiento, control y resguardo continuo de los procesos de Información de autenticación a fin de mitigar riesgos y mantener la alineación a los principios de confidencialidad, integridad y disponibilidad aplicables a este dominio.</t>
        </is>
      </c>
      <c r="L18" s="112" t="inlineStr">
        <is>
          <t>La organización deberá implementar, registrar y monitorear operativamente todos los protocolos relacionados a Información de autenticación, estableciendo políticas técnicas correspondientes.</t>
        </is>
      </c>
    </row>
    <row r="19" ht="56.25" customHeight="1" s="106">
      <c r="A19" s="38">
        <f>'ANEXO A'!A19</f>
        <v/>
      </c>
      <c r="B19" s="38">
        <f>IFERROR(VLOOKUP(A19, 'ANEXO A'!$A$2:$L$94, 2, FALSE), "")</f>
        <v/>
      </c>
      <c r="C19" s="38">
        <f>IF(LEFT(A19,1)="5", "5. Organizacionales", IF(LEFT(A19,1)="6", "6. Personas", IF(LEFT(A19,1)="7", "7. Físicos", "8. Tecnológicos")))</f>
        <v/>
      </c>
      <c r="D19" s="38">
        <f>IFERROR(VLOOKUP(A19, 'ANEXO A'!$A$2:$L$94, 11, FALSE), "")</f>
        <v/>
      </c>
      <c r="E19" s="38">
        <f>IFERROR(VLOOKUP(A19, 'ANEXO A'!$A$2:$L$94, 8, FALSE), "")</f>
        <v/>
      </c>
      <c r="F19" s="38">
        <f>IFERROR(VLOOKUP(A19, 'ANEXO A'!$A$2:$L$94, 9, FALSE), "")</f>
        <v/>
      </c>
      <c r="G19" s="38">
        <f>IFERROR(VLOOKUP(A19, 'ANEXO A'!$A$2:$L$94, 10, FALSE), "")</f>
        <v/>
      </c>
      <c r="H19" s="38">
        <f>IFERROR(VLOOKUP(A19, 'ANEXO A'!$A$2:$L$94, 12, FALSE), "")</f>
        <v/>
      </c>
      <c r="I19" s="38" t="inlineStr">
        <is>
          <t>6.10. Revisión periódica de roles y usuarios - Control y auditoría de accesos (GSO-GSI-MP-GSI)</t>
        </is>
      </c>
      <c r="J19" s="112">
        <f>"• Establecer lineamientos para " &amp; IFERROR(VLOOKUP(A19, 'ANEXO A'!$A$2:$L$94, 2, FALSE), "Este Control") &amp; CHAR(10) &amp; "• Definir roles para el control " &amp; A19 &amp; CHAR(10) &amp; "• Revisar efectividad de " &amp; IFERROR(VLOOKUP(A19, 'ANEXO A'!$A$2:$L$94, 2, FALSE), "Este Control")</f>
        <v/>
      </c>
      <c r="K19" s="112" t="inlineStr">
        <is>
          <t>Asegurar el cumplimiento, control y resguardo continuo de los procesos de Derechos de acceso a fin de mitigar riesgos y mantener la alineación a los principios de confidencialidad, integridad y disponibilidad aplicables a este dominio.</t>
        </is>
      </c>
      <c r="L19" s="112" t="inlineStr">
        <is>
          <t>La organización deberá implementar, registrar y monitorear operativamente todos los protocolos relacionados a Derechos de acceso, estableciendo políticas técnicas correspondientes.</t>
        </is>
      </c>
    </row>
    <row r="20" ht="78.75" customHeight="1" s="106">
      <c r="A20" s="38">
        <f>'ANEXO A'!A20</f>
        <v/>
      </c>
      <c r="B20" s="38">
        <f>IFERROR(VLOOKUP(A20, 'ANEXO A'!$A$2:$L$94, 2, FALSE), "")</f>
        <v/>
      </c>
      <c r="C20" s="38">
        <f>IF(LEFT(A20,1)="5", "5. Organizacionales", IF(LEFT(A20,1)="6", "6. Personas", IF(LEFT(A20,1)="7", "7. Físicos", "8. Tecnológicos")))</f>
        <v/>
      </c>
      <c r="D20" s="38">
        <f>IFERROR(VLOOKUP(A20, 'ANEXO A'!$A$2:$L$94, 11, FALSE), "")</f>
        <v/>
      </c>
      <c r="E20" s="38">
        <f>IFERROR(VLOOKUP(A20, 'ANEXO A'!$A$2:$L$94, 8, FALSE), "")</f>
        <v/>
      </c>
      <c r="F20" s="38">
        <f>IFERROR(VLOOKUP(A20, 'ANEXO A'!$A$2:$L$94, 9, FALSE), "")</f>
        <v/>
      </c>
      <c r="G20" s="38">
        <f>IFERROR(VLOOKUP(A20, 'ANEXO A'!$A$2:$L$94, 10, FALSE), "")</f>
        <v/>
      </c>
      <c r="H20" s="38">
        <f>IFERROR(VLOOKUP(A20, 'ANEXO A'!$A$2:$L$94, 12, FALSE), "")</f>
        <v/>
      </c>
      <c r="I20" s="38" t="inlineStr">
        <is>
          <t>6.19 Escaneo / Disp. General 2da SEPS 002: Evaluación periódica de riesgos de seguridad y solicitud de auditorías a prestadores de servicios (SEPS-2022-002 / GSO-GSI-MP-GSI).</t>
        </is>
      </c>
      <c r="J20" s="112">
        <f>"• Establecer lineamientos para " &amp; IFERROR(VLOOKUP(A20, 'ANEXO A'!$A$2:$L$94, 2, FALSE), "Este Control") &amp; CHAR(10) &amp; "• Definir roles para el control " &amp; A20 &amp; CHAR(10) &amp; "• Revisar efectividad de " &amp; IFERROR(VLOOKUP(A20, 'ANEXO A'!$A$2:$L$94, 2, FALSE), "Este Control")</f>
        <v/>
      </c>
      <c r="K20" s="112" t="inlineStr">
        <is>
          <t>Asegurar el cumplimiento, control y resguardo continuo de los procesos de Seguridad de la información en las relaciones con los proveedores a fin de mitigar riesgos y mantener la alineación a los principios de confidencialidad, integridad y disponibilidad aplicables a este dominio.</t>
        </is>
      </c>
      <c r="L20" s="112" t="inlineStr">
        <is>
          <t>La organización deberá implementar, registrar y monitorear operativamente todos los protocolos relacionados a Seguridad de la información en las relaciones con los proveedores, estableciendo políticas técnicas correspondientes.</t>
        </is>
      </c>
    </row>
    <row r="21" ht="90" customHeight="1" s="106">
      <c r="A21" s="38">
        <f>'ANEXO A'!A21</f>
        <v/>
      </c>
      <c r="B21" s="38">
        <f>IFERROR(VLOOKUP(A21, 'ANEXO A'!$A$2:$L$94, 2, FALSE), "")</f>
        <v/>
      </c>
      <c r="C21" s="38">
        <f>IF(LEFT(A21,1)="5", "5. Organizacionales", IF(LEFT(A21,1)="6", "6. Personas", IF(LEFT(A21,1)="7", "7. Físicos", "8. Tecnológicos")))</f>
        <v/>
      </c>
      <c r="D21" s="38">
        <f>IFERROR(VLOOKUP(A21, 'ANEXO A'!$A$2:$L$94, 11, FALSE), "")</f>
        <v/>
      </c>
      <c r="E21" s="38">
        <f>IFERROR(VLOOKUP(A21, 'ANEXO A'!$A$2:$L$94, 8, FALSE), "")</f>
        <v/>
      </c>
      <c r="F21" s="38">
        <f>IFERROR(VLOOKUP(A21, 'ANEXO A'!$A$2:$L$94, 9, FALSE), "")</f>
        <v/>
      </c>
      <c r="G21" s="38">
        <f>IFERROR(VLOOKUP(A21, 'ANEXO A'!$A$2:$L$94, 10, FALSE), "")</f>
        <v/>
      </c>
      <c r="H21" s="38">
        <f>IFERROR(VLOOKUP(A21, 'ANEXO A'!$A$2:$L$94, 12, FALSE), "")</f>
        <v/>
      </c>
      <c r="I21" s="38" t="inlineStr">
        <is>
          <t>Disp. General 3era SEPS 002: Incorporación obligatoria de cláusulas de seguridad de la información, protección de datos y confidencialidad en contratos (SEPS-2022-002).</t>
        </is>
      </c>
      <c r="J21" s="112">
        <f>"• Establecer lineamientos para " &amp; IFERROR(VLOOKUP(A21, 'ANEXO A'!$A$2:$L$94, 2, FALSE), "Este Control") &amp; CHAR(10) &amp; "• Definir roles para el control " &amp; A21 &amp; CHAR(10) &amp; "• Revisar efectividad de " &amp; IFERROR(VLOOKUP(A21, 'ANEXO A'!$A$2:$L$94, 2, FALSE), "Este Control")</f>
        <v/>
      </c>
      <c r="K21" s="112" t="inlineStr">
        <is>
          <t>Asegurar el cumplimiento, control y resguardo continuo de los procesos de Tratamiento de la seguridad de la información en los acuerdos con los proveedores a fin de mitigar riesgos y mantener la alineación a los principios de confidencialidad, integridad y disponibilidad aplicables a este dominio.</t>
        </is>
      </c>
      <c r="L21" s="112" t="inlineStr">
        <is>
          <t>La organización deberá implementar, registrar y monitorear operativamente todos los protocolos relacionados a Tratamiento de la seguridad de la información en los acuerdos con los proveedores, estableciendo políticas técnicas correspondientes.</t>
        </is>
      </c>
    </row>
    <row r="22" ht="90" customHeight="1" s="106">
      <c r="A22" s="38">
        <f>'ANEXO A'!A22</f>
        <v/>
      </c>
      <c r="B22" s="38">
        <f>IFERROR(VLOOKUP(A22, 'ANEXO A'!$A$2:$L$94, 2, FALSE), "")</f>
        <v/>
      </c>
      <c r="C22" s="38">
        <f>IF(LEFT(A22,1)="5", "5. Organizacionales", IF(LEFT(A22,1)="6", "6. Personas", IF(LEFT(A22,1)="7", "7. Físicos", "8. Tecnológicos")))</f>
        <v/>
      </c>
      <c r="D22" s="38">
        <f>IFERROR(VLOOKUP(A22, 'ANEXO A'!$A$2:$L$94, 11, FALSE), "")</f>
        <v/>
      </c>
      <c r="E22" s="38">
        <f>IFERROR(VLOOKUP(A22, 'ANEXO A'!$A$2:$L$94, 8, FALSE), "")</f>
        <v/>
      </c>
      <c r="F22" s="38">
        <f>IFERROR(VLOOKUP(A22, 'ANEXO A'!$A$2:$L$94, 9, FALSE), "")</f>
        <v/>
      </c>
      <c r="G22" s="38">
        <f>IFERROR(VLOOKUP(A22, 'ANEXO A'!$A$2:$L$94, 10, FALSE), "")</f>
        <v/>
      </c>
      <c r="H22" s="38">
        <f>IFERROR(VLOOKUP(A22, 'ANEXO A'!$A$2:$L$94, 12, FALSE), "")</f>
        <v/>
      </c>
      <c r="I22" s="38" t="inlineStr">
        <is>
          <t>Anexo 1 SEPS 002: Evaluación de procedencia, confiabilidad y riesgos en la adquisición de hardware, software y suministros de TIC (SEPS-2022-002).</t>
        </is>
      </c>
      <c r="J22" s="112">
        <f>"• Establecer lineamientos para " &amp; IFERROR(VLOOKUP(A22, 'ANEXO A'!$A$2:$L$94, 2, FALSE), "Este Control") &amp; CHAR(10) &amp; "• Definir roles para el control " &amp; A22 &amp; CHAR(10) &amp; "• Revisar efectividad de " &amp; IFERROR(VLOOKUP(A22, 'ANEXO A'!$A$2:$L$94, 2, FALSE), "Este Control")</f>
        <v/>
      </c>
      <c r="K22" s="112" t="inlineStr">
        <is>
          <t>Asegurar el cumplimiento, control y resguardo continuo de los procesos de Gestión de la seguridad de la información en la cadena de suministro de TIC a fin de mitigar riesgos y mantener la alineación a los principios de confidencialidad, integridad y disponibilidad aplicables a este dominio.</t>
        </is>
      </c>
      <c r="L22" s="112" t="inlineStr">
        <is>
          <t>La organización deberá implementar, registrar y monitorear operativamente todos los protocolos relacionados a Gestión de la seguridad de la información en la cadena de suministro de TIC, estableciendo políticas técnicas correspondientes.</t>
        </is>
      </c>
    </row>
    <row r="23" ht="90" customHeight="1" s="106">
      <c r="A23" s="38">
        <f>'ANEXO A'!A23</f>
        <v/>
      </c>
      <c r="B23" s="38">
        <f>IFERROR(VLOOKUP(A23, 'ANEXO A'!$A$2:$L$94, 2, FALSE), "")</f>
        <v/>
      </c>
      <c r="C23" s="38">
        <f>IF(LEFT(A23,1)="5", "5. Organizacionales", IF(LEFT(A23,1)="6", "6. Personas", IF(LEFT(A23,1)="7", "7. Físicos", "8. Tecnológicos")))</f>
        <v/>
      </c>
      <c r="D23" s="38">
        <f>IFERROR(VLOOKUP(A23, 'ANEXO A'!$A$2:$L$94, 11, FALSE), "")</f>
        <v/>
      </c>
      <c r="E23" s="38">
        <f>IFERROR(VLOOKUP(A23, 'ANEXO A'!$A$2:$L$94, 8, FALSE), "")</f>
        <v/>
      </c>
      <c r="F23" s="38">
        <f>IFERROR(VLOOKUP(A23, 'ANEXO A'!$A$2:$L$94, 9, FALSE), "")</f>
        <v/>
      </c>
      <c r="G23" s="38">
        <f>IFERROR(VLOOKUP(A23, 'ANEXO A'!$A$2:$L$94, 10, FALSE), "")</f>
        <v/>
      </c>
      <c r="H23" s="38">
        <f>IFERROR(VLOOKUP(A23, 'ANEXO A'!$A$2:$L$94, 12, FALSE), "")</f>
        <v/>
      </c>
      <c r="I23" s="38" t="inlineStr">
        <is>
          <t>Anexo 1 SEPS 002 / Disp. General 2da: Supervisión continua de ANS (SLA) y auditoría a cambios técnicos en plataformas provistas por terceros (SEPS-2022-002).</t>
        </is>
      </c>
      <c r="J23" s="112">
        <f>"• Establecer lineamientos para " &amp; IFERROR(VLOOKUP(A23, 'ANEXO A'!$A$2:$L$94, 2, FALSE), "Este Control") &amp; CHAR(10) &amp; "• Definir roles para el control " &amp; A23 &amp; CHAR(10) &amp; "• Revisar efectividad de " &amp; IFERROR(VLOOKUP(A23, 'ANEXO A'!$A$2:$L$94, 2, FALSE), "Este Control")</f>
        <v/>
      </c>
      <c r="K23" s="112" t="inlineStr">
        <is>
          <t>Asegurar el cumplimiento, control y resguardo continuo de los procesos de Seguimiento, revisión y gestión de cambios en los servicios de los proveedores a fin de mitigar riesgos y mantener la alineación a los principios de confidencialidad, integridad y disponibilidad aplicables a este dominio.</t>
        </is>
      </c>
      <c r="L23" s="112" t="inlineStr">
        <is>
          <t>La organización deberá implementar, registrar y monitorear operativamente todos los protocolos relacionados a Seguimiento, revisión y gestión de cambios en los servicios de los proveedores, estableciendo políticas técnicas correspondientes.</t>
        </is>
      </c>
    </row>
    <row r="24" ht="78.75" customHeight="1" s="106">
      <c r="A24" s="38">
        <f>'ANEXO A'!A24</f>
        <v/>
      </c>
      <c r="B24" s="38">
        <f>IFERROR(VLOOKUP(A24, 'ANEXO A'!$A$2:$L$94, 2, FALSE), "")</f>
        <v/>
      </c>
      <c r="C24" s="38">
        <f>IF(LEFT(A24,1)="5", "5. Organizacionales", IF(LEFT(A24,1)="6", "6. Personas", IF(LEFT(A24,1)="7", "7. Físicos", "8. Tecnológicos")))</f>
        <v/>
      </c>
      <c r="D24" s="38">
        <f>IFERROR(VLOOKUP(A24, 'ANEXO A'!$A$2:$L$94, 11, FALSE), "")</f>
        <v/>
      </c>
      <c r="E24" s="38">
        <f>IFERROR(VLOOKUP(A24, 'ANEXO A'!$A$2:$L$94, 8, FALSE), "")</f>
        <v/>
      </c>
      <c r="F24" s="38">
        <f>IFERROR(VLOOKUP(A24, 'ANEXO A'!$A$2:$L$94, 9, FALSE), "")</f>
        <v/>
      </c>
      <c r="G24" s="38">
        <f>IFERROR(VLOOKUP(A24, 'ANEXO A'!$A$2:$L$94, 10, FALSE), "")</f>
        <v/>
      </c>
      <c r="H24" s="38">
        <f>IFERROR(VLOOKUP(A24, 'ANEXO A'!$A$2:$L$94, 12, FALSE), "")</f>
        <v/>
      </c>
      <c r="I24" s="38" t="inlineStr">
        <is>
          <t>6.2 Azure / 6.12 MyHSM: Gestión de configuraciones, segregación y control de llaves y servicios en esquemas SaaS/PaaS (GSO-GSI-MP-GSI).</t>
        </is>
      </c>
      <c r="J24" s="112">
        <f>"• Establecer lineamientos para " &amp; IFERROR(VLOOKUP(A24, 'ANEXO A'!$A$2:$L$94, 2, FALSE), "Este Control") &amp; CHAR(10) &amp; "• Definir roles para el control " &amp; A24 &amp; CHAR(10) &amp; "• Revisar efectividad de " &amp; IFERROR(VLOOKUP(A24, 'ANEXO A'!$A$2:$L$94, 2, FALSE), "Este Control")</f>
        <v/>
      </c>
      <c r="K24" s="112" t="inlineStr">
        <is>
          <t>Asegurar el cumplimiento, control y resguardo continuo de los procesos de Seguridad de la información en el uso de servicios en la nube a fin de mitigar riesgos y mantener la alineación a los principios de confidencialidad, integridad y disponibilidad aplicables a este dominio.</t>
        </is>
      </c>
      <c r="L24" s="112" t="inlineStr">
        <is>
          <t>La organización deberá implementar, registrar y monitorear operativamente todos los protocolos relacionados a Seguridad de la información en el uso de servicios en la nube, estableciendo políticas técnicas correspondientes.</t>
        </is>
      </c>
    </row>
    <row r="25" ht="78.75" customHeight="1" s="106">
      <c r="A25" s="38">
        <f>'ANEXO A'!A25</f>
        <v/>
      </c>
      <c r="B25" s="38">
        <f>IFERROR(VLOOKUP(A25, 'ANEXO A'!$A$2:$L$94, 2, FALSE), "")</f>
        <v/>
      </c>
      <c r="C25" s="38">
        <f>IF(LEFT(A25,1)="5", "5. Organizacionales", IF(LEFT(A25,1)="6", "6. Personas", IF(LEFT(A25,1)="7", "7. Físicos", "8. Tecnológicos")))</f>
        <v/>
      </c>
      <c r="D25" s="38">
        <f>IFERROR(VLOOKUP(A25, 'ANEXO A'!$A$2:$L$94, 11, FALSE), "")</f>
        <v/>
      </c>
      <c r="E25" s="38">
        <f>IFERROR(VLOOKUP(A25, 'ANEXO A'!$A$2:$L$94, 8, FALSE), "")</f>
        <v/>
      </c>
      <c r="F25" s="38">
        <f>IFERROR(VLOOKUP(A25, 'ANEXO A'!$A$2:$L$94, 9, FALSE), "")</f>
        <v/>
      </c>
      <c r="G25" s="38">
        <f>IFERROR(VLOOKUP(A25, 'ANEXO A'!$A$2:$L$94, 10, FALSE), "")</f>
        <v/>
      </c>
      <c r="H25" s="38">
        <f>IFERROR(VLOOKUP(A25, 'ANEXO A'!$A$2:$L$94, 12, FALSE), "")</f>
        <v/>
      </c>
      <c r="I25" s="38" t="inlineStr">
        <is>
          <t>6.15. Gestión de incidentes de seguridad de la información - Planificación de respuesta (GSO-GSI-MP-GSI)</t>
        </is>
      </c>
      <c r="J25" s="112">
        <f>"• Establecer lineamientos para " &amp; IFERROR(VLOOKUP(A25, 'ANEXO A'!$A$2:$L$94, 2, FALSE), "Este Control") &amp; CHAR(10) &amp; "• Definir roles para el control " &amp; A25 &amp; CHAR(10) &amp; "• Revisar efectividad de " &amp; IFERROR(VLOOKUP(A25, 'ANEXO A'!$A$2:$L$94, 2, FALSE), "Este Control")</f>
        <v/>
      </c>
      <c r="K25" s="112" t="inlineStr">
        <is>
          <t>Asegurar el cumplimiento, control y resguardo continuo de los procesos de Planificación y preparación de la gestión de incidentes a fin de mitigar riesgos y mantener la alineación a los principios de confidencialidad, integridad y disponibilidad aplicables a este dominio.</t>
        </is>
      </c>
      <c r="L25" s="112" t="inlineStr">
        <is>
          <t>La organización deberá implementar, registrar y monitorear operativamente todos los protocolos relacionados a Planificación y preparación de la gestión de incidentes, estableciendo políticas técnicas correspondientes.</t>
        </is>
      </c>
    </row>
    <row r="26" ht="78.75" customHeight="1" s="106">
      <c r="A26" s="38">
        <f>'ANEXO A'!A26</f>
        <v/>
      </c>
      <c r="B26" s="38">
        <f>IFERROR(VLOOKUP(A26, 'ANEXO A'!$A$2:$L$94, 2, FALSE), "")</f>
        <v/>
      </c>
      <c r="C26" s="38">
        <f>IF(LEFT(A26,1)="5", "5. Organizacionales", IF(LEFT(A26,1)="6", "6. Personas", IF(LEFT(A26,1)="7", "7. Físicos", "8. Tecnológicos")))</f>
        <v/>
      </c>
      <c r="D26" s="38">
        <f>IFERROR(VLOOKUP(A26, 'ANEXO A'!$A$2:$L$94, 11, FALSE), "")</f>
        <v/>
      </c>
      <c r="E26" s="38">
        <f>IFERROR(VLOOKUP(A26, 'ANEXO A'!$A$2:$L$94, 8, FALSE), "")</f>
        <v/>
      </c>
      <c r="F26" s="38">
        <f>IFERROR(VLOOKUP(A26, 'ANEXO A'!$A$2:$L$94, 9, FALSE), "")</f>
        <v/>
      </c>
      <c r="G26" s="38">
        <f>IFERROR(VLOOKUP(A26, 'ANEXO A'!$A$2:$L$94, 10, FALSE), "")</f>
        <v/>
      </c>
      <c r="H26" s="38">
        <f>IFERROR(VLOOKUP(A26, 'ANEXO A'!$A$2:$L$94, 12, FALSE), "")</f>
        <v/>
      </c>
      <c r="I26" s="38" t="inlineStr">
        <is>
          <t>6.15 Gestión de incidentes (Act. 2 y 3): Análisis, categorización, clasificación y registro de eventos y riesgos en el sistema RDS (GSO-GSI-MP-GSI).</t>
        </is>
      </c>
      <c r="J26" s="112">
        <f>"• Establecer lineamientos para " &amp; IFERROR(VLOOKUP(A26, 'ANEXO A'!$A$2:$L$94, 2, FALSE), "Este Control") &amp; CHAR(10) &amp; "• Definir roles para el control " &amp; A26 &amp; CHAR(10) &amp; "• Revisar efectividad de " &amp; IFERROR(VLOOKUP(A26, 'ANEXO A'!$A$2:$L$94, 2, FALSE), "Este Control")</f>
        <v/>
      </c>
      <c r="K26" s="112" t="inlineStr">
        <is>
          <t>Asegurar el cumplimiento, control y resguardo continuo de los procesos de Evaluación y decisión sobre los eventos de seguridad a fin de mitigar riesgos y mantener la alineación a los principios de confidencialidad, integridad y disponibilidad aplicables a este dominio.</t>
        </is>
      </c>
      <c r="L26" s="112" t="inlineStr">
        <is>
          <t>La organización deberá implementar, registrar y monitorear operativamente todos los protocolos relacionados a Evaluación y decisión sobre los eventos de seguridad, estableciendo políticas técnicas correspondientes.</t>
        </is>
      </c>
    </row>
    <row r="27" ht="78.75" customHeight="1" s="106">
      <c r="A27" s="38">
        <f>'ANEXO A'!A27</f>
        <v/>
      </c>
      <c r="B27" s="38">
        <f>IFERROR(VLOOKUP(A27, 'ANEXO A'!$A$2:$L$94, 2, FALSE), "")</f>
        <v/>
      </c>
      <c r="C27" s="38">
        <f>IF(LEFT(A27,1)="5", "5. Organizacionales", IF(LEFT(A27,1)="6", "6. Personas", IF(LEFT(A27,1)="7", "7. Físicos", "8. Tecnológicos")))</f>
        <v/>
      </c>
      <c r="D27" s="38">
        <f>IFERROR(VLOOKUP(A27, 'ANEXO A'!$A$2:$L$94, 11, FALSE), "")</f>
        <v/>
      </c>
      <c r="E27" s="38">
        <f>IFERROR(VLOOKUP(A27, 'ANEXO A'!$A$2:$L$94, 8, FALSE), "")</f>
        <v/>
      </c>
      <c r="F27" s="38">
        <f>IFERROR(VLOOKUP(A27, 'ANEXO A'!$A$2:$L$94, 9, FALSE), "")</f>
        <v/>
      </c>
      <c r="G27" s="38">
        <f>IFERROR(VLOOKUP(A27, 'ANEXO A'!$A$2:$L$94, 10, FALSE), "")</f>
        <v/>
      </c>
      <c r="H27" s="38">
        <f>IFERROR(VLOOKUP(A27, 'ANEXO A'!$A$2:$L$94, 12, FALSE), "")</f>
        <v/>
      </c>
      <c r="I27" s="38" t="inlineStr">
        <is>
          <t>6.15 Gestión de incidentes (Act. 3, 4 y 5): Ejecución de acciones de contención, mitigación y escalamiento a Gerencia y Comité de Seguridad (GSO-GSI-MP-GSI).</t>
        </is>
      </c>
      <c r="J27" s="112">
        <f>"• Establecer lineamientos para " &amp; IFERROR(VLOOKUP(A27, 'ANEXO A'!$A$2:$L$94, 2, FALSE), "Este Control") &amp; CHAR(10) &amp; "• Definir roles para el control " &amp; A27 &amp; CHAR(10) &amp; "• Revisar efectividad de " &amp; IFERROR(VLOOKUP(A27, 'ANEXO A'!$A$2:$L$94, 2, FALSE), "Este Control")</f>
        <v/>
      </c>
      <c r="K27" s="112" t="inlineStr">
        <is>
          <t>Asegurar el cumplimiento, control y resguardo continuo de los procesos de Respuesta a los incidentes de seguridad de la información a fin de mitigar riesgos y mantener la alineación a los principios de confidencialidad, integridad y disponibilidad aplicables a este dominio.</t>
        </is>
      </c>
      <c r="L27" s="112" t="inlineStr">
        <is>
          <t>La organización deberá implementar, registrar y monitorear operativamente todos los protocolos relacionados a Respuesta a los incidentes de seguridad de la información, estableciendo políticas técnicas correspondientes.</t>
        </is>
      </c>
    </row>
    <row r="28" ht="78.75" customHeight="1" s="106">
      <c r="A28" s="38">
        <f>'ANEXO A'!A28</f>
        <v/>
      </c>
      <c r="B28" s="38">
        <f>IFERROR(VLOOKUP(A28, 'ANEXO A'!$A$2:$L$94, 2, FALSE), "")</f>
        <v/>
      </c>
      <c r="C28" s="38">
        <f>IF(LEFT(A28,1)="5", "5. Organizacionales", IF(LEFT(A28,1)="6", "6. Personas", IF(LEFT(A28,1)="7", "7. Físicos", "8. Tecnológicos")))</f>
        <v/>
      </c>
      <c r="D28" s="38">
        <f>IFERROR(VLOOKUP(A28, 'ANEXO A'!$A$2:$L$94, 11, FALSE), "")</f>
        <v/>
      </c>
      <c r="E28" s="38">
        <f>IFERROR(VLOOKUP(A28, 'ANEXO A'!$A$2:$L$94, 8, FALSE), "")</f>
        <v/>
      </c>
      <c r="F28" s="38">
        <f>IFERROR(VLOOKUP(A28, 'ANEXO A'!$A$2:$L$94, 9, FALSE), "")</f>
        <v/>
      </c>
      <c r="G28" s="38">
        <f>IFERROR(VLOOKUP(A28, 'ANEXO A'!$A$2:$L$94, 10, FALSE), "")</f>
        <v/>
      </c>
      <c r="H28" s="38">
        <f>IFERROR(VLOOKUP(A28, 'ANEXO A'!$A$2:$L$94, 12, FALSE), "")</f>
        <v/>
      </c>
      <c r="I28" s="38" t="inlineStr">
        <is>
          <t>6.15 Gestión de incidentes (Act. 7 y 8): Análisis de causa raíz, actualización de controles y enriquecimiento del Plan Anual de SI (GSO-GSI-MP-GSI).</t>
        </is>
      </c>
      <c r="J28" s="112">
        <f>"• Establecer lineamientos para " &amp; IFERROR(VLOOKUP(A28, 'ANEXO A'!$A$2:$L$94, 2, FALSE), "Este Control") &amp; CHAR(10) &amp; "• Definir roles para el control " &amp; A28 &amp; CHAR(10) &amp; "• Revisar efectividad de " &amp; IFERROR(VLOOKUP(A28, 'ANEXO A'!$A$2:$L$94, 2, FALSE), "Este Control")</f>
        <v/>
      </c>
      <c r="K28" s="112" t="inlineStr">
        <is>
          <t>Asegurar el cumplimiento, control y resguardo continuo de los procesos de Aprendizaje de los incidentes de seguridad de la información a fin de mitigar riesgos y mantener la alineación a los principios de confidencialidad, integridad y disponibilidad aplicables a este dominio.</t>
        </is>
      </c>
      <c r="L28" s="112" t="inlineStr">
        <is>
          <t>La organización deberá implementar, registrar y monitorear operativamente todos los protocolos relacionados a Aprendizaje de los incidentes de seguridad de la información, estableciendo políticas técnicas correspondientes.</t>
        </is>
      </c>
    </row>
    <row r="29" ht="56.25" customHeight="1" s="106">
      <c r="A29" s="38">
        <f>'ANEXO A'!A29</f>
        <v/>
      </c>
      <c r="B29" s="38">
        <f>IFERROR(VLOOKUP(A29, 'ANEXO A'!$A$2:$L$94, 2, FALSE), "")</f>
        <v/>
      </c>
      <c r="C29" s="38">
        <f>IF(LEFT(A29,1)="5", "5. Organizacionales", IF(LEFT(A29,1)="6", "6. Personas", IF(LEFT(A29,1)="7", "7. Físicos", "8. Tecnológicos")))</f>
        <v/>
      </c>
      <c r="D29" s="38">
        <f>IFERROR(VLOOKUP(A29, 'ANEXO A'!$A$2:$L$94, 11, FALSE), "")</f>
        <v/>
      </c>
      <c r="E29" s="38">
        <f>IFERROR(VLOOKUP(A29, 'ANEXO A'!$A$2:$L$94, 8, FALSE), "")</f>
        <v/>
      </c>
      <c r="F29" s="38">
        <f>IFERROR(VLOOKUP(A29, 'ANEXO A'!$A$2:$L$94, 9, FALSE), "")</f>
        <v/>
      </c>
      <c r="G29" s="38">
        <f>IFERROR(VLOOKUP(A29, 'ANEXO A'!$A$2:$L$94, 10, FALSE), "")</f>
        <v/>
      </c>
      <c r="H29" s="38">
        <f>IFERROR(VLOOKUP(A29, 'ANEXO A'!$A$2:$L$94, 12, FALSE), "")</f>
        <v/>
      </c>
      <c r="I29" s="38" t="inlineStr">
        <is>
          <t>6.14 Auditoría BD / 6.15 Incidentes: Preservación de logs, pistas de auditoría y cadena de custodia técnica (GSO-GSI-MP-GSI / ISO 27002).</t>
        </is>
      </c>
      <c r="J29" s="112">
        <f>"• Establecer lineamientos para " &amp; IFERROR(VLOOKUP(A29, 'ANEXO A'!$A$2:$L$94, 2, FALSE), "Este Control") &amp; CHAR(10) &amp; "• Definir roles para el control " &amp; A29 &amp; CHAR(10) &amp; "• Revisar efectividad de " &amp; IFERROR(VLOOKUP(A29, 'ANEXO A'!$A$2:$L$94, 2, FALSE), "Este Control")</f>
        <v/>
      </c>
      <c r="K29" s="112" t="inlineStr">
        <is>
          <t>Asegurar el cumplimiento, control y resguardo continuo de los procesos de Recolección de evidencias a fin de mitigar riesgos y mantener la alineación a los principios de confidencialidad, integridad y disponibilidad aplicables a este dominio.</t>
        </is>
      </c>
      <c r="L29" s="112" t="inlineStr">
        <is>
          <t>La organización deberá implementar, registrar y monitorear operativamente todos los protocolos relacionados a Recolección de evidencias, estableciendo políticas técnicas correspondientes.</t>
        </is>
      </c>
    </row>
    <row r="30" ht="67.5" customHeight="1" s="106">
      <c r="A30" s="38">
        <f>'ANEXO A'!A30</f>
        <v/>
      </c>
      <c r="B30" s="38">
        <f>IFERROR(VLOOKUP(A30, 'ANEXO A'!$A$2:$L$94, 2, FALSE), "")</f>
        <v/>
      </c>
      <c r="C30" s="38">
        <f>IF(LEFT(A30,1)="5", "5. Organizacionales", IF(LEFT(A30,1)="6", "6. Personas", IF(LEFT(A30,1)="7", "7. Físicos", "8. Tecnológicos")))</f>
        <v/>
      </c>
      <c r="D30" s="38">
        <f>IFERROR(VLOOKUP(A30, 'ANEXO A'!$A$2:$L$94, 11, FALSE), "")</f>
        <v/>
      </c>
      <c r="E30" s="38">
        <f>IFERROR(VLOOKUP(A30, 'ANEXO A'!$A$2:$L$94, 8, FALSE), "")</f>
        <v/>
      </c>
      <c r="F30" s="38">
        <f>IFERROR(VLOOKUP(A30, 'ANEXO A'!$A$2:$L$94, 9, FALSE), "")</f>
        <v/>
      </c>
      <c r="G30" s="38">
        <f>IFERROR(VLOOKUP(A30, 'ANEXO A'!$A$2:$L$94, 10, FALSE), "")</f>
        <v/>
      </c>
      <c r="H30" s="38">
        <f>IFERROR(VLOOKUP(A30, 'ANEXO A'!$A$2:$L$94, 12, FALSE), "")</f>
        <v/>
      </c>
      <c r="I30" s="38" t="inlineStr">
        <is>
          <t>Anexo 1 SEPS / DRP: Mantenimiento de las salvaguardas de confidencialidad e integridad durante la activación de contingencias (SEPS-2022-002 / ISO 27001).</t>
        </is>
      </c>
      <c r="J30" s="112">
        <f>"• Establecer lineamientos para " &amp; IFERROR(VLOOKUP(A30, 'ANEXO A'!$A$2:$L$94, 2, FALSE), "Este Control") &amp; CHAR(10) &amp; "• Definir roles para el control " &amp; A30 &amp; CHAR(10) &amp; "• Revisar efectividad de " &amp; IFERROR(VLOOKUP(A30, 'ANEXO A'!$A$2:$L$94, 2, FALSE), "Este Control")</f>
        <v/>
      </c>
      <c r="K30" s="112" t="inlineStr">
        <is>
          <t>Asegurar el cumplimiento, control y resguardo continuo de los procesos de Seguridad de la información durante la interrupción a fin de mitigar riesgos y mantener la alineación a los principios de confidencialidad, integridad y disponibilidad aplicables a este dominio.</t>
        </is>
      </c>
      <c r="L30" s="112" t="inlineStr">
        <is>
          <t>La organización deberá implementar, registrar y monitorear operativamente todos los protocolos relacionados a Seguridad de la información durante la interrupción, estableciendo políticas técnicas correspondientes.</t>
        </is>
      </c>
    </row>
    <row r="31" ht="78.75" customHeight="1" s="106">
      <c r="A31" s="38">
        <f>'ANEXO A'!A31</f>
        <v/>
      </c>
      <c r="B31" s="38">
        <f>IFERROR(VLOOKUP(A31, 'ANEXO A'!$A$2:$L$94, 2, FALSE), "")</f>
        <v/>
      </c>
      <c r="C31" s="38">
        <f>IF(LEFT(A31,1)="5", "5. Organizacionales", IF(LEFT(A31,1)="6", "6. Personas", IF(LEFT(A31,1)="7", "7. Físicos", "8. Tecnológicos")))</f>
        <v/>
      </c>
      <c r="D31" s="38">
        <f>IFERROR(VLOOKUP(A31, 'ANEXO A'!$A$2:$L$94, 11, FALSE), "")</f>
        <v/>
      </c>
      <c r="E31" s="38">
        <f>IFERROR(VLOOKUP(A31, 'ANEXO A'!$A$2:$L$94, 8, FALSE), "")</f>
        <v/>
      </c>
      <c r="F31" s="38">
        <f>IFERROR(VLOOKUP(A31, 'ANEXO A'!$A$2:$L$94, 9, FALSE), "")</f>
        <v/>
      </c>
      <c r="G31" s="38">
        <f>IFERROR(VLOOKUP(A31, 'ANEXO A'!$A$2:$L$94, 10, FALSE), "")</f>
        <v/>
      </c>
      <c r="H31" s="38">
        <f>IFERROR(VLOOKUP(A31, 'ANEXO A'!$A$2:$L$94, 12, FALSE), "")</f>
        <v/>
      </c>
      <c r="I31" s="38" t="inlineStr">
        <is>
          <t>Anexo 1 SEPS (Planes de Contingencia): Definición y pruebas periódicas de RTO/RPO y continuidad en infraestructura tecnológica (SEPS-2022-002).</t>
        </is>
      </c>
      <c r="J31" s="112">
        <f>"• Establecer lineamientos para " &amp; IFERROR(VLOOKUP(A31, 'ANEXO A'!$A$2:$L$94, 2, FALSE), "Este Control") &amp; CHAR(10) &amp; "• Definir roles para el control " &amp; A31 &amp; CHAR(10) &amp; "• Revisar efectividad de " &amp; IFERROR(VLOOKUP(A31, 'ANEXO A'!$A$2:$L$94, 2, FALSE), "Este Control")</f>
        <v/>
      </c>
      <c r="K31" s="112" t="inlineStr">
        <is>
          <t>Asegurar el cumplimiento, control y resguardo continuo de los procesos de Preparación de las TIC para la continuidad del negocio a fin de mitigar riesgos y mantener la alineación a los principios de confidencialidad, integridad y disponibilidad aplicables a este dominio.</t>
        </is>
      </c>
      <c r="L31" s="112" t="inlineStr">
        <is>
          <t>La organización deberá implementar, registrar y monitorear operativamente todos los protocolos relacionados a Preparación de las TIC para la continuidad del negocio, estableciendo políticas técnicas correspondientes.</t>
        </is>
      </c>
    </row>
    <row r="32" ht="78.75" customHeight="1" s="106">
      <c r="A32" s="38">
        <f>'ANEXO A'!A32</f>
        <v/>
      </c>
      <c r="B32" s="38">
        <f>IFERROR(VLOOKUP(A32, 'ANEXO A'!$A$2:$L$94, 2, FALSE), "")</f>
        <v/>
      </c>
      <c r="C32" s="38">
        <f>IF(LEFT(A32,1)="5", "5. Organizacionales", IF(LEFT(A32,1)="6", "6. Personas", IF(LEFT(A32,1)="7", "7. Físicos", "8. Tecnológicos")))</f>
        <v/>
      </c>
      <c r="D32" s="38">
        <f>IFERROR(VLOOKUP(A32, 'ANEXO A'!$A$2:$L$94, 11, FALSE), "")</f>
        <v/>
      </c>
      <c r="E32" s="38">
        <f>IFERROR(VLOOKUP(A32, 'ANEXO A'!$A$2:$L$94, 8, FALSE), "")</f>
        <v/>
      </c>
      <c r="F32" s="38">
        <f>IFERROR(VLOOKUP(A32, 'ANEXO A'!$A$2:$L$94, 9, FALSE), "")</f>
        <v/>
      </c>
      <c r="G32" s="38">
        <f>IFERROR(VLOOKUP(A32, 'ANEXO A'!$A$2:$L$94, 10, FALSE), "")</f>
        <v/>
      </c>
      <c r="H32" s="38">
        <f>IFERROR(VLOOKUP(A32, 'ANEXO A'!$A$2:$L$94, 12, FALSE), "")</f>
        <v/>
      </c>
      <c r="I32" s="38" t="inlineStr">
        <is>
          <t>Sec. 3 Marco Normativo SEPS 002: Mapeo y cumplimiento sistemático del marco legal (SEPS, LOPDP, ISO 27001) (GSO-GSI-MP-GSI / SEPS-2022-002).</t>
        </is>
      </c>
      <c r="J32" s="112">
        <f>"• Establecer lineamientos para " &amp; IFERROR(VLOOKUP(A32, 'ANEXO A'!$A$2:$L$94, 2, FALSE), "Este Control") &amp; CHAR(10) &amp; "• Definir roles para el control " &amp; A32 &amp; CHAR(10) &amp; "• Revisar efectividad de " &amp; IFERROR(VLOOKUP(A32, 'ANEXO A'!$A$2:$L$94, 2, FALSE), "Este Control")</f>
        <v/>
      </c>
      <c r="K32" s="112" t="inlineStr">
        <is>
          <t>Asegurar el cumplimiento, control y resguardo continuo de los procesos de Requisitos legales, estatutarios, reglamentarios y contractuales a fin de mitigar riesgos y mantener la alineación a los principios de confidencialidad, integridad y disponibilidad aplicables a este dominio.</t>
        </is>
      </c>
      <c r="L32" s="112" t="inlineStr">
        <is>
          <t>La organización deberá implementar, registrar y monitorear operativamente todos los protocolos relacionados a Requisitos legales, estatutarios, reglamentarios y contractuales, estableciendo políticas técnicas correspondientes.</t>
        </is>
      </c>
    </row>
    <row r="33" ht="56.25" customHeight="1" s="106">
      <c r="A33" s="38">
        <f>'ANEXO A'!A33</f>
        <v/>
      </c>
      <c r="B33" s="38">
        <f>IFERROR(VLOOKUP(A33, 'ANEXO A'!$A$2:$L$94, 2, FALSE), "")</f>
        <v/>
      </c>
      <c r="C33" s="38">
        <f>IF(LEFT(A33,1)="5", "5. Organizacionales", IF(LEFT(A33,1)="6", "6. Personas", IF(LEFT(A33,1)="7", "7. Físicos", "8. Tecnológicos")))</f>
        <v/>
      </c>
      <c r="D33" s="38">
        <f>IFERROR(VLOOKUP(A33, 'ANEXO A'!$A$2:$L$94, 11, FALSE), "")</f>
        <v/>
      </c>
      <c r="E33" s="38">
        <f>IFERROR(VLOOKUP(A33, 'ANEXO A'!$A$2:$L$94, 8, FALSE), "")</f>
        <v/>
      </c>
      <c r="F33" s="38">
        <f>IFERROR(VLOOKUP(A33, 'ANEXO A'!$A$2:$L$94, 9, FALSE), "")</f>
        <v/>
      </c>
      <c r="G33" s="38">
        <f>IFERROR(VLOOKUP(A33, 'ANEXO A'!$A$2:$L$94, 10, FALSE), "")</f>
        <v/>
      </c>
      <c r="H33" s="38">
        <f>IFERROR(VLOOKUP(A33, 'ANEXO A'!$A$2:$L$94, 12, FALSE), "")</f>
        <v/>
      </c>
      <c r="I33" s="38" t="inlineStr">
        <is>
          <t>6.13 Gestión de activos / Anexo 1 SEPS: Control y verificación de licenciamiento de software y restricción de uso no autorizado (GSO-GSI-ME-GAI / SEPS-2022-002).</t>
        </is>
      </c>
      <c r="J33" s="112">
        <f>"• Establecer lineamientos para " &amp; IFERROR(VLOOKUP(A33, 'ANEXO A'!$A$2:$L$94, 2, FALSE), "Este Control") &amp; CHAR(10) &amp; "• Definir roles para el control " &amp; A33 &amp; CHAR(10) &amp; "• Revisar efectividad de " &amp; IFERROR(VLOOKUP(A33, 'ANEXO A'!$A$2:$L$94, 2, FALSE), "Este Control")</f>
        <v/>
      </c>
      <c r="K33" s="112" t="inlineStr">
        <is>
          <t>Asegurar el cumplimiento, control y resguardo continuo de los procesos de Derechos de propiedad intelectual a fin de mitigar riesgos y mantener la alineación a los principios de confidencialidad, integridad y disponibilidad aplicables a este dominio.</t>
        </is>
      </c>
      <c r="L33" s="112" t="inlineStr">
        <is>
          <t>La organización deberá implementar, registrar y monitorear operativamente todos los protocolos relacionados a Derechos de propiedad intelectual, estableciendo políticas técnicas correspondientes.</t>
        </is>
      </c>
    </row>
    <row r="34" ht="56.25" customHeight="1" s="106">
      <c r="A34" s="38">
        <f>'ANEXO A'!A34</f>
        <v/>
      </c>
      <c r="B34" s="38">
        <f>IFERROR(VLOOKUP(A34, 'ANEXO A'!$A$2:$L$94, 2, FALSE), "")</f>
        <v/>
      </c>
      <c r="C34" s="38">
        <f>IF(LEFT(A34,1)="5", "5. Organizacionales", IF(LEFT(A34,1)="6", "6. Personas", IF(LEFT(A34,1)="7", "7. Físicos", "8. Tecnológicos")))</f>
        <v/>
      </c>
      <c r="D34" s="38">
        <f>IFERROR(VLOOKUP(A34, 'ANEXO A'!$A$2:$L$94, 11, FALSE), "")</f>
        <v/>
      </c>
      <c r="E34" s="38">
        <f>IFERROR(VLOOKUP(A34, 'ANEXO A'!$A$2:$L$94, 8, FALSE), "")</f>
        <v/>
      </c>
      <c r="F34" s="38">
        <f>IFERROR(VLOOKUP(A34, 'ANEXO A'!$A$2:$L$94, 9, FALSE), "")</f>
        <v/>
      </c>
      <c r="G34" s="38">
        <f>IFERROR(VLOOKUP(A34, 'ANEXO A'!$A$2:$L$94, 10, FALSE), "")</f>
        <v/>
      </c>
      <c r="H34" s="38">
        <f>IFERROR(VLOOKUP(A34, 'ANEXO A'!$A$2:$L$94, 12, FALSE), "")</f>
        <v/>
      </c>
      <c r="I34" s="38" t="inlineStr">
        <is>
          <t>6.1 Políticas / 6.14 Auditoría BD: Custodia, retención y protección física y lógica de bitácoras, actas y registros digitales (GSO-GSI-MP-GSI).</t>
        </is>
      </c>
      <c r="J34" s="112">
        <f>"• Establecer lineamientos para " &amp; IFERROR(VLOOKUP(A34, 'ANEXO A'!$A$2:$L$94, 2, FALSE), "Este Control") &amp; CHAR(10) &amp; "• Definir roles para el control " &amp; A34 &amp; CHAR(10) &amp; "• Revisar efectividad de " &amp; IFERROR(VLOOKUP(A34, 'ANEXO A'!$A$2:$L$94, 2, FALSE), "Este Control")</f>
        <v/>
      </c>
      <c r="K34" s="112" t="inlineStr">
        <is>
          <t>Asegurar el cumplimiento, control y resguardo continuo de los procesos de Protección de los registros a fin de mitigar riesgos y mantener la alineación a los principios de confidencialidad, integridad y disponibilidad aplicables a este dominio.</t>
        </is>
      </c>
      <c r="L34" s="112" t="inlineStr">
        <is>
          <t>La organización deberá implementar, registrar y monitorear operativamente todos los protocolos relacionados a Protección de los registros, estableciendo políticas técnicas correspondientes.</t>
        </is>
      </c>
    </row>
    <row r="35" ht="90" customHeight="1" s="106">
      <c r="A35" s="38">
        <f>'ANEXO A'!A35</f>
        <v/>
      </c>
      <c r="B35" s="38">
        <f>IFERROR(VLOOKUP(A35, 'ANEXO A'!$A$2:$L$94, 2, FALSE), "")</f>
        <v/>
      </c>
      <c r="C35" s="38">
        <f>IF(LEFT(A35,1)="5", "5. Organizacionales", IF(LEFT(A35,1)="6", "6. Personas", IF(LEFT(A35,1)="7", "7. Físicos", "8. Tecnológicos")))</f>
        <v/>
      </c>
      <c r="D35" s="38">
        <f>IFERROR(VLOOKUP(A35, 'ANEXO A'!$A$2:$L$94, 11, FALSE), "")</f>
        <v/>
      </c>
      <c r="E35" s="38">
        <f>IFERROR(VLOOKUP(A35, 'ANEXO A'!$A$2:$L$94, 8, FALSE), "")</f>
        <v/>
      </c>
      <c r="F35" s="38">
        <f>IFERROR(VLOOKUP(A35, 'ANEXO A'!$A$2:$L$94, 9, FALSE), "")</f>
        <v/>
      </c>
      <c r="G35" s="38">
        <f>IFERROR(VLOOKUP(A35, 'ANEXO A'!$A$2:$L$94, 10, FALSE), "")</f>
        <v/>
      </c>
      <c r="H35" s="38">
        <f>IFERROR(VLOOKUP(A35, 'ANEXO A'!$A$2:$L$94, 12, FALSE), "")</f>
        <v/>
      </c>
      <c r="I35" s="38" t="inlineStr">
        <is>
          <t>6.17 Escaneo PCI DSS / LOPDP: Tratamiento lícito, enmascaramiento y resguardo de datos personales y tarjetahabientes (GSO-GSI-MP-GSI / SEPS-2022-002).</t>
        </is>
      </c>
      <c r="J35" s="112">
        <f>"• Establecer lineamientos para " &amp; IFERROR(VLOOKUP(A35, 'ANEXO A'!$A$2:$L$94, 2, FALSE), "Este Control") &amp; CHAR(10) &amp; "• Definir roles para el control " &amp; A35 &amp; CHAR(10) &amp; "• Revisar efectividad de " &amp; IFERROR(VLOOKUP(A35, 'ANEXO A'!$A$2:$L$94, 2, FALSE), "Este Control")</f>
        <v/>
      </c>
      <c r="K35" s="112" t="inlineStr">
        <is>
          <t>Asegurar el cumplimiento, control y resguardo continuo de los procesos de Privacidad y protección de la información de identificación personal (PII) a fin de mitigar riesgos y mantener la alineación a los principios de confidencialidad, integridad y disponibilidad aplicables a este dominio.</t>
        </is>
      </c>
      <c r="L35" s="112" t="inlineStr">
        <is>
          <t>La organización deberá implementar, registrar y monitorear operativamente todos los protocolos relacionados a Privacidad y protección de la información de identificación personal (PII), estableciendo políticas técnicas correspondientes.</t>
        </is>
      </c>
    </row>
    <row r="36" ht="78.75" customHeight="1" s="106">
      <c r="A36" s="38">
        <f>'ANEXO A'!A36</f>
        <v/>
      </c>
      <c r="B36" s="38">
        <f>IFERROR(VLOOKUP(A36, 'ANEXO A'!$A$2:$L$94, 2, FALSE), "")</f>
        <v/>
      </c>
      <c r="C36" s="38">
        <f>IF(LEFT(A36,1)="5", "5. Organizacionales", IF(LEFT(A36,1)="6", "6. Personas", IF(LEFT(A36,1)="7", "7. Físicos", "8. Tecnológicos")))</f>
        <v/>
      </c>
      <c r="D36" s="38">
        <f>IFERROR(VLOOKUP(A36, 'ANEXO A'!$A$2:$L$94, 11, FALSE), "")</f>
        <v/>
      </c>
      <c r="E36" s="38">
        <f>IFERROR(VLOOKUP(A36, 'ANEXO A'!$A$2:$L$94, 8, FALSE), "")</f>
        <v/>
      </c>
      <c r="F36" s="38">
        <f>IFERROR(VLOOKUP(A36, 'ANEXO A'!$A$2:$L$94, 9, FALSE), "")</f>
        <v/>
      </c>
      <c r="G36" s="38">
        <f>IFERROR(VLOOKUP(A36, 'ANEXO A'!$A$2:$L$94, 10, FALSE), "")</f>
        <v/>
      </c>
      <c r="H36" s="38">
        <f>IFERROR(VLOOKUP(A36, 'ANEXO A'!$A$2:$L$94, 12, FALSE), "")</f>
        <v/>
      </c>
      <c r="I36" s="38" t="inlineStr">
        <is>
          <t>6.2 Controles / Sec. 12 SEPS 002: Auditorías informáticas internas y externas anuales al SGSI (GSO-GSI-MP-GSI / SEPS-2022-002).</t>
        </is>
      </c>
      <c r="J36" s="112">
        <f>"• Establecer lineamientos para " &amp; IFERROR(VLOOKUP(A36, 'ANEXO A'!$A$2:$L$94, 2, FALSE), "Este Control") &amp; CHAR(10) &amp; "• Definir roles para el control " &amp; A36 &amp; CHAR(10) &amp; "• Revisar efectividad de " &amp; IFERROR(VLOOKUP(A36, 'ANEXO A'!$A$2:$L$94, 2, FALSE), "Este Control")</f>
        <v/>
      </c>
      <c r="K36" s="112" t="inlineStr">
        <is>
          <t>Asegurar el cumplimiento, control y resguardo continuo de los procesos de Revisión independiente de la seguridad de la información a fin de mitigar riesgos y mantener la alineación a los principios de confidencialidad, integridad y disponibilidad aplicables a este dominio.</t>
        </is>
      </c>
      <c r="L36" s="112" t="inlineStr">
        <is>
          <t>La organización deberá implementar, registrar y monitorear operativamente todos los protocolos relacionados a Revisión independiente de la seguridad de la información, estableciendo políticas técnicas correspondientes.</t>
        </is>
      </c>
    </row>
    <row r="37" ht="78.75" customHeight="1" s="106">
      <c r="A37" s="38">
        <f>'ANEXO A'!A37</f>
        <v/>
      </c>
      <c r="B37" s="38">
        <f>IFERROR(VLOOKUP(A37, 'ANEXO A'!$A$2:$L$94, 2, FALSE), "")</f>
        <v/>
      </c>
      <c r="C37" s="38">
        <f>IF(LEFT(A37,1)="5", "5. Organizacionales", IF(LEFT(A37,1)="6", "6. Personas", IF(LEFT(A37,1)="7", "7. Físicos", "8. Tecnológicos")))</f>
        <v/>
      </c>
      <c r="D37" s="38">
        <f>IFERROR(VLOOKUP(A37, 'ANEXO A'!$A$2:$L$94, 11, FALSE), "")</f>
        <v/>
      </c>
      <c r="E37" s="38">
        <f>IFERROR(VLOOKUP(A37, 'ANEXO A'!$A$2:$L$94, 8, FALSE), "")</f>
        <v/>
      </c>
      <c r="F37" s="38">
        <f>IFERROR(VLOOKUP(A37, 'ANEXO A'!$A$2:$L$94, 9, FALSE), "")</f>
        <v/>
      </c>
      <c r="G37" s="38">
        <f>IFERROR(VLOOKUP(A37, 'ANEXO A'!$A$2:$L$94, 10, FALSE), "")</f>
        <v/>
      </c>
      <c r="H37" s="38">
        <f>IFERROR(VLOOKUP(A37, 'ANEXO A'!$A$2:$L$94, 12, FALSE), "")</f>
        <v/>
      </c>
      <c r="I37" s="38" t="inlineStr">
        <is>
          <t>6.16 Revisión y monitoreo: Ejecución de checklist semestral y elaboración de informe de cumplimiento de políticas (GSO-GSI-MP-GSI).</t>
        </is>
      </c>
      <c r="J37" s="112">
        <f>"• Establecer lineamientos para " &amp; IFERROR(VLOOKUP(A37, 'ANEXO A'!$A$2:$L$94, 2, FALSE), "Este Control") &amp; CHAR(10) &amp; "• Definir roles para el control " &amp; A37 &amp; CHAR(10) &amp; "• Revisar efectividad de " &amp; IFERROR(VLOOKUP(A37, 'ANEXO A'!$A$2:$L$94, 2, FALSE), "Este Control")</f>
        <v/>
      </c>
      <c r="K37" s="112" t="inlineStr">
        <is>
          <t>Asegurar el cumplimiento, control y resguardo continuo de los procesos de Cumplimiento de las políticas, normas y estándares de seguridad a fin de mitigar riesgos y mantener la alineación a los principios de confidencialidad, integridad y disponibilidad aplicables a este dominio.</t>
        </is>
      </c>
      <c r="L37" s="112" t="inlineStr">
        <is>
          <t>La organización deberá implementar, registrar y monitorear operativamente todos los protocolos relacionados a Cumplimiento de las políticas, normas y estándares de seguridad, estableciendo políticas técnicas correspondientes.</t>
        </is>
      </c>
    </row>
    <row r="38" ht="78.75" customHeight="1" s="106">
      <c r="A38" s="38">
        <f>'ANEXO A'!A38</f>
        <v/>
      </c>
      <c r="B38" s="38">
        <f>IFERROR(VLOOKUP(A38, 'ANEXO A'!$A$2:$L$94, 2, FALSE), "")</f>
        <v/>
      </c>
      <c r="C38" s="38">
        <f>IF(LEFT(A38,1)="5", "5. Organizacionales", IF(LEFT(A38,1)="6", "6. Personas", IF(LEFT(A38,1)="7", "7. Físicos", "8. Tecnológicos")))</f>
        <v/>
      </c>
      <c r="D38" s="38">
        <f>IFERROR(VLOOKUP(A38, 'ANEXO A'!$A$2:$L$94, 11, FALSE), "")</f>
        <v/>
      </c>
      <c r="E38" s="38">
        <f>IFERROR(VLOOKUP(A38, 'ANEXO A'!$A$2:$L$94, 8, FALSE), "")</f>
        <v/>
      </c>
      <c r="F38" s="38">
        <f>IFERROR(VLOOKUP(A38, 'ANEXO A'!$A$2:$L$94, 9, FALSE), "")</f>
        <v/>
      </c>
      <c r="G38" s="38">
        <f>IFERROR(VLOOKUP(A38, 'ANEXO A'!$A$2:$L$94, 10, FALSE), "")</f>
        <v/>
      </c>
      <c r="H38" s="38">
        <f>IFERROR(VLOOKUP(A38, 'ANEXO A'!$A$2:$L$94, 12, FALSE), "")</f>
        <v/>
      </c>
      <c r="I38" s="38" t="inlineStr">
        <is>
          <t>Sec. 6 Procedimientos Operativos GSI: Elaboración, actualización y formalización de manuales e instructivos de seguridad (GSO-GSI-MP-GSI).</t>
        </is>
      </c>
      <c r="J38" s="112">
        <f>"• Establecer lineamientos para " &amp; IFERROR(VLOOKUP(A38, 'ANEXO A'!$A$2:$L$94, 2, FALSE), "Este Control") &amp; CHAR(10) &amp; "• Definir roles para el control " &amp; A38 &amp; CHAR(10) &amp; "• Revisar efectividad de " &amp; IFERROR(VLOOKUP(A38, 'ANEXO A'!$A$2:$L$94, 2, FALSE), "Este Control")</f>
        <v/>
      </c>
      <c r="K38" s="112" t="inlineStr">
        <is>
          <t>Asegurar el cumplimiento, control y resguardo continuo de los procesos de Procedimientos operativos documentados a fin de mitigar riesgos y mantener la alineación a los principios de confidencialidad, integridad y disponibilidad aplicables a este dominio.</t>
        </is>
      </c>
      <c r="L38" s="112" t="inlineStr">
        <is>
          <t>La organización deberá implementar, registrar y monitorear operativamente todos los protocolos relacionados a Procedimientos operativos documentados, estableciendo políticas técnicas correspondientes.</t>
        </is>
      </c>
    </row>
    <row r="39" ht="56.25" customHeight="1" s="106">
      <c r="A39" s="38">
        <f>'ANEXO A'!A39</f>
        <v/>
      </c>
      <c r="B39" s="38">
        <f>IFERROR(VLOOKUP(A39, 'ANEXO A'!$A$2:$L$94, 2, FALSE), "")</f>
        <v/>
      </c>
      <c r="C39" s="38">
        <f>IF(LEFT(A39,1)="5", "5. Organizacionales", IF(LEFT(A39,1)="6", "6. Personas", IF(LEFT(A39,1)="7", "7. Físicos", "8. Tecnológicos")))</f>
        <v/>
      </c>
      <c r="D39" s="38">
        <f>IFERROR(VLOOKUP(A39, 'ANEXO A'!$A$2:$L$94, 11, FALSE), "")</f>
        <v/>
      </c>
      <c r="E39" s="38">
        <f>IFERROR(VLOOKUP(A39, 'ANEXO A'!$A$2:$L$94, 8, FALSE), "")</f>
        <v/>
      </c>
      <c r="F39" s="38">
        <f>IFERROR(VLOOKUP(A39, 'ANEXO A'!$A$2:$L$94, 9, FALSE), "")</f>
        <v/>
      </c>
      <c r="G39" s="38">
        <f>IFERROR(VLOOKUP(A39, 'ANEXO A'!$A$2:$L$94, 10, FALSE), "")</f>
        <v/>
      </c>
      <c r="H39" s="38">
        <f>IFERROR(VLOOKUP(A39, 'ANEXO A'!$A$2:$L$94, 12, FALSE), "")</f>
        <v/>
      </c>
      <c r="I39" s="38" t="inlineStr">
        <is>
          <t>6.2 Creación de nuevos usuarios (GTH): Validación previa de antecedentes laborales, penales y académicos por Talento Humano (GSO-GSI-MP-GSI / GTH-IDP).</t>
        </is>
      </c>
      <c r="J39" s="112">
        <f>"• Establecer lineamientos para " &amp; IFERROR(VLOOKUP(A39, 'ANEXO A'!$A$2:$L$94, 2, FALSE), "Este Control") &amp; CHAR(10) &amp; "• Definir roles para el control " &amp; A39 &amp; CHAR(10) &amp; "• Revisar efectividad de " &amp; IFERROR(VLOOKUP(A39, 'ANEXO A'!$A$2:$L$94, 2, FALSE), "Este Control")</f>
        <v/>
      </c>
      <c r="K39" s="112" t="inlineStr">
        <is>
          <t>Asegurar el cumplimiento, control y resguardo continuo de los procesos de Investigación de antecedentes a fin de mitigar riesgos y mantener la alineación a los principios de confidencialidad, integridad y disponibilidad aplicables a este dominio.</t>
        </is>
      </c>
      <c r="L39" s="112" t="inlineStr">
        <is>
          <t>La organización deberá implementar, registrar y monitorear operativamente todos los protocolos relacionados a Investigación de antecedentes, estableciendo políticas técnicas correspondientes.</t>
        </is>
      </c>
    </row>
    <row r="40" ht="56.25" customHeight="1" s="106">
      <c r="A40" s="38">
        <f>'ANEXO A'!A40</f>
        <v/>
      </c>
      <c r="B40" s="38">
        <f>IFERROR(VLOOKUP(A40, 'ANEXO A'!$A$2:$L$94, 2, FALSE), "")</f>
        <v/>
      </c>
      <c r="C40" s="38">
        <f>IF(LEFT(A40,1)="5", "5. Organizacionales", IF(LEFT(A40,1)="6", "6. Personas", IF(LEFT(A40,1)="7", "7. Físicos", "8. Tecnológicos")))</f>
        <v/>
      </c>
      <c r="D40" s="38">
        <f>IFERROR(VLOOKUP(A40, 'ANEXO A'!$A$2:$L$94, 11, FALSE), "")</f>
        <v/>
      </c>
      <c r="E40" s="38">
        <f>IFERROR(VLOOKUP(A40, 'ANEXO A'!$A$2:$L$94, 8, FALSE), "")</f>
        <v/>
      </c>
      <c r="F40" s="38">
        <f>IFERROR(VLOOKUP(A40, 'ANEXO A'!$A$2:$L$94, 9, FALSE), "")</f>
        <v/>
      </c>
      <c r="G40" s="38">
        <f>IFERROR(VLOOKUP(A40, 'ANEXO A'!$A$2:$L$94, 10, FALSE), "")</f>
        <v/>
      </c>
      <c r="H40" s="38">
        <f>IFERROR(VLOOKUP(A40, 'ANEXO A'!$A$2:$L$94, 12, FALSE), "")</f>
        <v/>
      </c>
      <c r="I40" s="38" t="inlineStr">
        <is>
          <t>6.2 Políticas Específicas / GTH: Inclusión contractual de responsabilidades de seguridad y deber de sigilo institucional (GSO-GSI-MP-GSI / SEPS-2022-002).</t>
        </is>
      </c>
      <c r="J40" s="112">
        <f>"• Establecer lineamientos para " &amp; IFERROR(VLOOKUP(A40, 'ANEXO A'!$A$2:$L$94, 2, FALSE), "Este Control") &amp; CHAR(10) &amp; "• Definir roles para el control " &amp; A40 &amp; CHAR(10) &amp; "• Revisar efectividad de " &amp; IFERROR(VLOOKUP(A40, 'ANEXO A'!$A$2:$L$94, 2, FALSE), "Este Control")</f>
        <v/>
      </c>
      <c r="K40" s="112" t="inlineStr">
        <is>
          <t>Asegurar el cumplimiento, control y resguardo continuo de los procesos de Términos y condiciones de empleo a fin de mitigar riesgos y mantener la alineación a los principios de confidencialidad, integridad y disponibilidad aplicables a este dominio.</t>
        </is>
      </c>
      <c r="L40" s="112" t="inlineStr">
        <is>
          <t>La organización deberá implementar, registrar y monitorear operativamente todos los protocolos relacionados a Términos y condiciones de empleo, estableciendo políticas técnicas correspondientes.</t>
        </is>
      </c>
    </row>
    <row r="41" ht="78.75" customHeight="1" s="106">
      <c r="A41" s="38">
        <f>'ANEXO A'!A41</f>
        <v/>
      </c>
      <c r="B41" s="38">
        <f>IFERROR(VLOOKUP(A41, 'ANEXO A'!$A$2:$L$94, 2, FALSE), "")</f>
        <v/>
      </c>
      <c r="C41" s="38">
        <f>IF(LEFT(A41,1)="5", "5. Organizacionales", IF(LEFT(A41,1)="6", "6. Personas", IF(LEFT(A41,1)="7", "7. Físicos", "8. Tecnológicos")))</f>
        <v/>
      </c>
      <c r="D41" s="38">
        <f>IFERROR(VLOOKUP(A41, 'ANEXO A'!$A$2:$L$94, 11, FALSE), "")</f>
        <v/>
      </c>
      <c r="E41" s="38">
        <f>IFERROR(VLOOKUP(A41, 'ANEXO A'!$A$2:$L$94, 8, FALSE), "")</f>
        <v/>
      </c>
      <c r="F41" s="38">
        <f>IFERROR(VLOOKUP(A41, 'ANEXO A'!$A$2:$L$94, 9, FALSE), "")</f>
        <v/>
      </c>
      <c r="G41" s="38">
        <f>IFERROR(VLOOKUP(A41, 'ANEXO A'!$A$2:$L$94, 10, FALSE), "")</f>
        <v/>
      </c>
      <c r="H41" s="38">
        <f>IFERROR(VLOOKUP(A41, 'ANEXO A'!$A$2:$L$94, 12, FALSE), "")</f>
        <v/>
      </c>
      <c r="I41" s="38" t="inlineStr">
        <is>
          <t>Anexo 1 SEPS 002 (Cultura de SI): Ejecución del plan anual de capacitación y evaluación de efectividad/madurez en seguridad (SEPS-2022-002).</t>
        </is>
      </c>
      <c r="J41" s="112">
        <f>"• Establecer lineamientos para " &amp; IFERROR(VLOOKUP(A41, 'ANEXO A'!$A$2:$L$94, 2, FALSE), "Este Control") &amp; CHAR(10) &amp; "• Definir roles para el control " &amp; A41 &amp; CHAR(10) &amp; "• Revisar efectividad de " &amp; IFERROR(VLOOKUP(A41, 'ANEXO A'!$A$2:$L$94, 2, FALSE), "Este Control")</f>
        <v/>
      </c>
      <c r="K41" s="112" t="inlineStr">
        <is>
          <t>Asegurar el cumplimiento, control y resguardo continuo de los procesos de Concienciación, educación y capacitación a fin de mitigar riesgos y mantener la alineación a los principios de confidencialidad, integridad y disponibilidad aplicables a este dominio.</t>
        </is>
      </c>
      <c r="L41" s="112" t="inlineStr">
        <is>
          <t>La organización deberá implementar, registrar y monitorear operativamente todos los protocolos relacionados a Concienciación, educación y capacitación, estableciendo políticas técnicas correspondientes.</t>
        </is>
      </c>
    </row>
    <row r="42" ht="56.25" customHeight="1" s="106">
      <c r="A42" s="38">
        <f>'ANEXO A'!A42</f>
        <v/>
      </c>
      <c r="B42" s="38">
        <f>IFERROR(VLOOKUP(A42, 'ANEXO A'!$A$2:$L$94, 2, FALSE), "")</f>
        <v/>
      </c>
      <c r="C42" s="38">
        <f>IF(LEFT(A42,1)="5", "5. Organizacionales", IF(LEFT(A42,1)="6", "6. Personas", IF(LEFT(A42,1)="7", "7. Físicos", "8. Tecnológicos")))</f>
        <v/>
      </c>
      <c r="D42" s="38">
        <f>IFERROR(VLOOKUP(A42, 'ANEXO A'!$A$2:$L$94, 11, FALSE), "")</f>
        <v/>
      </c>
      <c r="E42" s="38">
        <f>IFERROR(VLOOKUP(A42, 'ANEXO A'!$A$2:$L$94, 8, FALSE), "")</f>
        <v/>
      </c>
      <c r="F42" s="38">
        <f>IFERROR(VLOOKUP(A42, 'ANEXO A'!$A$2:$L$94, 9, FALSE), "")</f>
        <v/>
      </c>
      <c r="G42" s="38">
        <f>IFERROR(VLOOKUP(A42, 'ANEXO A'!$A$2:$L$94, 10, FALSE), "")</f>
        <v/>
      </c>
      <c r="H42" s="38">
        <f>IFERROR(VLOOKUP(A42, 'ANEXO A'!$A$2:$L$94, 12, FALSE), "")</f>
        <v/>
      </c>
      <c r="I42" s="38" t="inlineStr">
        <is>
          <t>6.4 Políticas / Reglamento Interno: Aplicación de sanciones ante reincidencia en bloqueos, negligencia o vulneración de políticas de SI (GSO-GSI-MP-GSI).</t>
        </is>
      </c>
      <c r="J42" s="112">
        <f>"• Establecer lineamientos para " &amp; IFERROR(VLOOKUP(A42, 'ANEXO A'!$A$2:$L$94, 2, FALSE), "Este Control") &amp; CHAR(10) &amp; "• Definir roles para el control " &amp; A42 &amp; CHAR(10) &amp; "• Revisar efectividad de " &amp; IFERROR(VLOOKUP(A42, 'ANEXO A'!$A$2:$L$94, 2, FALSE), "Este Control")</f>
        <v/>
      </c>
      <c r="K42" s="112" t="inlineStr">
        <is>
          <t>Asegurar el cumplimiento, control y resguardo continuo de los procesos de Proceso disciplinario a fin de mitigar riesgos y mantener la alineación a los principios de confidencialidad, integridad y disponibilidad aplicables a este dominio.</t>
        </is>
      </c>
      <c r="L42" s="112" t="inlineStr">
        <is>
          <t>La organización deberá implementar, registrar y monitorear operativamente todos los protocolos relacionados a Proceso disciplinario, estableciendo políticas técnicas correspondientes.</t>
        </is>
      </c>
    </row>
    <row r="43" ht="78.75" customHeight="1" s="106">
      <c r="A43" s="38">
        <f>'ANEXO A'!A43</f>
        <v/>
      </c>
      <c r="B43" s="38">
        <f>IFERROR(VLOOKUP(A43, 'ANEXO A'!$A$2:$L$94, 2, FALSE), "")</f>
        <v/>
      </c>
      <c r="C43" s="38">
        <f>IF(LEFT(A43,1)="5", "5. Organizacionales", IF(LEFT(A43,1)="6", "6. Personas", IF(LEFT(A43,1)="7", "7. Físicos", "8. Tecnológicos")))</f>
        <v/>
      </c>
      <c r="D43" s="38">
        <f>IFERROR(VLOOKUP(A43, 'ANEXO A'!$A$2:$L$94, 11, FALSE), "")</f>
        <v/>
      </c>
      <c r="E43" s="38">
        <f>IFERROR(VLOOKUP(A43, 'ANEXO A'!$A$2:$L$94, 8, FALSE), "")</f>
        <v/>
      </c>
      <c r="F43" s="38">
        <f>IFERROR(VLOOKUP(A43, 'ANEXO A'!$A$2:$L$94, 9, FALSE), "")</f>
        <v/>
      </c>
      <c r="G43" s="38">
        <f>IFERROR(VLOOKUP(A43, 'ANEXO A'!$A$2:$L$94, 10, FALSE), "")</f>
        <v/>
      </c>
      <c r="H43" s="38">
        <f>IFERROR(VLOOKUP(A43, 'ANEXO A'!$A$2:$L$94, 12, FALSE), "")</f>
        <v/>
      </c>
      <c r="I43" s="38" t="inlineStr">
        <is>
          <t>6.3 Modificación / 6.5 Eliminación de usuarios: Suscripción de acuerdos de confidencialidad permanentes y revocación de accesos al cesar funciones (GSO-GSI-MP-GSI).</t>
        </is>
      </c>
      <c r="J43" s="112">
        <f>"• Establecer lineamientos para " &amp; IFERROR(VLOOKUP(A43, 'ANEXO A'!$A$2:$L$94, 2, FALSE), "Este Control") &amp; CHAR(10) &amp; "• Definir roles para el control " &amp; A43 &amp; CHAR(10) &amp; "• Revisar efectividad de " &amp; IFERROR(VLOOKUP(A43, 'ANEXO A'!$A$2:$L$94, 2, FALSE), "Este Control")</f>
        <v/>
      </c>
      <c r="K43" s="112" t="inlineStr">
        <is>
          <t>Asegurar el cumplimiento, control y resguardo continuo de los procesos de Responsabilidades después de la terminación o cambio de empleo a fin de mitigar riesgos y mantener la alineación a los principios de confidencialidad, integridad y disponibilidad aplicables a este dominio.</t>
        </is>
      </c>
      <c r="L43" s="112" t="inlineStr">
        <is>
          <t>La organización deberá implementar, registrar y monitorear operativamente todos los protocolos relacionados a Responsabilidades después de la terminación o cambio de empleo, estableciendo políticas técnicas correspondientes.</t>
        </is>
      </c>
    </row>
    <row r="44" ht="67.5" customHeight="1" s="106">
      <c r="A44" s="38">
        <f>'ANEXO A'!A44</f>
        <v/>
      </c>
      <c r="B44" s="38">
        <f>IFERROR(VLOOKUP(A44, 'ANEXO A'!$A$2:$L$94, 2, FALSE), "")</f>
        <v/>
      </c>
      <c r="C44" s="38">
        <f>IF(LEFT(A44,1)="5", "5. Organizacionales", IF(LEFT(A44,1)="6", "6. Personas", IF(LEFT(A44,1)="7", "7. Físicos", "8. Tecnológicos")))</f>
        <v/>
      </c>
      <c r="D44" s="38">
        <f>IFERROR(VLOOKUP(A44, 'ANEXO A'!$A$2:$L$94, 11, FALSE), "")</f>
        <v/>
      </c>
      <c r="E44" s="38">
        <f>IFERROR(VLOOKUP(A44, 'ANEXO A'!$A$2:$L$94, 8, FALSE), "")</f>
        <v/>
      </c>
      <c r="F44" s="38">
        <f>IFERROR(VLOOKUP(A44, 'ANEXO A'!$A$2:$L$94, 9, FALSE), "")</f>
        <v/>
      </c>
      <c r="G44" s="38">
        <f>IFERROR(VLOOKUP(A44, 'ANEXO A'!$A$2:$L$94, 10, FALSE), "")</f>
        <v/>
      </c>
      <c r="H44" s="38">
        <f>IFERROR(VLOOKUP(A44, 'ANEXO A'!$A$2:$L$94, 12, FALSE), "")</f>
        <v/>
      </c>
      <c r="I44" s="38" t="inlineStr">
        <is>
          <t>6.2 Creación (Equifax/Aval) / GTH: Firma obligatoria de convenios de confidencialidad por colaboradores y terceros (GSO-GSI-MP-GSI).</t>
        </is>
      </c>
      <c r="J44" s="112">
        <f>"• Establecer lineamientos para " &amp; IFERROR(VLOOKUP(A44, 'ANEXO A'!$A$2:$L$94, 2, FALSE), "Este Control") &amp; CHAR(10) &amp; "• Definir roles para el control " &amp; A44 &amp; CHAR(10) &amp; "• Revisar efectividad de " &amp; IFERROR(VLOOKUP(A44, 'ANEXO A'!$A$2:$L$94, 2, FALSE), "Este Control")</f>
        <v/>
      </c>
      <c r="K44" s="112" t="inlineStr">
        <is>
          <t>Asegurar el cumplimiento, control y resguardo continuo de los procesos de Acuerdos de confidencialidad o no divulgación a fin de mitigar riesgos y mantener la alineación a los principios de confidencialidad, integridad y disponibilidad aplicables a este dominio.</t>
        </is>
      </c>
      <c r="L44" s="112" t="inlineStr">
        <is>
          <t>La organización deberá implementar, registrar y monitorear operativamente todos los protocolos relacionados a Acuerdos de confidencialidad o no divulgación, estableciendo políticas técnicas correspondientes.</t>
        </is>
      </c>
    </row>
    <row r="45" ht="56.25" customHeight="1" s="106">
      <c r="A45" s="38">
        <f>'ANEXO A'!A45</f>
        <v/>
      </c>
      <c r="B45" s="38">
        <f>IFERROR(VLOOKUP(A45, 'ANEXO A'!$A$2:$L$94, 2, FALSE), "")</f>
        <v/>
      </c>
      <c r="C45" s="38">
        <f>IF(LEFT(A45,1)="5", "5. Organizacionales", IF(LEFT(A45,1)="6", "6. Personas", IF(LEFT(A45,1)="7", "7. Físicos", "8. Tecnológicos")))</f>
        <v/>
      </c>
      <c r="D45" s="38">
        <f>IFERROR(VLOOKUP(A45, 'ANEXO A'!$A$2:$L$94, 11, FALSE), "")</f>
        <v/>
      </c>
      <c r="E45" s="38">
        <f>IFERROR(VLOOKUP(A45, 'ANEXO A'!$A$2:$L$94, 8, FALSE), "")</f>
        <v/>
      </c>
      <c r="F45" s="38">
        <f>IFERROR(VLOOKUP(A45, 'ANEXO A'!$A$2:$L$94, 9, FALSE), "")</f>
        <v/>
      </c>
      <c r="G45" s="38">
        <f>IFERROR(VLOOKUP(A45, 'ANEXO A'!$A$2:$L$94, 10, FALSE), "")</f>
        <v/>
      </c>
      <c r="H45" s="38">
        <f>IFERROR(VLOOKUP(A45, 'ANEXO A'!$A$2:$L$94, 12, FALSE), "")</f>
        <v/>
      </c>
      <c r="I45" s="38" t="inlineStr">
        <is>
          <t>6.2 VPN Directorio Activo: Uso obligatorio de VPN corporativa y autenticación multifactor para accesos remotos autorizados (GSO-GSI-MP-GSI)</t>
        </is>
      </c>
      <c r="J45" s="112">
        <f>"• Establecer lineamientos para " &amp; IFERROR(VLOOKUP(A45, 'ANEXO A'!$A$2:$L$94, 2, FALSE), "Este Control") &amp; CHAR(10) &amp; "• Definir roles para el control " &amp; A45 &amp; CHAR(10) &amp; "• Revisar efectividad de " &amp; IFERROR(VLOOKUP(A45, 'ANEXO A'!$A$2:$L$94, 2, FALSE), "Este Control")</f>
        <v/>
      </c>
      <c r="K45" s="112" t="inlineStr">
        <is>
          <t>Asegurar el cumplimiento, control y resguardo continuo de los procesos de Trabajo a distancia a fin de mitigar riesgos y mantener la alineación a los principios de confidencialidad, integridad y disponibilidad aplicables a este dominio.</t>
        </is>
      </c>
      <c r="L45" s="112" t="inlineStr">
        <is>
          <t>La organización deberá implementar, registrar y monitorear operativamente todos los protocolos relacionados a Trabajo a distancia, estableciendo políticas técnicas correspondientes.</t>
        </is>
      </c>
    </row>
    <row r="46" ht="78.75" customHeight="1" s="106">
      <c r="A46" s="38">
        <f>'ANEXO A'!A46</f>
        <v/>
      </c>
      <c r="B46" s="38">
        <f>IFERROR(VLOOKUP(A46, 'ANEXO A'!$A$2:$L$94, 2, FALSE), "")</f>
        <v/>
      </c>
      <c r="C46" s="38">
        <f>IF(LEFT(A46,1)="5", "5. Organizacionales", IF(LEFT(A46,1)="6", "6. Personas", IF(LEFT(A46,1)="7", "7. Físicos", "8. Tecnológicos")))</f>
        <v/>
      </c>
      <c r="D46" s="38">
        <f>IFERROR(VLOOKUP(A46, 'ANEXO A'!$A$2:$L$94, 11, FALSE), "")</f>
        <v/>
      </c>
      <c r="E46" s="38">
        <f>IFERROR(VLOOKUP(A46, 'ANEXO A'!$A$2:$L$94, 8, FALSE), "")</f>
        <v/>
      </c>
      <c r="F46" s="38">
        <f>IFERROR(VLOOKUP(A46, 'ANEXO A'!$A$2:$L$94, 9, FALSE), "")</f>
        <v/>
      </c>
      <c r="G46" s="38">
        <f>IFERROR(VLOOKUP(A46, 'ANEXO A'!$A$2:$L$94, 10, FALSE), "")</f>
        <v/>
      </c>
      <c r="H46" s="38">
        <f>IFERROR(VLOOKUP(A46, 'ANEXO A'!$A$2:$L$94, 12, FALSE), "")</f>
        <v/>
      </c>
      <c r="I46" s="38" t="inlineStr">
        <is>
          <t>6.15 Gestión de incidentes (Act. 1): Canalización formal vía Service Desk y correo de cualquier evento o anomalía detectada (GSO-GSI-MP-GSI).</t>
        </is>
      </c>
      <c r="J46" s="112">
        <f>"• Establecer lineamientos para " &amp; IFERROR(VLOOKUP(A46, 'ANEXO A'!$A$2:$L$94, 2, FALSE), "Este Control") &amp; CHAR(10) &amp; "• Definir roles para el control " &amp; A46 &amp; CHAR(10) &amp; "• Revisar efectividad de " &amp; IFERROR(VLOOKUP(A46, 'ANEXO A'!$A$2:$L$94, 2, FALSE), "Este Control")</f>
        <v/>
      </c>
      <c r="K46" s="112" t="inlineStr">
        <is>
          <t>Asegurar el cumplimiento, control y resguardo continuo de los procesos de Notificación de eventos de seguridad de la información a fin de mitigar riesgos y mantener la alineación a los principios de confidencialidad, integridad y disponibilidad aplicables a este dominio.</t>
        </is>
      </c>
      <c r="L46" s="112" t="inlineStr">
        <is>
          <t>La organización deberá implementar, registrar y monitorear operativamente todos los protocolos relacionados a Notificación de eventos de seguridad de la información, estableciendo políticas técnicas correspondientes.</t>
        </is>
      </c>
    </row>
    <row r="47" ht="56.25" customHeight="1" s="106">
      <c r="A47" s="38">
        <f>'ANEXO A'!A47</f>
        <v/>
      </c>
      <c r="B47" s="38">
        <f>IFERROR(VLOOKUP(A47, 'ANEXO A'!$A$2:$L$94, 2, FALSE), "")</f>
        <v/>
      </c>
      <c r="C47" s="38">
        <f>IF(LEFT(A47,1)="5", "5. Organizacionales", IF(LEFT(A47,1)="6", "6. Personas", IF(LEFT(A47,1)="7", "7. Físicos", "8. Tecnológicos")))</f>
        <v/>
      </c>
      <c r="D47" s="38">
        <f>IFERROR(VLOOKUP(A47, 'ANEXO A'!$A$2:$L$94, 11, FALSE), "")</f>
        <v/>
      </c>
      <c r="E47" s="38">
        <f>IFERROR(VLOOKUP(A47, 'ANEXO A'!$A$2:$L$94, 8, FALSE), "")</f>
        <v/>
      </c>
      <c r="F47" s="38">
        <f>IFERROR(VLOOKUP(A47, 'ANEXO A'!$A$2:$L$94, 9, FALSE), "")</f>
        <v/>
      </c>
      <c r="G47" s="38">
        <f>IFERROR(VLOOKUP(A47, 'ANEXO A'!$A$2:$L$94, 10, FALSE), "")</f>
        <v/>
      </c>
      <c r="H47" s="38">
        <f>IFERROR(VLOOKUP(A47, 'ANEXO A'!$A$2:$L$94, 12, FALSE), "")</f>
        <v/>
      </c>
      <c r="I47" s="38" t="inlineStr">
        <is>
          <t>Anexo 1 SEPS 002 (Seguridad Física): Delimitación perimetral, puertas de seguridad y áreas de data center con acceso restringido (SEPS-2022-002).</t>
        </is>
      </c>
      <c r="J47" s="112">
        <f>"• Establecer lineamientos para " &amp; IFERROR(VLOOKUP(A47, 'ANEXO A'!$A$2:$L$94, 2, FALSE), "Este Control") &amp; CHAR(10) &amp; "• Definir roles para el control " &amp; A47 &amp; CHAR(10) &amp; "• Revisar efectividad de " &amp; IFERROR(VLOOKUP(A47, 'ANEXO A'!$A$2:$L$94, 2, FALSE), "Este Control")</f>
        <v/>
      </c>
      <c r="K47" s="112" t="inlineStr">
        <is>
          <t>Asegurar el cumplimiento, control y resguardo continuo de los procesos de Perímetros de seguridad física a fin de mitigar riesgos y mantener la alineación a los principios de confidencialidad, integridad y disponibilidad aplicables a este dominio.</t>
        </is>
      </c>
      <c r="L47" s="112" t="inlineStr">
        <is>
          <t>La organización deberá implementar, registrar y monitorear operativamente todos los protocolos relacionados a Perímetros de seguridad física, estableciendo políticas técnicas correspondientes.</t>
        </is>
      </c>
    </row>
    <row r="48" ht="56.25" customHeight="1" s="106">
      <c r="A48" s="38">
        <f>'ANEXO A'!A48</f>
        <v/>
      </c>
      <c r="B48" s="38">
        <f>IFERROR(VLOOKUP(A48, 'ANEXO A'!$A$2:$L$94, 2, FALSE), "")</f>
        <v/>
      </c>
      <c r="C48" s="38">
        <f>IF(LEFT(A48,1)="5", "5. Organizacionales", IF(LEFT(A48,1)="6", "6. Personas", IF(LEFT(A48,1)="7", "7. Físicos", "8. Tecnológicos")))</f>
        <v/>
      </c>
      <c r="D48" s="38">
        <f>IFERROR(VLOOKUP(A48, 'ANEXO A'!$A$2:$L$94, 11, FALSE), "")</f>
        <v/>
      </c>
      <c r="E48" s="38">
        <f>IFERROR(VLOOKUP(A48, 'ANEXO A'!$A$2:$L$94, 8, FALSE), "")</f>
        <v/>
      </c>
      <c r="F48" s="38">
        <f>IFERROR(VLOOKUP(A48, 'ANEXO A'!$A$2:$L$94, 9, FALSE), "")</f>
        <v/>
      </c>
      <c r="G48" s="38">
        <f>IFERROR(VLOOKUP(A48, 'ANEXO A'!$A$2:$L$94, 10, FALSE), "")</f>
        <v/>
      </c>
      <c r="H48" s="38">
        <f>IFERROR(VLOOKUP(A48, 'ANEXO A'!$A$2:$L$94, 12, FALSE), "")</f>
        <v/>
      </c>
      <c r="I48" s="38" t="inlineStr">
        <is>
          <t>Anexo 1 SEPS 002 / GAD: Control biométrico, tarjetas de proximidad y registro bitacorizado de visitantes (SEPS-2022-002).</t>
        </is>
      </c>
      <c r="J48" s="112">
        <f>"• Establecer lineamientos para " &amp; IFERROR(VLOOKUP(A48, 'ANEXO A'!$A$2:$L$94, 2, FALSE), "Este Control") &amp; CHAR(10) &amp; "• Definir roles para el control " &amp; A48 &amp; CHAR(10) &amp; "• Revisar efectividad de " &amp; IFERROR(VLOOKUP(A48, 'ANEXO A'!$A$2:$L$94, 2, FALSE), "Este Control")</f>
        <v/>
      </c>
      <c r="K48" s="112" t="inlineStr">
        <is>
          <t>Asegurar el cumplimiento, control y resguardo continuo de los procesos de Controles de entrada física a fin de mitigar riesgos y mantener la alineación a los principios de confidencialidad, integridad y disponibilidad aplicables a este dominio.</t>
        </is>
      </c>
      <c r="L48" s="112" t="inlineStr">
        <is>
          <t>La organización deberá implementar, registrar y monitorear operativamente todos los protocolos relacionados a Controles de entrada física, estableciendo políticas técnicas correspondientes.</t>
        </is>
      </c>
    </row>
    <row r="49" ht="67.5" customHeight="1" s="106">
      <c r="A49" s="38">
        <f>'ANEXO A'!A49</f>
        <v/>
      </c>
      <c r="B49" s="38">
        <f>IFERROR(VLOOKUP(A49, 'ANEXO A'!$A$2:$L$94, 2, FALSE), "")</f>
        <v/>
      </c>
      <c r="C49" s="38">
        <f>IF(LEFT(A49,1)="5", "5. Organizacionales", IF(LEFT(A49,1)="6", "6. Personas", IF(LEFT(A49,1)="7", "7. Físicos", "8. Tecnológicos")))</f>
        <v/>
      </c>
      <c r="D49" s="38">
        <f>IFERROR(VLOOKUP(A49, 'ANEXO A'!$A$2:$L$94, 11, FALSE), "")</f>
        <v/>
      </c>
      <c r="E49" s="38">
        <f>IFERROR(VLOOKUP(A49, 'ANEXO A'!$A$2:$L$94, 8, FALSE), "")</f>
        <v/>
      </c>
      <c r="F49" s="38">
        <f>IFERROR(VLOOKUP(A49, 'ANEXO A'!$A$2:$L$94, 9, FALSE), "")</f>
        <v/>
      </c>
      <c r="G49" s="38">
        <f>IFERROR(VLOOKUP(A49, 'ANEXO A'!$A$2:$L$94, 10, FALSE), "")</f>
        <v/>
      </c>
      <c r="H49" s="38">
        <f>IFERROR(VLOOKUP(A49, 'ANEXO A'!$A$2:$L$94, 12, FALSE), "")</f>
        <v/>
      </c>
      <c r="I49" s="38" t="inlineStr">
        <is>
          <t>Anexo 1 SEPS 002: Protección de zonas sensibles y aislamiento físico de áreas de procesamiento crítico (SEPS-2022-002).</t>
        </is>
      </c>
      <c r="J49" s="112">
        <f>"• Establecer lineamientos para " &amp; IFERROR(VLOOKUP(A49, 'ANEXO A'!$A$2:$L$94, 2, FALSE), "Este Control") &amp; CHAR(10) &amp; "• Definir roles para el control " &amp; A49 &amp; CHAR(10) &amp; "• Revisar efectividad de " &amp; IFERROR(VLOOKUP(A49, 'ANEXO A'!$A$2:$L$94, 2, FALSE), "Este Control")</f>
        <v/>
      </c>
      <c r="K49" s="112" t="inlineStr">
        <is>
          <t>Asegurar el cumplimiento, control y resguardo continuo de los procesos de Seguridad de oficinas, despachos e instalaciones a fin de mitigar riesgos y mantener la alineación a los principios de confidencialidad, integridad y disponibilidad aplicables a este dominio.</t>
        </is>
      </c>
      <c r="L49" s="112" t="inlineStr">
        <is>
          <t>La organización deberá implementar, registrar y monitorear operativamente todos los protocolos relacionados a Seguridad de oficinas, despachos e instalaciones, estableciendo políticas técnicas correspondientes.</t>
        </is>
      </c>
    </row>
    <row r="50" ht="56.25" customHeight="1" s="106">
      <c r="A50" s="38">
        <f>'ANEXO A'!A50</f>
        <v/>
      </c>
      <c r="B50" s="38">
        <f>IFERROR(VLOOKUP(A50, 'ANEXO A'!$A$2:$L$94, 2, FALSE), "")</f>
        <v/>
      </c>
      <c r="C50" s="38">
        <f>IF(LEFT(A50,1)="5", "5. Organizacionales", IF(LEFT(A50,1)="6", "6. Personas", IF(LEFT(A50,1)="7", "7. Físicos", "8. Tecnológicos")))</f>
        <v/>
      </c>
      <c r="D50" s="38">
        <f>IFERROR(VLOOKUP(A50, 'ANEXO A'!$A$2:$L$94, 11, FALSE), "")</f>
        <v/>
      </c>
      <c r="E50" s="38">
        <f>IFERROR(VLOOKUP(A50, 'ANEXO A'!$A$2:$L$94, 8, FALSE), "")</f>
        <v/>
      </c>
      <c r="F50" s="38">
        <f>IFERROR(VLOOKUP(A50, 'ANEXO A'!$A$2:$L$94, 9, FALSE), "")</f>
        <v/>
      </c>
      <c r="G50" s="38">
        <f>IFERROR(VLOOKUP(A50, 'ANEXO A'!$A$2:$L$94, 10, FALSE), "")</f>
        <v/>
      </c>
      <c r="H50" s="38">
        <f>IFERROR(VLOOKUP(A50, 'ANEXO A'!$A$2:$L$94, 12, FALSE), "")</f>
        <v/>
      </c>
      <c r="I50" s="38" t="inlineStr">
        <is>
          <t>Anexo 1 SEPS 002 / CCTV: Monitoreo y grabación permanente mediante Circuito Cerrado de Televisión y sensores de alarma (SEPS-2022-002).</t>
        </is>
      </c>
      <c r="J50" s="112">
        <f>"• Establecer lineamientos para " &amp; IFERROR(VLOOKUP(A50, 'ANEXO A'!$A$2:$L$94, 2, FALSE), "Este Control") &amp; CHAR(10) &amp; "• Definir roles para el control " &amp; A50 &amp; CHAR(10) &amp; "• Revisar efectividad de " &amp; IFERROR(VLOOKUP(A50, 'ANEXO A'!$A$2:$L$94, 2, FALSE), "Este Control")</f>
        <v/>
      </c>
      <c r="K50" s="112" t="inlineStr">
        <is>
          <t>Asegurar el cumplimiento, control y resguardo continuo de los procesos de Supervisión de la seguridad física a fin de mitigar riesgos y mantener la alineación a los principios de confidencialidad, integridad y disponibilidad aplicables a este dominio.</t>
        </is>
      </c>
      <c r="L50" s="112" t="inlineStr">
        <is>
          <t>La organización deberá implementar, registrar y monitorear operativamente todos los protocolos relacionados a Supervisión de la seguridad física, estableciendo políticas técnicas correspondientes.</t>
        </is>
      </c>
    </row>
    <row r="51" ht="78.75" customHeight="1" s="106">
      <c r="A51" s="38">
        <f>'ANEXO A'!A51</f>
        <v/>
      </c>
      <c r="B51" s="38">
        <f>IFERROR(VLOOKUP(A51, 'ANEXO A'!$A$2:$L$94, 2, FALSE), "")</f>
        <v/>
      </c>
      <c r="C51" s="38">
        <f>IF(LEFT(A51,1)="5", "5. Organizacionales", IF(LEFT(A51,1)="6", "6. Personas", IF(LEFT(A51,1)="7", "7. Físicos", "8. Tecnológicos")))</f>
        <v/>
      </c>
      <c r="D51" s="38">
        <f>IFERROR(VLOOKUP(A51, 'ANEXO A'!$A$2:$L$94, 11, FALSE), "")</f>
        <v/>
      </c>
      <c r="E51" s="38">
        <f>IFERROR(VLOOKUP(A51, 'ANEXO A'!$A$2:$L$94, 8, FALSE), "")</f>
        <v/>
      </c>
      <c r="F51" s="38">
        <f>IFERROR(VLOOKUP(A51, 'ANEXO A'!$A$2:$L$94, 9, FALSE), "")</f>
        <v/>
      </c>
      <c r="G51" s="38">
        <f>IFERROR(VLOOKUP(A51, 'ANEXO A'!$A$2:$L$94, 10, FALSE), "")</f>
        <v/>
      </c>
      <c r="H51" s="38">
        <f>IFERROR(VLOOKUP(A51, 'ANEXO A'!$A$2:$L$94, 12, FALSE), "")</f>
        <v/>
      </c>
      <c r="I51" s="38" t="inlineStr">
        <is>
          <t>Sec. 10.2.1 Metodología GAI (S31-S40): Sistemas de detección y extinción de incendios (FM200/gas), sensores de inundación y pararrayos (GSO-GSI-ME-GAI / SEPS-2022-002).</t>
        </is>
      </c>
      <c r="J51" s="112">
        <f>"• Establecer lineamientos para " &amp; IFERROR(VLOOKUP(A51, 'ANEXO A'!$A$2:$L$94, 2, FALSE), "Este Control") &amp; CHAR(10) &amp; "• Definir roles para el control " &amp; A51 &amp; CHAR(10) &amp; "• Revisar efectividad de " &amp; IFERROR(VLOOKUP(A51, 'ANEXO A'!$A$2:$L$94, 2, FALSE), "Este Control")</f>
        <v/>
      </c>
      <c r="K51" s="112" t="inlineStr">
        <is>
          <t>Asegurar el cumplimiento, control y resguardo continuo de los procesos de Protección contra amenazas físicas y ambientales a fin de mitigar riesgos y mantener la alineación a los principios de confidencialidad, integridad y disponibilidad aplicables a este dominio.</t>
        </is>
      </c>
      <c r="L51" s="112" t="inlineStr">
        <is>
          <t>La organización deberá implementar, registrar y monitorear operativamente todos los protocolos relacionados a Protección contra amenazas físicas y ambientales, estableciendo políticas técnicas correspondientes.</t>
        </is>
      </c>
    </row>
    <row r="52" ht="56.25" customHeight="1" s="106">
      <c r="A52" s="38">
        <f>'ANEXO A'!A52</f>
        <v/>
      </c>
      <c r="B52" s="38">
        <f>IFERROR(VLOOKUP(A52, 'ANEXO A'!$A$2:$L$94, 2, FALSE), "")</f>
        <v/>
      </c>
      <c r="C52" s="38">
        <f>IF(LEFT(A52,1)="5", "5. Organizacionales", IF(LEFT(A52,1)="6", "6. Personas", IF(LEFT(A52,1)="7", "7. Físicos", "8. Tecnológicos")))</f>
        <v/>
      </c>
      <c r="D52" s="38">
        <f>IFERROR(VLOOKUP(A52, 'ANEXO A'!$A$2:$L$94, 11, FALSE), "")</f>
        <v/>
      </c>
      <c r="E52" s="38">
        <f>IFERROR(VLOOKUP(A52, 'ANEXO A'!$A$2:$L$94, 8, FALSE), "")</f>
        <v/>
      </c>
      <c r="F52" s="38">
        <f>IFERROR(VLOOKUP(A52, 'ANEXO A'!$A$2:$L$94, 9, FALSE), "")</f>
        <v/>
      </c>
      <c r="G52" s="38">
        <f>IFERROR(VLOOKUP(A52, 'ANEXO A'!$A$2:$L$94, 10, FALSE), "")</f>
        <v/>
      </c>
      <c r="H52" s="38">
        <f>IFERROR(VLOOKUP(A52, 'ANEXO A'!$A$2:$L$94, 12, FALSE), "")</f>
        <v/>
      </c>
      <c r="I52" s="38" t="inlineStr">
        <is>
          <t>6.11 Claves críticas / 6.12 Llaves: Procedimientos restringidos para custodia de cajas fuertes y zonas de cifrado bajo estricto control (GSO-GSI-MP-GSI).</t>
        </is>
      </c>
      <c r="J52" s="112">
        <f>"• Establecer lineamientos para " &amp; IFERROR(VLOOKUP(A52, 'ANEXO A'!$A$2:$L$94, 2, FALSE), "Este Control") &amp; CHAR(10) &amp; "• Definir roles para el control " &amp; A52 &amp; CHAR(10) &amp; "• Revisar efectividad de " &amp; IFERROR(VLOOKUP(A52, 'ANEXO A'!$A$2:$L$94, 2, FALSE), "Este Control")</f>
        <v/>
      </c>
      <c r="K52" s="112" t="inlineStr">
        <is>
          <t>Asegurar el cumplimiento, control y resguardo continuo de los procesos de Trabajo en áreas seguras a fin de mitigar riesgos y mantener la alineación a los principios de confidencialidad, integridad y disponibilidad aplicables a este dominio.</t>
        </is>
      </c>
      <c r="L52" s="112" t="inlineStr">
        <is>
          <t>La organización deberá implementar, registrar y monitorear operativamente todos los protocolos relacionados a Trabajo en áreas seguras, estableciendo políticas técnicas correspondientes.</t>
        </is>
      </c>
    </row>
    <row r="53" ht="78.75" customHeight="1" s="106">
      <c r="A53" s="38">
        <f>'ANEXO A'!A53</f>
        <v/>
      </c>
      <c r="B53" s="38">
        <f>IFERROR(VLOOKUP(A53, 'ANEXO A'!$A$2:$L$94, 2, FALSE), "")</f>
        <v/>
      </c>
      <c r="C53" s="38">
        <f>IF(LEFT(A53,1)="5", "5. Organizacionales", IF(LEFT(A53,1)="6", "6. Personas", IF(LEFT(A53,1)="7", "7. Físicos", "8. Tecnológicos")))</f>
        <v/>
      </c>
      <c r="D53" s="38">
        <f>IFERROR(VLOOKUP(A53, 'ANEXO A'!$A$2:$L$94, 11, FALSE), "")</f>
        <v/>
      </c>
      <c r="E53" s="38">
        <f>IFERROR(VLOOKUP(A53, 'ANEXO A'!$A$2:$L$94, 8, FALSE), "")</f>
        <v/>
      </c>
      <c r="F53" s="38">
        <f>IFERROR(VLOOKUP(A53, 'ANEXO A'!$A$2:$L$94, 9, FALSE), "")</f>
        <v/>
      </c>
      <c r="G53" s="38">
        <f>IFERROR(VLOOKUP(A53, 'ANEXO A'!$A$2:$L$94, 10, FALSE), "")</f>
        <v/>
      </c>
      <c r="H53" s="38">
        <f>IFERROR(VLOOKUP(A53, 'ANEXO A'!$A$2:$L$94, 12, FALSE), "")</f>
        <v/>
      </c>
      <c r="I53" s="38" t="inlineStr">
        <is>
          <t>6.16 Revisión y monitoreo de políticas: Bloqueo automático de estación por inactividad y resguardo bajo llave de documentos físicos (GSO-GSI-MP-GSI).</t>
        </is>
      </c>
      <c r="J53" s="112">
        <f>"• Establecer lineamientos para " &amp; IFERROR(VLOOKUP(A53, 'ANEXO A'!$A$2:$L$94, 2, FALSE), "Este Control") &amp; CHAR(10) &amp; "• Definir roles para el control " &amp; A53 &amp; CHAR(10) &amp; "• Revisar efectividad de " &amp; IFERROR(VLOOKUP(A53, 'ANEXO A'!$A$2:$L$94, 2, FALSE), "Este Control")</f>
        <v/>
      </c>
      <c r="K53" s="112" t="inlineStr">
        <is>
          <t>Asegurar el cumplimiento, control y resguardo continuo de los procesos de Política de escritorio despejado y pantalla despejada a fin de mitigar riesgos y mantener la alineación a los principios de confidencialidad, integridad y disponibilidad aplicables a este dominio.</t>
        </is>
      </c>
      <c r="L53" s="112" t="inlineStr">
        <is>
          <t>La organización deberá implementar, registrar y monitorear operativamente todos los protocolos relacionados a Política de escritorio despejado y pantalla despejada, estableciendo políticas técnicas correspondientes.</t>
        </is>
      </c>
    </row>
    <row r="54" ht="78.75" customHeight="1" s="106">
      <c r="A54" s="38">
        <f>'ANEXO A'!A54</f>
        <v/>
      </c>
      <c r="B54" s="38">
        <f>IFERROR(VLOOKUP(A54, 'ANEXO A'!$A$2:$L$94, 2, FALSE), "")</f>
        <v/>
      </c>
      <c r="C54" s="38">
        <f>IF(LEFT(A54,1)="5", "5. Organizacionales", IF(LEFT(A54,1)="6", "6. Personas", IF(LEFT(A54,1)="7", "7. Físicos", "8. Tecnológicos")))</f>
        <v/>
      </c>
      <c r="D54" s="38">
        <f>IFERROR(VLOOKUP(A54, 'ANEXO A'!$A$2:$L$94, 11, FALSE), "")</f>
        <v/>
      </c>
      <c r="E54" s="38">
        <f>IFERROR(VLOOKUP(A54, 'ANEXO A'!$A$2:$L$94, 8, FALSE), "")</f>
        <v/>
      </c>
      <c r="F54" s="38">
        <f>IFERROR(VLOOKUP(A54, 'ANEXO A'!$A$2:$L$94, 9, FALSE), "")</f>
        <v/>
      </c>
      <c r="G54" s="38">
        <f>IFERROR(VLOOKUP(A54, 'ANEXO A'!$A$2:$L$94, 10, FALSE), "")</f>
        <v/>
      </c>
      <c r="H54" s="38">
        <f>IFERROR(VLOOKUP(A54, 'ANEXO A'!$A$2:$L$94, 12, FALSE), "")</f>
        <v/>
      </c>
      <c r="I54" s="38" t="inlineStr">
        <is>
          <t>6.13 Gestión de activos / TI: Ubicación de servidores y racks en centros de datos con control de clima y energía (GSO-GSI-ME-GAI / SEPS-2022-002).</t>
        </is>
      </c>
      <c r="J54" s="112">
        <f>"• Establecer lineamientos para " &amp; IFERROR(VLOOKUP(A54, 'ANEXO A'!$A$2:$L$94, 2, FALSE), "Este Control") &amp; CHAR(10) &amp; "• Definir roles para el control " &amp; A54 &amp; CHAR(10) &amp; "• Revisar efectividad de " &amp; IFERROR(VLOOKUP(A54, 'ANEXO A'!$A$2:$L$94, 2, FALSE), "Este Control")</f>
        <v/>
      </c>
      <c r="K54" s="112" t="inlineStr">
        <is>
          <t>Asegurar el cumplimiento, control y resguardo continuo de los procesos de Emplazamiento y protección de equipos a fin de mitigar riesgos y mantener la alineación a los principios de confidencialidad, integridad y disponibilidad aplicables a este dominio.</t>
        </is>
      </c>
      <c r="L54" s="112" t="inlineStr">
        <is>
          <t>La organización deberá implementar, registrar y monitorear operativamente todos los protocolos relacionados a Emplazamiento y protección de equipos, estableciendo políticas técnicas correspondientes.</t>
        </is>
      </c>
    </row>
    <row r="55" ht="67.5" customHeight="1" s="106">
      <c r="A55" s="38">
        <f>'ANEXO A'!A55</f>
        <v/>
      </c>
      <c r="B55" s="38">
        <f>IFERROR(VLOOKUP(A55, 'ANEXO A'!$A$2:$L$94, 2, FALSE), "")</f>
        <v/>
      </c>
      <c r="C55" s="38">
        <f>IF(LEFT(A55,1)="5", "5. Organizacionales", IF(LEFT(A55,1)="6", "6. Personas", IF(LEFT(A55,1)="7", "7. Físicos", "8. Tecnológicos")))</f>
        <v/>
      </c>
      <c r="D55" s="38">
        <f>IFERROR(VLOOKUP(A55, 'ANEXO A'!$A$2:$L$94, 11, FALSE), "")</f>
        <v/>
      </c>
      <c r="E55" s="38">
        <f>IFERROR(VLOOKUP(A55, 'ANEXO A'!$A$2:$L$94, 8, FALSE), "")</f>
        <v/>
      </c>
      <c r="F55" s="38">
        <f>IFERROR(VLOOKUP(A55, 'ANEXO A'!$A$2:$L$94, 9, FALSE), "")</f>
        <v/>
      </c>
      <c r="G55" s="38">
        <f>IFERROR(VLOOKUP(A55, 'ANEXO A'!$A$2:$L$94, 10, FALSE), "")</f>
        <v/>
      </c>
      <c r="H55" s="38">
        <f>IFERROR(VLOOKUP(A55, 'ANEXO A'!$A$2:$L$94, 12, FALSE), "")</f>
        <v/>
      </c>
      <c r="I55" s="38" t="inlineStr">
        <is>
          <t>6.1 Políticas Generales (Item 4): Equipos portátiles integrados al Directorio Activo, antivirus y cifrado de disco (GSO-GSI-MP-GSI).</t>
        </is>
      </c>
      <c r="J55" s="112">
        <f>"• Establecer lineamientos para " &amp; IFERROR(VLOOKUP(A55, 'ANEXO A'!$A$2:$L$94, 2, FALSE), "Este Control") &amp; CHAR(10) &amp; "• Definir roles para el control " &amp; A55 &amp; CHAR(10) &amp; "• Revisar efectividad de " &amp; IFERROR(VLOOKUP(A55, 'ANEXO A'!$A$2:$L$94, 2, FALSE), "Este Control")</f>
        <v/>
      </c>
      <c r="K55" s="112" t="inlineStr">
        <is>
          <t>Asegurar el cumplimiento, control y resguardo continuo de los procesos de Seguridad de los activos fuera de las instalaciones a fin de mitigar riesgos y mantener la alineación a los principios de confidencialidad, integridad y disponibilidad aplicables a este dominio.</t>
        </is>
      </c>
      <c r="L55" s="112" t="inlineStr">
        <is>
          <t>La organización deberá implementar, registrar y monitorear operativamente todos los protocolos relacionados a Seguridad de los activos fuera de las instalaciones, estableciendo políticas técnicas correspondientes.</t>
        </is>
      </c>
    </row>
    <row r="56" ht="56.25" customHeight="1" s="106">
      <c r="A56" s="38">
        <f>'ANEXO A'!A56</f>
        <v/>
      </c>
      <c r="B56" s="38">
        <f>IFERROR(VLOOKUP(A56, 'ANEXO A'!$A$2:$L$94, 2, FALSE), "")</f>
        <v/>
      </c>
      <c r="C56" s="38">
        <f>IF(LEFT(A56,1)="5", "5. Organizacionales", IF(LEFT(A56,1)="6", "6. Personas", IF(LEFT(A56,1)="7", "7. Físicos", "8. Tecnológicos")))</f>
        <v/>
      </c>
      <c r="D56" s="38">
        <f>IFERROR(VLOOKUP(A56, 'ANEXO A'!$A$2:$L$94, 11, FALSE), "")</f>
        <v/>
      </c>
      <c r="E56" s="38">
        <f>IFERROR(VLOOKUP(A56, 'ANEXO A'!$A$2:$L$94, 8, FALSE), "")</f>
        <v/>
      </c>
      <c r="F56" s="38">
        <f>IFERROR(VLOOKUP(A56, 'ANEXO A'!$A$2:$L$94, 9, FALSE), "")</f>
        <v/>
      </c>
      <c r="G56" s="38">
        <f>IFERROR(VLOOKUP(A56, 'ANEXO A'!$A$2:$L$94, 10, FALSE), "")</f>
        <v/>
      </c>
      <c r="H56" s="38">
        <f>IFERROR(VLOOKUP(A56, 'ANEXO A'!$A$2:$L$94, 12, FALSE), "")</f>
        <v/>
      </c>
      <c r="I56" s="38" t="inlineStr">
        <is>
          <t>6.9 FTP / 6.13 Activos: Control y restricción de medios extraíbles (USB/discos) y almacenamiento de backups (GSO-GSI-MP-GSI / GSO-GSI-ME-GAI).</t>
        </is>
      </c>
      <c r="J56" s="112">
        <f>"• Establecer lineamientos para " &amp; IFERROR(VLOOKUP(A56, 'ANEXO A'!$A$2:$L$94, 2, FALSE), "Este Control") &amp; CHAR(10) &amp; "• Definir roles para el control " &amp; A56 &amp; CHAR(10) &amp; "• Revisar efectividad de " &amp; IFERROR(VLOOKUP(A56, 'ANEXO A'!$A$2:$L$94, 2, FALSE), "Este Control")</f>
        <v/>
      </c>
      <c r="K56" s="112" t="inlineStr">
        <is>
          <t>Asegurar el cumplimiento, control y resguardo continuo de los procesos de Soportes de almacenamiento a fin de mitigar riesgos y mantener la alineación a los principios de confidencialidad, integridad y disponibilidad aplicables a este dominio.</t>
        </is>
      </c>
      <c r="L56" s="112" t="inlineStr">
        <is>
          <t>La organización deberá implementar, registrar y monitorear operativamente todos los protocolos relacionados a Soportes de almacenamiento, estableciendo políticas técnicas correspondientes.</t>
        </is>
      </c>
    </row>
    <row r="57" ht="56.25" customHeight="1" s="106">
      <c r="A57" s="38">
        <f>'ANEXO A'!A57</f>
        <v/>
      </c>
      <c r="B57" s="38">
        <f>IFERROR(VLOOKUP(A57, 'ANEXO A'!$A$2:$L$94, 2, FALSE), "")</f>
        <v/>
      </c>
      <c r="C57" s="38">
        <f>IF(LEFT(A57,1)="5", "5. Organizacionales", IF(LEFT(A57,1)="6", "6. Personas", IF(LEFT(A57,1)="7", "7. Físicos", "8. Tecnológicos")))</f>
        <v/>
      </c>
      <c r="D57" s="38">
        <f>IFERROR(VLOOKUP(A57, 'ANEXO A'!$A$2:$L$94, 11, FALSE), "")</f>
        <v/>
      </c>
      <c r="E57" s="38">
        <f>IFERROR(VLOOKUP(A57, 'ANEXO A'!$A$2:$L$94, 8, FALSE), "")</f>
        <v/>
      </c>
      <c r="F57" s="38">
        <f>IFERROR(VLOOKUP(A57, 'ANEXO A'!$A$2:$L$94, 9, FALSE), "")</f>
        <v/>
      </c>
      <c r="G57" s="38">
        <f>IFERROR(VLOOKUP(A57, 'ANEXO A'!$A$2:$L$94, 10, FALSE), "")</f>
        <v/>
      </c>
      <c r="H57" s="38">
        <f>IFERROR(VLOOKUP(A57, 'ANEXO A'!$A$2:$L$94, 12, FALSE), "")</f>
        <v/>
      </c>
      <c r="I57" s="38" t="inlineStr">
        <is>
          <t>Sec. 10.2.1 Metodología GAI (S32-S33): Respaldo eléctrico mediante UPS redundantes y generador eléctrico (GSO-GSI-ME-GAI / SEPS-2022-002).</t>
        </is>
      </c>
      <c r="J57" s="112">
        <f>"• Establecer lineamientos para " &amp; IFERROR(VLOOKUP(A57, 'ANEXO A'!$A$2:$L$94, 2, FALSE), "Este Control") &amp; CHAR(10) &amp; "• Definir roles para el control " &amp; A57 &amp; CHAR(10) &amp; "• Revisar efectividad de " &amp; IFERROR(VLOOKUP(A57, 'ANEXO A'!$A$2:$L$94, 2, FALSE), "Este Control")</f>
        <v/>
      </c>
      <c r="K57" s="112" t="inlineStr">
        <is>
          <t>Asegurar el cumplimiento, control y resguardo continuo de los procesos de Servicios públicos a fin de mitigar riesgos y mantener la alineación a los principios de confidencialidad, integridad y disponibilidad aplicables a este dominio.</t>
        </is>
      </c>
      <c r="L57" s="112" t="inlineStr">
        <is>
          <t>La organización deberá implementar, registrar y monitorear operativamente todos los protocolos relacionados a Servicios públicos, estableciendo políticas técnicas correspondientes.</t>
        </is>
      </c>
    </row>
    <row r="58" ht="56.25" customHeight="1" s="106">
      <c r="A58" s="38">
        <f>'ANEXO A'!A58</f>
        <v/>
      </c>
      <c r="B58" s="38">
        <f>IFERROR(VLOOKUP(A58, 'ANEXO A'!$A$2:$L$94, 2, FALSE), "")</f>
        <v/>
      </c>
      <c r="C58" s="38">
        <f>IF(LEFT(A58,1)="5", "5. Organizacionales", IF(LEFT(A58,1)="6", "6. Personas", IF(LEFT(A58,1)="7", "7. Físicos", "8. Tecnológicos")))</f>
        <v/>
      </c>
      <c r="D58" s="38">
        <f>IFERROR(VLOOKUP(A58, 'ANEXO A'!$A$2:$L$94, 11, FALSE), "")</f>
        <v/>
      </c>
      <c r="E58" s="38">
        <f>IFERROR(VLOOKUP(A58, 'ANEXO A'!$A$2:$L$94, 8, FALSE), "")</f>
        <v/>
      </c>
      <c r="F58" s="38">
        <f>IFERROR(VLOOKUP(A58, 'ANEXO A'!$A$2:$L$94, 9, FALSE), "")</f>
        <v/>
      </c>
      <c r="G58" s="38">
        <f>IFERROR(VLOOKUP(A58, 'ANEXO A'!$A$2:$L$94, 10, FALSE), "")</f>
        <v/>
      </c>
      <c r="H58" s="38">
        <f>IFERROR(VLOOKUP(A58, 'ANEXO A'!$A$2:$L$94, 12, FALSE), "")</f>
        <v/>
      </c>
      <c r="I58" s="38" t="inlineStr">
        <is>
          <t>Anexo 1 SEPS (Infraestructura): Cableado estructurado canalizado, ordenado y protegido en ductos cerrados (SEPS-2022-002).</t>
        </is>
      </c>
      <c r="J58" s="112">
        <f>"• Establecer lineamientos para " &amp; IFERROR(VLOOKUP(A58, 'ANEXO A'!$A$2:$L$94, 2, FALSE), "Este Control") &amp; CHAR(10) &amp; "• Definir roles para el control " &amp; A58 &amp; CHAR(10) &amp; "• Revisar efectividad de " &amp; IFERROR(VLOOKUP(A58, 'ANEXO A'!$A$2:$L$94, 2, FALSE), "Este Control")</f>
        <v/>
      </c>
      <c r="K58" s="112" t="inlineStr">
        <is>
          <t>Asegurar el cumplimiento, control y resguardo continuo de los procesos de Seguridad del cableado a fin de mitigar riesgos y mantener la alineación a los principios de confidencialidad, integridad y disponibilidad aplicables a este dominio.</t>
        </is>
      </c>
      <c r="L58" s="112" t="inlineStr">
        <is>
          <t>La organización deberá implementar, registrar y monitorear operativamente todos los protocolos relacionados a Seguridad del cableado, estableciendo políticas técnicas correspondientes.</t>
        </is>
      </c>
    </row>
    <row r="59" ht="56.25" customHeight="1" s="106">
      <c r="A59" s="38">
        <f>'ANEXO A'!A59</f>
        <v/>
      </c>
      <c r="B59" s="38">
        <f>IFERROR(VLOOKUP(A59, 'ANEXO A'!$A$2:$L$94, 2, FALSE), "")</f>
        <v/>
      </c>
      <c r="C59" s="38">
        <f>IF(LEFT(A59,1)="5", "5. Organizacionales", IF(LEFT(A59,1)="6", "6. Personas", IF(LEFT(A59,1)="7", "7. Físicos", "8. Tecnológicos")))</f>
        <v/>
      </c>
      <c r="D59" s="38">
        <f>IFERROR(VLOOKUP(A59, 'ANEXO A'!$A$2:$L$94, 11, FALSE), "")</f>
        <v/>
      </c>
      <c r="E59" s="38">
        <f>IFERROR(VLOOKUP(A59, 'ANEXO A'!$A$2:$L$94, 8, FALSE), "")</f>
        <v/>
      </c>
      <c r="F59" s="38">
        <f>IFERROR(VLOOKUP(A59, 'ANEXO A'!$A$2:$L$94, 9, FALSE), "")</f>
        <v/>
      </c>
      <c r="G59" s="38">
        <f>IFERROR(VLOOKUP(A59, 'ANEXO A'!$A$2:$L$94, 10, FALSE), "")</f>
        <v/>
      </c>
      <c r="H59" s="38">
        <f>IFERROR(VLOOKUP(A59, 'ANEXO A'!$A$2:$L$94, 12, FALSE), "")</f>
        <v/>
      </c>
      <c r="I59" s="38" t="inlineStr">
        <is>
          <t>6.19 Escaneo / Plan TI: Mantenimiento preventivo y correctivo periódico a infraestructura bajo bitácora y supervisión (GSO-GSI-MP-GSI / SEPS-2022-002).</t>
        </is>
      </c>
      <c r="J59" s="112">
        <f>"• Establecer lineamientos para " &amp; IFERROR(VLOOKUP(A59, 'ANEXO A'!$A$2:$L$94, 2, FALSE), "Este Control") &amp; CHAR(10) &amp; "• Definir roles para el control " &amp; A59 &amp; CHAR(10) &amp; "• Revisar efectividad de " &amp; IFERROR(VLOOKUP(A59, 'ANEXO A'!$A$2:$L$94, 2, FALSE), "Este Control")</f>
        <v/>
      </c>
      <c r="K59" s="112" t="inlineStr">
        <is>
          <t>Asegurar el cumplimiento, control y resguardo continuo de los procesos de Mantenimiento de equipos a fin de mitigar riesgos y mantener la alineación a los principios de confidencialidad, integridad y disponibilidad aplicables a este dominio.</t>
        </is>
      </c>
      <c r="L59" s="112" t="inlineStr">
        <is>
          <t>La organización deberá implementar, registrar y monitorear operativamente todos los protocolos relacionados a Mantenimiento de equipos, estableciendo políticas técnicas correspondientes.</t>
        </is>
      </c>
    </row>
    <row r="60" ht="67.5" customHeight="1" s="106">
      <c r="A60" s="38">
        <f>'ANEXO A'!A60</f>
        <v/>
      </c>
      <c r="B60" s="38">
        <f>IFERROR(VLOOKUP(A60, 'ANEXO A'!$A$2:$L$94, 2, FALSE), "")</f>
        <v/>
      </c>
      <c r="C60" s="38">
        <f>IF(LEFT(A60,1)="5", "5. Organizacionales", IF(LEFT(A60,1)="6", "6. Personas", IF(LEFT(A60,1)="7", "7. Físicos", "8. Tecnológicos")))</f>
        <v/>
      </c>
      <c r="D60" s="38">
        <f>IFERROR(VLOOKUP(A60, 'ANEXO A'!$A$2:$L$94, 11, FALSE), "")</f>
        <v/>
      </c>
      <c r="E60" s="38">
        <f>IFERROR(VLOOKUP(A60, 'ANEXO A'!$A$2:$L$94, 8, FALSE), "")</f>
        <v/>
      </c>
      <c r="F60" s="38">
        <f>IFERROR(VLOOKUP(A60, 'ANEXO A'!$A$2:$L$94, 9, FALSE), "")</f>
        <v/>
      </c>
      <c r="G60" s="38">
        <f>IFERROR(VLOOKUP(A60, 'ANEXO A'!$A$2:$L$94, 10, FALSE), "")</f>
        <v/>
      </c>
      <c r="H60" s="38">
        <f>IFERROR(VLOOKUP(A60, 'ANEXO A'!$A$2:$L$94, 12, FALSE), "")</f>
        <v/>
      </c>
      <c r="I60" s="38" t="inlineStr">
        <is>
          <t>Sec. 1 Metodología GAI / Bajas TI: Borrado seguro de medios de almacenamiento y desmagnetización/destrucción de discos dados de baja (GSO-GSI-ME-GAI / ISO 27002).</t>
        </is>
      </c>
      <c r="J60" s="112">
        <f>"• Establecer lineamientos para " &amp; IFERROR(VLOOKUP(A60, 'ANEXO A'!$A$2:$L$94, 2, FALSE), "Este Control") &amp; CHAR(10) &amp; "• Definir roles para el control " &amp; A60 &amp; CHAR(10) &amp; "• Revisar efectividad de " &amp; IFERROR(VLOOKUP(A60, 'ANEXO A'!$A$2:$L$94, 2, FALSE), "Este Control")</f>
        <v/>
      </c>
      <c r="K60" s="112" t="inlineStr">
        <is>
          <t>Asegurar el cumplimiento, control y resguardo continuo de los procesos de Eliminación segura o reutilización de equipos a fin de mitigar riesgos y mantener la alineación a los principios de confidencialidad, integridad y disponibilidad aplicables a este dominio.</t>
        </is>
      </c>
      <c r="L60" s="112" t="inlineStr">
        <is>
          <t>La organización deberá implementar, registrar y monitorear operativamente todos los protocolos relacionados a Eliminación segura o reutilización de equipos, estableciendo políticas técnicas correspondientes.</t>
        </is>
      </c>
    </row>
    <row r="61" ht="56.25" customHeight="1" s="106">
      <c r="A61" s="38">
        <f>'ANEXO A'!A61</f>
        <v/>
      </c>
      <c r="B61" s="38">
        <f>IFERROR(VLOOKUP(A61, 'ANEXO A'!$A$2:$L$94, 2, FALSE), "")</f>
        <v/>
      </c>
      <c r="C61" s="38">
        <f>IF(LEFT(A61,1)="5", "5. Organizacionales", IF(LEFT(A61,1)="6", "6. Personas", IF(LEFT(A61,1)="7", "7. Físicos", "8. Tecnológicos")))</f>
        <v/>
      </c>
      <c r="D61" s="38">
        <f>IFERROR(VLOOKUP(A61, 'ANEXO A'!$A$2:$L$94, 11, FALSE), "")</f>
        <v/>
      </c>
      <c r="E61" s="38">
        <f>IFERROR(VLOOKUP(A61, 'ANEXO A'!$A$2:$L$94, 8, FALSE), "")</f>
        <v/>
      </c>
      <c r="F61" s="38">
        <f>IFERROR(VLOOKUP(A61, 'ANEXO A'!$A$2:$L$94, 9, FALSE), "")</f>
        <v/>
      </c>
      <c r="G61" s="38">
        <f>IFERROR(VLOOKUP(A61, 'ANEXO A'!$A$2:$L$94, 10, FALSE), "")</f>
        <v/>
      </c>
      <c r="H61" s="38">
        <f>IFERROR(VLOOKUP(A61, 'ANEXO A'!$A$2:$L$94, 12, FALSE), "")</f>
        <v/>
      </c>
      <c r="I61" s="38" t="inlineStr">
        <is>
          <t>6.1 Políticas Generales (Item 4) / 6.16: Gestión unificada por Directorio Activo, políticas GPO y monitoreo de terminales (GSO-GSI-MP-GSI).</t>
        </is>
      </c>
      <c r="J61" s="112">
        <f>"• Establecer lineamientos para " &amp; IFERROR(VLOOKUP(A61, 'ANEXO A'!$A$2:$L$94, 2, FALSE), "Este Control") &amp; CHAR(10) &amp; "• Definir roles para el control " &amp; A61 &amp; CHAR(10) &amp; "• Revisar efectividad de " &amp; IFERROR(VLOOKUP(A61, 'ANEXO A'!$A$2:$L$94, 2, FALSE), "Este Control")</f>
        <v/>
      </c>
      <c r="K61" s="112" t="inlineStr">
        <is>
          <t>Asegurar el cumplimiento, control y resguardo continuo de los procesos de Dispositivos de punto final de usuario a fin de mitigar riesgos y mantener la alineación a los principios de confidencialidad, integridad y disponibilidad aplicables a este dominio.</t>
        </is>
      </c>
      <c r="L61" s="112" t="inlineStr">
        <is>
          <t>La organización deberá implementar, registrar y monitorear operativamente todos los protocolos relacionados a Dispositivos de punto final de usuario, estableciendo políticas técnicas correspondientes.</t>
        </is>
      </c>
    </row>
    <row r="62" ht="56.25" customHeight="1" s="106">
      <c r="A62" s="38">
        <f>'ANEXO A'!A62</f>
        <v/>
      </c>
      <c r="B62" s="38">
        <f>IFERROR(VLOOKUP(A62, 'ANEXO A'!$A$2:$L$94, 2, FALSE), "")</f>
        <v/>
      </c>
      <c r="C62" s="38">
        <f>IF(LEFT(A62,1)="5", "5. Organizacionales", IF(LEFT(A62,1)="6", "6. Personas", IF(LEFT(A62,1)="7", "7. Físicos", "8. Tecnológicos")))</f>
        <v/>
      </c>
      <c r="D62" s="38">
        <f>IFERROR(VLOOKUP(A62, 'ANEXO A'!$A$2:$L$94, 11, FALSE), "")</f>
        <v/>
      </c>
      <c r="E62" s="38">
        <f>IFERROR(VLOOKUP(A62, 'ANEXO A'!$A$2:$L$94, 8, FALSE), "")</f>
        <v/>
      </c>
      <c r="F62" s="38">
        <f>IFERROR(VLOOKUP(A62, 'ANEXO A'!$A$2:$L$94, 9, FALSE), "")</f>
        <v/>
      </c>
      <c r="G62" s="38">
        <f>IFERROR(VLOOKUP(A62, 'ANEXO A'!$A$2:$L$94, 10, FALSE), "")</f>
        <v/>
      </c>
      <c r="H62" s="38">
        <f>IFERROR(VLOOKUP(A62, 'ANEXO A'!$A$2:$L$94, 12, FALSE), "")</f>
        <v/>
      </c>
      <c r="I62" s="38" t="inlineStr">
        <is>
          <t>6.7. Administración de roles y perfiles - Control de acceso privilegiado (GSO-GSI-MP-GSI)</t>
        </is>
      </c>
      <c r="J62" s="112">
        <f>"• Establecer lineamientos para " &amp; IFERROR(VLOOKUP(A62, 'ANEXO A'!$A$2:$L$94, 2, FALSE), "Este Control") &amp; CHAR(10) &amp; "• Definir roles para el control " &amp; A62 &amp; CHAR(10) &amp; "• Revisar efectividad de " &amp; IFERROR(VLOOKUP(A62, 'ANEXO A'!$A$2:$L$94, 2, FALSE), "Este Control")</f>
        <v/>
      </c>
      <c r="K62" s="112" t="inlineStr">
        <is>
          <t>Asegurar el cumplimiento, control y resguardo continuo de los procesos de Derechos de acceso privilegiado a fin de mitigar riesgos y mantener la alineación a los principios de confidencialidad, integridad y disponibilidad aplicables a este dominio.</t>
        </is>
      </c>
      <c r="L62" s="112" t="inlineStr">
        <is>
          <t>La organización deberá implementar, registrar y monitorear operativamente todos los protocolos relacionados a Derechos de acceso privilegiado, estableciendo políticas técnicas correspondientes.</t>
        </is>
      </c>
    </row>
    <row r="63" ht="67.5" customHeight="1" s="106">
      <c r="A63" s="38">
        <f>'ANEXO A'!A63</f>
        <v/>
      </c>
      <c r="B63" s="38">
        <f>IFERROR(VLOOKUP(A63, 'ANEXO A'!$A$2:$L$94, 2, FALSE), "")</f>
        <v/>
      </c>
      <c r="C63" s="38">
        <f>IF(LEFT(A63,1)="5", "5. Organizacionales", IF(LEFT(A63,1)="6", "6. Personas", IF(LEFT(A63,1)="7", "7. Físicos", "8. Tecnológicos")))</f>
        <v/>
      </c>
      <c r="D63" s="38">
        <f>IFERROR(VLOOKUP(A63, 'ANEXO A'!$A$2:$L$94, 11, FALSE), "")</f>
        <v/>
      </c>
      <c r="E63" s="38">
        <f>IFERROR(VLOOKUP(A63, 'ANEXO A'!$A$2:$L$94, 8, FALSE), "")</f>
        <v/>
      </c>
      <c r="F63" s="38">
        <f>IFERROR(VLOOKUP(A63, 'ANEXO A'!$A$2:$L$94, 9, FALSE), "")</f>
        <v/>
      </c>
      <c r="G63" s="38">
        <f>IFERROR(VLOOKUP(A63, 'ANEXO A'!$A$2:$L$94, 10, FALSE), "")</f>
        <v/>
      </c>
      <c r="H63" s="38">
        <f>IFERROR(VLOOKUP(A63, 'ANEXO A'!$A$2:$L$94, 12, FALSE), "")</f>
        <v/>
      </c>
      <c r="I63" s="38" t="inlineStr">
        <is>
          <t>6.4. Bloqueo y Desbloqueo de usuarios / 6.5 Eliminación de usuarios (GSO-GSI-MP-GSI)</t>
        </is>
      </c>
      <c r="J63" s="112">
        <f>"• Establecer lineamientos para " &amp; IFERROR(VLOOKUP(A63, 'ANEXO A'!$A$2:$L$94, 2, FALSE), "Este Control") &amp; CHAR(10) &amp; "• Definir roles para el control " &amp; A63 &amp; CHAR(10) &amp; "• Revisar efectividad de " &amp; IFERROR(VLOOKUP(A63, 'ANEXO A'!$A$2:$L$94, 2, FALSE), "Este Control")</f>
        <v/>
      </c>
      <c r="K63" s="112" t="inlineStr">
        <is>
          <t>Asegurar el cumplimiento, control y resguardo continuo de los procesos de Restricción del acceso a la información a fin de mitigar riesgos y mantener la alineación a los principios de confidencialidad, integridad y disponibilidad aplicables a este dominio.</t>
        </is>
      </c>
      <c r="L63" s="112" t="inlineStr">
        <is>
          <t>La organización deberá implementar, registrar y monitorear operativamente todos los protocolos relacionados a Restricción del acceso a la información, estableciendo políticas técnicas correspondientes.</t>
        </is>
      </c>
    </row>
    <row r="64" ht="56.25" customHeight="1" s="106">
      <c r="A64" s="38">
        <f>'ANEXO A'!A64</f>
        <v/>
      </c>
      <c r="B64" s="38">
        <f>IFERROR(VLOOKUP(A64, 'ANEXO A'!$A$2:$L$94, 2, FALSE), "")</f>
        <v/>
      </c>
      <c r="C64" s="38">
        <f>IF(LEFT(A64,1)="5", "5. Organizacionales", IF(LEFT(A64,1)="6", "6. Personas", IF(LEFT(A64,1)="7", "7. Físicos", "8. Tecnológicos")))</f>
        <v/>
      </c>
      <c r="D64" s="38">
        <f>IFERROR(VLOOKUP(A64, 'ANEXO A'!$A$2:$L$94, 11, FALSE), "")</f>
        <v/>
      </c>
      <c r="E64" s="38">
        <f>IFERROR(VLOOKUP(A64, 'ANEXO A'!$A$2:$L$94, 8, FALSE), "")</f>
        <v/>
      </c>
      <c r="F64" s="38">
        <f>IFERROR(VLOOKUP(A64, 'ANEXO A'!$A$2:$L$94, 9, FALSE), "")</f>
        <v/>
      </c>
      <c r="G64" s="38">
        <f>IFERROR(VLOOKUP(A64, 'ANEXO A'!$A$2:$L$94, 10, FALSE), "")</f>
        <v/>
      </c>
      <c r="H64" s="38">
        <f>IFERROR(VLOOKUP(A64, 'ANEXO A'!$A$2:$L$94, 12, FALSE), "")</f>
        <v/>
      </c>
      <c r="I64" s="38" t="inlineStr">
        <is>
          <t>Anexo 1 SEPS (Desarrollo): Restricción y control de repositorios de software y herramientas de desarrollo bajo mínima asignación de privilegios (SEPS-2022-002 / ISO 27002).</t>
        </is>
      </c>
      <c r="J64" s="112">
        <f>"• Establecer lineamientos para " &amp; IFERROR(VLOOKUP(A64, 'ANEXO A'!$A$2:$L$94, 2, FALSE), "Este Control") &amp; CHAR(10) &amp; "• Definir roles para el control " &amp; A64 &amp; CHAR(10) &amp; "• Revisar efectividad de " &amp; IFERROR(VLOOKUP(A64, 'ANEXO A'!$A$2:$L$94, 2, FALSE), "Este Control")</f>
        <v/>
      </c>
      <c r="K64" s="112" t="inlineStr">
        <is>
          <t>Asegurar el cumplimiento, control y resguardo continuo de los procesos de Acceso al código fuente a fin de mitigar riesgos y mantener la alineación a los principios de confidencialidad, integridad y disponibilidad aplicables a este dominio.</t>
        </is>
      </c>
      <c r="L64" s="112" t="inlineStr">
        <is>
          <t>La organización deberá implementar, registrar y monitorear operativamente todos los protocolos relacionados a Acceso al código fuente, estableciendo políticas técnicas correspondientes.</t>
        </is>
      </c>
    </row>
    <row r="65" ht="56.25" customHeight="1" s="106">
      <c r="A65" s="38">
        <f>'ANEXO A'!A65</f>
        <v/>
      </c>
      <c r="B65" s="38">
        <f>IFERROR(VLOOKUP(A65, 'ANEXO A'!$A$2:$L$94, 2, FALSE), "")</f>
        <v/>
      </c>
      <c r="C65" s="38">
        <f>IF(LEFT(A65,1)="5", "5. Organizacionales", IF(LEFT(A65,1)="6", "6. Personas", IF(LEFT(A65,1)="7", "7. Físicos", "8. Tecnológicos")))</f>
        <v/>
      </c>
      <c r="D65" s="38">
        <f>IFERROR(VLOOKUP(A65, 'ANEXO A'!$A$2:$L$94, 11, FALSE), "")</f>
        <v/>
      </c>
      <c r="E65" s="38">
        <f>IFERROR(VLOOKUP(A65, 'ANEXO A'!$A$2:$L$94, 8, FALSE), "")</f>
        <v/>
      </c>
      <c r="F65" s="38">
        <f>IFERROR(VLOOKUP(A65, 'ANEXO A'!$A$2:$L$94, 9, FALSE), "")</f>
        <v/>
      </c>
      <c r="G65" s="38">
        <f>IFERROR(VLOOKUP(A65, 'ANEXO A'!$A$2:$L$94, 10, FALSE), "")</f>
        <v/>
      </c>
      <c r="H65" s="38">
        <f>IFERROR(VLOOKUP(A65, 'ANEXO A'!$A$2:$L$94, 12, FALSE), "")</f>
        <v/>
      </c>
      <c r="I65" s="38" t="inlineStr">
        <is>
          <t>6.4 Bloqueo / 6.2 MFA Azure: Implementación de contraseñas robustas, bloqueo por intentos fallidos y autenticación multifactor (GSO-GSI-MP-GSI).</t>
        </is>
      </c>
      <c r="J65" s="112">
        <f>"• Establecer lineamientos para " &amp; IFERROR(VLOOKUP(A65, 'ANEXO A'!$A$2:$L$94, 2, FALSE), "Este Control") &amp; CHAR(10) &amp; "• Definir roles para el control " &amp; A65 &amp; CHAR(10) &amp; "• Revisar efectividad de " &amp; IFERROR(VLOOKUP(A65, 'ANEXO A'!$A$2:$L$94, 2, FALSE), "Este Control")</f>
        <v/>
      </c>
      <c r="K65" s="112" t="inlineStr">
        <is>
          <t>Asegurar el cumplimiento, control y resguardo continuo de los procesos de Autenticación segura a fin de mitigar riesgos y mantener la alineación a los principios de confidencialidad, integridad y disponibilidad aplicables a este dominio.</t>
        </is>
      </c>
      <c r="L65" s="112" t="inlineStr">
        <is>
          <t>La organización deberá implementar, registrar y monitorear operativamente todos los protocolos relacionados a Autenticación segura, estableciendo políticas técnicas correspondientes.</t>
        </is>
      </c>
    </row>
    <row r="66" ht="56.25" customHeight="1" s="106">
      <c r="A66" s="38">
        <f>'ANEXO A'!A66</f>
        <v/>
      </c>
      <c r="B66" s="38">
        <f>IFERROR(VLOOKUP(A66, 'ANEXO A'!$A$2:$L$94, 2, FALSE), "")</f>
        <v/>
      </c>
      <c r="C66" s="38">
        <f>IF(LEFT(A66,1)="5", "5. Organizacionales", IF(LEFT(A66,1)="6", "6. Personas", IF(LEFT(A66,1)="7", "7. Físicos", "8. Tecnológicos")))</f>
        <v/>
      </c>
      <c r="D66" s="38">
        <f>IFERROR(VLOOKUP(A66, 'ANEXO A'!$A$2:$L$94, 11, FALSE), "")</f>
        <v/>
      </c>
      <c r="E66" s="38">
        <f>IFERROR(VLOOKUP(A66, 'ANEXO A'!$A$2:$L$94, 8, FALSE), "")</f>
        <v/>
      </c>
      <c r="F66" s="38">
        <f>IFERROR(VLOOKUP(A66, 'ANEXO A'!$A$2:$L$94, 9, FALSE), "")</f>
        <v/>
      </c>
      <c r="G66" s="38">
        <f>IFERROR(VLOOKUP(A66, 'ANEXO A'!$A$2:$L$94, 10, FALSE), "")</f>
        <v/>
      </c>
      <c r="H66" s="38">
        <f>IFERROR(VLOOKUP(A66, 'ANEXO A'!$A$2:$L$94, 12, FALSE), "")</f>
        <v/>
      </c>
      <c r="I66" s="38" t="inlineStr">
        <is>
          <t>6.14 Auditoría BD (Pol. 5): Monitoreo semestral del consumo de recursos, almacenamiento y rendimiento de base de datos y Core (GSO-GSI-MP-GSI).</t>
        </is>
      </c>
      <c r="J66" s="112">
        <f>"• Establecer lineamientos para " &amp; IFERROR(VLOOKUP(A66, 'ANEXO A'!$A$2:$L$94, 2, FALSE), "Este Control") &amp; CHAR(10) &amp; "• Definir roles para el control " &amp; A66 &amp; CHAR(10) &amp; "• Revisar efectividad de " &amp; IFERROR(VLOOKUP(A66, 'ANEXO A'!$A$2:$L$94, 2, FALSE), "Este Control")</f>
        <v/>
      </c>
      <c r="K66" s="112" t="inlineStr">
        <is>
          <t>Asegurar el cumplimiento, control y resguardo continuo de los procesos de Gestión de capacidad a fin de mitigar riesgos y mantener la alineación a los principios de confidencialidad, integridad y disponibilidad aplicables a este dominio.</t>
        </is>
      </c>
      <c r="L66" s="112" t="inlineStr">
        <is>
          <t>La organización deberá implementar, registrar y monitorear operativamente todos los protocolos relacionados a Gestión de capacidad, estableciendo políticas técnicas correspondientes.</t>
        </is>
      </c>
    </row>
    <row r="67" ht="56.25" customHeight="1" s="106">
      <c r="A67" s="38">
        <f>'ANEXO A'!A67</f>
        <v/>
      </c>
      <c r="B67" s="38">
        <f>IFERROR(VLOOKUP(A67, 'ANEXO A'!$A$2:$L$94, 2, FALSE), "")</f>
        <v/>
      </c>
      <c r="C67" s="38">
        <f>IF(LEFT(A67,1)="5", "5. Organizacionales", IF(LEFT(A67,1)="6", "6. Personas", IF(LEFT(A67,1)="7", "7. Físicos", "8. Tecnológicos")))</f>
        <v/>
      </c>
      <c r="D67" s="38">
        <f>IFERROR(VLOOKUP(A67, 'ANEXO A'!$A$2:$L$94, 11, FALSE), "")</f>
        <v/>
      </c>
      <c r="E67" s="38">
        <f>IFERROR(VLOOKUP(A67, 'ANEXO A'!$A$2:$L$94, 8, FALSE), "")</f>
        <v/>
      </c>
      <c r="F67" s="38">
        <f>IFERROR(VLOOKUP(A67, 'ANEXO A'!$A$2:$L$94, 9, FALSE), "")</f>
        <v/>
      </c>
      <c r="G67" s="38">
        <f>IFERROR(VLOOKUP(A67, 'ANEXO A'!$A$2:$L$94, 10, FALSE), "")</f>
        <v/>
      </c>
      <c r="H67" s="38">
        <f>IFERROR(VLOOKUP(A67, 'ANEXO A'!$A$2:$L$94, 12, FALSE), "")</f>
        <v/>
      </c>
      <c r="I67" s="38" t="inlineStr">
        <is>
          <t>6.11 Cuentas Críticas (Antivirus/AntiSpam): Administración centralizada de consola antivirus, filtros antispam y actualización de firmas (GSO-GSI-MP-GSI).</t>
        </is>
      </c>
      <c r="J67" s="112">
        <f>"• Establecer lineamientos para " &amp; IFERROR(VLOOKUP(A67, 'ANEXO A'!$A$2:$L$94, 2, FALSE), "Este Control") &amp; CHAR(10) &amp; "• Definir roles para el control " &amp; A67 &amp; CHAR(10) &amp; "• Revisar efectividad de " &amp; IFERROR(VLOOKUP(A67, 'ANEXO A'!$A$2:$L$94, 2, FALSE), "Este Control")</f>
        <v/>
      </c>
      <c r="K67" s="112" t="inlineStr">
        <is>
          <t>Asegurar el cumplimiento, control y resguardo continuo de los procesos de Protección contra malware a fin de mitigar riesgos y mantener la alineación a los principios de confidencialidad, integridad y disponibilidad aplicables a este dominio.</t>
        </is>
      </c>
      <c r="L67" s="112" t="inlineStr">
        <is>
          <t>La organización deberá implementar, registrar y monitorear operativamente todos los protocolos relacionados a Protección contra malware, estableciendo políticas técnicas correspondientes.</t>
        </is>
      </c>
    </row>
    <row r="68" ht="56.25" customHeight="1" s="106">
      <c r="A68" s="38">
        <f>'ANEXO A'!A68</f>
        <v/>
      </c>
      <c r="B68" s="38">
        <f>IFERROR(VLOOKUP(A68, 'ANEXO A'!$A$2:$L$94, 2, FALSE), "")</f>
        <v/>
      </c>
      <c r="C68" s="38">
        <f>IF(LEFT(A68,1)="5", "5. Organizacionales", IF(LEFT(A68,1)="6", "6. Personas", IF(LEFT(A68,1)="7", "7. Físicos", "8. Tecnológicos")))</f>
        <v/>
      </c>
      <c r="D68" s="38">
        <f>IFERROR(VLOOKUP(A68, 'ANEXO A'!$A$2:$L$94, 11, FALSE), "")</f>
        <v/>
      </c>
      <c r="E68" s="38">
        <f>IFERROR(VLOOKUP(A68, 'ANEXO A'!$A$2:$L$94, 8, FALSE), "")</f>
        <v/>
      </c>
      <c r="F68" s="38">
        <f>IFERROR(VLOOKUP(A68, 'ANEXO A'!$A$2:$L$94, 9, FALSE), "")</f>
        <v/>
      </c>
      <c r="G68" s="38">
        <f>IFERROR(VLOOKUP(A68, 'ANEXO A'!$A$2:$L$94, 10, FALSE), "")</f>
        <v/>
      </c>
      <c r="H68" s="38">
        <f>IFERROR(VLOOKUP(A68, 'ANEXO A'!$A$2:$L$94, 12, FALSE), "")</f>
        <v/>
      </c>
      <c r="I68" s="38" t="inlineStr">
        <is>
          <t>6.19. Escaneo de vulnerabilidades internas y externas - Mantenimiento de software (GSO-GSI-MP-GSI)</t>
        </is>
      </c>
      <c r="J68" s="112">
        <f>"• Establecer lineamientos para " &amp; IFERROR(VLOOKUP(A68, 'ANEXO A'!$A$2:$L$94, 2, FALSE), "Este Control") &amp; CHAR(10) &amp; "• Definir roles para el control " &amp; A68 &amp; CHAR(10) &amp; "• Revisar efectividad de " &amp; IFERROR(VLOOKUP(A68, 'ANEXO A'!$A$2:$L$94, 2, FALSE), "Este Control")</f>
        <v/>
      </c>
      <c r="K68" s="112" t="inlineStr">
        <is>
          <t>Asegurar el cumplimiento, control y resguardo continuo de los procesos de Gestión de vulnerabilidades técnicas a fin de mitigar riesgos y mantener la alineación a los principios de confidencialidad, integridad y disponibilidad aplicables a este dominio.</t>
        </is>
      </c>
      <c r="L68" s="112" t="inlineStr">
        <is>
          <t>La organización deberá implementar, registrar y monitorear operativamente todos los protocolos relacionados a Gestión de vulnerabilidades técnicas, estableciendo políticas técnicas correspondientes.</t>
        </is>
      </c>
    </row>
    <row r="69" ht="56.25" customHeight="1" s="106">
      <c r="A69" s="38">
        <f>'ANEXO A'!A69</f>
        <v/>
      </c>
      <c r="B69" s="38">
        <f>IFERROR(VLOOKUP(A69, 'ANEXO A'!$A$2:$L$94, 2, FALSE), "")</f>
        <v/>
      </c>
      <c r="C69" s="38">
        <f>IF(LEFT(A69,1)="5", "5. Organizacionales", IF(LEFT(A69,1)="6", "6. Personas", IF(LEFT(A69,1)="7", "7. Físicos", "8. Tecnológicos")))</f>
        <v/>
      </c>
      <c r="D69" s="38">
        <f>IFERROR(VLOOKUP(A69, 'ANEXO A'!$A$2:$L$94, 11, FALSE), "")</f>
        <v/>
      </c>
      <c r="E69" s="38">
        <f>IFERROR(VLOOKUP(A69, 'ANEXO A'!$A$2:$L$94, 8, FALSE), "")</f>
        <v/>
      </c>
      <c r="F69" s="38">
        <f>IFERROR(VLOOKUP(A69, 'ANEXO A'!$A$2:$L$94, 9, FALSE), "")</f>
        <v/>
      </c>
      <c r="G69" s="38">
        <f>IFERROR(VLOOKUP(A69, 'ANEXO A'!$A$2:$L$94, 10, FALSE), "")</f>
        <v/>
      </c>
      <c r="H69" s="38">
        <f>IFERROR(VLOOKUP(A69, 'ANEXO A'!$A$2:$L$94, 12, FALSE), "")</f>
        <v/>
      </c>
      <c r="I69" s="38" t="inlineStr">
        <is>
          <t>Anexo 1 SEPS 002 (Configuración): Establecimiento y auditoría de líneas base seguras (Hardening) en servidores, BD y comunicaciones (SEPS-2022-002).</t>
        </is>
      </c>
      <c r="J69" s="112">
        <f>"• Establecer lineamientos para " &amp; IFERROR(VLOOKUP(A69, 'ANEXO A'!$A$2:$L$94, 2, FALSE), "Este Control") &amp; CHAR(10) &amp; "• Definir roles para el control " &amp; A69 &amp; CHAR(10) &amp; "• Revisar efectividad de " &amp; IFERROR(VLOOKUP(A69, 'ANEXO A'!$A$2:$L$94, 2, FALSE), "Este Control")</f>
        <v/>
      </c>
      <c r="K69" s="112" t="inlineStr">
        <is>
          <t>Asegurar el cumplimiento, control y resguardo continuo de los procesos de Gestión de la configuración a fin de mitigar riesgos y mantener la alineación a los principios de confidencialidad, integridad y disponibilidad aplicables a este dominio.</t>
        </is>
      </c>
      <c r="L69" s="112" t="inlineStr">
        <is>
          <t>La organización deberá implementar, registrar y monitorear operativamente todos los protocolos relacionados a Gestión de la configuración, estableciendo políticas técnicas correspondientes.</t>
        </is>
      </c>
    </row>
    <row r="70" ht="56.25" customHeight="1" s="106">
      <c r="A70" s="38">
        <f>'ANEXO A'!A70</f>
        <v/>
      </c>
      <c r="B70" s="38">
        <f>IFERROR(VLOOKUP(A70, 'ANEXO A'!$A$2:$L$94, 2, FALSE), "")</f>
        <v/>
      </c>
      <c r="C70" s="38">
        <f>IF(LEFT(A70,1)="5", "5. Organizacionales", IF(LEFT(A70,1)="6", "6. Personas", IF(LEFT(A70,1)="7", "7. Físicos", "8. Tecnológicos")))</f>
        <v/>
      </c>
      <c r="D70" s="38">
        <f>IFERROR(VLOOKUP(A70, 'ANEXO A'!$A$2:$L$94, 11, FALSE), "")</f>
        <v/>
      </c>
      <c r="E70" s="38">
        <f>IFERROR(VLOOKUP(A70, 'ANEXO A'!$A$2:$L$94, 8, FALSE), "")</f>
        <v/>
      </c>
      <c r="F70" s="38">
        <f>IFERROR(VLOOKUP(A70, 'ANEXO A'!$A$2:$L$94, 9, FALSE), "")</f>
        <v/>
      </c>
      <c r="G70" s="38">
        <f>IFERROR(VLOOKUP(A70, 'ANEXO A'!$A$2:$L$94, 10, FALSE), "")</f>
        <v/>
      </c>
      <c r="H70" s="38">
        <f>IFERROR(VLOOKUP(A70, 'ANEXO A'!$A$2:$L$94, 12, FALSE), "")</f>
        <v/>
      </c>
      <c r="I70" s="38" t="inlineStr">
        <is>
          <t>6.5 Eliminación de usuarios / Retención: Expiración de productos/roles y purga segura de archivos temporales (GSO-GSI-MP-GSI / ISO 27002).</t>
        </is>
      </c>
      <c r="J70" s="112">
        <f>"• Establecer lineamientos para " &amp; IFERROR(VLOOKUP(A70, 'ANEXO A'!$A$2:$L$94, 2, FALSE), "Este Control") &amp; CHAR(10) &amp; "• Definir roles para el control " &amp; A70 &amp; CHAR(10) &amp; "• Revisar efectividad de " &amp; IFERROR(VLOOKUP(A70, 'ANEXO A'!$A$2:$L$94, 2, FALSE), "Este Control")</f>
        <v/>
      </c>
      <c r="K70" s="112" t="inlineStr">
        <is>
          <t>Asegurar el cumplimiento, control y resguardo continuo de los procesos de Eliminación de información a fin de mitigar riesgos y mantener la alineación a los principios de confidencialidad, integridad y disponibilidad aplicables a este dominio.</t>
        </is>
      </c>
      <c r="L70" s="112" t="inlineStr">
        <is>
          <t>La organización deberá implementar, registrar y monitorear operativamente todos los protocolos relacionados a Eliminación de información, estableciendo políticas técnicas correspondientes.</t>
        </is>
      </c>
    </row>
    <row r="71" ht="56.25" customHeight="1" s="106">
      <c r="A71" s="38">
        <f>'ANEXO A'!A71</f>
        <v/>
      </c>
      <c r="B71" s="38">
        <f>IFERROR(VLOOKUP(A71, 'ANEXO A'!$A$2:$L$94, 2, FALSE), "")</f>
        <v/>
      </c>
      <c r="C71" s="38">
        <f>IF(LEFT(A71,1)="5", "5. Organizacionales", IF(LEFT(A71,1)="6", "6. Personas", IF(LEFT(A71,1)="7", "7. Físicos", "8. Tecnológicos")))</f>
        <v/>
      </c>
      <c r="D71" s="38">
        <f>IFERROR(VLOOKUP(A71, 'ANEXO A'!$A$2:$L$94, 11, FALSE), "")</f>
        <v/>
      </c>
      <c r="E71" s="38">
        <f>IFERROR(VLOOKUP(A71, 'ANEXO A'!$A$2:$L$94, 8, FALSE), "")</f>
        <v/>
      </c>
      <c r="F71" s="38">
        <f>IFERROR(VLOOKUP(A71, 'ANEXO A'!$A$2:$L$94, 9, FALSE), "")</f>
        <v/>
      </c>
      <c r="G71" s="38">
        <f>IFERROR(VLOOKUP(A71, 'ANEXO A'!$A$2:$L$94, 10, FALSE), "")</f>
        <v/>
      </c>
      <c r="H71" s="38">
        <f>IFERROR(VLOOKUP(A71, 'ANEXO A'!$A$2:$L$94, 12, FALSE), "")</f>
        <v/>
      </c>
      <c r="I71" s="38" t="inlineStr">
        <is>
          <t>6.17 Escaneo PCI DSS (Pol. 3-6): Truncamiento y ofuscación del PAN (visibilidad máx. primeros 6 y últimos 4 dígitos) (GSO-GSI-MP-GSI).</t>
        </is>
      </c>
      <c r="J71" s="112">
        <f>"• Establecer lineamientos para " &amp; IFERROR(VLOOKUP(A71, 'ANEXO A'!$A$2:$L$94, 2, FALSE), "Este Control") &amp; CHAR(10) &amp; "• Definir roles para el control " &amp; A71 &amp; CHAR(10) &amp; "• Revisar efectividad de " &amp; IFERROR(VLOOKUP(A71, 'ANEXO A'!$A$2:$L$94, 2, FALSE), "Este Control")</f>
        <v/>
      </c>
      <c r="K71" s="112" t="inlineStr">
        <is>
          <t>Asegurar el cumplimiento, control y resguardo continuo de los procesos de Enmascaramiento de datos a fin de mitigar riesgos y mantener la alineación a los principios de confidencialidad, integridad y disponibilidad aplicables a este dominio.</t>
        </is>
      </c>
      <c r="L71" s="112" t="inlineStr">
        <is>
          <t>La organización deberá implementar, registrar y monitorear operativamente todos los protocolos relacionados a Enmascaramiento de datos, estableciendo políticas técnicas correspondientes.</t>
        </is>
      </c>
    </row>
    <row r="72" ht="56.25" customHeight="1" s="106">
      <c r="A72" s="38">
        <f>'ANEXO A'!A72</f>
        <v/>
      </c>
      <c r="B72" s="38">
        <f>IFERROR(VLOOKUP(A72, 'ANEXO A'!$A$2:$L$94, 2, FALSE), "")</f>
        <v/>
      </c>
      <c r="C72" s="38">
        <f>IF(LEFT(A72,1)="5", "5. Organizacionales", IF(LEFT(A72,1)="6", "6. Personas", IF(LEFT(A72,1)="7", "7. Físicos", "8. Tecnológicos")))</f>
        <v/>
      </c>
      <c r="D72" s="38">
        <f>IFERROR(VLOOKUP(A72, 'ANEXO A'!$A$2:$L$94, 11, FALSE), "")</f>
        <v/>
      </c>
      <c r="E72" s="38">
        <f>IFERROR(VLOOKUP(A72, 'ANEXO A'!$A$2:$L$94, 8, FALSE), "")</f>
        <v/>
      </c>
      <c r="F72" s="38">
        <f>IFERROR(VLOOKUP(A72, 'ANEXO A'!$A$2:$L$94, 9, FALSE), "")</f>
        <v/>
      </c>
      <c r="G72" s="38">
        <f>IFERROR(VLOOKUP(A72, 'ANEXO A'!$A$2:$L$94, 10, FALSE), "")</f>
        <v/>
      </c>
      <c r="H72" s="38">
        <f>IFERROR(VLOOKUP(A72, 'ANEXO A'!$A$2:$L$94, 12, FALSE), "")</f>
        <v/>
      </c>
      <c r="I72" s="38" t="inlineStr">
        <is>
          <t>6.9 Control FTP / 6.17 PCI DSS: Restricción de descargas masivas, monitoreo de canales de salida y bloqueo de fuga de información crítica (GSO-GSI-MP-GSI).</t>
        </is>
      </c>
      <c r="J72" s="112">
        <f>"• Establecer lineamientos para " &amp; IFERROR(VLOOKUP(A72, 'ANEXO A'!$A$2:$L$94, 2, FALSE), "Este Control") &amp; CHAR(10) &amp; "• Definir roles para el control " &amp; A72 &amp; CHAR(10) &amp; "• Revisar efectividad de " &amp; IFERROR(VLOOKUP(A72, 'ANEXO A'!$A$2:$L$94, 2, FALSE), "Este Control")</f>
        <v/>
      </c>
      <c r="K72" s="112" t="inlineStr">
        <is>
          <t>Asegurar el cumplimiento, control y resguardo continuo de los procesos de Prevención de fuga de datos a fin de mitigar riesgos y mantener la alineación a los principios de confidencialidad, integridad y disponibilidad aplicables a este dominio.</t>
        </is>
      </c>
      <c r="L72" s="112" t="inlineStr">
        <is>
          <t>La organización deberá implementar, registrar y monitorear operativamente todos los protocolos relacionados a Prevención de fuga de datos, estableciendo políticas técnicas correspondientes.</t>
        </is>
      </c>
    </row>
    <row r="73" ht="56.25" customHeight="1" s="106">
      <c r="A73" s="38">
        <f>'ANEXO A'!A73</f>
        <v/>
      </c>
      <c r="B73" s="38">
        <f>IFERROR(VLOOKUP(A73, 'ANEXO A'!$A$2:$L$94, 2, FALSE), "")</f>
        <v/>
      </c>
      <c r="C73" s="38">
        <f>IF(LEFT(A73,1)="5", "5. Organizacionales", IF(LEFT(A73,1)="6", "6. Personas", IF(LEFT(A73,1)="7", "7. Físicos", "8. Tecnológicos")))</f>
        <v/>
      </c>
      <c r="D73" s="38">
        <f>IFERROR(VLOOKUP(A73, 'ANEXO A'!$A$2:$L$94, 11, FALSE), "")</f>
        <v/>
      </c>
      <c r="E73" s="38">
        <f>IFERROR(VLOOKUP(A73, 'ANEXO A'!$A$2:$L$94, 8, FALSE), "")</f>
        <v/>
      </c>
      <c r="F73" s="38">
        <f>IFERROR(VLOOKUP(A73, 'ANEXO A'!$A$2:$L$94, 9, FALSE), "")</f>
        <v/>
      </c>
      <c r="G73" s="38">
        <f>IFERROR(VLOOKUP(A73, 'ANEXO A'!$A$2:$L$94, 10, FALSE), "")</f>
        <v/>
      </c>
      <c r="H73" s="38">
        <f>IFERROR(VLOOKUP(A73, 'ANEXO A'!$A$2:$L$94, 12, FALSE), "")</f>
        <v/>
      </c>
      <c r="I73" s="38" t="inlineStr">
        <is>
          <t>Anexo 1 SEPS 002 (Respaldos): Resguardo periódico automatizado de BD y aplicativos, y pruebas semestrales de restauración (SEPS-2022-002).</t>
        </is>
      </c>
      <c r="J73" s="112">
        <f>"• Establecer lineamientos para " &amp; IFERROR(VLOOKUP(A73, 'ANEXO A'!$A$2:$L$94, 2, FALSE), "Este Control") &amp; CHAR(10) &amp; "• Definir roles para el control " &amp; A73 &amp; CHAR(10) &amp; "• Revisar efectividad de " &amp; IFERROR(VLOOKUP(A73, 'ANEXO A'!$A$2:$L$94, 2, FALSE), "Este Control")</f>
        <v/>
      </c>
      <c r="K73" s="112" t="inlineStr">
        <is>
          <t>Asegurar el cumplimiento, control y resguardo continuo de los procesos de Copias de seguridad de la información a fin de mitigar riesgos y mantener la alineación a los principios de confidencialidad, integridad y disponibilidad aplicables a este dominio.</t>
        </is>
      </c>
      <c r="L73" s="112" t="inlineStr">
        <is>
          <t>La organización deberá implementar, registrar y monitorear operativamente todos los protocolos relacionados a Copias de seguridad de la información, estableciendo políticas técnicas correspondientes.</t>
        </is>
      </c>
    </row>
    <row r="74" ht="78.75" customHeight="1" s="106">
      <c r="A74" s="38">
        <f>'ANEXO A'!A74</f>
        <v/>
      </c>
      <c r="B74" s="38">
        <f>IFERROR(VLOOKUP(A74, 'ANEXO A'!$A$2:$L$94, 2, FALSE), "")</f>
        <v/>
      </c>
      <c r="C74" s="38">
        <f>IF(LEFT(A74,1)="5", "5. Organizacionales", IF(LEFT(A74,1)="6", "6. Personas", IF(LEFT(A74,1)="7", "7. Físicos", "8. Tecnológicos")))</f>
        <v/>
      </c>
      <c r="D74" s="38">
        <f>IFERROR(VLOOKUP(A74, 'ANEXO A'!$A$2:$L$94, 11, FALSE), "")</f>
        <v/>
      </c>
      <c r="E74" s="38">
        <f>IFERROR(VLOOKUP(A74, 'ANEXO A'!$A$2:$L$94, 8, FALSE), "")</f>
        <v/>
      </c>
      <c r="F74" s="38">
        <f>IFERROR(VLOOKUP(A74, 'ANEXO A'!$A$2:$L$94, 9, FALSE), "")</f>
        <v/>
      </c>
      <c r="G74" s="38">
        <f>IFERROR(VLOOKUP(A74, 'ANEXO A'!$A$2:$L$94, 10, FALSE), "")</f>
        <v/>
      </c>
      <c r="H74" s="38">
        <f>IFERROR(VLOOKUP(A74, 'ANEXO A'!$A$2:$L$94, 12, FALSE), "")</f>
        <v/>
      </c>
      <c r="I74" s="38" t="inlineStr">
        <is>
          <t>Anexo 1 SEPS (Arquitectura): Implementación de clúster de servidores, alta disponibilidad de BD y enlaces de comunicación alternos (SEPS-2022-002).</t>
        </is>
      </c>
      <c r="J74" s="112">
        <f>"• Establecer lineamientos para " &amp; IFERROR(VLOOKUP(A74, 'ANEXO A'!$A$2:$L$94, 2, FALSE), "Este Control") &amp; CHAR(10) &amp; "• Definir roles para el control " &amp; A74 &amp; CHAR(10) &amp; "• Revisar efectividad de " &amp; IFERROR(VLOOKUP(A74, 'ANEXO A'!$A$2:$L$94, 2, FALSE), "Este Control")</f>
        <v/>
      </c>
      <c r="K74" s="112" t="inlineStr">
        <is>
          <t>Asegurar el cumplimiento, control y resguardo continuo de los procesos de Redundancia de las instalaciones de procesamiento de información a fin de mitigar riesgos y mantener la alineación a los principios de confidencialidad, integridad y disponibilidad aplicables a este dominio.</t>
        </is>
      </c>
      <c r="L74" s="112" t="inlineStr">
        <is>
          <t>La organización deberá implementar, registrar y monitorear operativamente todos los protocolos relacionados a Redundancia de las instalaciones de procesamiento de información, estableciendo políticas técnicas correspondientes.</t>
        </is>
      </c>
    </row>
    <row r="75" ht="56.25" customHeight="1" s="106">
      <c r="A75" s="38">
        <f>'ANEXO A'!A75</f>
        <v/>
      </c>
      <c r="B75" s="38">
        <f>IFERROR(VLOOKUP(A75, 'ANEXO A'!$A$2:$L$94, 2, FALSE), "")</f>
        <v/>
      </c>
      <c r="C75" s="38">
        <f>IF(LEFT(A75,1)="5", "5. Organizacionales", IF(LEFT(A75,1)="6", "6. Personas", IF(LEFT(A75,1)="7", "7. Físicos", "8. Tecnológicos")))</f>
        <v/>
      </c>
      <c r="D75" s="38">
        <f>IFERROR(VLOOKUP(A75, 'ANEXO A'!$A$2:$L$94, 11, FALSE), "")</f>
        <v/>
      </c>
      <c r="E75" s="38">
        <f>IFERROR(VLOOKUP(A75, 'ANEXO A'!$A$2:$L$94, 8, FALSE), "")</f>
        <v/>
      </c>
      <c r="F75" s="38">
        <f>IFERROR(VLOOKUP(A75, 'ANEXO A'!$A$2:$L$94, 9, FALSE), "")</f>
        <v/>
      </c>
      <c r="G75" s="38">
        <f>IFERROR(VLOOKUP(A75, 'ANEXO A'!$A$2:$L$94, 10, FALSE), "")</f>
        <v/>
      </c>
      <c r="H75" s="38">
        <f>IFERROR(VLOOKUP(A75, 'ANEXO A'!$A$2:$L$94, 12, FALSE), "")</f>
        <v/>
      </c>
      <c r="I75" s="38" t="inlineStr">
        <is>
          <t>6.14. Administración de la auditoría de la base de datos - Registro y monitoreo de eventos (GSO-GSI-MP-GSI)</t>
        </is>
      </c>
      <c r="J75" s="112">
        <f>"• Establecer lineamientos para " &amp; IFERROR(VLOOKUP(A75, 'ANEXO A'!$A$2:$L$94, 2, FALSE), "Este Control") &amp; CHAR(10) &amp; "• Definir roles para el control " &amp; A75 &amp; CHAR(10) &amp; "• Revisar efectividad de " &amp; IFERROR(VLOOKUP(A75, 'ANEXO A'!$A$2:$L$94, 2, FALSE), "Este Control")</f>
        <v/>
      </c>
      <c r="K75" s="112" t="inlineStr">
        <is>
          <t>Asegurar el cumplimiento, control y resguardo continuo de los procesos de Registro de eventos (Logging) a fin de mitigar riesgos y mantener la alineación a los principios de confidencialidad, integridad y disponibilidad aplicables a este dominio.</t>
        </is>
      </c>
      <c r="L75" s="112" t="inlineStr">
        <is>
          <t>La organización deberá implementar, registrar y monitorear operativamente todos los protocolos relacionados a Registro de eventos (Logging), estableciendo políticas técnicas correspondientes.</t>
        </is>
      </c>
    </row>
    <row r="76" ht="67.5" customHeight="1" s="106">
      <c r="A76" s="38">
        <f>'ANEXO A'!A76</f>
        <v/>
      </c>
      <c r="B76" s="38">
        <f>IFERROR(VLOOKUP(A76, 'ANEXO A'!$A$2:$L$94, 2, FALSE), "")</f>
        <v/>
      </c>
      <c r="C76" s="38">
        <f>IF(LEFT(A76,1)="5", "5. Organizacionales", IF(LEFT(A76,1)="6", "6. Personas", IF(LEFT(A76,1)="7", "7. Físicos", "8. Tecnológicos")))</f>
        <v/>
      </c>
      <c r="D76" s="38">
        <f>IFERROR(VLOOKUP(A76, 'ANEXO A'!$A$2:$L$94, 11, FALSE), "")</f>
        <v/>
      </c>
      <c r="E76" s="38">
        <f>IFERROR(VLOOKUP(A76, 'ANEXO A'!$A$2:$L$94, 8, FALSE), "")</f>
        <v/>
      </c>
      <c r="F76" s="38">
        <f>IFERROR(VLOOKUP(A76, 'ANEXO A'!$A$2:$L$94, 9, FALSE), "")</f>
        <v/>
      </c>
      <c r="G76" s="38">
        <f>IFERROR(VLOOKUP(A76, 'ANEXO A'!$A$2:$L$94, 10, FALSE), "")</f>
        <v/>
      </c>
      <c r="H76" s="38">
        <f>IFERROR(VLOOKUP(A76, 'ANEXO A'!$A$2:$L$94, 12, FALSE), "")</f>
        <v/>
      </c>
      <c r="I76" s="38" t="inlineStr">
        <is>
          <t>6.14 Auditoría BD / 6.16 Monitoreo: Supervisión continua mediante scripts, logs de base de datos y herramientas de red (GSO-GSI-MP-GSI).</t>
        </is>
      </c>
      <c r="J76" s="112">
        <f>"• Establecer lineamientos para " &amp; IFERROR(VLOOKUP(A76, 'ANEXO A'!$A$2:$L$94, 2, FALSE), "Este Control") &amp; CHAR(10) &amp; "• Definir roles para el control " &amp; A76 &amp; CHAR(10) &amp; "• Revisar efectividad de " &amp; IFERROR(VLOOKUP(A76, 'ANEXO A'!$A$2:$L$94, 2, FALSE), "Este Control")</f>
        <v/>
      </c>
      <c r="K76" s="112" t="inlineStr">
        <is>
          <t>Asegurar el cumplimiento, control y resguardo continuo de los procesos de Actividades de seguimiento (Monitoring) a fin de mitigar riesgos y mantener la alineación a los principios de confidencialidad, integridad y disponibilidad aplicables a este dominio.</t>
        </is>
      </c>
      <c r="L76" s="112" t="inlineStr">
        <is>
          <t>La organización deberá implementar, registrar y monitorear operativamente todos los protocolos relacionados a Actividades de seguimiento (Monitoring), estableciendo políticas técnicas correspondientes.</t>
        </is>
      </c>
    </row>
    <row r="77" ht="56.25" customHeight="1" s="106">
      <c r="A77" s="38">
        <f>'ANEXO A'!A77</f>
        <v/>
      </c>
      <c r="B77" s="38">
        <f>IFERROR(VLOOKUP(A77, 'ANEXO A'!$A$2:$L$94, 2, FALSE), "")</f>
        <v/>
      </c>
      <c r="C77" s="38">
        <f>IF(LEFT(A77,1)="5", "5. Organizacionales", IF(LEFT(A77,1)="6", "6. Personas", IF(LEFT(A77,1)="7", "7. Físicos", "8. Tecnológicos")))</f>
        <v/>
      </c>
      <c r="D77" s="38">
        <f>IFERROR(VLOOKUP(A77, 'ANEXO A'!$A$2:$L$94, 11, FALSE), "")</f>
        <v/>
      </c>
      <c r="E77" s="38">
        <f>IFERROR(VLOOKUP(A77, 'ANEXO A'!$A$2:$L$94, 8, FALSE), "")</f>
        <v/>
      </c>
      <c r="F77" s="38">
        <f>IFERROR(VLOOKUP(A77, 'ANEXO A'!$A$2:$L$94, 9, FALSE), "")</f>
        <v/>
      </c>
      <c r="G77" s="38">
        <f>IFERROR(VLOOKUP(A77, 'ANEXO A'!$A$2:$L$94, 10, FALSE), "")</f>
        <v/>
      </c>
      <c r="H77" s="38">
        <f>IFERROR(VLOOKUP(A77, 'ANEXO A'!$A$2:$L$94, 12, FALSE), "")</f>
        <v/>
      </c>
      <c r="I77" s="38" t="inlineStr">
        <is>
          <t>Anexo 1 SEPS (Logs y Detección): Sincronización automática de todos los servidores y estaciones a fuentes horarias oficiales (NTP) (SEPS-2022-002 / ISO 27002).</t>
        </is>
      </c>
      <c r="J77" s="112">
        <f>"• Establecer lineamientos para " &amp; IFERROR(VLOOKUP(A77, 'ANEXO A'!$A$2:$L$94, 2, FALSE), "Este Control") &amp; CHAR(10) &amp; "• Definir roles para el control " &amp; A77 &amp; CHAR(10) &amp; "• Revisar efectividad de " &amp; IFERROR(VLOOKUP(A77, 'ANEXO A'!$A$2:$L$94, 2, FALSE), "Este Control")</f>
        <v/>
      </c>
      <c r="K77" s="112" t="inlineStr">
        <is>
          <t>Asegurar el cumplimiento, control y resguardo continuo de los procesos de Sincronización de relojes a fin de mitigar riesgos y mantener la alineación a los principios de confidencialidad, integridad y disponibilidad aplicables a este dominio.</t>
        </is>
      </c>
      <c r="L77" s="112" t="inlineStr">
        <is>
          <t>La organización deberá implementar, registrar y monitorear operativamente todos los protocolos relacionados a Sincronización de relojes, estableciendo políticas técnicas correspondientes.</t>
        </is>
      </c>
    </row>
    <row r="78" ht="67.5" customHeight="1" s="106">
      <c r="A78" s="38">
        <f>'ANEXO A'!A78</f>
        <v/>
      </c>
      <c r="B78" s="38">
        <f>IFERROR(VLOOKUP(A78, 'ANEXO A'!$A$2:$L$94, 2, FALSE), "")</f>
        <v/>
      </c>
      <c r="C78" s="38">
        <f>IF(LEFT(A78,1)="5", "5. Organizacionales", IF(LEFT(A78,1)="6", "6. Personas", IF(LEFT(A78,1)="7", "7. Físicos", "8. Tecnológicos")))</f>
        <v/>
      </c>
      <c r="D78" s="38">
        <f>IFERROR(VLOOKUP(A78, 'ANEXO A'!$A$2:$L$94, 11, FALSE), "")</f>
        <v/>
      </c>
      <c r="E78" s="38">
        <f>IFERROR(VLOOKUP(A78, 'ANEXO A'!$A$2:$L$94, 8, FALSE), "")</f>
        <v/>
      </c>
      <c r="F78" s="38">
        <f>IFERROR(VLOOKUP(A78, 'ANEXO A'!$A$2:$L$94, 9, FALSE), "")</f>
        <v/>
      </c>
      <c r="G78" s="38">
        <f>IFERROR(VLOOKUP(A78, 'ANEXO A'!$A$2:$L$94, 10, FALSE), "")</f>
        <v/>
      </c>
      <c r="H78" s="38">
        <f>IFERROR(VLOOKUP(A78, 'ANEXO A'!$A$2:$L$94, 12, FALSE), "")</f>
        <v/>
      </c>
      <c r="I78" s="38" t="inlineStr">
        <is>
          <t>6.11 Cuentas Críticas / 6.14 BD: Restricción estricta de ejecución de scripts DDL/DML directos y herramientas de bajo nivel (GSO-GSI-MP-GSI).</t>
        </is>
      </c>
      <c r="J78" s="112">
        <f>"• Establecer lineamientos para " &amp; IFERROR(VLOOKUP(A78, 'ANEXO A'!$A$2:$L$94, 2, FALSE), "Este Control") &amp; CHAR(10) &amp; "• Definir roles para el control " &amp; A78 &amp; CHAR(10) &amp; "• Revisar efectividad de " &amp; IFERROR(VLOOKUP(A78, 'ANEXO A'!$A$2:$L$94, 2, FALSE), "Este Control")</f>
        <v/>
      </c>
      <c r="K78" s="112" t="inlineStr">
        <is>
          <t>Asegurar el cumplimiento, control y resguardo continuo de los procesos de Uso de programas de utilidad privilegiados a fin de mitigar riesgos y mantener la alineación a los principios de confidencialidad, integridad y disponibilidad aplicables a este dominio.</t>
        </is>
      </c>
      <c r="L78" s="112" t="inlineStr">
        <is>
          <t>La organización deberá implementar, registrar y monitorear operativamente todos los protocolos relacionados a Uso de programas de utilidad privilegiados, estableciendo políticas técnicas correspondientes.</t>
        </is>
      </c>
    </row>
    <row r="79" ht="67.5" customHeight="1" s="106">
      <c r="A79" s="38">
        <f>'ANEXO A'!A79</f>
        <v/>
      </c>
      <c r="B79" s="38">
        <f>IFERROR(VLOOKUP(A79, 'ANEXO A'!$A$2:$L$94, 2, FALSE), "")</f>
        <v/>
      </c>
      <c r="C79" s="38">
        <f>IF(LEFT(A79,1)="5", "5. Organizacionales", IF(LEFT(A79,1)="6", "6. Personas", IF(LEFT(A79,1)="7", "7. Físicos", "8. Tecnológicos")))</f>
        <v/>
      </c>
      <c r="D79" s="38">
        <f>IFERROR(VLOOKUP(A79, 'ANEXO A'!$A$2:$L$94, 11, FALSE), "")</f>
        <v/>
      </c>
      <c r="E79" s="38">
        <f>IFERROR(VLOOKUP(A79, 'ANEXO A'!$A$2:$L$94, 8, FALSE), "")</f>
        <v/>
      </c>
      <c r="F79" s="38">
        <f>IFERROR(VLOOKUP(A79, 'ANEXO A'!$A$2:$L$94, 9, FALSE), "")</f>
        <v/>
      </c>
      <c r="G79" s="38">
        <f>IFERROR(VLOOKUP(A79, 'ANEXO A'!$A$2:$L$94, 10, FALSE), "")</f>
        <v/>
      </c>
      <c r="H79" s="38">
        <f>IFERROR(VLOOKUP(A79, 'ANEXO A'!$A$2:$L$94, 12, FALSE), "")</f>
        <v/>
      </c>
      <c r="I79" s="38" t="inlineStr">
        <is>
          <t>6.1 Políticas (Item 4) / GPO: Bloqueo de permisos de instalación a usuarios finales; software desplegado centralmente por TI (GSO-GSI-MP-GSI).</t>
        </is>
      </c>
      <c r="J79" s="112">
        <f>"• Establecer lineamientos para " &amp; IFERROR(VLOOKUP(A79, 'ANEXO A'!$A$2:$L$94, 2, FALSE), "Este Control") &amp; CHAR(10) &amp; "• Definir roles para el control " &amp; A79 &amp; CHAR(10) &amp; "• Revisar efectividad de " &amp; IFERROR(VLOOKUP(A79, 'ANEXO A'!$A$2:$L$94, 2, FALSE), "Este Control")</f>
        <v/>
      </c>
      <c r="K79" s="112" t="inlineStr">
        <is>
          <t>Asegurar el cumplimiento, control y resguardo continuo de los procesos de Instalación de software en sistemas operativos a fin de mitigar riesgos y mantener la alineación a los principios de confidencialidad, integridad y disponibilidad aplicables a este dominio.</t>
        </is>
      </c>
      <c r="L79" s="112" t="inlineStr">
        <is>
          <t>La organización deberá implementar, registrar y monitorear operativamente todos los protocolos relacionados a Instalación de software en sistemas operativos, estableciendo políticas técnicas correspondientes.</t>
        </is>
      </c>
    </row>
    <row r="80" ht="56.25" customHeight="1" s="106">
      <c r="A80" s="38">
        <f>'ANEXO A'!A80</f>
        <v/>
      </c>
      <c r="B80" s="38">
        <f>IFERROR(VLOOKUP(A80, 'ANEXO A'!$A$2:$L$94, 2, FALSE), "")</f>
        <v/>
      </c>
      <c r="C80" s="38">
        <f>IF(LEFT(A80,1)="5", "5. Organizacionales", IF(LEFT(A80,1)="6", "6. Personas", IF(LEFT(A80,1)="7", "7. Físicos", "8. Tecnológicos")))</f>
        <v/>
      </c>
      <c r="D80" s="38">
        <f>IFERROR(VLOOKUP(A80, 'ANEXO A'!$A$2:$L$94, 11, FALSE), "")</f>
        <v/>
      </c>
      <c r="E80" s="38">
        <f>IFERROR(VLOOKUP(A80, 'ANEXO A'!$A$2:$L$94, 8, FALSE), "")</f>
        <v/>
      </c>
      <c r="F80" s="38">
        <f>IFERROR(VLOOKUP(A80, 'ANEXO A'!$A$2:$L$94, 9, FALSE), "")</f>
        <v/>
      </c>
      <c r="G80" s="38">
        <f>IFERROR(VLOOKUP(A80, 'ANEXO A'!$A$2:$L$94, 10, FALSE), "")</f>
        <v/>
      </c>
      <c r="H80" s="38">
        <f>IFERROR(VLOOKUP(A80, 'ANEXO A'!$A$2:$L$94, 12, FALSE), "")</f>
        <v/>
      </c>
      <c r="I80" s="38" t="inlineStr">
        <is>
          <t>6.11 Firewalls / Enrutadores: Administración de firewalls de borde, políticas de enrutamiento y reglas de filtrado perimetral (GSO-GSI-MP-GSI).</t>
        </is>
      </c>
      <c r="J80" s="112">
        <f>"• Establecer lineamientos para " &amp; IFERROR(VLOOKUP(A80, 'ANEXO A'!$A$2:$L$94, 2, FALSE), "Este Control") &amp; CHAR(10) &amp; "• Definir roles para el control " &amp; A80 &amp; CHAR(10) &amp; "• Revisar efectividad de " &amp; IFERROR(VLOOKUP(A80, 'ANEXO A'!$A$2:$L$94, 2, FALSE), "Este Control")</f>
        <v/>
      </c>
      <c r="K80" s="112" t="inlineStr">
        <is>
          <t>Asegurar el cumplimiento, control y resguardo continuo de los procesos de Seguridad de las redes a fin de mitigar riesgos y mantener la alineación a los principios de confidencialidad, integridad y disponibilidad aplicables a este dominio.</t>
        </is>
      </c>
      <c r="L80" s="112" t="inlineStr">
        <is>
          <t>La organización deberá implementar, registrar y monitorear operativamente todos los protocolos relacionados a Seguridad de las redes, estableciendo políticas técnicas correspondientes.</t>
        </is>
      </c>
    </row>
    <row r="81" ht="56.25" customHeight="1" s="106">
      <c r="A81" s="38">
        <f>'ANEXO A'!A81</f>
        <v/>
      </c>
      <c r="B81" s="38">
        <f>IFERROR(VLOOKUP(A81, 'ANEXO A'!$A$2:$L$94, 2, FALSE), "")</f>
        <v/>
      </c>
      <c r="C81" s="38">
        <f>IF(LEFT(A81,1)="5", "5. Organizacionales", IF(LEFT(A81,1)="6", "6. Personas", IF(LEFT(A81,1)="7", "7. Físicos", "8. Tecnológicos")))</f>
        <v/>
      </c>
      <c r="D81" s="38">
        <f>IFERROR(VLOOKUP(A81, 'ANEXO A'!$A$2:$L$94, 11, FALSE), "")</f>
        <v/>
      </c>
      <c r="E81" s="38">
        <f>IFERROR(VLOOKUP(A81, 'ANEXO A'!$A$2:$L$94, 8, FALSE), "")</f>
        <v/>
      </c>
      <c r="F81" s="38">
        <f>IFERROR(VLOOKUP(A81, 'ANEXO A'!$A$2:$L$94, 9, FALSE), "")</f>
        <v/>
      </c>
      <c r="G81" s="38">
        <f>IFERROR(VLOOKUP(A81, 'ANEXO A'!$A$2:$L$94, 10, FALSE), "")</f>
        <v/>
      </c>
      <c r="H81" s="38">
        <f>IFERROR(VLOOKUP(A81, 'ANEXO A'!$A$2:$L$94, 12, FALSE), "")</f>
        <v/>
      </c>
      <c r="I81" s="38" t="inlineStr">
        <is>
          <t>6.11 FiltraWeb / AntiSpam: Gestión de seguridad y niveles de servicio en DNS, navegación y correo electrónico (GSO-GSI-MP-GSI).</t>
        </is>
      </c>
      <c r="J81" s="112">
        <f>"• Establecer lineamientos para " &amp; IFERROR(VLOOKUP(A81, 'ANEXO A'!$A$2:$L$94, 2, FALSE), "Este Control") &amp; CHAR(10) &amp; "• Definir roles para el control " &amp; A81 &amp; CHAR(10) &amp; "• Revisar efectividad de " &amp; IFERROR(VLOOKUP(A81, 'ANEXO A'!$A$2:$L$94, 2, FALSE), "Este Control")</f>
        <v/>
      </c>
      <c r="K81" s="112" t="inlineStr">
        <is>
          <t>Asegurar el cumplimiento, control y resguardo continuo de los procesos de Seguridad de los servicios de red a fin de mitigar riesgos y mantener la alineación a los principios de confidencialidad, integridad y disponibilidad aplicables a este dominio.</t>
        </is>
      </c>
      <c r="L81" s="112" t="inlineStr">
        <is>
          <t>La organización deberá implementar, registrar y monitorear operativamente todos los protocolos relacionados a Seguridad de los servicios de red, estableciendo políticas técnicas correspondientes.</t>
        </is>
      </c>
    </row>
    <row r="82" ht="56.25" customHeight="1" s="106">
      <c r="A82" s="38">
        <f>'ANEXO A'!A82</f>
        <v/>
      </c>
      <c r="B82" s="38">
        <f>IFERROR(VLOOKUP(A82, 'ANEXO A'!$A$2:$L$94, 2, FALSE), "")</f>
        <v/>
      </c>
      <c r="C82" s="38">
        <f>IF(LEFT(A82,1)="5", "5. Organizacionales", IF(LEFT(A82,1)="6", "6. Personas", IF(LEFT(A82,1)="7", "7. Físicos", "8. Tecnológicos")))</f>
        <v/>
      </c>
      <c r="D82" s="38">
        <f>IFERROR(VLOOKUP(A82, 'ANEXO A'!$A$2:$L$94, 11, FALSE), "")</f>
        <v/>
      </c>
      <c r="E82" s="38">
        <f>IFERROR(VLOOKUP(A82, 'ANEXO A'!$A$2:$L$94, 8, FALSE), "")</f>
        <v/>
      </c>
      <c r="F82" s="38">
        <f>IFERROR(VLOOKUP(A82, 'ANEXO A'!$A$2:$L$94, 9, FALSE), "")</f>
        <v/>
      </c>
      <c r="G82" s="38">
        <f>IFERROR(VLOOKUP(A82, 'ANEXO A'!$A$2:$L$94, 10, FALSE), "")</f>
        <v/>
      </c>
      <c r="H82" s="38">
        <f>IFERROR(VLOOKUP(A82, 'ANEXO A'!$A$2:$L$94, 12, FALSE), "")</f>
        <v/>
      </c>
      <c r="I82" s="38" t="inlineStr">
        <is>
          <t>6.17 Ambiente PCI / 6.18 Wireless: Aislamiento de VLANs operativas, red de ambiente de tarjetas (PCI) y red Wi-Fi de clientes (GSO-GSI-MP-GSI).</t>
        </is>
      </c>
      <c r="J82" s="112">
        <f>"• Establecer lineamientos para " &amp; IFERROR(VLOOKUP(A82, 'ANEXO A'!$A$2:$L$94, 2, FALSE), "Este Control") &amp; CHAR(10) &amp; "• Definir roles para el control " &amp; A82 &amp; CHAR(10) &amp; "• Revisar efectividad de " &amp; IFERROR(VLOOKUP(A82, 'ANEXO A'!$A$2:$L$94, 2, FALSE), "Este Control")</f>
        <v/>
      </c>
      <c r="K82" s="112" t="inlineStr">
        <is>
          <t>Asegurar el cumplimiento, control y resguardo continuo de los procesos de Segregación de redes a fin de mitigar riesgos y mantener la alineación a los principios de confidencialidad, integridad y disponibilidad aplicables a este dominio.</t>
        </is>
      </c>
      <c r="L82" s="112" t="inlineStr">
        <is>
          <t>La organización deberá implementar, registrar y monitorear operativamente todos los protocolos relacionados a Segregación de redes, estableciendo políticas técnicas correspondientes.</t>
        </is>
      </c>
    </row>
    <row r="83" ht="56.25" customHeight="1" s="106">
      <c r="A83" s="38">
        <f>'ANEXO A'!A83</f>
        <v/>
      </c>
      <c r="B83" s="38">
        <f>IFERROR(VLOOKUP(A83, 'ANEXO A'!$A$2:$L$94, 2, FALSE), "")</f>
        <v/>
      </c>
      <c r="C83" s="38">
        <f>IF(LEFT(A83,1)="5", "5. Organizacionales", IF(LEFT(A83,1)="6", "6. Personas", IF(LEFT(A83,1)="7", "7. Físicos", "8. Tecnológicos")))</f>
        <v/>
      </c>
      <c r="D83" s="38">
        <f>IFERROR(VLOOKUP(A83, 'ANEXO A'!$A$2:$L$94, 11, FALSE), "")</f>
        <v/>
      </c>
      <c r="E83" s="38">
        <f>IFERROR(VLOOKUP(A83, 'ANEXO A'!$A$2:$L$94, 8, FALSE), "")</f>
        <v/>
      </c>
      <c r="F83" s="38">
        <f>IFERROR(VLOOKUP(A83, 'ANEXO A'!$A$2:$L$94, 9, FALSE), "")</f>
        <v/>
      </c>
      <c r="G83" s="38">
        <f>IFERROR(VLOOKUP(A83, 'ANEXO A'!$A$2:$L$94, 10, FALSE), "")</f>
        <v/>
      </c>
      <c r="H83" s="38">
        <f>IFERROR(VLOOKUP(A83, 'ANEXO A'!$A$2:$L$94, 12, FALSE), "")</f>
        <v/>
      </c>
      <c r="I83" s="38" t="inlineStr">
        <is>
          <t>6.11 Cuentas Críticas (FiltraWeb): Bloqueo de sitios web maliciosos, redes no laborales y categorías de riesgo (GSO-GSI-MP-GSI).</t>
        </is>
      </c>
      <c r="J83" s="112">
        <f>"• Establecer lineamientos para " &amp; IFERROR(VLOOKUP(A83, 'ANEXO A'!$A$2:$L$94, 2, FALSE), "Este Control") &amp; CHAR(10) &amp; "• Definir roles para el control " &amp; A83 &amp; CHAR(10) &amp; "• Revisar efectividad de " &amp; IFERROR(VLOOKUP(A83, 'ANEXO A'!$A$2:$L$94, 2, FALSE), "Este Control")</f>
        <v/>
      </c>
      <c r="K83" s="112" t="inlineStr">
        <is>
          <t>Asegurar el cumplimiento, control y resguardo continuo de los procesos de Filtrado web a fin de mitigar riesgos y mantener la alineación a los principios de confidencialidad, integridad y disponibilidad aplicables a este dominio.</t>
        </is>
      </c>
      <c r="L83" s="112" t="inlineStr">
        <is>
          <t>La organización deberá implementar, registrar y monitorear operativamente todos los protocolos relacionados a Filtrado web, estableciendo políticas técnicas correspondientes.</t>
        </is>
      </c>
    </row>
    <row r="84" ht="56.25" customHeight="1" s="106">
      <c r="A84" s="38">
        <f>'ANEXO A'!A84</f>
        <v/>
      </c>
      <c r="B84" s="38">
        <f>IFERROR(VLOOKUP(A84, 'ANEXO A'!$A$2:$L$94, 2, FALSE), "")</f>
        <v/>
      </c>
      <c r="C84" s="38">
        <f>IF(LEFT(A84,1)="5", "5. Organizacionales", IF(LEFT(A84,1)="6", "6. Personas", IF(LEFT(A84,1)="7", "7. Físicos", "8. Tecnológicos")))</f>
        <v/>
      </c>
      <c r="D84" s="38">
        <f>IFERROR(VLOOKUP(A84, 'ANEXO A'!$A$2:$L$94, 11, FALSE), "")</f>
        <v/>
      </c>
      <c r="E84" s="38">
        <f>IFERROR(VLOOKUP(A84, 'ANEXO A'!$A$2:$L$94, 8, FALSE), "")</f>
        <v/>
      </c>
      <c r="F84" s="38">
        <f>IFERROR(VLOOKUP(A84, 'ANEXO A'!$A$2:$L$94, 9, FALSE), "")</f>
        <v/>
      </c>
      <c r="G84" s="38">
        <f>IFERROR(VLOOKUP(A84, 'ANEXO A'!$A$2:$L$94, 10, FALSE), "")</f>
        <v/>
      </c>
      <c r="H84" s="38">
        <f>IFERROR(VLOOKUP(A84, 'ANEXO A'!$A$2:$L$94, 12, FALSE), "")</f>
        <v/>
      </c>
      <c r="I84" s="38" t="inlineStr">
        <is>
          <t>6.12. Creación, ingreso y custodia de llaves criptográficas - Cifrado (GSO-GSI-MP-GSI)</t>
        </is>
      </c>
      <c r="J84" s="112">
        <f>"• Establecer lineamientos para " &amp; IFERROR(VLOOKUP(A84, 'ANEXO A'!$A$2:$L$94, 2, FALSE), "Este Control") &amp; CHAR(10) &amp; "• Definir roles para el control " &amp; A84 &amp; CHAR(10) &amp; "• Revisar efectividad de " &amp; IFERROR(VLOOKUP(A84, 'ANEXO A'!$A$2:$L$94, 2, FALSE), "Este Control")</f>
        <v/>
      </c>
      <c r="K84" s="112" t="inlineStr">
        <is>
          <t>Asegurar el cumplimiento, control y resguardo continuo de los procesos de Uso de criptografía a fin de mitigar riesgos y mantener la alineación a los principios de confidencialidad, integridad y disponibilidad aplicables a este dominio.</t>
        </is>
      </c>
      <c r="L84" s="112" t="inlineStr">
        <is>
          <t>La organización deberá implementar, registrar y monitorear operativamente todos los protocolos relacionados a Uso de criptografía, estableciendo políticas técnicas correspondientes.</t>
        </is>
      </c>
    </row>
    <row r="85" ht="56.25" customHeight="1" s="106">
      <c r="A85" s="38">
        <f>'ANEXO A'!A85</f>
        <v/>
      </c>
      <c r="B85" s="38">
        <f>IFERROR(VLOOKUP(A85, 'ANEXO A'!$A$2:$L$94, 2, FALSE), "")</f>
        <v/>
      </c>
      <c r="C85" s="38">
        <f>IF(LEFT(A85,1)="5", "5. Organizacionales", IF(LEFT(A85,1)="6", "6. Personas", IF(LEFT(A85,1)="7", "7. Físicos", "8. Tecnológicos")))</f>
        <v/>
      </c>
      <c r="D85" s="38">
        <f>IFERROR(VLOOKUP(A85, 'ANEXO A'!$A$2:$L$94, 11, FALSE), "")</f>
        <v/>
      </c>
      <c r="E85" s="38">
        <f>IFERROR(VLOOKUP(A85, 'ANEXO A'!$A$2:$L$94, 8, FALSE), "")</f>
        <v/>
      </c>
      <c r="F85" s="38">
        <f>IFERROR(VLOOKUP(A85, 'ANEXO A'!$A$2:$L$94, 9, FALSE), "")</f>
        <v/>
      </c>
      <c r="G85" s="38">
        <f>IFERROR(VLOOKUP(A85, 'ANEXO A'!$A$2:$L$94, 10, FALSE), "")</f>
        <v/>
      </c>
      <c r="H85" s="38">
        <f>IFERROR(VLOOKUP(A85, 'ANEXO A'!$A$2:$L$94, 12, FALSE), "")</f>
        <v/>
      </c>
      <c r="I85" s="38" t="inlineStr">
        <is>
          <t>6.11 Cuentas Críticas (FiltraWeb): Bloqueo de sitios web maliciosos, redes no laborales y categorías de riesgo (GSO-GSI-MP-GSI).</t>
        </is>
      </c>
      <c r="J85" s="112">
        <f>"• Establecer lineamientos para " &amp; IFERROR(VLOOKUP(A85, 'ANEXO A'!$A$2:$L$94, 2, FALSE), "Este Control") &amp; CHAR(10) &amp; "• Definir roles para el control " &amp; A85 &amp; CHAR(10) &amp; "• Revisar efectividad de " &amp; IFERROR(VLOOKUP(A85, 'ANEXO A'!$A$2:$L$94, 2, FALSE), "Este Control")</f>
        <v/>
      </c>
      <c r="K85" s="112" t="inlineStr">
        <is>
          <t>Asegurar el cumplimiento, control y resguardo continuo de los procesos de Ciclo de vida del desarrollo seguro a fin de mitigar riesgos y mantener la alineación a los principios de confidencialidad, integridad y disponibilidad aplicables a este dominio.</t>
        </is>
      </c>
      <c r="L85" s="112" t="inlineStr">
        <is>
          <t>La organización deberá implementar, registrar y monitorear operativamente todos los protocolos relacionados a Ciclo de vida del desarrollo seguro, estableciendo políticas técnicas correspondientes.</t>
        </is>
      </c>
    </row>
    <row r="86" ht="67.5" customHeight="1" s="106">
      <c r="A86" s="38">
        <f>'ANEXO A'!A86</f>
        <v/>
      </c>
      <c r="B86" s="38">
        <f>IFERROR(VLOOKUP(A86, 'ANEXO A'!$A$2:$L$94, 2, FALSE), "")</f>
        <v/>
      </c>
      <c r="C86" s="38">
        <f>IF(LEFT(A86,1)="5", "5. Organizacionales", IF(LEFT(A86,1)="6", "6. Personas", IF(LEFT(A86,1)="7", "7. Físicos", "8. Tecnológicos")))</f>
        <v/>
      </c>
      <c r="D86" s="38">
        <f>IFERROR(VLOOKUP(A86, 'ANEXO A'!$A$2:$L$94, 11, FALSE), "")</f>
        <v/>
      </c>
      <c r="E86" s="38">
        <f>IFERROR(VLOOKUP(A86, 'ANEXO A'!$A$2:$L$94, 8, FALSE), "")</f>
        <v/>
      </c>
      <c r="F86" s="38">
        <f>IFERROR(VLOOKUP(A86, 'ANEXO A'!$A$2:$L$94, 9, FALSE), "")</f>
        <v/>
      </c>
      <c r="G86" s="38">
        <f>IFERROR(VLOOKUP(A86, 'ANEXO A'!$A$2:$L$94, 10, FALSE), "")</f>
        <v/>
      </c>
      <c r="H86" s="38">
        <f>IFERROR(VLOOKUP(A86, 'ANEXO A'!$A$2:$L$94, 12, FALSE), "")</f>
        <v/>
      </c>
      <c r="I86" s="38" t="inlineStr">
        <is>
          <t>Anexo 1 SEPS 002 (Gestión de software): Definición de requisitos de autenticación, transaccionalidad y cifrado en nuevas soluciones (SEPS-2022-002).</t>
        </is>
      </c>
      <c r="J86" s="112">
        <f>"• Establecer lineamientos para " &amp; IFERROR(VLOOKUP(A86, 'ANEXO A'!$A$2:$L$94, 2, FALSE), "Este Control") &amp; CHAR(10) &amp; "• Definir roles para el control " &amp; A86 &amp; CHAR(10) &amp; "• Revisar efectividad de " &amp; IFERROR(VLOOKUP(A86, 'ANEXO A'!$A$2:$L$94, 2, FALSE), "Este Control")</f>
        <v/>
      </c>
      <c r="K86" s="112" t="inlineStr">
        <is>
          <t>Asegurar el cumplimiento, control y resguardo continuo de los procesos de Requisitos de seguridad de las aplicaciones a fin de mitigar riesgos y mantener la alineación a los principios de confidencialidad, integridad y disponibilidad aplicables a este dominio.</t>
        </is>
      </c>
      <c r="L86" s="112" t="inlineStr">
        <is>
          <t>La organización deberá implementar, registrar y monitorear operativamente todos los protocolos relacionados a Requisitos de seguridad de las aplicaciones, estableciendo políticas técnicas correspondientes.</t>
        </is>
      </c>
    </row>
    <row r="87" ht="78.75" customHeight="1" s="106">
      <c r="A87" s="38">
        <f>'ANEXO A'!A87</f>
        <v/>
      </c>
      <c r="B87" s="38">
        <f>IFERROR(VLOOKUP(A87, 'ANEXO A'!$A$2:$L$94, 2, FALSE), "")</f>
        <v/>
      </c>
      <c r="C87" s="38">
        <f>IF(LEFT(A87,1)="5", "5. Organizacionales", IF(LEFT(A87,1)="6", "6. Personas", IF(LEFT(A87,1)="7", "7. Físicos", "8. Tecnológicos")))</f>
        <v/>
      </c>
      <c r="D87" s="38">
        <f>IFERROR(VLOOKUP(A87, 'ANEXO A'!$A$2:$L$94, 11, FALSE), "")</f>
        <v/>
      </c>
      <c r="E87" s="38">
        <f>IFERROR(VLOOKUP(A87, 'ANEXO A'!$A$2:$L$94, 8, FALSE), "")</f>
        <v/>
      </c>
      <c r="F87" s="38">
        <f>IFERROR(VLOOKUP(A87, 'ANEXO A'!$A$2:$L$94, 9, FALSE), "")</f>
        <v/>
      </c>
      <c r="G87" s="38">
        <f>IFERROR(VLOOKUP(A87, 'ANEXO A'!$A$2:$L$94, 10, FALSE), "")</f>
        <v/>
      </c>
      <c r="H87" s="38">
        <f>IFERROR(VLOOKUP(A87, 'ANEXO A'!$A$2:$L$94, 12, FALSE), "")</f>
        <v/>
      </c>
      <c r="I87" s="38" t="inlineStr">
        <is>
          <t>Anexo 1 SEPS 002 (Arquitectura Segura): Aplicación de principios de defensa en profundidad, zonas desmilitarizadas y segmentación (SEPS-2022-002).</t>
        </is>
      </c>
      <c r="J87" s="112">
        <f>"• Establecer lineamientos para " &amp; IFERROR(VLOOKUP(A87, 'ANEXO A'!$A$2:$L$94, 2, FALSE), "Este Control") &amp; CHAR(10) &amp; "• Definir roles para el control " &amp; A87 &amp; CHAR(10) &amp; "• Revisar efectividad de " &amp; IFERROR(VLOOKUP(A87, 'ANEXO A'!$A$2:$L$94, 2, FALSE), "Este Control")</f>
        <v/>
      </c>
      <c r="K87" s="112" t="inlineStr">
        <is>
          <t>Asegurar el cumplimiento, control y resguardo continuo de los procesos de Arquitectura de sistemas seguros y principios de ingeniería a fin de mitigar riesgos y mantener la alineación a los principios de confidencialidad, integridad y disponibilidad aplicables a este dominio.</t>
        </is>
      </c>
      <c r="L87" s="112" t="inlineStr">
        <is>
          <t>La organización deberá implementar, registrar y monitorear operativamente todos los protocolos relacionados a Arquitectura de sistemas seguros y principios de ingeniería, estableciendo políticas técnicas correspondientes.</t>
        </is>
      </c>
    </row>
    <row r="88" ht="56.25" customHeight="1" s="106">
      <c r="A88" s="38">
        <f>'ANEXO A'!A88</f>
        <v/>
      </c>
      <c r="B88" s="38">
        <f>IFERROR(VLOOKUP(A88, 'ANEXO A'!$A$2:$L$94, 2, FALSE), "")</f>
        <v/>
      </c>
      <c r="C88" s="38">
        <f>IF(LEFT(A88,1)="5", "5. Organizacionales", IF(LEFT(A88,1)="6", "6. Personas", IF(LEFT(A88,1)="7", "7. Físicos", "8. Tecnológicos")))</f>
        <v/>
      </c>
      <c r="D88" s="38">
        <f>IFERROR(VLOOKUP(A88, 'ANEXO A'!$A$2:$L$94, 11, FALSE), "")</f>
        <v/>
      </c>
      <c r="E88" s="38">
        <f>IFERROR(VLOOKUP(A88, 'ANEXO A'!$A$2:$L$94, 8, FALSE), "")</f>
        <v/>
      </c>
      <c r="F88" s="38">
        <f>IFERROR(VLOOKUP(A88, 'ANEXO A'!$A$2:$L$94, 9, FALSE), "")</f>
        <v/>
      </c>
      <c r="G88" s="38">
        <f>IFERROR(VLOOKUP(A88, 'ANEXO A'!$A$2:$L$94, 10, FALSE), "")</f>
        <v/>
      </c>
      <c r="H88" s="38">
        <f>IFERROR(VLOOKUP(A88, 'ANEXO A'!$A$2:$L$94, 12, FALSE), "")</f>
        <v/>
      </c>
      <c r="I88" s="38" t="inlineStr">
        <is>
          <t>Anexo 1 SEPS / OWASP: Implementación de buenas prácticas de programación para evitar inyecciones, XSS y fallos lógicos (SEPS-2022-002 / ISO 27002).</t>
        </is>
      </c>
      <c r="J88" s="112">
        <f>"• Establecer lineamientos para " &amp; IFERROR(VLOOKUP(A88, 'ANEXO A'!$A$2:$L$94, 2, FALSE), "Este Control") &amp; CHAR(10) &amp; "• Definir roles para el control " &amp; A88 &amp; CHAR(10) &amp; "• Revisar efectividad de " &amp; IFERROR(VLOOKUP(A88, 'ANEXO A'!$A$2:$L$94, 2, FALSE), "Este Control")</f>
        <v/>
      </c>
      <c r="K88" s="112" t="inlineStr">
        <is>
          <t>Asegurar el cumplimiento, control y resguardo continuo de los procesos de Codificación segura a fin de mitigar riesgos y mantener la alineación a los principios de confidencialidad, integridad y disponibilidad aplicables a este dominio.</t>
        </is>
      </c>
      <c r="L88" s="112" t="inlineStr">
        <is>
          <t>La organización deberá implementar, registrar y monitorear operativamente todos los protocolos relacionados a Codificación segura, estableciendo políticas técnicas correspondientes.</t>
        </is>
      </c>
    </row>
    <row r="89" ht="78.75" customHeight="1" s="106">
      <c r="A89" s="38">
        <f>'ANEXO A'!A89</f>
        <v/>
      </c>
      <c r="B89" s="38">
        <f>IFERROR(VLOOKUP(A89, 'ANEXO A'!$A$2:$L$94, 2, FALSE), "")</f>
        <v/>
      </c>
      <c r="C89" s="38">
        <f>IF(LEFT(A89,1)="5", "5. Organizacionales", IF(LEFT(A89,1)="6", "6. Personas", IF(LEFT(A89,1)="7", "7. Físicos", "8. Tecnológicos")))</f>
        <v/>
      </c>
      <c r="D89" s="38">
        <f>IFERROR(VLOOKUP(A89, 'ANEXO A'!$A$2:$L$94, 11, FALSE), "")</f>
        <v/>
      </c>
      <c r="E89" s="38">
        <f>IFERROR(VLOOKUP(A89, 'ANEXO A'!$A$2:$L$94, 8, FALSE), "")</f>
        <v/>
      </c>
      <c r="F89" s="38">
        <f>IFERROR(VLOOKUP(A89, 'ANEXO A'!$A$2:$L$94, 9, FALSE), "")</f>
        <v/>
      </c>
      <c r="G89" s="38">
        <f>IFERROR(VLOOKUP(A89, 'ANEXO A'!$A$2:$L$94, 10, FALSE), "")</f>
        <v/>
      </c>
      <c r="H89" s="38">
        <f>IFERROR(VLOOKUP(A89, 'ANEXO A'!$A$2:$L$94, 12, FALSE), "")</f>
        <v/>
      </c>
      <c r="I89" s="38" t="inlineStr">
        <is>
          <t>6.19 Escaneo / Anexo 1 SEPS: Ejecución de pruebas de vulnerabilidad, análisis estático y pruebas de aceptación previas a pase a producción (GSO-GSI-MP-GSI / SEPS-2022-002).</t>
        </is>
      </c>
      <c r="J89" s="112">
        <f>"• Establecer lineamientos para " &amp; IFERROR(VLOOKUP(A89, 'ANEXO A'!$A$2:$L$94, 2, FALSE), "Este Control") &amp; CHAR(10) &amp; "• Definir roles para el control " &amp; A89 &amp; CHAR(10) &amp; "• Revisar efectividad de " &amp; IFERROR(VLOOKUP(A89, 'ANEXO A'!$A$2:$L$94, 2, FALSE), "Este Control")</f>
        <v/>
      </c>
      <c r="K89" s="112" t="inlineStr">
        <is>
          <t>Asegurar el cumplimiento, control y resguardo continuo de los procesos de Pruebas de seguridad en el desarrollo y la aceptación a fin de mitigar riesgos y mantener la alineación a los principios de confidencialidad, integridad y disponibilidad aplicables a este dominio.</t>
        </is>
      </c>
      <c r="L89" s="112" t="inlineStr">
        <is>
          <t>La organización deberá implementar, registrar y monitorear operativamente todos los protocolos relacionados a Pruebas de seguridad en el desarrollo y la aceptación, estableciendo políticas técnicas correspondientes.</t>
        </is>
      </c>
    </row>
    <row r="90" ht="56.25" customHeight="1" s="106">
      <c r="A90" s="38">
        <f>'ANEXO A'!A90</f>
        <v/>
      </c>
      <c r="B90" s="38">
        <f>IFERROR(VLOOKUP(A90, 'ANEXO A'!$A$2:$L$94, 2, FALSE), "")</f>
        <v/>
      </c>
      <c r="C90" s="38">
        <f>IF(LEFT(A90,1)="5", "5. Organizacionales", IF(LEFT(A90,1)="6", "6. Personas", IF(LEFT(A90,1)="7", "7. Físicos", "8. Tecnológicos")))</f>
        <v/>
      </c>
      <c r="D90" s="38">
        <f>IFERROR(VLOOKUP(A90, 'ANEXO A'!$A$2:$L$94, 11, FALSE), "")</f>
        <v/>
      </c>
      <c r="E90" s="38">
        <f>IFERROR(VLOOKUP(A90, 'ANEXO A'!$A$2:$L$94, 8, FALSE), "")</f>
        <v/>
      </c>
      <c r="F90" s="38">
        <f>IFERROR(VLOOKUP(A90, 'ANEXO A'!$A$2:$L$94, 9, FALSE), "")</f>
        <v/>
      </c>
      <c r="G90" s="38">
        <f>IFERROR(VLOOKUP(A90, 'ANEXO A'!$A$2:$L$94, 10, FALSE), "")</f>
        <v/>
      </c>
      <c r="H90" s="38">
        <f>IFERROR(VLOOKUP(A90, 'ANEXO A'!$A$2:$L$94, 12, FALSE), "")</f>
        <v/>
      </c>
      <c r="I90" s="38" t="inlineStr">
        <is>
          <t>Anexo 1 SEPS / Disposición 2da: Exigir entrega de código probado, escaneos de seguridad y cumplimiento normativo a fábricas de software (SEPS-2022-002).</t>
        </is>
      </c>
      <c r="J90" s="112">
        <f>"• Establecer lineamientos para " &amp; IFERROR(VLOOKUP(A90, 'ANEXO A'!$A$2:$L$94, 2, FALSE), "Este Control") &amp; CHAR(10) &amp; "• Definir roles para el control " &amp; A90 &amp; CHAR(10) &amp; "• Revisar efectividad de " &amp; IFERROR(VLOOKUP(A90, 'ANEXO A'!$A$2:$L$94, 2, FALSE), "Este Control")</f>
        <v/>
      </c>
      <c r="K90" s="112" t="inlineStr">
        <is>
          <t>Asegurar el cumplimiento, control y resguardo continuo de los procesos de Desarrollo externalizado a fin de mitigar riesgos y mantener la alineación a los principios de confidencialidad, integridad y disponibilidad aplicables a este dominio.</t>
        </is>
      </c>
      <c r="L90" s="112" t="inlineStr">
        <is>
          <t>La organización deberá implementar, registrar y monitorear operativamente todos los protocolos relacionados a Desarrollo externalizado, estableciendo políticas técnicas correspondientes.</t>
        </is>
      </c>
    </row>
    <row r="91" ht="78.75" customHeight="1" s="106">
      <c r="A91" s="38">
        <f>'ANEXO A'!A91</f>
        <v/>
      </c>
      <c r="B91" s="38">
        <f>IFERROR(VLOOKUP(A91, 'ANEXO A'!$A$2:$L$94, 2, FALSE), "")</f>
        <v/>
      </c>
      <c r="C91" s="38">
        <f>IF(LEFT(A91,1)="5", "5. Organizacionales", IF(LEFT(A91,1)="6", "6. Personas", IF(LEFT(A91,1)="7", "7. Físicos", "8. Tecnológicos")))</f>
        <v/>
      </c>
      <c r="D91" s="38">
        <f>IFERROR(VLOOKUP(A91, 'ANEXO A'!$A$2:$L$94, 11, FALSE), "")</f>
        <v/>
      </c>
      <c r="E91" s="38">
        <f>IFERROR(VLOOKUP(A91, 'ANEXO A'!$A$2:$L$94, 8, FALSE), "")</f>
        <v/>
      </c>
      <c r="F91" s="38">
        <f>IFERROR(VLOOKUP(A91, 'ANEXO A'!$A$2:$L$94, 9, FALSE), "")</f>
        <v/>
      </c>
      <c r="G91" s="38">
        <f>IFERROR(VLOOKUP(A91, 'ANEXO A'!$A$2:$L$94, 10, FALSE), "")</f>
        <v/>
      </c>
      <c r="H91" s="38">
        <f>IFERROR(VLOOKUP(A91, 'ANEXO A'!$A$2:$L$94, 12, FALSE), "")</f>
        <v/>
      </c>
      <c r="I91" s="38" t="inlineStr">
        <is>
          <t>Anexo 1 SEPS (Desarrollo y Pruebas): Aislamiento estricto de ambientes de desarrollo, pruebas y producción sin uso de datos reales (SEPS-2022-002).</t>
        </is>
      </c>
      <c r="J91" s="112">
        <f>"• Establecer lineamientos para " &amp; IFERROR(VLOOKUP(A91, 'ANEXO A'!$A$2:$L$94, 2, FALSE), "Este Control") &amp; CHAR(10) &amp; "• Definir roles para el control " &amp; A91 &amp; CHAR(10) &amp; "• Revisar efectividad de " &amp; IFERROR(VLOOKUP(A91, 'ANEXO A'!$A$2:$L$94, 2, FALSE), "Este Control")</f>
        <v/>
      </c>
      <c r="K91" s="112" t="inlineStr">
        <is>
          <t>Asegurar el cumplimiento, control y resguardo continuo de los procesos de Separación de entornos de desarrollo, pruebas y producción a fin de mitigar riesgos y mantener la alineación a los principios de confidencialidad, integridad y disponibilidad aplicables a este dominio.</t>
        </is>
      </c>
      <c r="L91" s="112" t="inlineStr">
        <is>
          <t>La organización deberá implementar, registrar y monitorear operativamente todos los protocolos relacionados a Separación de entornos de desarrollo, pruebas y producción, estableciendo políticas técnicas correspondientes.</t>
        </is>
      </c>
    </row>
    <row r="92" ht="56.25" customHeight="1" s="106">
      <c r="A92" s="38">
        <f>'ANEXO A'!A92</f>
        <v/>
      </c>
      <c r="B92" s="38">
        <f>IFERROR(VLOOKUP(A92, 'ANEXO A'!$A$2:$L$94, 2, FALSE), "")</f>
        <v/>
      </c>
      <c r="C92" s="38">
        <f>IF(LEFT(A92,1)="5", "5. Organizacionales", IF(LEFT(A92,1)="6", "6. Personas", IF(LEFT(A92,1)="7", "7. Físicos", "8. Tecnológicos")))</f>
        <v/>
      </c>
      <c r="D92" s="38">
        <f>IFERROR(VLOOKUP(A92, 'ANEXO A'!$A$2:$L$94, 11, FALSE), "")</f>
        <v/>
      </c>
      <c r="E92" s="38">
        <f>IFERROR(VLOOKUP(A92, 'ANEXO A'!$A$2:$L$94, 8, FALSE), "")</f>
        <v/>
      </c>
      <c r="F92" s="38">
        <f>IFERROR(VLOOKUP(A92, 'ANEXO A'!$A$2:$L$94, 9, FALSE), "")</f>
        <v/>
      </c>
      <c r="G92" s="38">
        <f>IFERROR(VLOOKUP(A92, 'ANEXO A'!$A$2:$L$94, 10, FALSE), "")</f>
        <v/>
      </c>
      <c r="H92" s="38">
        <f>IFERROR(VLOOKUP(A92, 'ANEXO A'!$A$2:$L$94, 12, FALSE), "")</f>
        <v/>
      </c>
      <c r="I92" s="38" t="inlineStr">
        <is>
          <t>Anexo 1 SEPS (Gestión de Cambios): Procedimiento formal de solicitud, evaluación de impacto de seguridad, aprobación y rollback de cambios (SEPS-2022-002).</t>
        </is>
      </c>
      <c r="J92" s="112">
        <f>"• Establecer lineamientos para " &amp; IFERROR(VLOOKUP(A92, 'ANEXO A'!$A$2:$L$94, 2, FALSE), "Este Control") &amp; CHAR(10) &amp; "• Definir roles para el control " &amp; A92 &amp; CHAR(10) &amp; "• Revisar efectividad de " &amp; IFERROR(VLOOKUP(A92, 'ANEXO A'!$A$2:$L$94, 2, FALSE), "Este Control")</f>
        <v/>
      </c>
      <c r="K92" s="112" t="inlineStr">
        <is>
          <t>Asegurar el cumplimiento, control y resguardo continuo de los procesos de Gestión de cambios a fin de mitigar riesgos y mantener la alineación a los principios de confidencialidad, integridad y disponibilidad aplicables a este dominio.</t>
        </is>
      </c>
      <c r="L92" s="112" t="inlineStr">
        <is>
          <t>La organización deberá implementar, registrar y monitorear operativamente todos los protocolos relacionados a Gestión de cambios, estableciendo políticas técnicas correspondientes.</t>
        </is>
      </c>
    </row>
    <row r="93" ht="56.25" customHeight="1" s="106">
      <c r="A93" s="38">
        <f>'ANEXO A'!A93</f>
        <v/>
      </c>
      <c r="B93" s="38">
        <f>IFERROR(VLOOKUP(A93, 'ANEXO A'!$A$2:$L$94, 2, FALSE), "")</f>
        <v/>
      </c>
      <c r="C93" s="38">
        <f>IF(LEFT(A93,1)="5", "5. Organizacionales", IF(LEFT(A93,1)="6", "6. Personas", IF(LEFT(A93,1)="7", "7. Físicos", "8. Tecnológicos")))</f>
        <v/>
      </c>
      <c r="D93" s="38">
        <f>IFERROR(VLOOKUP(A93, 'ANEXO A'!$A$2:$L$94, 11, FALSE), "")</f>
        <v/>
      </c>
      <c r="E93" s="38">
        <f>IFERROR(VLOOKUP(A93, 'ANEXO A'!$A$2:$L$94, 8, FALSE), "")</f>
        <v/>
      </c>
      <c r="F93" s="38">
        <f>IFERROR(VLOOKUP(A93, 'ANEXO A'!$A$2:$L$94, 9, FALSE), "")</f>
        <v/>
      </c>
      <c r="G93" s="38">
        <f>IFERROR(VLOOKUP(A93, 'ANEXO A'!$A$2:$L$94, 10, FALSE), "")</f>
        <v/>
      </c>
      <c r="H93" s="38">
        <f>IFERROR(VLOOKUP(A93, 'ANEXO A'!$A$2:$L$94, 12, FALSE), "")</f>
        <v/>
      </c>
      <c r="I93" s="38" t="inlineStr">
        <is>
          <t>6.17 PCI DSS / Anexo 1 SEPS: Uso de datos ficticios, anonimizados u ofuscados para las pruebas de aplicaciones (GSO-GSI-MP-GSI / SEPS-2022-002).</t>
        </is>
      </c>
      <c r="J93" s="112">
        <f>"• Establecer lineamientos para " &amp; IFERROR(VLOOKUP(A93, 'ANEXO A'!$A$2:$L$94, 2, FALSE), "Este Control") &amp; CHAR(10) &amp; "• Definir roles para el control " &amp; A93 &amp; CHAR(10) &amp; "• Revisar efectividad de " &amp; IFERROR(VLOOKUP(A93, 'ANEXO A'!$A$2:$L$94, 2, FALSE), "Este Control")</f>
        <v/>
      </c>
      <c r="K93" s="112" t="inlineStr">
        <is>
          <t>Asegurar el cumplimiento, control y resguardo continuo de los procesos de Información de prueba a fin de mitigar riesgos y mantener la alineación a los principios de confidencialidad, integridad y disponibilidad aplicables a este dominio.</t>
        </is>
      </c>
      <c r="L93" s="112" t="inlineStr">
        <is>
          <t>La organización deberá implementar, registrar y monitorear operativamente todos los protocolos relacionados a Información de prueba, estableciendo políticas técnicas correspondientes.</t>
        </is>
      </c>
    </row>
    <row r="94" ht="90" customHeight="1" s="106">
      <c r="A94" s="38">
        <f>'ANEXO A'!A94</f>
        <v/>
      </c>
      <c r="B94" s="38">
        <f>IFERROR(VLOOKUP(A94, 'ANEXO A'!$A$2:$L$94, 2, FALSE), "")</f>
        <v/>
      </c>
      <c r="C94" s="38">
        <f>IF(LEFT(A94,1)="5", "5. Organizacionales", IF(LEFT(A94,1)="6", "6. Personas", IF(LEFT(A94,1)="7", "7. Físicos", "8. Tecnológicos")))</f>
        <v/>
      </c>
      <c r="D94" s="38">
        <f>IFERROR(VLOOKUP(A94, 'ANEXO A'!$A$2:$L$94, 11, FALSE), "")</f>
        <v/>
      </c>
      <c r="E94" s="38">
        <f>IFERROR(VLOOKUP(A94, 'ANEXO A'!$A$2:$L$94, 8, FALSE), "")</f>
        <v/>
      </c>
      <c r="F94" s="38">
        <f>IFERROR(VLOOKUP(A94, 'ANEXO A'!$A$2:$L$94, 9, FALSE), "")</f>
        <v/>
      </c>
      <c r="G94" s="38">
        <f>IFERROR(VLOOKUP(A94, 'ANEXO A'!$A$2:$L$94, 10, FALSE), "")</f>
        <v/>
      </c>
      <c r="H94" s="38">
        <f>IFERROR(VLOOKUP(A94, 'ANEXO A'!$A$2:$L$94, 12, FALSE), "")</f>
        <v/>
      </c>
      <c r="I94" s="38" t="inlineStr">
        <is>
          <t>6.19 Escaneo (Pol. 1): Realización de pruebas intrusivas y de auditoría en horarios no laborables y con autorización previa (GSO-GSI-MP-GSI).</t>
        </is>
      </c>
      <c r="J94" s="112">
        <f>"• Establecer lineamientos para " &amp; IFERROR(VLOOKUP(A94, 'ANEXO A'!$A$2:$L$94, 2, FALSE), "Este Control") &amp; CHAR(10) &amp; "• Definir roles para el control " &amp; A94 &amp; CHAR(10) &amp; "• Revisar efectividad de " &amp; IFERROR(VLOOKUP(A94, 'ANEXO A'!$A$2:$L$94, 2, FALSE), "Este Control")</f>
        <v/>
      </c>
      <c r="K94" s="112" t="inlineStr">
        <is>
          <t>Asegurar el cumplimiento, control y resguardo continuo de los procesos de Protección de los sistemas de información durante las pruebas de auditoría a fin de mitigar riesgos y mantener la alineación a los principios de confidencialidad, integridad y disponibilidad aplicables a este dominio.</t>
        </is>
      </c>
      <c r="L94" s="112" t="inlineStr">
        <is>
          <t>La organización deberá implementar, registrar y monitorear operativamente todos los protocolos relacionados a Protección de los sistemas de información durante las pruebas de auditoría, estableciendo políticas técnicas correspondientes.</t>
        </is>
      </c>
    </row>
  </sheetData>
  <autoFilter ref="A1:L94"/>
  <pageMargins left="0.75" right="0.75" top="1" bottom="1" header="0.5" footer="0.5"/>
</worksheet>
</file>

<file path=xl/worksheets/sheet14.xml><?xml version="1.0" encoding="utf-8"?>
<worksheet xmlns="http://schemas.openxmlformats.org/spreadsheetml/2006/main">
  <sheetPr>
    <outlinePr summaryBelow="1" summaryRight="1"/>
    <pageSetUpPr/>
  </sheetPr>
  <dimension ref="B2:F23"/>
  <sheetViews>
    <sheetView workbookViewId="0">
      <selection activeCell="E6" sqref="E6"/>
    </sheetView>
  </sheetViews>
  <sheetFormatPr baseColWidth="10" defaultColWidth="9.33203125" defaultRowHeight="11.25"/>
  <cols>
    <col width="23.83203125" customWidth="1" style="106" min="2" max="2"/>
    <col width="16.33203125" customWidth="1" style="106" min="3" max="3"/>
    <col width="26.33203125" customWidth="1" style="106" min="5" max="5"/>
  </cols>
  <sheetData>
    <row r="2" ht="18" customHeight="1" s="106">
      <c r="B2" s="96" t="inlineStr">
        <is>
          <t>RESUMEN EJECUTIVO DEL INVENTARIO DE ACTIVOS</t>
        </is>
      </c>
    </row>
    <row r="4" ht="45" customHeight="1" s="106">
      <c r="B4" s="95" t="inlineStr">
        <is>
          <t>Distribución por Criticidad</t>
        </is>
      </c>
      <c r="C4" s="95" t="inlineStr">
        <is>
          <t>Cantidad</t>
        </is>
      </c>
      <c r="E4" s="95" t="inlineStr">
        <is>
          <t>Distribución por Tipo de Activo</t>
        </is>
      </c>
      <c r="F4" s="95" t="inlineStr">
        <is>
          <t>Cantidad</t>
        </is>
      </c>
    </row>
    <row r="5" ht="22.5" customHeight="1" s="106">
      <c r="B5" s="38" t="inlineStr">
        <is>
          <t>ALTA</t>
        </is>
      </c>
      <c r="C5" s="38">
        <f>COUNTIF(INVENTARIO!$T$3:$T$2000, "*ALTA*")</f>
        <v/>
      </c>
      <c r="E5" s="38" t="inlineStr">
        <is>
          <t>PRIMARIOS</t>
        </is>
      </c>
      <c r="F5" s="38">
        <f>COUNTIF(INVENTARIO!$N$3:$N$2000, "PRIMARIOS")</f>
        <v/>
      </c>
    </row>
    <row r="6">
      <c r="B6" s="38" t="inlineStr">
        <is>
          <t>MEDIA</t>
        </is>
      </c>
      <c r="C6" s="38">
        <f>COUNTIF(INVENTARIO!$T$3:$T$2000, "*MEDIA*")</f>
        <v/>
      </c>
      <c r="E6" s="38" t="inlineStr">
        <is>
          <t>APOYO</t>
        </is>
      </c>
      <c r="F6" s="38">
        <f>COUNTIF(INVENTARIO!$N$3:$N$2000, "APOYO")</f>
        <v/>
      </c>
    </row>
    <row r="7">
      <c r="B7" s="38" t="inlineStr">
        <is>
          <t>BAJA</t>
        </is>
      </c>
      <c r="C7" s="38">
        <f>COUNTIF(INVENTARIO!$T$3:$T$2000, "*BAJA*")</f>
        <v/>
      </c>
    </row>
    <row r="8">
      <c r="B8" s="38" t="inlineStr">
        <is>
          <t>CRÍTICO</t>
        </is>
      </c>
      <c r="C8" s="38">
        <f>COUNTIF(INVENTARIO!$T$3:$T$2000, "*CRÍTICO*")</f>
        <v/>
      </c>
    </row>
    <row r="10" ht="22.5" customHeight="1" s="106">
      <c r="B10" s="95" t="inlineStr">
        <is>
          <t>Distribución por Categoría</t>
        </is>
      </c>
      <c r="C10" s="95" t="inlineStr">
        <is>
          <t>Cantidad</t>
        </is>
      </c>
      <c r="E10" s="109" t="inlineStr">
        <is>
          <t>Distribución por Acceso</t>
        </is>
      </c>
      <c r="F10" s="109" t="inlineStr">
        <is>
          <t>Cantidad</t>
        </is>
      </c>
    </row>
    <row r="11">
      <c r="B11" s="38" t="inlineStr">
        <is>
          <t>COMUNICACIÓN INTERNA</t>
        </is>
      </c>
      <c r="C11" s="38">
        <f>COUNTIF(INVENTARIO!$O$3:$O$2000, "COMUNICACIÓN INTERNA")</f>
        <v/>
      </c>
      <c r="E11" s="114" t="inlineStr">
        <is>
          <t>Con Acceso Externo (SI)</t>
        </is>
      </c>
      <c r="F11" s="114">
        <f>COUNTIF(INVENTARIO!$U$3:$U$2000, "SI")</f>
        <v/>
      </c>
    </row>
    <row r="12" ht="22.5" customHeight="1" s="106">
      <c r="B12" s="38" t="inlineStr">
        <is>
          <t>CONVENIOS Y CONTRATOS</t>
        </is>
      </c>
      <c r="C12" s="38">
        <f>COUNTIF(INVENTARIO!$O$3:$O$2000, "CONVENIOS Y CONTRATOS")</f>
        <v/>
      </c>
      <c r="E12" s="114" t="inlineStr">
        <is>
          <t>Acceso Interno (NO)</t>
        </is>
      </c>
      <c r="F12" s="114">
        <f>COUNTIF(INVENTARIO!$U$3:$U$2000, "NO")</f>
        <v/>
      </c>
    </row>
    <row r="13" ht="22.5" customHeight="1" s="106">
      <c r="B13" s="38" t="inlineStr">
        <is>
          <t>DOCUMENTOS HABILITANTES</t>
        </is>
      </c>
      <c r="C13" s="38">
        <f>COUNTIF(INVENTARIO!$O$3:$O$2000, "DOCUMENTOS HABILITANTES")</f>
        <v/>
      </c>
      <c r="E13" s="114" t="inlineStr">
        <is>
          <t>No Aplica (-)</t>
        </is>
      </c>
      <c r="F13" s="114">
        <f>COUNTIF(INVENTARIO!$U$3:$U$2000, "-")</f>
        <v/>
      </c>
    </row>
    <row r="14" ht="45" customHeight="1" s="106">
      <c r="B14" s="38" t="inlineStr">
        <is>
          <t>DOCUMENTOS TÉCNICOS</t>
        </is>
      </c>
      <c r="C14" s="38">
        <f>COUNTIF(INVENTARIO!$O$3:$O$2000, "DOCUMENTOS TÉCNICOS")</f>
        <v/>
      </c>
    </row>
    <row r="15" ht="22.5" customHeight="1" s="106">
      <c r="B15" s="38" t="inlineStr">
        <is>
          <t>HARDWARE</t>
        </is>
      </c>
      <c r="C15" s="38">
        <f>COUNTIF(INVENTARIO!$O$3:$O$2000, "HARDWARE")</f>
        <v/>
      </c>
    </row>
    <row r="16" ht="56.25" customHeight="1" s="106">
      <c r="B16" s="38" t="inlineStr">
        <is>
          <t>INFORMACIÓN DE SOCIOS Y CLIENTES</t>
        </is>
      </c>
      <c r="C16" s="38">
        <f>COUNTIF(INVENTARIO!$O$3:$O$2000, "INFORMACIÓN DE SOCIOS Y CLIENTES")</f>
        <v/>
      </c>
    </row>
    <row r="17" ht="45" customHeight="1" s="106">
      <c r="B17" s="38" t="inlineStr">
        <is>
          <t>INFORMACIÓN DE TERCEROS</t>
        </is>
      </c>
      <c r="C17" s="38">
        <f>COUNTIF(INVENTARIO!$O$3:$O$2000, "INFORMACIÓN DE TERCEROS")</f>
        <v/>
      </c>
    </row>
    <row r="18" ht="33.75" customHeight="1" s="106">
      <c r="B18" s="38" t="inlineStr">
        <is>
          <t>NORMATIVA INTERNA</t>
        </is>
      </c>
      <c r="C18" s="38">
        <f>COUNTIF(INVENTARIO!$O$3:$O$2000, "NORMATIVA INTERNA")</f>
        <v/>
      </c>
    </row>
    <row r="19">
      <c r="B19" s="38" t="inlineStr">
        <is>
          <t>OTROS</t>
        </is>
      </c>
      <c r="C19" s="38">
        <f>COUNTIF(INVENTARIO!$O$3:$O$2000, "OTROS")</f>
        <v/>
      </c>
    </row>
    <row r="20" ht="22.5" customHeight="1" s="106">
      <c r="B20" s="38" t="inlineStr">
        <is>
          <t>RECURSO HUMANO</t>
        </is>
      </c>
      <c r="C20" s="38">
        <f>COUNTIF(INVENTARIO!$O$3:$O$2000, "RECURSO HUMANO")</f>
        <v/>
      </c>
    </row>
    <row r="21">
      <c r="B21" s="38" t="inlineStr">
        <is>
          <t>REDES</t>
        </is>
      </c>
      <c r="C21" s="38">
        <f>COUNTIF(INVENTARIO!$O$3:$O$2000, "REDES")</f>
        <v/>
      </c>
    </row>
    <row r="22" ht="22.5" customHeight="1" s="106">
      <c r="B22" s="38" t="inlineStr">
        <is>
          <t>SERVICIOS</t>
        </is>
      </c>
      <c r="C22" s="38">
        <f>COUNTIF(INVENTARIO!$O$3:$O$2000, "SERVICIOS")</f>
        <v/>
      </c>
    </row>
    <row r="23" ht="22.5" customHeight="1" s="106">
      <c r="B23" s="38" t="inlineStr">
        <is>
          <t>SOFTWARE</t>
        </is>
      </c>
      <c r="C23" s="38">
        <f>COUNTIF(INVENTARIO!$O$3:$O$2000, "SOFTWARE")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2026-09-03T16:46:07Z</dcterms:modified>
  <cp:lastModifiedBy>SEGURIDAD DE LA INFORMACION</cp:lastModifiedBy>
  <cp:lastPrinted>2025-09-10T17:26:07Z</cp:lastPrinted>
</cp:coreProperties>
</file>