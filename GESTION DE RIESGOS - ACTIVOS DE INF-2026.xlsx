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600" firstSheet="2" activeTab="3"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Motor de Análisis" sheetId="12" state="visible" r:id="rId12"/>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(SoA)'!$A$1:$M$94</definedName>
    <definedName name="_xlnm._FilterDatabase" localSheetId="11" hidden="1">'Motor de Análisis'!$A$1:$C$1</definedName>
  </definedNames>
  <calcPr calcId="191029" fullCalcOnLoad="1"/>
  <pivotCaches>
    <pivotCache cacheId="0" r:id="rId13"/>
    <pivotCache cacheId="1" r:id="rId14"/>
  </pivotCaches>
</workbook>
</file>

<file path=xl/styles.xml><?xml version="1.0" encoding="utf-8"?>
<styleSheet xmlns="http://schemas.openxmlformats.org/spreadsheetml/2006/main">
  <numFmts count="0"/>
  <fonts count="9">
    <font>
      <name val="Arial"/>
      <family val="2"/>
      <color theme="1"/>
      <sz val="8"/>
    </font>
    <font>
      <name val="Arial"/>
      <family val="2"/>
      <b val="1"/>
      <color theme="1"/>
      <sz val="8"/>
    </font>
    <font>
      <name val="Arial"/>
      <family val="2"/>
      <b val="1"/>
      <color rgb="FF000000"/>
      <sz val="8"/>
    </font>
    <font>
      <name val="Arial"/>
      <family val="2"/>
      <color rgb="FF000000"/>
      <sz val="8"/>
    </font>
    <font>
      <name val="Arial"/>
      <family val="2"/>
      <sz val="8"/>
    </font>
    <font>
      <name val="Calibri"/>
      <family val="2"/>
      <color theme="1"/>
      <sz val="11"/>
      <scheme val="minor"/>
    </font>
    <font>
      <name val="Arial"/>
      <family val="2"/>
      <color theme="1"/>
      <sz val="8"/>
    </font>
    <font>
      <name val="Arial"/>
      <family val="2"/>
      <b val="1"/>
      <color theme="0"/>
      <sz val="8"/>
    </font>
    <font>
      <b val="1"/>
      <color rgb="00FFFFFF"/>
    </font>
  </fonts>
  <fills count="16">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6" fillId="0" borderId="0"/>
    <xf numFmtId="0" fontId="5" fillId="0" borderId="0"/>
    <xf numFmtId="9" fontId="6" fillId="0" borderId="0"/>
  </cellStyleXfs>
  <cellXfs count="101">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7"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7" fillId="13" borderId="10" applyAlignment="1" pivotButton="0" quotePrefix="0" xfId="0">
      <alignment horizontal="center" vertical="center" wrapText="1"/>
    </xf>
    <xf numFmtId="0" fontId="7"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1" fillId="8" borderId="2" applyAlignment="1" pivotButton="0" quotePrefix="0" xfId="0">
      <alignment horizontal="center" wrapText="1"/>
    </xf>
    <xf numFmtId="0" fontId="1" fillId="8" borderId="3" applyAlignment="1" pivotButton="0" quotePrefix="0" xfId="0">
      <alignment horizontal="center" wrapText="1"/>
    </xf>
    <xf numFmtId="0" fontId="1" fillId="8" borderId="4" applyAlignment="1" pivotButton="0" quotePrefix="0" xfId="0">
      <alignment horizontal="center" wrapText="1"/>
    </xf>
    <xf numFmtId="0" fontId="0" fillId="0" borderId="0" applyAlignment="1" pivotButton="0" quotePrefix="0" xfId="0">
      <alignment horizontal="center"/>
    </xf>
    <xf numFmtId="0" fontId="1" fillId="0" borderId="1" applyAlignment="1" pivotButton="0" quotePrefix="0" xfId="0">
      <alignment horizontal="center"/>
    </xf>
    <xf numFmtId="0" fontId="1" fillId="0" borderId="6" applyAlignment="1" pivotButton="0" quotePrefix="0" xfId="0">
      <alignment horizontal="center"/>
    </xf>
    <xf numFmtId="0" fontId="1" fillId="0" borderId="1" applyAlignment="1" pivotButton="0" quotePrefix="0" xfId="0">
      <alignment horizontal="center" vertical="center"/>
    </xf>
    <xf numFmtId="0" fontId="1" fillId="10" borderId="1" applyAlignment="1" pivotButton="0" quotePrefix="0" xfId="0">
      <alignment horizontal="center" wrapText="1"/>
    </xf>
    <xf numFmtId="0" fontId="0" fillId="0" borderId="3" pivotButton="0" quotePrefix="0" xfId="0"/>
    <xf numFmtId="0" fontId="0" fillId="0" borderId="6" pivotButton="0" quotePrefix="0" xfId="0"/>
    <xf numFmtId="0" fontId="8" fillId="15" borderId="0" applyAlignment="1" pivotButton="0" quotePrefix="0" xfId="0">
      <alignment horizontal="center" vertical="center" wrapText="1"/>
    </xf>
    <xf numFmtId="0" fontId="8" fillId="15" borderId="0" applyAlignment="1" pivotButton="0" quotePrefix="0" xfId="0">
      <alignment horizontal="center" vertical="center"/>
    </xf>
    <xf numFmtId="10" fontId="0" fillId="0" borderId="0" pivotButton="0" quotePrefix="0" xfId="0"/>
  </cellXfs>
  <cellStyles count="3">
    <cellStyle name="Normal" xfId="0" builtinId="0"/>
    <cellStyle name="Normal 2" xfId="1"/>
    <cellStyle name="Porcentaje" xfId="2" builtinId="5"/>
  </cellStyles>
  <dxfs count="80">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fill>
        <patternFill patternType="solid">
          <fgColor rgb="0000FF00"/>
          <bgColor rgb="0000FF00"/>
        </patternFill>
      </fill>
    </dxf>
    <dxf>
      <fill>
        <patternFill patternType="solid">
          <fgColor rgb="00FFFF00"/>
          <bgColor rgb="00FFFF00"/>
        </patternFill>
      </fill>
    </dxf>
    <dxf>
      <fill>
        <patternFill patternType="solid">
          <fgColor rgb="00FF0000"/>
          <bgColor rgb="00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[GESTION DE RIESGOS - ACTIVOS DE INF-2026.xlsx]INDICADORES!TablaDinámica5</name>
    <fmtId val="0"/>
  </pivotSource>
  <chart>
    <pivotFmts>
      <pivotFmt>
        <idx val="0"/>
        <spPr>
          <a:solidFill>
            <a:schemeClr val="accent1"/>
          </a:solidFill>
          <a:ln>
            <a:noFill/>
            <a:prstDash val="solid"/>
          </a:ln>
          <scene3d>
            <camera prst="orthographicFront"/>
            <lightRig rig="brightRoom" dir="t"/>
          </scene3d>
          <a:sp3d prstMaterial="flat">
            <bevelT w="50800" h="101600" prst="angle"/>
            <contourClr rgb="00000000"/>
          </a:sp3d>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scene3d>
            <camera prst="orthographicFront"/>
            <lightRig rig="brightRoom" dir="t"/>
          </scene3d>
          <a:sp3d prstMaterial="flat">
            <bevelT w="50800" h="101600" prst="angle"/>
            <contourClr rgb="00000000"/>
          </a:sp3d>
        </spPr>
      </pivotFmt>
      <pivotFmt>
        <idx val="2"/>
        <spPr>
          <a:solidFill>
            <a:schemeClr val="accent4"/>
          </a:solidFill>
          <a:ln>
            <a:noFill/>
            <a:prstDash val="solid"/>
          </a:ln>
          <scene3d>
            <camera prst="orthographicFront"/>
            <lightRig rig="brightRoom" dir="t"/>
          </scene3d>
          <a:sp3d prstMaterial="flat">
            <bevelT w="50800" h="101600" prst="angle"/>
            <contourClr rgb="00000000"/>
          </a:sp3d>
        </spPr>
      </pivotFmt>
      <pivotFmt>
        <idx val="3"/>
        <spPr>
          <a:solidFill>
            <a:schemeClr val="accent6">
              <a:lumMod val="75000"/>
            </a:schemeClr>
          </a:solidFill>
          <a:ln>
            <a:noFill/>
            <a:prstDash val="solid"/>
          </a:ln>
          <scene3d>
            <camera prst="orthographicFront"/>
            <lightRig rig="brightRoom" dir="t"/>
          </scene3d>
          <a:sp3d prstMaterial="flat">
            <bevelT w="50800" h="101600" prst="angle"/>
            <contourClr rgb="00000000"/>
          </a:sp3d>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scene3d>
                <camera prst="orthographicFront"/>
                <lightRig rig="brightRoom" dir="t"/>
              </scene3d>
              <a:sp3d prstMaterial="flat">
                <bevelT w="50800" h="101600" prst="angle"/>
                <contourClr rgb="00000000"/>
              </a:sp3d>
            </spPr>
          </dPt>
          <dPt>
            <idx val="1"/>
            <bubble3D val="0"/>
            <spPr>
              <a:solidFill>
                <a:schemeClr val="accent4"/>
              </a:solidFill>
              <a:ln>
                <a:noFill/>
                <a:prstDash val="solid"/>
              </a:ln>
              <scene3d>
                <camera prst="orthographicFront"/>
                <lightRig rig="brightRoom" dir="t"/>
              </scene3d>
              <a:sp3d prstMaterial="flat">
                <bevelT w="50800" h="101600" prst="angle"/>
                <contourClr rgb="00000000"/>
              </a:sp3d>
            </spPr>
          </dPt>
          <dPt>
            <idx val="2"/>
            <bubble3D val="0"/>
            <spPr>
              <a:solidFill>
                <a:schemeClr val="accent6">
                  <a:lumMod val="75000"/>
                </a:schemeClr>
              </a:solidFill>
              <a:ln>
                <a:noFill/>
                <a:prstDash val="solid"/>
              </a:ln>
              <scene3d>
                <camera prst="orthographicFront"/>
                <lightRig rig="brightRoom" dir="t"/>
              </scene3d>
              <a:sp3d prstMaterial="flat">
                <bevelT w="50800" h="101600" prst="angle"/>
                <contourClr rgb="00000000"/>
              </a:sp3d>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[GESTION DE RIESGOS - ACTIVOS DE INF-2026.xlsx]INDICADORES!TablaDinámica6</name>
    <fmtId val="2"/>
  </pivotSource>
  <chart>
    <pivotFmts>
      <pivotFmt>
        <idx val="0"/>
        <spPr>
          <a:solidFill>
            <a:schemeClr val="accent1"/>
          </a:solidFill>
          <a:ln>
            <a:noFill/>
            <a:prstDash val="solid"/>
          </a:ln>
          <scene3d>
            <camera prst="orthographicFront"/>
            <lightRig rig="brightRoom" dir="t"/>
          </scene3d>
          <a:sp3d prstMaterial="flat">
            <bevelT w="50800" h="101600" prst="angle"/>
            <contourClr rgb="00000000"/>
          </a:sp3d>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scene3d>
            <camera prst="orthographicFront"/>
            <lightRig rig="brightRoom" dir="t"/>
          </scene3d>
          <a:sp3d prstMaterial="flat">
            <bevelT w="50800" h="101600" prst="angle"/>
            <contourClr rgb="00000000"/>
          </a:sp3d>
        </spPr>
      </pivotFmt>
      <pivotFmt>
        <idx val="2"/>
        <spPr>
          <a:solidFill>
            <a:schemeClr val="accent1"/>
          </a:solidFill>
          <a:ln>
            <a:noFill/>
            <a:prstDash val="solid"/>
          </a:ln>
          <scene3d>
            <camera prst="orthographicFront"/>
            <lightRig rig="brightRoom" dir="t"/>
          </scene3d>
          <a:sp3d prstMaterial="flat">
            <bevelT w="50800" h="101600" prst="angle"/>
            <contourClr rgb="00000000"/>
          </a:sp3d>
        </spPr>
      </pivotFmt>
      <pivotFmt>
        <idx val="3"/>
        <spPr>
          <a:solidFill>
            <a:schemeClr val="accent1"/>
          </a:solidFill>
          <a:ln>
            <a:noFill/>
            <a:prstDash val="solid"/>
          </a:ln>
          <scene3d>
            <camera prst="orthographicFront"/>
            <lightRig rig="brightRoom" dir="t"/>
          </scene3d>
          <a:sp3d prstMaterial="flat">
            <bevelT w="50800" h="101600" prst="angle"/>
            <contourClr rgb="00000000"/>
          </a:sp3d>
        </spPr>
      </pivotFmt>
      <pivotFmt>
        <idx val="4"/>
        <spPr>
          <a:solidFill>
            <a:schemeClr val="accent1"/>
          </a:solidFill>
          <a:ln>
            <a:noFill/>
            <a:prstDash val="solid"/>
          </a:ln>
          <scene3d>
            <camera prst="orthographicFront"/>
            <lightRig rig="brightRoom" dir="t"/>
          </scene3d>
          <a:sp3d prstMaterial="flat">
            <bevelT w="50800" h="101600" prst="angle"/>
            <contourClr rgb="00000000"/>
          </a:sp3d>
        </spPr>
      </pivotFmt>
      <pivotFmt>
        <idx val="5"/>
        <spPr>
          <a:solidFill>
            <a:schemeClr val="accent1"/>
          </a:solidFill>
          <a:ln>
            <a:noFill/>
            <a:prstDash val="solid"/>
          </a:ln>
          <scene3d>
            <camera prst="orthographicFront"/>
            <lightRig rig="brightRoom" dir="t"/>
          </scene3d>
          <a:sp3d prstMaterial="flat">
            <bevelT w="50800" h="101600" prst="angle"/>
            <contourClr rgb="00000000"/>
          </a:sp3d>
        </spPr>
      </pivotFmt>
      <pivotFmt>
        <idx val="6"/>
        <spPr>
          <a:solidFill>
            <a:schemeClr val="accent1"/>
          </a:solidFill>
          <a:ln>
            <a:noFill/>
            <a:prstDash val="solid"/>
          </a:ln>
          <scene3d>
            <camera prst="orthographicFront"/>
            <lightRig rig="brightRoom" dir="t"/>
          </scene3d>
          <a:sp3d prstMaterial="flat">
            <bevelT w="50800" h="101600" prst="angle"/>
            <contourClr rgb="00000000"/>
          </a:sp3d>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scene3d>
                <camera prst="orthographicFront"/>
                <lightRig rig="brightRoom" dir="t"/>
              </scene3d>
              <a:sp3d prstMaterial="flat">
                <bevelT w="50800" h="101600" prst="angle"/>
                <contourClr rgb="00000000"/>
              </a:sp3d>
            </spPr>
          </dPt>
          <dPt>
            <idx val="1"/>
            <bubble3D val="0"/>
            <spPr>
              <a:solidFill>
                <a:schemeClr val="accent2"/>
              </a:solidFill>
              <a:ln>
                <a:noFill/>
                <a:prstDash val="solid"/>
              </a:ln>
              <scene3d>
                <camera prst="orthographicFront"/>
                <lightRig rig="brightRoom" dir="t"/>
              </scene3d>
              <a:sp3d prstMaterial="flat">
                <bevelT w="50800" h="101600" prst="angle"/>
                <contourClr rgb="00000000"/>
              </a:sp3d>
            </spPr>
          </dPt>
          <dPt>
            <idx val="2"/>
            <bubble3D val="0"/>
            <spPr>
              <a:solidFill>
                <a:schemeClr val="accent3"/>
              </a:solidFill>
              <a:ln>
                <a:noFill/>
                <a:prstDash val="solid"/>
              </a:ln>
              <scene3d>
                <camera prst="orthographicFront"/>
                <lightRig rig="brightRoom" dir="t"/>
              </scene3d>
              <a:sp3d prstMaterial="flat">
                <bevelT w="50800" h="101600" prst="angle"/>
                <contourClr rgb="00000000"/>
              </a:sp3d>
            </spPr>
          </dPt>
          <dPt>
            <idx val="3"/>
            <bubble3D val="0"/>
            <spPr>
              <a:solidFill>
                <a:schemeClr val="accent4"/>
              </a:solidFill>
              <a:ln>
                <a:noFill/>
                <a:prstDash val="solid"/>
              </a:ln>
              <scene3d>
                <camera prst="orthographicFront"/>
                <lightRig rig="brightRoom" dir="t"/>
              </scene3d>
              <a:sp3d prstMaterial="flat">
                <bevelT w="50800" h="101600" prst="angle"/>
                <contourClr rgb="00000000"/>
              </a:sp3d>
            </spPr>
          </dPt>
          <dPt>
            <idx val="4"/>
            <bubble3D val="0"/>
            <spPr>
              <a:solidFill>
                <a:schemeClr val="accent5"/>
              </a:solidFill>
              <a:ln>
                <a:noFill/>
                <a:prstDash val="solid"/>
              </a:ln>
              <scene3d>
                <camera prst="orthographicFront"/>
                <lightRig rig="brightRoom" dir="t"/>
              </scene3d>
              <a:sp3d prstMaterial="flat">
                <bevelT w="50800" h="101600" prst="angle"/>
                <contourClr rgb="00000000"/>
              </a:sp3d>
            </spPr>
          </dPt>
          <dPt>
            <idx val="5"/>
            <bubble3D val="0"/>
            <spPr>
              <a:solidFill>
                <a:schemeClr val="accent6"/>
              </a:solidFill>
              <a:ln>
                <a:noFill/>
                <a:prstDash val="solid"/>
              </a:ln>
              <scene3d>
                <camera prst="orthographicFront"/>
                <lightRig rig="brightRoom" dir="t"/>
              </scene3d>
              <a:sp3d prstMaterial="flat">
                <bevelT w="50800" h="101600" prst="angle"/>
                <contourClr rgb="00000000"/>
              </a:sp3d>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[GESTION DE RIESGOS - ACTIVOS DE INF-2026.xlsx]INDICADORES!TablaDinámica7</name>
    <fmtId val="37"/>
  </pivotSource>
  <chart>
    <pivotFmts>
      <pivotFmt>
        <idx val="0"/>
        <spPr>
          <a:solidFill>
            <a:schemeClr val="accent1"/>
          </a:solidFill>
          <a:ln>
            <a:noFill/>
            <a:prstDash val="solid"/>
          </a:ln>
          <scene3d>
            <camera prst="orthographicFront"/>
            <lightRig rig="brightRoom" dir="t"/>
          </scene3d>
          <a:sp3d prstMaterial="flat">
            <bevelT w="50800" h="101600" prst="angle"/>
            <contourClr rgb="00000000"/>
          </a:sp3d>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scene3d>
            <camera prst="orthographicFront"/>
            <lightRig rig="brightRoom" dir="t"/>
          </scene3d>
          <a:sp3d prstMaterial="flat">
            <bevelT w="50800" h="101600" prst="angle"/>
            <contourClr rgb="00000000"/>
          </a:sp3d>
        </spPr>
      </pivotFmt>
      <pivotFmt>
        <idx val="2"/>
        <spPr>
          <a:solidFill>
            <a:schemeClr val="accent1"/>
          </a:solidFill>
          <a:ln>
            <a:noFill/>
            <a:prstDash val="solid"/>
          </a:ln>
          <scene3d>
            <camera prst="orthographicFront"/>
            <lightRig rig="brightRoom" dir="t"/>
          </scene3d>
          <a:sp3d prstMaterial="flat">
            <bevelT w="50800" h="101600" prst="angle"/>
            <contourClr rgb="00000000"/>
          </a:sp3d>
        </spPr>
      </pivotFmt>
      <pivotFmt>
        <idx val="3"/>
        <spPr>
          <a:solidFill>
            <a:schemeClr val="accent1"/>
          </a:solidFill>
          <a:ln>
            <a:noFill/>
            <a:prstDash val="solid"/>
          </a:ln>
          <scene3d>
            <camera prst="orthographicFront"/>
            <lightRig rig="brightRoom" dir="t"/>
          </scene3d>
          <a:sp3d prstMaterial="flat">
            <bevelT w="50800" h="101600" prst="angle"/>
            <contourClr rgb="00000000"/>
          </a:sp3d>
        </spPr>
      </pivotFmt>
      <pivotFmt>
        <idx val="4"/>
        <spPr>
          <a:solidFill>
            <a:schemeClr val="accent1"/>
          </a:solidFill>
          <a:ln>
            <a:noFill/>
            <a:prstDash val="solid"/>
          </a:ln>
          <scene3d>
            <camera prst="orthographicFront"/>
            <lightRig rig="brightRoom" dir="t"/>
          </scene3d>
          <a:sp3d prstMaterial="flat">
            <bevelT w="50800" h="101600" prst="angle"/>
            <contourClr rgb="00000000"/>
          </a:sp3d>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scene3d>
                <camera prst="orthographicFront"/>
                <lightRig rig="brightRoom" dir="t"/>
              </scene3d>
              <a:sp3d prstMaterial="flat">
                <bevelT w="50800" h="101600" prst="angle"/>
                <contourClr rgb="00000000"/>
              </a:sp3d>
            </spPr>
          </dPt>
          <dPt>
            <idx val="1"/>
            <bubble3D val="0"/>
            <spPr>
              <a:solidFill>
                <a:schemeClr val="accent2"/>
              </a:solidFill>
              <a:ln>
                <a:noFill/>
                <a:prstDash val="solid"/>
              </a:ln>
              <scene3d>
                <camera prst="orthographicFront"/>
                <lightRig rig="brightRoom" dir="t"/>
              </scene3d>
              <a:sp3d prstMaterial="flat">
                <bevelT w="50800" h="101600" prst="angle"/>
                <contourClr rgb="00000000"/>
              </a:sp3d>
            </spPr>
          </dPt>
          <dPt>
            <idx val="2"/>
            <bubble3D val="0"/>
            <spPr>
              <a:solidFill>
                <a:schemeClr val="accent3"/>
              </a:solidFill>
              <a:ln>
                <a:noFill/>
                <a:prstDash val="solid"/>
              </a:ln>
              <scene3d>
                <camera prst="orthographicFront"/>
                <lightRig rig="brightRoom" dir="t"/>
              </scene3d>
              <a:sp3d prstMaterial="flat">
                <bevelT w="50800" h="101600" prst="angle"/>
                <contourClr rgb="00000000"/>
              </a:sp3d>
            </spPr>
          </dPt>
          <dPt>
            <idx val="3"/>
            <bubble3D val="0"/>
            <spPr>
              <a:solidFill>
                <a:schemeClr val="accent4"/>
              </a:solidFill>
              <a:ln>
                <a:noFill/>
                <a:prstDash val="solid"/>
              </a:ln>
              <scene3d>
                <camera prst="orthographicFront"/>
                <lightRig rig="brightRoom" dir="t"/>
              </scene3d>
              <a:sp3d prstMaterial="flat">
                <bevelT w="50800" h="101600" prst="angle"/>
                <contourClr rgb="00000000"/>
              </a:sp3d>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[GESTION DE RIESGOS - ACTIVOS DE INF-2026.xlsx]INDICADORES!TablaDinámica8</name>
    <fmtId val="46"/>
  </pivotSource>
  <chart>
    <pivotFmts>
      <pivotFmt>
        <idx val="0"/>
        <spPr>
          <a:solidFill>
            <a:schemeClr val="accent1"/>
          </a:solidFill>
          <a:ln>
            <a:noFill/>
            <a:prstDash val="solid"/>
          </a:ln>
          <scene3d>
            <camera prst="orthographicFront"/>
            <lightRig rig="brightRoom" dir="t"/>
          </scene3d>
          <a:sp3d prstMaterial="flat">
            <bevelT w="50800" h="101600" prst="angle"/>
            <contourClr rgb="00000000"/>
          </a:sp3d>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scene3d>
            <camera prst="orthographicFront"/>
            <lightRig rig="brightRoom" dir="t"/>
          </scene3d>
          <a:sp3d prstMaterial="flat">
            <bevelT w="50800" h="101600" prst="angle"/>
            <contourClr rgb="00000000"/>
          </a:sp3d>
        </spPr>
      </pivotFmt>
      <pivotFmt>
        <idx val="2"/>
        <spPr>
          <a:solidFill>
            <a:schemeClr val="accent1"/>
          </a:solidFill>
          <a:ln>
            <a:noFill/>
            <a:prstDash val="solid"/>
          </a:ln>
          <scene3d>
            <camera prst="orthographicFront"/>
            <lightRig rig="brightRoom" dir="t"/>
          </scene3d>
          <a:sp3d prstMaterial="flat">
            <bevelT w="50800" h="101600" prst="angle"/>
            <contourClr rgb="00000000"/>
          </a:sp3d>
        </spPr>
      </pivotFmt>
      <pivotFmt>
        <idx val="3"/>
        <spPr>
          <a:solidFill>
            <a:schemeClr val="accent1"/>
          </a:solidFill>
          <a:ln>
            <a:noFill/>
            <a:prstDash val="solid"/>
          </a:ln>
          <scene3d>
            <camera prst="orthographicFront"/>
            <lightRig rig="brightRoom" dir="t"/>
          </scene3d>
          <a:sp3d prstMaterial="flat">
            <bevelT w="50800" h="101600" prst="angle"/>
            <contourClr rgb="00000000"/>
          </a:sp3d>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scene3d>
                <camera prst="orthographicFront"/>
                <lightRig rig="brightRoom" dir="t"/>
              </scene3d>
              <a:sp3d prstMaterial="flat">
                <bevelT w="50800" h="101600" prst="angle"/>
                <contourClr rgb="00000000"/>
              </a:sp3d>
            </spPr>
          </dPt>
          <dPt>
            <idx val="1"/>
            <bubble3D val="0"/>
            <spPr>
              <a:solidFill>
                <a:schemeClr val="accent2"/>
              </a:solidFill>
              <a:ln>
                <a:noFill/>
                <a:prstDash val="solid"/>
              </a:ln>
              <scene3d>
                <camera prst="orthographicFront"/>
                <lightRig rig="brightRoom" dir="t"/>
              </scene3d>
              <a:sp3d prstMaterial="flat">
                <bevelT w="50800" h="101600" prst="angle"/>
                <contourClr rgb="00000000"/>
              </a:sp3d>
            </spPr>
          </dPt>
          <dPt>
            <idx val="2"/>
            <bubble3D val="0"/>
            <spPr>
              <a:solidFill>
                <a:schemeClr val="accent3"/>
              </a:solidFill>
              <a:ln>
                <a:noFill/>
                <a:prstDash val="solid"/>
              </a:ln>
              <scene3d>
                <camera prst="orthographicFront"/>
                <lightRig rig="brightRoom" dir="t"/>
              </scene3d>
              <a:sp3d prstMaterial="flat">
                <bevelT w="50800" h="101600" prst="angle"/>
                <contourClr rgb="00000000"/>
              </a:sp3d>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2">
      <pivotArea type="normal" dataOnly="1" outline="1" collapsedLevelsAreSubtotals="1" fieldPosition="0">
        <references count="2">
          <reference field="4"/>
          <reference field="13" selected="0">
            <x v="0"/>
          </reference>
        </references>
      </pivotArea>
    </format>
    <format action="formatting" dxfId="11">
      <pivotArea type="normal" dataOnly="1" outline="1" collapsedLevelsAreSubtotals="1" fieldPosition="0">
        <references count="2">
          <reference field="4"/>
          <reference field="13" selected="0">
            <x v="1"/>
          </reference>
        </references>
      </pivotArea>
    </format>
    <format action="formatting" dxfId="10">
      <pivotArea type="normal" dataOnly="1" outline="1" collapsedLevelsAreSubtotals="1" fieldPosition="0">
        <references count="2">
          <reference field="4"/>
          <reference field="13" selected="0">
            <x v="2"/>
          </reference>
        </references>
      </pivotArea>
    </format>
    <format action="formatting" dxfId="9">
      <pivotArea type="normal" dataOnly="1" outline="1" collapsedLevelsAreSubtotals="1" fieldPosition="0">
        <references count="2">
          <reference field="4"/>
          <reference field="13" selected="0">
            <x v="3"/>
          </reference>
        </references>
      </pivotArea>
    </format>
    <format action="formatting" dxfId="8">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6"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9"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7">
      <pivotArea type="normal" dataOnly="1" outline="1" collapsedLevelsAreSubtotals="1" fieldPosition="0">
        <references count="2">
          <reference field="4"/>
          <reference field="22" selected="0">
            <x v="0"/>
          </reference>
        </references>
      </pivotArea>
    </format>
    <format action="formatting" dxfId="6">
      <pivotArea type="normal" dataOnly="1" outline="1" collapsedLevelsAreSubtotals="1" fieldPosition="0">
        <references count="2">
          <reference field="4"/>
          <reference field="22" selected="0">
            <x v="1"/>
          </reference>
        </references>
      </pivotArea>
    </format>
    <format action="formatting" dxfId="5">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7"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8"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45" headerRowBorderDxfId="44" tableBorderDxfId="43" totalsRowBorderDxfId="42">
  <autoFilter ref="A2:X1406"/>
  <tableColumns count="24">
    <tableColumn id="1" name="ID" dataDxfId="41"/>
    <tableColumn id="2" name="TIPO DE PROCESO" dataDxfId="40"/>
    <tableColumn id="3" name="TIPO DE MACROPROCESO" dataDxfId="39"/>
    <tableColumn id="4" name="CODIGO MACROPROCESO" dataDxfId="38"/>
    <tableColumn id="5" name="PROCESO" dataDxfId="37"/>
    <tableColumn id="6" name="SUBPROCESO" dataDxfId="36"/>
    <tableColumn id="7" name="PROCEDIMIENTO" dataDxfId="35"/>
    <tableColumn id="8" name="NOMBRE" dataDxfId="34"/>
    <tableColumn id="9" name="DESCRIPCIÓN" dataDxfId="33"/>
    <tableColumn id="10" name="RESPONSABLE" dataDxfId="32"/>
    <tableColumn id="11" name="CUSTODIO" dataDxfId="31"/>
    <tableColumn id="12" name="UBICACIÓN" dataDxfId="30"/>
    <tableColumn id="13" name="MEDIO DE CONSERVACIÓN" dataDxfId="29"/>
    <tableColumn id="14" name="TIPO DE ACTIVO" dataDxfId="28"/>
    <tableColumn id="15" name="CATEGORÍA" dataDxfId="27"/>
    <tableColumn id="16" name="CONFIDENCIALIDAD" dataDxfId="26"/>
    <tableColumn id="17" name="INTEGRIDAD" dataDxfId="25"/>
    <tableColumn id="18" name="DISPONIBILIDAD" dataDxfId="24"/>
    <tableColumn id="19" name="VALORACION" dataDxfId="23">
      <calculatedColumnFormula>+(IF(P3="PUBLICA(1)",1,IF(P3="USO INTERNO(2)",2,IF(P3="RESTRINGIDO(3)",3,3))))+(IF(Q3="BAJA(1)",1,IF(Q3="MEDIA(2)",2,IF(Q3="ALTA(3)",3,3))))+(IF(R3="BAJA(1)",1,IF(R3="MEDIA(2)",2,IF(R3="ALTA(3)",3,3))))</calculatedColumnFormula>
    </tableColumn>
    <tableColumn id="20" name="CRITICIDAD" dataDxfId="22">
      <calculatedColumnFormula>+IF(S3&lt;6,"BAJA",IF(S3&lt;8,"MEDIA","ALTA"))</calculatedColumnFormula>
    </tableColumn>
    <tableColumn id="21" name="ACCESO EXTERNO" dataDxfId="21"/>
    <tableColumn id="22" name="FECHA DE REGISTRO" dataDxfId="20"/>
    <tableColumn id="23" name="FECHA DE SALIDA" dataDxfId="19"/>
    <tableColumn id="24" name="RIESGO EVALUADO" dataDxfId="18">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76" dataDxfId="74" headerRowBorderDxfId="75" tableBorderDxfId="73" totalsRowBorderDxfId="72">
  <autoFilter ref="A2:Z211">
    <filterColumn colId="21" hiddenButton="0" showButton="1">
      <filters>
        <filter val="ALTO"/>
      </filters>
    </filterColumn>
  </autoFilter>
  <tableColumns count="26">
    <tableColumn id="1" name="ACTIVO" dataDxfId="71"/>
    <tableColumn id="2" name="NOMBRE" dataDxfId="70"/>
    <tableColumn id="3" name="DESCRIPCION" dataDxfId="69"/>
    <tableColumn id="5" name="TIPO DE ACTIVO MAGGERIT" dataDxfId="68"/>
    <tableColumn id="6" name="EVENTO DE AMENAZA" dataDxfId="67"/>
    <tableColumn id="7" name="CID" dataDxfId="66"/>
    <tableColumn id="23" name="CONFIDENCIALIDAD" dataDxfId="65"/>
    <tableColumn id="22" name="INTEGRIDAD" dataDxfId="64"/>
    <tableColumn id="21" name="DISPONIBILIDAD" dataDxfId="63"/>
    <tableColumn id="8" name="PROBABILIDAD" dataDxfId="62"/>
    <tableColumn id="9" name="IMPACTO" dataDxfId="61"/>
    <tableColumn id="10" name="RIESGO INHERENTE" dataDxfId="60">
      <calculatedColumnFormula>+J3*K3</calculatedColumnFormula>
    </tableColumn>
    <tableColumn id="11" name="DETERMINACION RIESGO ACUMULADO O INHERENTE" dataDxfId="59"/>
    <tableColumn id="12" name="CONTROLES EXISTENTES" dataDxfId="58"/>
    <tableColumn id="13" name="TIPO DE PROTECCION" dataDxfId="57"/>
    <tableColumn id="14" name="MADUREZ DEL CONTROL" dataDxfId="56"/>
    <tableColumn id="15" name="VALOR DE EFICACIA" dataDxfId="55"/>
    <tableColumn id="16" name="VULNERABILIDADES" dataDxfId="54"/>
    <tableColumn id="17" name="PROBABILIDAD RESIDUAL" dataDxfId="53"/>
    <tableColumn id="18" name="IMPACTO RESIDUAL" dataDxfId="52"/>
    <tableColumn id="19" name="RIESGO RESIDUAL" dataDxfId="51"/>
    <tableColumn id="20" name="DETERMINACION RIESGO RESIDUAL" dataDxfId="50"/>
    <tableColumn id="27" name="APETITO DE RIESGO" dataDxfId="49"/>
    <tableColumn id="24" name="REQUIERE TRATAMIENTO_x000a_NORMATIVA SEPS 002-2022" dataDxfId="48"/>
    <tableColumn id="25" name="PLAN DE ACCION" dataDxfId="47"/>
    <tableColumn id="26" name="DESCIPCION PLAN DE ACCIÓN" dataDxfId="46"/>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17" tableBorderDxfId="16">
  <autoFilter ref="A1:D7"/>
  <tableColumns count="4">
    <tableColumn id="1" name="PLAN DE ACCION" dataDxfId="15"/>
    <tableColumn id="2" name="DESCIPCION PLAN DE ACCIÓN" dataDxfId="0"/>
    <tableColumn id="4" name="RESPONSABLE" dataDxfId="14"/>
    <tableColumn id="5" name="PLAZO" dataDxfId="13"/>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4">
  <autoFilter ref="A1:B11"/>
  <tableColumns count="2">
    <tableColumn id="1" name="TIPO DE ACTIVO" dataDxfId="3"/>
    <tableColumn id="2" name="DESCRIPCION" dataDxfId="2"/>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X1" workbookViewId="0">
      <selection activeCell="M19" sqref="M19"/>
    </sheetView>
  </sheetViews>
  <sheetFormatPr baseColWidth="10" defaultRowHeight="10.2"/>
  <cols>
    <col hidden="1" width="19.140625" customWidth="1" min="2" max="2"/>
    <col hidden="1" width="26" customWidth="1" min="3" max="3"/>
    <col hidden="1" width="26.140625" customWidth="1" min="4" max="4"/>
    <col hidden="1" width="41.7109375" customWidth="1" min="5" max="5"/>
    <col hidden="1" width="15.28515625" customWidth="1" min="6" max="6"/>
    <col hidden="1" width="31" customWidth="1" min="7" max="7"/>
    <col width="40.28515625" customWidth="1" min="8" max="8"/>
    <col width="44.7109375" customWidth="1" min="9" max="9"/>
    <col hidden="1" width="16.140625" customWidth="1" min="10" max="10"/>
    <col hidden="1" width="19.28515625" customWidth="1" min="11" max="11"/>
    <col width="18.5703125" customWidth="1" min="12" max="12"/>
    <col width="26.28515625" customWidth="1" min="13" max="13"/>
    <col width="17.7109375" customWidth="1" min="14" max="14"/>
    <col width="33.28515625" bestFit="1" customWidth="1" min="15" max="15"/>
    <col width="20.42578125" customWidth="1" min="16" max="16"/>
    <col width="13.85546875" customWidth="1" min="17" max="17"/>
    <col width="17.28515625" customWidth="1" min="18" max="18"/>
    <col width="15.28515625" customWidth="1" min="19" max="19"/>
    <col width="13.42578125" customWidth="1" min="20" max="20"/>
    <col width="19.28515625" customWidth="1" min="21" max="21"/>
    <col width="21.140625" customWidth="1" min="22" max="22"/>
    <col width="19" customWidth="1" min="23" max="23"/>
    <col width="27.85546875" customWidth="1" min="24" max="24"/>
  </cols>
  <sheetData>
    <row r="1">
      <c r="A1" s="26" t="n"/>
      <c r="B1" s="26" t="inlineStr">
        <is>
          <t>PROCESO/PROCEDIMIENTO</t>
        </is>
      </c>
      <c r="C1" s="96" t="n"/>
      <c r="D1" s="96" t="n"/>
      <c r="E1" s="96" t="n"/>
      <c r="F1" s="96" t="n"/>
      <c r="G1" s="18" t="n"/>
      <c r="H1" s="26" t="n"/>
      <c r="I1" s="26" t="n"/>
      <c r="J1" s="26" t="n"/>
      <c r="K1" s="26" t="n"/>
      <c r="L1" s="26" t="n"/>
      <c r="M1" s="26" t="n"/>
      <c r="N1" s="27" t="n"/>
      <c r="O1" s="26" t="n"/>
      <c r="P1" s="26" t="inlineStr">
        <is>
          <t>CLASIFICACIÓN</t>
        </is>
      </c>
      <c r="Q1" s="96" t="n"/>
      <c r="R1" s="18" t="n"/>
      <c r="S1" s="26" t="inlineStr">
        <is>
          <t>CRITICIDAD</t>
        </is>
      </c>
      <c r="T1" s="18" t="n"/>
      <c r="U1" s="26" t="n"/>
      <c r="V1" s="26" t="n"/>
      <c r="W1" s="26" t="n"/>
    </row>
    <row r="2">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18"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31">
        <f>+IFERROR(IF(VLOOKUP(Tabla2[[#This Row],[ID]],'EVALUACION DE RIESGO'!A:A,1,FALSE)=Tabla2[[#This Row],[ID]],"SI","NO"),"NO")</f>
        <v/>
      </c>
    </row>
    <row r="4">
      <c r="A4" s="18"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18"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18"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18"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18"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18"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18"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18"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18"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18"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18"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18"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18"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18"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18"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18"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18"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18"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18"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18"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18"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18"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18"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18"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18"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18"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18"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18"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18"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18"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18"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18"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18"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18"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18"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18"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18"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18"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18"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18"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18"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18"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18"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18"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18"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18"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18"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18"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18"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18"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18"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18"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18"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18"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18"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18"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18"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18"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18"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18"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18"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18"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18"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18"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18"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18"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18"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18"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18"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0.8" customHeight="1">
      <c r="A73" s="18"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18"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18"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18"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18"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18"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18"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18"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18"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18"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18"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18"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18"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18"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18"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18"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18"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18"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18"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18"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18"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18"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18"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18"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18"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18"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18"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18"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18"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18"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18"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18"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18"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18"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18"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18"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18"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18"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18"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18"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18"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18"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18"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18"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18"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18"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18"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18"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18"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18"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18"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18"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18"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18"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18"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18"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18"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18"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18"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18"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18"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18"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18"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18"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18"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18"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18"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18"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18"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18"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18"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18"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18"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18"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18"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18"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18"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18"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18"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18"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18"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18"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18"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18"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18"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18"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18"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18"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18"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18"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18"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18"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18"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18"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18"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18"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18"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18"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18"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18"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18"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18"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18"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18"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18"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18"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18"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18"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18"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18"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18"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18"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18"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18"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18"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18"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18"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18"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18"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18"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18"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18"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18"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18"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18"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18"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18"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18"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18"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18"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18"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18"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18"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18"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18"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18"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18"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18"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18"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18"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18"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18"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18"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18"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18"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18"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18"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18"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18"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18"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18"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18"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18"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18"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18"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18"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18"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18"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18"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18"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18"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18"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18"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18"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18"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18"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18"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18"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18"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18"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18"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18"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18"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18"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18"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18"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18"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18"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18"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18"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18"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18"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18"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18"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18"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18"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18"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18"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18"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18"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18"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 customHeight="1">
      <c r="A264" s="18"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18"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18"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18"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18"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 customHeight="1">
      <c r="A269" s="18"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18"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18"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18"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 customHeight="1">
      <c r="A273" s="18"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18"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18"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18"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18"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18"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18"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 customHeight="1">
      <c r="A280" s="18"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 customHeight="1">
      <c r="A281" s="18"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18"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c r="A283" s="18"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18"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c r="A285" s="18"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c r="A286" s="18"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 customHeight="1">
      <c r="A287" s="18"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18"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18"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18"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18"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18"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 customHeight="1">
      <c r="A293" s="18"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18"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18"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18"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18"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18"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18"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18"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18"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18"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18"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18"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18"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18"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18"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18"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18"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18"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18"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18"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18"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18"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18"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18"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18"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18"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18"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18"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18"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18"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18"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18"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18"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18"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18"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 customHeight="1">
      <c r="A328" s="18"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18"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 customHeight="1">
      <c r="A330" s="18"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18"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18"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18"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18"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 customHeight="1">
      <c r="A335" s="18"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18"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18"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 customHeight="1">
      <c r="A338" s="18"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18"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18"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 customHeight="1">
      <c r="A341" s="18"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 customHeight="1">
      <c r="A342" s="18"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18"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 customHeight="1">
      <c r="A344" s="18"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18"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18"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18"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18"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18"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18"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18"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18"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18"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18"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18"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18"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18"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18"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18"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18"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18"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18"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18"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18"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18"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18"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18"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18"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18"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18"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18"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18"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18"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18"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18"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18"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18"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18"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18"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18"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18"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18"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18"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18"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18"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18"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18"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18"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18"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18"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18"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18"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18"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18"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18"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18"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18"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18"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18"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18"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18"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18"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18"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18"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18"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18"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18"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18"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18"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18"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18"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18"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18"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18"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18"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18"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18"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18"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18"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18"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18"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18"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18"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18"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18"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18"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18"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18"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18"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18"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18"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18"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18"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18"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18"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18"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c r="A437" s="18"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18"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18"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18"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18"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18"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18"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18"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18"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c r="A446" s="18"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18"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18"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18"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18"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18"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18"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18"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c r="A454" s="18"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18"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18"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18"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18"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18"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18"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18"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18"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18"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18"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c r="A465" s="18"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18"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18"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18"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18"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18"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18"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18"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18"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18"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18"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18"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18"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18"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18"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18"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18"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18"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18"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18"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18"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18"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18"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18"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18"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18"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18"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18"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18"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18"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18"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18"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18"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18"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18"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18"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18"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18"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18"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18"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18"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18"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18"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18"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18"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18"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18"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18"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18"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18"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18"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18"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18"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18"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18"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18"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18"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18"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18"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18"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18"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18"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18"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18"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18"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18"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18"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18"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18"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18"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18"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18"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18"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18"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 customHeight="1">
      <c r="A539" s="18"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18"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18"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18"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c r="A543" s="18"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18"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18"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0.8" customHeight="1">
      <c r="A546" s="18"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 customHeight="1">
      <c r="A547" s="18"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18"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18"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c r="A550" s="18"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18"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18"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18"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18"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18"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18"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18"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 customHeight="1">
      <c r="A558" s="18"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18"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18"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18"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18"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18"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18"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18"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18"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18"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18"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18"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18"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18"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18"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18"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18"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18"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18"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18"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18"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18"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18"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18"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18"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18"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18"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18"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18"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18"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18"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18"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18"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18"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18"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18"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18"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18"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18"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18"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18"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18"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18"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18"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18"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18"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18"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18"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18"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18"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18"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18"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18"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18"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18"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18"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18"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18"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18"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18"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18"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18"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18"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18"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18"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18"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18"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18"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18"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18"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18"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18"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18"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18"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18"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18"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18"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18"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18"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18"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18"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18"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18"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18"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18"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18"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18"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18"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18"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18"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18"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18"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18"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18"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18"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18"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18"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18"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18"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18"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18"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18"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18"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18"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18"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18"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18"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18"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18"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18"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18"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18"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18"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18"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18"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18"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18"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18"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18"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18"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18"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18"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18"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18"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18"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18"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18"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18"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18"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18"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18"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18"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18"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18"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18"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18"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18"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18"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18"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18"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18"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18"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18"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18"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18"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18"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18"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18"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18"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18"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18"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18"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18"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18"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18"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18"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18"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18"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18"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18"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18"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18"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18"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18"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18"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 customHeight="1">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18"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18"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18"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18"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18"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18"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18"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18"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18"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18"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18"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18"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18"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18"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18"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18"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18"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18"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18"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18"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18"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18"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18"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18"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18"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18"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18"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18"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18"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18"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18"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18"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18"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18"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18"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18"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18"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18"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18"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18"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18"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 customHeight="1">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 customHeight="1">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 customHeight="1">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 customHeight="1">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 customHeight="1">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 customHeight="1">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18"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 customHeight="1">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 customHeight="1">
      <c r="A781" s="18"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18"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 customHeight="1">
      <c r="A783" s="18"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 customHeight="1">
      <c r="A784" s="18"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18"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18"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18"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 customHeight="1">
      <c r="A788" s="18"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 customHeight="1">
      <c r="A789" s="18"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 customHeight="1">
      <c r="A790" s="18"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 customHeight="1">
      <c r="A791" s="18"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 customHeight="1">
      <c r="A792" s="18"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 customHeight="1">
      <c r="A793" s="18"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 customHeight="1">
      <c r="A794" s="18"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 customHeight="1">
      <c r="A795" s="18"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 customHeight="1">
      <c r="A796" s="18"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c r="A797" s="18"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18"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18"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18"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18"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18"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18"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18"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18"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18"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18"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18"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18"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18"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18"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18"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18"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18"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18"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18"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18"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0.8" customHeight="1">
      <c r="A818" s="18"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c r="A819" s="18"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2" customHeight="1">
      <c r="A820" s="18"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 customHeight="1">
      <c r="A821" s="18"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c r="A822" s="18"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 customHeight="1">
      <c r="A823" s="18"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18"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18"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18"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18"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18"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18"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18"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18"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18"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18"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18"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18"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18"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18"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18"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18"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18"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18"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18"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18"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18"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18"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18"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18"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18"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18"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18"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18"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18"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18"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18"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18"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18"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18"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18"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18"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18"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18"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18"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18"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18"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18"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18"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18"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18"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18"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18"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18"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18"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18"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18"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18"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18"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18"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18"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18"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18"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18"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18"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18"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18"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18"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18"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18"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18"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18"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18"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18"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18"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18"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18"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18"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18"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18"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18"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18"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18"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18"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18"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18"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18"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18"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18"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18"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18"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18"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18"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18"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18"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18"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18"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18"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18"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18"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18"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18"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18"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18"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18"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18"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18"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18"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18"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18"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18"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18"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18"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 customHeight="1">
      <c r="A931" s="18"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c r="A932" s="18"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18"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18"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18"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18"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18"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18"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18"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18"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18"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18"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18"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18"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18"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18"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18"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18"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18"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18"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18"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18"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18"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18"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18"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18"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18"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18"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18"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18"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18"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18"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18"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18"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18"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18"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18"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18"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18"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 customHeight="1">
      <c r="A970" s="18"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18"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18"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18"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18"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18"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18"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18"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18"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18"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18"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18"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18"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18"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18"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18"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18"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18"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18"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18"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18"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18"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18"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18"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18"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18"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18"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18"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18"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18"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18"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18"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18"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18"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18"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18"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18"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18"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18"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18"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18"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18"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18"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18"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18"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18"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18"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18"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18"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18"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18"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18"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18"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18"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18"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18"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18"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18"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18"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18"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18"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18"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18"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18"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18"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18"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18"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18"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18"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18"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18"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18"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18"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18"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18"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18"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18"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18"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18"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18"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18"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18"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18"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18"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18"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18"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18"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18"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18"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18"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18"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18"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18"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18"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18"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18"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18"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18"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18"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18"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18"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18"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18"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18"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18"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18"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18"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18"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18"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18"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18"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18"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18"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18"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18"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18"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18"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18"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18"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18"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18"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18"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18"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18"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18"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18"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18"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18"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18"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18"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18"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18"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18"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18"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18"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18"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18"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18"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18"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18"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18"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18"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18"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18"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18"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18"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18"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18"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18"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18"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18"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18"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18"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18"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18"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18"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18"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18"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18"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18"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18"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18"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18"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18"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18"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18"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18"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18"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18"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18"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18"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18"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18"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18"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18"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18"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18"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18"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18"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18"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18"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18"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18"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18"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18"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18"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18"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18"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18"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18"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18"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18"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18"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18"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18"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18"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18"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18"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18"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18"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18"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18"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18"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18"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18"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18"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18"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18"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18"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18"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18"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18"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18"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18"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18"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18"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18"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18"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18"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18"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18"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18"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18"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18"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18"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18"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18"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18"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18"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18"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18"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18"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18"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18"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18"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18"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18"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18"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18"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18"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18"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18"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18"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18"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18"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18"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18"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18"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18"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18"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18"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18"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18"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18"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18"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18"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18"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18"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18"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18"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18"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18"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18"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18"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18"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18"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18"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18"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18"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18"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18"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18"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18"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18"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18"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18"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18"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18"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18"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18"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18"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18"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18"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18"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18"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18"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18"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18"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18"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18"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18"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18"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18"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18"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18"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18"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18"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18"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18"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18"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18"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18"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18"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18"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18"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18"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18"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18"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18"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18"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18"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18"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18"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18"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18"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18"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18"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18"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18"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18"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18"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18"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18"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18"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18"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18"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18"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18"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18"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18"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18"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18"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18"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18"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18"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18"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18"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18"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18"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18"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18"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18"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18"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18"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18"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18"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18"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18"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18"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18"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18"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18"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18"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18"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18"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18"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18"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18"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18"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18"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18"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18"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18"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18"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18"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18"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18"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18"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18"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18"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18"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18"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18"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18"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18"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18"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18"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18"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18"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18"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18"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c r="A1351" s="18"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18"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18"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18"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18"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18"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18"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18"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18"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18"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18"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18"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18"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18"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18"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18"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18"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18"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18"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18"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18"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18"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18"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18"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18"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18"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18"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18"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18"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18"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18"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18"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18"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18"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18"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18"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18"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18"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18"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18"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18"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18"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18"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18"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18"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 customHeight="1">
      <c r="A1396" s="18"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18"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18"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18"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18"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18"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18"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18"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18"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18"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0.2"/>
  <cols>
    <col width="29" bestFit="1" customWidth="1" min="1" max="1"/>
    <col width="16.42578125" customWidth="1" min="2" max="2"/>
    <col width="20.85546875" customWidth="1" min="3" max="3"/>
    <col width="24.28515625" bestFit="1" customWidth="1" min="4" max="4"/>
  </cols>
  <sheetData>
    <row r="1">
      <c r="A1" s="93" t="inlineStr">
        <is>
          <t>PROBABILIDAD</t>
        </is>
      </c>
      <c r="B1" s="97" t="n"/>
      <c r="C1" s="97" t="n"/>
      <c r="D1" s="97" t="n"/>
    </row>
    <row r="2" ht="25.5" customHeight="1">
      <c r="A2" s="1" t="inlineStr">
        <is>
          <t>Descripción</t>
        </is>
      </c>
      <c r="B2" s="1" t="inlineStr">
        <is>
          <t>Nivel</t>
        </is>
      </c>
      <c r="C2" s="9" t="inlineStr">
        <is>
          <t xml:space="preserve">Porcentaje de ocurrencia del evento </t>
        </is>
      </c>
      <c r="D2" s="9" t="inlineStr">
        <is>
          <t>Frecuencia</t>
        </is>
      </c>
    </row>
    <row r="3">
      <c r="A3" s="2" t="inlineStr">
        <is>
          <t>Muy Baja</t>
        </is>
      </c>
      <c r="B3" s="3" t="n">
        <v>1</v>
      </c>
      <c r="C3" s="3" t="inlineStr">
        <is>
          <t>0,00% al 4,64%</t>
        </is>
      </c>
      <c r="D3" s="4" t="inlineStr">
        <is>
          <t>Ocurre una vez al año</t>
        </is>
      </c>
    </row>
    <row r="4">
      <c r="A4" s="5" t="inlineStr">
        <is>
          <t>Baja</t>
        </is>
      </c>
      <c r="B4" s="3" t="n">
        <v>2</v>
      </c>
      <c r="C4" s="3" t="inlineStr">
        <is>
          <t>4,65% al 7,60%</t>
        </is>
      </c>
      <c r="D4" s="4" t="inlineStr">
        <is>
          <t>Ocurre una vez al mes</t>
        </is>
      </c>
    </row>
    <row r="5" ht="20.4" customHeight="1">
      <c r="A5" s="6" t="inlineStr">
        <is>
          <t>Media</t>
        </is>
      </c>
      <c r="B5" s="3" t="n">
        <v>3</v>
      </c>
      <c r="C5" s="3" t="inlineStr">
        <is>
          <t>7.61% al 28,26%</t>
        </is>
      </c>
      <c r="D5" s="4" t="inlineStr">
        <is>
          <t>Ocurre una vez a la semana</t>
        </is>
      </c>
    </row>
    <row r="6">
      <c r="A6" s="7" t="inlineStr">
        <is>
          <t>Alta</t>
        </is>
      </c>
      <c r="B6" s="3" t="n">
        <v>4</v>
      </c>
      <c r="C6" s="3" t="inlineStr">
        <is>
          <t>28,27% al 40,70%</t>
        </is>
      </c>
      <c r="D6" s="4" t="inlineStr">
        <is>
          <t>Ocurre una vez al día</t>
        </is>
      </c>
    </row>
    <row r="7">
      <c r="A7" s="8" t="inlineStr">
        <is>
          <t>Muy Alta</t>
        </is>
      </c>
      <c r="B7" s="3" t="n">
        <v>5</v>
      </c>
      <c r="C7" s="3" t="inlineStr">
        <is>
          <t>40,71% al 100%</t>
        </is>
      </c>
      <c r="D7" s="4" t="inlineStr">
        <is>
          <t>Ocurre varias veces al día.</t>
        </is>
      </c>
    </row>
    <row r="9">
      <c r="A9" s="93" t="inlineStr">
        <is>
          <t>IMPACTO/DEGRADACIÓN</t>
        </is>
      </c>
      <c r="B9" s="97"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2" t="inlineStr">
        <is>
          <t>NIVEL DE RIESGO DE SEGURIDAD = IMPACTO * PROBABILIDAD</t>
        </is>
      </c>
      <c r="B17" s="96" t="n"/>
      <c r="C17" s="96" t="n"/>
      <c r="D17" s="96" t="n"/>
      <c r="E17" s="96" t="n"/>
      <c r="F17" s="18" t="n"/>
      <c r="H17" s="91" t="n"/>
    </row>
    <row r="18">
      <c r="A18" s="94" t="inlineStr">
        <is>
          <t>PROBABILIDAD</t>
        </is>
      </c>
      <c r="B18" s="92" t="inlineStr">
        <is>
          <t>IMPACTO</t>
        </is>
      </c>
      <c r="C18" s="96" t="n"/>
      <c r="D18" s="96" t="n"/>
      <c r="E18" s="96" t="n"/>
      <c r="F18" s="18" t="n"/>
    </row>
    <row r="19">
      <c r="A19" s="31" t="n"/>
      <c r="B19" s="3" t="inlineStr">
        <is>
          <t>Insignificante</t>
        </is>
      </c>
      <c r="C19" s="3" t="inlineStr">
        <is>
          <t>Bajo</t>
        </is>
      </c>
      <c r="D19" s="3" t="inlineStr">
        <is>
          <t>Medio</t>
        </is>
      </c>
      <c r="E19" s="3" t="inlineStr">
        <is>
          <t>Alto</t>
        </is>
      </c>
      <c r="F19" s="3" t="inlineStr">
        <is>
          <t>Severo</t>
        </is>
      </c>
      <c r="H19" s="92" t="inlineStr">
        <is>
          <t>NIVEL DE RIESGO</t>
        </is>
      </c>
      <c r="I19" s="18"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0.2"/>
  <cols>
    <col width="11" bestFit="1" customWidth="1" style="38" min="1" max="1"/>
    <col width="24" customWidth="1" style="38" min="2" max="2"/>
    <col hidden="1" width="24.28515625" customWidth="1" style="39" min="3" max="3"/>
    <col hidden="1" width="32.5703125" customWidth="1" style="39" min="4" max="4"/>
    <col width="31" bestFit="1" customWidth="1" style="38" min="5" max="5"/>
    <col hidden="1" width="17.28515625" customWidth="1" style="38" min="6" max="9"/>
    <col hidden="1" width="12.85546875" customWidth="1" style="38" min="10" max="11"/>
    <col hidden="1" width="13.85546875" customWidth="1" style="38" min="12" max="12"/>
    <col hidden="1" width="15.7109375" customWidth="1" style="38" min="13" max="13"/>
    <col hidden="1" width="18" customWidth="1" style="38" min="14" max="14"/>
    <col hidden="1" width="15" customWidth="1" style="38" min="15" max="15"/>
    <col hidden="1" width="22.7109375" customWidth="1" style="38" min="16" max="16"/>
    <col hidden="1" width="13.85546875" customWidth="1" style="38" min="17" max="17"/>
    <col hidden="1" width="31.85546875" customWidth="1" style="38" min="18" max="18"/>
    <col hidden="1" width="15" customWidth="1" style="38" min="19" max="19"/>
    <col hidden="1" width="17.28515625" customWidth="1" style="38" min="20" max="20"/>
    <col hidden="1" width="13.85546875" customWidth="1" style="33" min="21" max="21"/>
    <col width="11" customWidth="1" min="22" max="22"/>
    <col width="14.42578125" customWidth="1" min="23" max="23"/>
    <col width="19.28515625" customWidth="1" min="24" max="24"/>
    <col width="13.140625" customWidth="1" min="25" max="25"/>
    <col width="37.28515625" customWidth="1" min="26" max="26"/>
  </cols>
  <sheetData>
    <row r="1">
      <c r="O1" s="16" t="n"/>
      <c r="P1" s="16" t="n"/>
      <c r="Q1" s="16" t="n"/>
    </row>
    <row r="2" ht="40.8" customHeight="1">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19.8" customHeight="1">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0.8" customHeight="1">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0.8" customHeight="1">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0.8" customHeight="1">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 customHeight="1">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 customHeight="1">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0.8" customHeight="1">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0.8" customHeight="1">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0.8" customHeight="1">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0.8" customHeight="1">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0.8" customHeight="1">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0.8" customHeight="1">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0.8" customHeight="1">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0.8" customHeight="1">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1.8" customHeight="1">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1.8" customHeight="1">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1.8" customHeight="1">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0.8" customHeight="1">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0.8" customHeight="1">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0.8" customHeight="1">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0.8" customHeight="1">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8.8" customHeight="1">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0.8" customHeight="1">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0.8" customHeight="1">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0.8" customHeight="1">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0.8" customHeight="1">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0.8" customHeight="1">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0.8" customHeight="1">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0.8" customHeight="1">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2" customHeight="1">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2" customHeight="1">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2" customHeight="1">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2" customHeight="1">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0000000000001" customHeight="1">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0.8" customHeight="1">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4.8" customHeight="1">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0.8" customHeight="1">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2" customHeight="1">
      <c r="A156" s="18"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2" customHeight="1">
      <c r="A157" s="18"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c r="A158" s="18"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c r="A159" s="18"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0.8" customHeight="1">
      <c r="A160" s="18"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c r="A161" s="18"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0.8" customHeight="1">
      <c r="A162" s="18"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c r="A163" s="18"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c r="A164" s="18"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c r="A165" s="18"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0.8" customHeight="1">
      <c r="A166" s="18"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c r="A167" s="18"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0.8" customHeight="1">
      <c r="A168" s="18"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c r="A169" s="18"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2" customHeight="1">
      <c r="A170" s="18"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2" customHeight="1">
      <c r="A171" s="18"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 customHeight="1">
      <c r="A172" s="18"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c r="A173" s="18"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0.8" customHeight="1">
      <c r="A174" s="18"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c r="A175" s="18"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0.8" customHeight="1">
      <c r="A176" s="18"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0.8" customHeight="1">
      <c r="A177" s="18"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c r="A178" s="18"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c r="A179" s="18"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c r="A180" s="18"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c r="A181" s="18"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c r="A182" s="18"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c r="A183" s="18"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c r="A184" s="18"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c r="A185" s="18"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c r="A186" s="18"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c r="A187" s="18"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c r="A188" s="18"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c r="A189" s="18"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0.8" customHeight="1">
      <c r="A190" s="18"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c r="A191" s="18"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c r="A192" s="18"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c r="A193" s="18"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c r="A194" s="18"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c r="A195" s="18"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0.8" customHeight="1">
      <c r="A196" s="18"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c r="A197" s="18"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c r="A198" s="18"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c r="A199" s="18"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0.8" customHeight="1">
      <c r="A200" s="18"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c r="A201" s="18"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c r="A202" s="18"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c r="A203" s="18"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c r="A204" s="18"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c r="A205" s="18"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c r="A206" s="18"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c r="A207" s="18"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c r="A208" s="18"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c r="A209" s="18"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0.8" customHeight="1">
      <c r="A210" s="18"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0.8" customHeight="1">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tabSelected="1" workbookViewId="0">
      <selection activeCell="M13" sqref="M13"/>
    </sheetView>
  </sheetViews>
  <sheetFormatPr baseColWidth="10" defaultRowHeight="10.2"/>
  <cols>
    <col width="14.7109375" customWidth="1" min="1" max="1"/>
    <col width="46.7109375" customWidth="1" style="16" min="2" max="2"/>
    <col width="40.28515625" bestFit="1" customWidth="1" style="16" min="3" max="3"/>
    <col width="10" bestFit="1" customWidth="1" min="4" max="4"/>
  </cols>
  <sheetData>
    <row r="1" ht="20.4" customHeight="1">
      <c r="A1" s="83" t="inlineStr">
        <is>
          <t>PLAN DE ACCION</t>
        </is>
      </c>
      <c r="B1" s="84" t="inlineStr">
        <is>
          <t>DESCIPCION PLAN DE ACCIÓN</t>
        </is>
      </c>
      <c r="C1" s="81" t="inlineStr">
        <is>
          <t>RESPONSABLE</t>
        </is>
      </c>
      <c r="D1" s="86" t="inlineStr">
        <is>
          <t>PLAZO</t>
        </is>
      </c>
    </row>
    <row r="2" ht="20.4" customHeight="1">
      <c r="A2" s="82" t="inlineStr">
        <is>
          <t>PA-SI-001</t>
        </is>
      </c>
      <c r="B2" s="82" t="inlineStr">
        <is>
          <t>Identificar una herramienta que permitan realizar un análisis de LOGS</t>
        </is>
      </c>
      <c r="C2" s="82" t="inlineStr">
        <is>
          <t>JEFE DE SEGURIDAD DE LA INFORMACION</t>
        </is>
      </c>
      <c r="D2" s="85" t="inlineStr">
        <is>
          <t>8 MESES</t>
        </is>
      </c>
    </row>
    <row r="3" ht="20.4" customHeight="1">
      <c r="A3" s="82" t="inlineStr">
        <is>
          <t>PA-SI-002</t>
        </is>
      </c>
      <c r="B3" s="82" t="inlineStr">
        <is>
          <t>Fortalecer mecanismos de protección contra ataques DoS/DDoS</t>
        </is>
      </c>
      <c r="C3" s="82" t="inlineStr">
        <is>
          <t>JEFE DE SEGURIDAD DE LA INFORMACION</t>
        </is>
      </c>
      <c r="D3" s="85" t="inlineStr">
        <is>
          <t>3 MESES</t>
        </is>
      </c>
    </row>
    <row r="4" ht="20.4" customHeight="1">
      <c r="A4" s="82" t="inlineStr">
        <is>
          <t>PA-SI-003</t>
        </is>
      </c>
      <c r="B4" s="82" t="inlineStr">
        <is>
          <t>Determinar accesos restringidos para la consola administrativa</t>
        </is>
      </c>
      <c r="C4" s="82" t="inlineStr">
        <is>
          <t>JEFE DE SEGURIDAD DE LA INFORMACION</t>
        </is>
      </c>
      <c r="D4" s="85" t="inlineStr">
        <is>
          <t>3 MESES</t>
        </is>
      </c>
    </row>
    <row r="5">
      <c r="A5" s="82" t="inlineStr">
        <is>
          <t>PA-SI-004</t>
        </is>
      </c>
      <c r="B5" s="82" t="inlineStr">
        <is>
          <t>Aplicar política de expiración de contraseñas VPN.</t>
        </is>
      </c>
      <c r="C5" s="82" t="inlineStr">
        <is>
          <t>JEFE DE SEGURIDAD DE LA INFORMACION</t>
        </is>
      </c>
      <c r="D5" s="85" t="inlineStr">
        <is>
          <t>6 MESES</t>
        </is>
      </c>
    </row>
    <row r="6" ht="20.4" customHeight="1">
      <c r="A6" s="82" t="inlineStr">
        <is>
          <t>PA-SI-005</t>
        </is>
      </c>
      <c r="B6" s="82" t="inlineStr">
        <is>
          <t>Fortalecer el monitoreo proactivo de recursos (CPU, RAM, almacenamiento).</t>
        </is>
      </c>
      <c r="C6" s="82" t="inlineStr">
        <is>
          <t>JEFE DE SEGURIDAD DE LA INFORMACION</t>
        </is>
      </c>
      <c r="D6" s="85" t="inlineStr">
        <is>
          <t>6 MESES</t>
        </is>
      </c>
    </row>
    <row r="7" ht="30.6" customHeight="1">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0.2"/>
  <cols>
    <col width="64" bestFit="1" customWidth="1" min="1" max="1"/>
    <col width="12.42578125" customWidth="1" min="2" max="2"/>
    <col width="6.140625" bestFit="1" customWidth="1" min="3" max="3"/>
    <col width="7.140625" bestFit="1" customWidth="1" min="4" max="4"/>
    <col width="13.140625" bestFit="1" customWidth="1" min="5" max="6"/>
    <col width="68.28515625" bestFit="1" customWidth="1" min="7" max="22"/>
    <col width="13.140625" bestFit="1" customWidth="1"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0.2"/>
  <cols>
    <col width="65.140625" bestFit="1" customWidth="1" min="2" max="2"/>
  </cols>
  <sheetData>
    <row r="1">
      <c r="A1" s="93" t="n"/>
      <c r="B1" s="97" t="n"/>
    </row>
    <row r="2">
      <c r="A2" s="92" t="inlineStr">
        <is>
          <t>Código</t>
        </is>
      </c>
      <c r="B2" s="92"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RowHeight="10.2"/>
  <cols>
    <col width="21.7109375" customWidth="1" style="16" min="1" max="1"/>
    <col width="42.28515625" customWidth="1" style="38" min="2" max="2"/>
    <col width="105.42578125" customWidth="1" style="16" min="3" max="3"/>
    <col width="19.5703125" bestFit="1" customWidth="1" style="38" min="4" max="4"/>
    <col width="7.85546875" customWidth="1" style="16" min="5" max="5"/>
    <col width="5" customWidth="1" style="16" min="6" max="6"/>
    <col width="7.28515625" customWidth="1" style="16" min="7" max="7"/>
    <col width="8.7109375" customWidth="1" style="16" min="8" max="8"/>
    <col width="8.5703125" customWidth="1" style="16" min="9" max="9"/>
    <col width="7.7109375" customWidth="1" style="16" min="10" max="10"/>
    <col width="8.42578125" customWidth="1" style="16" min="11" max="11"/>
    <col width="7.28515625" customWidth="1" style="16" min="12" max="12"/>
    <col width="6.5703125" customWidth="1" style="16" min="13" max="13"/>
    <col width="6.42578125" customWidth="1" style="16" min="14" max="14"/>
    <col width="11.42578125" customWidth="1" style="16" min="15" max="16384"/>
  </cols>
  <sheetData>
    <row r="1">
      <c r="A1" s="17" t="n"/>
      <c r="B1" s="34" t="n"/>
      <c r="C1" s="17" t="n"/>
      <c r="D1" s="34" t="n"/>
      <c r="E1" s="95" t="inlineStr">
        <is>
          <t>TIPOS DE ACTIVOS</t>
        </is>
      </c>
      <c r="F1" s="96" t="n"/>
      <c r="G1" s="96" t="n"/>
      <c r="H1" s="96" t="n"/>
      <c r="I1" s="96" t="n"/>
      <c r="J1" s="96" t="n"/>
      <c r="K1" s="96" t="n"/>
      <c r="L1" s="96" t="n"/>
      <c r="M1" s="96" t="n"/>
      <c r="N1" s="18" t="n"/>
    </row>
    <row r="2" ht="100.8" customHeight="1">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0.8" customHeight="1">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0.8" customHeight="1">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 customHeight="1">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 customHeight="1">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 customHeight="1">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0.8" customHeight="1">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 customHeight="1">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 customHeight="1">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 customHeight="1">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 customHeight="1">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 customHeight="1">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 customHeight="1">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 customHeight="1">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 customHeight="1">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 customHeight="1">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 customHeight="1">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 customHeight="1">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 customHeight="1">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 customHeight="1">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 customHeight="1">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 customHeight="1">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 customHeight="1">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 customHeight="1">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 customHeight="1">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 customHeight="1">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 customHeight="1">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1">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0.2"/>
  <cols>
    <col width="48" customWidth="1" min="1" max="1"/>
    <col width="79.42578125" customWidth="1" min="2" max="2"/>
  </cols>
  <sheetData>
    <row r="1">
      <c r="A1" t="inlineStr">
        <is>
          <t>TIPO DE ACTIVO</t>
        </is>
      </c>
      <c r="B1" t="inlineStr">
        <is>
          <t>DESCRIPCION</t>
        </is>
      </c>
    </row>
    <row r="2" ht="40.8" customHeight="1">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 customHeight="1">
      <c r="A4" s="41" t="inlineStr">
        <is>
          <t>[S] Servicios</t>
        </is>
      </c>
      <c r="B4" s="17" t="inlineStr">
        <is>
          <t>Función que satisface una necesidad de los usuarios (del servicio). Esta sección contempla servicios prestados por el sistema.</t>
        </is>
      </c>
    </row>
    <row r="5" ht="40.8" customHeight="1">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0.8" customHeight="1">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 customHeight="1">
      <c r="A8" s="41" t="inlineStr">
        <is>
          <t>[Media] Soportes de información</t>
        </is>
      </c>
      <c r="B8" s="17" t="inlineStr">
        <is>
          <t>En este epígrafe se consideran dispositivos físicos que permiten almacenar información de forma permanente o, al menos, durante largos periodos de tiempo.</t>
        </is>
      </c>
    </row>
    <row r="9" ht="20.4" customHeight="1">
      <c r="A9" s="41" t="inlineStr">
        <is>
          <t>[AUX] equipamiento auxiliar</t>
        </is>
      </c>
      <c r="B9" s="17" t="inlineStr">
        <is>
          <t>En este epígrafe se consideran otros equipos que sirven de soporte a los sistemas de información, sin estar directamente relacionados con datos.</t>
        </is>
      </c>
    </row>
    <row r="10" ht="20.4" customHeight="1">
      <c r="A10" s="41" t="inlineStr">
        <is>
          <t>[L] Instalaciones</t>
        </is>
      </c>
      <c r="B10" s="17" t="inlineStr">
        <is>
          <t>En este epígrafe entran los lugares donde se hospedan los sistemas de información y comunicaciones.</t>
        </is>
      </c>
    </row>
    <row r="11">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topLeftCell="A28" workbookViewId="0">
      <selection activeCell="B33" sqref="B33"/>
    </sheetView>
  </sheetViews>
  <sheetFormatPr baseColWidth="10" defaultRowHeight="10.2"/>
  <cols>
    <col width="6.42578125" customWidth="1" min="1" max="1"/>
    <col width="82" bestFit="1" customWidth="1" min="2" max="2"/>
    <col width="86" bestFit="1" customWidth="1" min="3" max="3"/>
  </cols>
  <sheetData>
    <row r="1">
      <c r="A1" s="92" t="inlineStr">
        <is>
          <t>CONTROLES IMPLEMENTADOS</t>
        </is>
      </c>
      <c r="B1" s="18" t="n"/>
    </row>
    <row r="2">
      <c r="A2" s="92" t="inlineStr">
        <is>
          <t>Código</t>
        </is>
      </c>
      <c r="B2" s="92" t="inlineStr">
        <is>
          <t>Descripción</t>
        </is>
      </c>
    </row>
    <row r="3">
      <c r="A3" s="92" t="inlineStr">
        <is>
          <t>1. Política de Seguridad de la Información</t>
        </is>
      </c>
      <c r="B3" s="18"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2" t="inlineStr">
        <is>
          <t>2. Organización de la Seguridad de la Información</t>
        </is>
      </c>
      <c r="B8" s="18"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2" t="inlineStr">
        <is>
          <t>3. Gestión de Activos</t>
        </is>
      </c>
      <c r="B12" s="18"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2" t="inlineStr">
        <is>
          <t>4. Seguridad de los Recursos Humanos</t>
        </is>
      </c>
      <c r="B16" s="18"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2" t="inlineStr">
        <is>
          <t>5. Control de Acceso</t>
        </is>
      </c>
      <c r="B19" s="18"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2" t="inlineStr">
        <is>
          <t>6. Criptografía</t>
        </is>
      </c>
      <c r="B26" s="18"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2" t="inlineStr">
        <is>
          <t>7. Seguridad Física y del Entorno</t>
        </is>
      </c>
      <c r="B29" s="18"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2" t="inlineStr">
        <is>
          <t>8. Seguridad de las Operaciones</t>
        </is>
      </c>
      <c r="B32" s="18"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2" t="inlineStr">
        <is>
          <t>9. Seguridad en las Comunicaciones</t>
        </is>
      </c>
      <c r="B40" s="18"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2" t="inlineStr">
        <is>
          <t>10. Adquisición, desarrollo y mantenimiento</t>
        </is>
      </c>
      <c r="B43" s="18"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2" t="inlineStr">
        <is>
          <t>11. Relaciones con Proveedores</t>
        </is>
      </c>
      <c r="B48" s="18"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2" t="inlineStr">
        <is>
          <t>12. Gestión de Incidentes de Seguridad</t>
        </is>
      </c>
      <c r="B51" s="18"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2" t="inlineStr">
        <is>
          <t>13. Gestión de Continuidad del Negocio</t>
        </is>
      </c>
      <c r="B54" s="18"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2" t="inlineStr">
        <is>
          <t>14. Cumplimiento</t>
        </is>
      </c>
      <c r="B57" s="18"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workbookViewId="0">
      <selection activeCell="A1" sqref="A1"/>
    </sheetView>
  </sheetViews>
  <sheetFormatPr baseColWidth="8" defaultRowHeight="15"/>
  <sheetData>
    <row r="1">
      <c r="A1" s="98" t="inlineStr">
        <is>
          <t>Identificador de control IEC 27002</t>
        </is>
      </c>
      <c r="B1" s="98" t="inlineStr">
        <is>
          <t>Nombre del control</t>
        </is>
      </c>
      <c r="C1" s="98" t="inlineStr">
        <is>
          <t>Tipo de control</t>
        </is>
      </c>
      <c r="D1" s="98" t="inlineStr">
        <is>
          <t>Propiedades de seguridad de la información</t>
        </is>
      </c>
      <c r="E1" s="98" t="inlineStr">
        <is>
          <t>Conceptos de ciberseguridad</t>
        </is>
      </c>
      <c r="F1" s="98" t="inlineStr">
        <is>
          <t>Capacidades operativas</t>
        </is>
      </c>
      <c r="G1" s="98" t="inlineStr">
        <is>
          <t>Dominios de seguridad</t>
        </is>
      </c>
      <c r="H1" s="98" t="inlineStr">
        <is>
          <t>Obligatoriedad Regulatoria SEPS 002-2022</t>
        </is>
      </c>
      <c r="I1" s="98" t="inlineStr">
        <is>
          <t>Control Metodología GSO-GSI (Secc. 10.2.2)</t>
        </is>
      </c>
      <c r="J1" s="98" t="inlineStr">
        <is>
          <t>Origen de Aplicabilidad</t>
        </is>
      </c>
      <c r="K1" s="98" t="inlineStr">
        <is>
          <t>¿Aplica?</t>
        </is>
      </c>
      <c r="L1" s="98" t="inlineStr">
        <is>
          <t>Criterio / Justificación Técnica</t>
        </is>
      </c>
    </row>
    <row r="2">
      <c r="A2" t="inlineStr">
        <is>
          <t>5.1</t>
        </is>
      </c>
      <c r="B2" t="inlineStr">
        <is>
          <t>Políticas para la seguridad de la información</t>
        </is>
      </c>
      <c r="C2" t="inlineStr">
        <is>
          <t>#Preventivo</t>
        </is>
      </c>
      <c r="D2" t="inlineStr">
        <is>
          <t>#Confidencialidad, #Integridad, #Disponibilidad</t>
        </is>
      </c>
      <c r="E2" t="inlineStr">
        <is>
          <t>#Identificar</t>
        </is>
      </c>
      <c r="F2" t="inlineStr">
        <is>
          <t>#Gobernanza</t>
        </is>
      </c>
      <c r="G2" t="inlineStr">
        <is>
          <t>#Gobernanza_y_Ecosistema</t>
        </is>
      </c>
      <c r="H2" t="inlineStr">
        <is>
          <t>Obligatorio SEPS - Régimen General (17 controles)</t>
        </is>
      </c>
      <c r="I2" t="inlineStr">
        <is>
          <t>C1: Revisión periódica de políticas y procedimientos</t>
        </is>
      </c>
      <c r="J2" t="inlineStr">
        <is>
          <t>2. Metodología Interna GSO-GSI + ISO 27001</t>
        </is>
      </c>
      <c r="K2" t="inlineStr">
        <is>
          <t>Aplica</t>
        </is>
      </c>
      <c r="L2" t="inlineStr">
        <is>
          <t>Requisito interno GSO-GSI</t>
        </is>
      </c>
    </row>
    <row r="3">
      <c r="A3" t="inlineStr">
        <is>
          <t>5.2</t>
        </is>
      </c>
      <c r="B3" t="inlineStr">
        <is>
          <t>Funciones y responsabilidades de seguridad de la información</t>
        </is>
      </c>
      <c r="C3" t="inlineStr">
        <is>
          <t>#Preventivo</t>
        </is>
      </c>
      <c r="D3" t="inlineStr">
        <is>
          <t>#Confidencialidad, #Integridad, #Disponibilidad</t>
        </is>
      </c>
      <c r="E3" t="inlineStr">
        <is>
          <t>#Identificar</t>
        </is>
      </c>
      <c r="F3" t="inlineStr">
        <is>
          <t>#Gobernanza</t>
        </is>
      </c>
      <c r="G3" t="inlineStr">
        <is>
          <t>#Gobernanza_y_Ecosistema</t>
        </is>
      </c>
      <c r="H3" t="inlineStr">
        <is>
          <t>Obligatorio SEPS - Régimen Especial/Simplificado</t>
        </is>
      </c>
      <c r="I3" t="inlineStr">
        <is>
          <t>- (No tipificado en catálogo base)</t>
        </is>
      </c>
      <c r="J3" t="inlineStr">
        <is>
          <t>1. Regulatorio SEPS 002-2022 + ISO 27001</t>
        </is>
      </c>
      <c r="K3" t="inlineStr">
        <is>
          <t>Aplica</t>
        </is>
      </c>
      <c r="L3" t="inlineStr">
        <is>
          <t>Requerido por ente regulador SEPS</t>
        </is>
      </c>
    </row>
    <row r="4">
      <c r="A4" t="inlineStr">
        <is>
          <t>5.3</t>
        </is>
      </c>
      <c r="B4" t="inlineStr">
        <is>
          <t>Segregación de funciones</t>
        </is>
      </c>
      <c r="C4" t="inlineStr">
        <is>
          <t>#Preventivo</t>
        </is>
      </c>
      <c r="D4" t="inlineStr">
        <is>
          <t>#Confidencialidad, #Integridad</t>
        </is>
      </c>
      <c r="E4" t="inlineStr">
        <is>
          <t>#Proteger</t>
        </is>
      </c>
      <c r="F4" t="inlineStr">
        <is>
          <t>#Gobernanza</t>
        </is>
      </c>
      <c r="G4" t="inlineStr">
        <is>
          <t>#Gobernanza_y_Ecosistema</t>
        </is>
      </c>
      <c r="H4" t="inlineStr">
        <is>
          <t>Obligatorio SEPS - Régimen Especial/Simplificado</t>
        </is>
      </c>
      <c r="I4" t="inlineStr">
        <is>
          <t>- (No tipificado en catálogo base)</t>
        </is>
      </c>
      <c r="J4" t="inlineStr">
        <is>
          <t>1. Regulatorio SEPS 002-2022 + ISO 27001</t>
        </is>
      </c>
      <c r="K4" t="inlineStr">
        <is>
          <t>Aplica</t>
        </is>
      </c>
      <c r="L4" t="inlineStr">
        <is>
          <t>Requerido por ente regulador SEPS</t>
        </is>
      </c>
    </row>
    <row r="5">
      <c r="A5" t="inlineStr">
        <is>
          <t>5.4</t>
        </is>
      </c>
      <c r="B5" t="inlineStr">
        <is>
          <t>Responsabilidades de la dirección</t>
        </is>
      </c>
      <c r="C5" t="inlineStr">
        <is>
          <t>#Preventivo</t>
        </is>
      </c>
      <c r="D5" t="inlineStr">
        <is>
          <t>#Confidencialidad, #Integridad, #Disponibilidad</t>
        </is>
      </c>
      <c r="E5" t="inlineStr">
        <is>
          <t>#Identificar</t>
        </is>
      </c>
      <c r="F5" t="inlineStr">
        <is>
          <t>#Gobernanza</t>
        </is>
      </c>
      <c r="G5" t="inlineStr">
        <is>
          <t>#Gobernanza_y_Ecosistema</t>
        </is>
      </c>
      <c r="H5" t="inlineStr">
        <is>
          <t>Obligatorio SEPS - Régimen Especial/Simplificado</t>
        </is>
      </c>
      <c r="I5" t="inlineStr">
        <is>
          <t>- (No tipificado en catálogo base)</t>
        </is>
      </c>
      <c r="J5" t="inlineStr">
        <is>
          <t>1. Regulatorio SEPS 002-2022 + ISO 27001</t>
        </is>
      </c>
      <c r="K5" t="inlineStr">
        <is>
          <t>Aplica</t>
        </is>
      </c>
      <c r="L5" t="inlineStr">
        <is>
          <t>Requerido por ente regulador SEPS</t>
        </is>
      </c>
    </row>
    <row r="6">
      <c r="A6" t="inlineStr">
        <is>
          <t>5.5</t>
        </is>
      </c>
      <c r="B6" t="inlineStr">
        <is>
          <t>Contacto con las autoridades</t>
        </is>
      </c>
      <c r="C6" t="inlineStr">
        <is>
          <t>#Preventivo</t>
        </is>
      </c>
      <c r="D6" t="inlineStr">
        <is>
          <t>#Disponibilidad</t>
        </is>
      </c>
      <c r="E6" t="inlineStr">
        <is>
          <t>#Responder</t>
        </is>
      </c>
      <c r="F6" t="inlineStr">
        <is>
          <t>#Gobernanza</t>
        </is>
      </c>
      <c r="G6" t="inlineStr">
        <is>
          <t>#Gobernanza_y_Ecosistema</t>
        </is>
      </c>
      <c r="H6" t="inlineStr">
        <is>
          <t>Obligatorio SEPS - Régimen Especial/Simplificado</t>
        </is>
      </c>
      <c r="I6" t="inlineStr">
        <is>
          <t>- (No tipificado en catálogo base)</t>
        </is>
      </c>
      <c r="J6" t="inlineStr">
        <is>
          <t>1. Regulatorio SEPS 002-2022 + ISO 27001</t>
        </is>
      </c>
      <c r="K6" t="inlineStr">
        <is>
          <t>Aplica</t>
        </is>
      </c>
      <c r="L6" t="inlineStr">
        <is>
          <t>Requerido por ente regulador SEPS</t>
        </is>
      </c>
    </row>
    <row r="7">
      <c r="A7" t="inlineStr">
        <is>
          <t>5.6</t>
        </is>
      </c>
      <c r="B7" t="inlineStr">
        <is>
          <t>Contacto con grupos de interés especial</t>
        </is>
      </c>
      <c r="C7" t="inlineStr">
        <is>
          <t>#Preventivo</t>
        </is>
      </c>
      <c r="D7" t="inlineStr">
        <is>
          <t>#Disponibilidad</t>
        </is>
      </c>
      <c r="E7" t="inlineStr">
        <is>
          <t>#Identificar</t>
        </is>
      </c>
      <c r="F7" t="inlineStr">
        <is>
          <t>#Gobernanza</t>
        </is>
      </c>
      <c r="G7" t="inlineStr">
        <is>
          <t>#Gobernanza_y_Ecosistema</t>
        </is>
      </c>
      <c r="H7" t="inlineStr">
        <is>
          <t>No Obligatorio SEPS (Mejor Práctica ISO Complementaria)</t>
        </is>
      </c>
      <c r="I7" t="inlineStr">
        <is>
          <t>- (No tipificado en catálogo base)</t>
        </is>
      </c>
      <c r="J7" t="inlineStr">
        <is>
          <t>3. Tratamiento de Riesgos Específico (ISO 27002 / MAGERIT)</t>
        </is>
      </c>
      <c r="K7" t="inlineStr">
        <is>
          <t>Aplica</t>
        </is>
      </c>
      <c r="L7" t="inlineStr">
        <is>
          <t>Requisito de control complementario y mejor práctica de seguridad</t>
        </is>
      </c>
    </row>
    <row r="8">
      <c r="A8" t="inlineStr">
        <is>
          <t>5.7</t>
        </is>
      </c>
      <c r="B8" t="inlineStr">
        <is>
          <t>Inteligencia de amenazas</t>
        </is>
      </c>
      <c r="C8" t="inlineStr">
        <is>
          <t>#Detectivo, #Preventivo</t>
        </is>
      </c>
      <c r="D8" t="inlineStr">
        <is>
          <t>#Confidencialidad, #Integridad, #Disponibilidad</t>
        </is>
      </c>
      <c r="E8" t="inlineStr">
        <is>
          <t>#Identificar</t>
        </is>
      </c>
      <c r="F8" t="inlineStr">
        <is>
          <t>#Gestión_de_amenazas_y_vulnerabilidades</t>
        </is>
      </c>
      <c r="G8" t="inlineStr">
        <is>
          <t>#Gobernanza_y_Ecosistema</t>
        </is>
      </c>
      <c r="H8" t="inlineStr">
        <is>
          <t>No Obligatorio SEPS (Mejor Práctica ISO Complementaria)</t>
        </is>
      </c>
      <c r="I8" t="inlineStr">
        <is>
          <t>- (No tipificado en catálogo base)</t>
        </is>
      </c>
      <c r="J8" t="inlineStr">
        <is>
          <t>3. Tratamiento de Riesgos Específico (ISO 27002 / MAGERIT)</t>
        </is>
      </c>
      <c r="K8" t="inlineStr">
        <is>
          <t>Aplica</t>
        </is>
      </c>
      <c r="L8" t="inlineStr">
        <is>
          <t>Requisito de control complementario y mejor práctica de seguridad</t>
        </is>
      </c>
    </row>
    <row r="9">
      <c r="A9" t="inlineStr">
        <is>
          <t>5.8</t>
        </is>
      </c>
      <c r="B9" t="inlineStr">
        <is>
          <t>Seguridad de la información en la gestión de proyectos</t>
        </is>
      </c>
      <c r="C9" t="inlineStr">
        <is>
          <t>#Preventivo</t>
        </is>
      </c>
      <c r="D9" t="inlineStr">
        <is>
          <t>#Confidencialidad, #Integridad, #Disponibilidad</t>
        </is>
      </c>
      <c r="E9" t="inlineStr">
        <is>
          <t>#Proteger</t>
        </is>
      </c>
      <c r="F9" t="inlineStr">
        <is>
          <t>#Gobernanza</t>
        </is>
      </c>
      <c r="G9" t="inlineStr">
        <is>
          <t>#Gobernanza_y_Ecosistema</t>
        </is>
      </c>
      <c r="H9" t="inlineStr">
        <is>
          <t>Obligatorio SEPS - Régimen Especial/Simplificado</t>
        </is>
      </c>
      <c r="I9" t="inlineStr">
        <is>
          <t>- (No tipificado en catálogo base)</t>
        </is>
      </c>
      <c r="J9" t="inlineStr">
        <is>
          <t>1. Regulatorio SEPS 002-2022 + ISO 27001</t>
        </is>
      </c>
      <c r="K9" t="inlineStr">
        <is>
          <t>Aplica</t>
        </is>
      </c>
      <c r="L9" t="inlineStr">
        <is>
          <t>Requerido por ente regulador SEPS</t>
        </is>
      </c>
    </row>
    <row r="10">
      <c r="A10" t="inlineStr">
        <is>
          <t>5.9</t>
        </is>
      </c>
      <c r="B10" t="inlineStr">
        <is>
          <t>Inventario de información y otros activos asociados</t>
        </is>
      </c>
      <c r="C10" t="inlineStr">
        <is>
          <t>#Preventivo</t>
        </is>
      </c>
      <c r="D10" t="inlineStr">
        <is>
          <t>#Confidencialidad, #Integridad, #Disponibilidad</t>
        </is>
      </c>
      <c r="E10" t="inlineStr">
        <is>
          <t>#Identificar</t>
        </is>
      </c>
      <c r="F10" t="inlineStr">
        <is>
          <t>#Gestión_de_activos</t>
        </is>
      </c>
      <c r="G10" t="inlineStr">
        <is>
          <t>#Gobernanza_y_Ecosistema</t>
        </is>
      </c>
      <c r="H10" t="inlineStr">
        <is>
          <t>Obligatorio SEPS - Régimen General (17 controles)</t>
        </is>
      </c>
      <c r="I10" t="inlineStr">
        <is>
          <t>- (No tipificado en catálogo base)</t>
        </is>
      </c>
      <c r="J10" t="inlineStr">
        <is>
          <t>1. Regulatorio SEPS 002-2022 + ISO 27001</t>
        </is>
      </c>
      <c r="K10" t="inlineStr">
        <is>
          <t>Aplica</t>
        </is>
      </c>
      <c r="L10" t="inlineStr">
        <is>
          <t>Requerido por ente regulador SEPS</t>
        </is>
      </c>
    </row>
    <row r="11">
      <c r="A11" t="inlineStr">
        <is>
          <t>5.10</t>
        </is>
      </c>
      <c r="B11" t="inlineStr">
        <is>
          <t>Uso aceptable de la información y otros activos asociados</t>
        </is>
      </c>
      <c r="C11" t="inlineStr">
        <is>
          <t>#Preventivo</t>
        </is>
      </c>
      <c r="D11" t="inlineStr">
        <is>
          <t>#Confidencialidad, #Integridad, #Disponibilidad</t>
        </is>
      </c>
      <c r="E11" t="inlineStr">
        <is>
          <t>#Proteger</t>
        </is>
      </c>
      <c r="F11" t="inlineStr">
        <is>
          <t>#Protección_de_la_información</t>
        </is>
      </c>
      <c r="G11" t="inlineStr">
        <is>
          <t>#Gobernanza_y_Ecosistema</t>
        </is>
      </c>
      <c r="H11" t="inlineStr">
        <is>
          <t>Obligatorio SEPS - Régimen Especial/Simplificado</t>
        </is>
      </c>
      <c r="I11" t="inlineStr">
        <is>
          <t>- (No tipificado en catálogo base)</t>
        </is>
      </c>
      <c r="J11" t="inlineStr">
        <is>
          <t>1. Regulatorio SEPS 002-2022 + ISO 27001</t>
        </is>
      </c>
      <c r="K11" t="inlineStr">
        <is>
          <t>Aplica</t>
        </is>
      </c>
      <c r="L11" t="inlineStr">
        <is>
          <t>Requerido por ente regulador SEPS</t>
        </is>
      </c>
    </row>
    <row r="12">
      <c r="A12" t="inlineStr">
        <is>
          <t>5.11</t>
        </is>
      </c>
      <c r="B12" t="inlineStr">
        <is>
          <t>Devolución de activos</t>
        </is>
      </c>
      <c r="C12" t="inlineStr">
        <is>
          <t>#Preventivo</t>
        </is>
      </c>
      <c r="D12" t="inlineStr">
        <is>
          <t>#Confidencialidad, #Integridad, #Disponibilidad</t>
        </is>
      </c>
      <c r="E12" t="inlineStr">
        <is>
          <t>#Proteger</t>
        </is>
      </c>
      <c r="F12" t="inlineStr">
        <is>
          <t>#Gestión_de_activos</t>
        </is>
      </c>
      <c r="G12" t="inlineStr">
        <is>
          <t>#Gobernanza_y_Ecosistema</t>
        </is>
      </c>
      <c r="H12" t="inlineStr">
        <is>
          <t>Obligatorio SEPS - Régimen Especial/Simplificado</t>
        </is>
      </c>
      <c r="I12" t="inlineStr">
        <is>
          <t>- (No tipificado en catálogo base)</t>
        </is>
      </c>
      <c r="J12" t="inlineStr">
        <is>
          <t>1. Regulatorio SEPS 002-2022 + ISO 27001</t>
        </is>
      </c>
      <c r="K12" t="inlineStr">
        <is>
          <t>Aplica</t>
        </is>
      </c>
      <c r="L12" t="inlineStr">
        <is>
          <t>Requerido por ente regulador SEPS</t>
        </is>
      </c>
    </row>
    <row r="13">
      <c r="A13" t="inlineStr">
        <is>
          <t>5.12</t>
        </is>
      </c>
      <c r="B13" t="inlineStr">
        <is>
          <t>Clasificación de la información</t>
        </is>
      </c>
      <c r="C13" t="inlineStr">
        <is>
          <t>#Preventivo</t>
        </is>
      </c>
      <c r="D13" t="inlineStr">
        <is>
          <t>#Confidencialidad, #Integridad, #Disponibilidad</t>
        </is>
      </c>
      <c r="E13" t="inlineStr">
        <is>
          <t>#Identificar</t>
        </is>
      </c>
      <c r="F13" t="inlineStr">
        <is>
          <t>#Protección_de_la_información</t>
        </is>
      </c>
      <c r="G13" t="inlineStr">
        <is>
          <t>#Gobernanza_y_Ecosistema</t>
        </is>
      </c>
      <c r="H13" t="inlineStr">
        <is>
          <t>Obligatorio SEPS - Régimen General (17 controles)</t>
        </is>
      </c>
      <c r="I13" t="inlineStr">
        <is>
          <t>C2: Clasificación de la información</t>
        </is>
      </c>
      <c r="J13" t="inlineStr">
        <is>
          <t>2. Metodología Interna GSO-GSI + ISO 27001</t>
        </is>
      </c>
      <c r="K13" t="inlineStr">
        <is>
          <t>Aplica</t>
        </is>
      </c>
      <c r="L13" t="inlineStr">
        <is>
          <t>Requisito interno GSO-GSI</t>
        </is>
      </c>
    </row>
    <row r="14">
      <c r="A14" t="inlineStr">
        <is>
          <t>5.13</t>
        </is>
      </c>
      <c r="B14" t="inlineStr">
        <is>
          <t>Etiquetado de la información</t>
        </is>
      </c>
      <c r="C14" t="inlineStr">
        <is>
          <t>#Preventivo</t>
        </is>
      </c>
      <c r="D14" t="inlineStr">
        <is>
          <t>#Confidencialidad, #Integridad, #Disponibilidad</t>
        </is>
      </c>
      <c r="E14" t="inlineStr">
        <is>
          <t>#Proteger</t>
        </is>
      </c>
      <c r="F14" t="inlineStr">
        <is>
          <t>#Protección_de_la_información</t>
        </is>
      </c>
      <c r="G14" t="inlineStr">
        <is>
          <t>#Gobernanza_y_Ecosistema</t>
        </is>
      </c>
      <c r="H14" t="inlineStr">
        <is>
          <t>Obligatorio SEPS - Régimen Especial/Simplificado</t>
        </is>
      </c>
      <c r="I14" t="inlineStr">
        <is>
          <t>C2: Clasificación de la información</t>
        </is>
      </c>
      <c r="J14" t="inlineStr">
        <is>
          <t>2. Metodología Interna GSO-GSI + ISO 27001</t>
        </is>
      </c>
      <c r="K14" t="inlineStr">
        <is>
          <t>Aplica</t>
        </is>
      </c>
      <c r="L14" t="inlineStr">
        <is>
          <t>Requisito interno GSO-GSI</t>
        </is>
      </c>
    </row>
    <row r="15">
      <c r="A15" t="inlineStr">
        <is>
          <t>5.14</t>
        </is>
      </c>
      <c r="B15" t="inlineStr">
        <is>
          <t>Transferencia de información</t>
        </is>
      </c>
      <c r="C15" t="inlineStr">
        <is>
          <t>#Preventivo</t>
        </is>
      </c>
      <c r="D15" t="inlineStr">
        <is>
          <t>#Confidencialidad, #Integridad, #Disponibilidad</t>
        </is>
      </c>
      <c r="E15" t="inlineStr">
        <is>
          <t>#Proteger</t>
        </is>
      </c>
      <c r="F15" t="inlineStr">
        <is>
          <t>#Protección_de_la_información</t>
        </is>
      </c>
      <c r="G15" t="inlineStr">
        <is>
          <t>#Gobernanza_y_Ecosistema</t>
        </is>
      </c>
      <c r="H15" t="inlineStr">
        <is>
          <t>Obligatorio SEPS - Régimen Especial/Simplificado</t>
        </is>
      </c>
      <c r="I15" t="inlineStr">
        <is>
          <t>- (No tipificado en catálogo base)</t>
        </is>
      </c>
      <c r="J15" t="inlineStr">
        <is>
          <t>1. Regulatorio SEPS 002-2022 + ISO 27001</t>
        </is>
      </c>
      <c r="K15" t="inlineStr">
        <is>
          <t>Aplica</t>
        </is>
      </c>
      <c r="L15" t="inlineStr">
        <is>
          <t>Requerido por ente regulador SEPS</t>
        </is>
      </c>
    </row>
    <row r="16">
      <c r="A16" t="inlineStr">
        <is>
          <t>5.15</t>
        </is>
      </c>
      <c r="B16" t="inlineStr">
        <is>
          <t>Control de acceso</t>
        </is>
      </c>
      <c r="C16" t="inlineStr">
        <is>
          <t>#Preventivo</t>
        </is>
      </c>
      <c r="D16" t="inlineStr">
        <is>
          <t>#Confidencialidad, #Integridad, #Disponibilidad</t>
        </is>
      </c>
      <c r="E16" t="inlineStr">
        <is>
          <t>#Proteger</t>
        </is>
      </c>
      <c r="F16" t="inlineStr">
        <is>
          <t>#Administración_de_identidad_y_acceso</t>
        </is>
      </c>
      <c r="G16" t="inlineStr">
        <is>
          <t>#Gobernanza_y_Ecosistema</t>
        </is>
      </c>
      <c r="H16" t="inlineStr">
        <is>
          <t>Obligatorio SEPS - Régimen General (17 controles)</t>
        </is>
      </c>
      <c r="I16" t="inlineStr">
        <is>
          <t>C4: Restricción del control de acceso</t>
        </is>
      </c>
      <c r="J16" t="inlineStr">
        <is>
          <t>2. Metodología Interna GSO-GSI + ISO 27001</t>
        </is>
      </c>
      <c r="K16" t="inlineStr">
        <is>
          <t>Aplica</t>
        </is>
      </c>
      <c r="L16" t="inlineStr">
        <is>
          <t>Requisito interno GSO-GSI</t>
        </is>
      </c>
    </row>
    <row r="17">
      <c r="A17" t="inlineStr">
        <is>
          <t>5.16</t>
        </is>
      </c>
      <c r="B17" t="inlineStr">
        <is>
          <t>Gestión de identidades</t>
        </is>
      </c>
      <c r="C17" t="inlineStr">
        <is>
          <t>#Preventivo</t>
        </is>
      </c>
      <c r="D17" t="inlineStr">
        <is>
          <t>#Confidencialidad, #Integridad, #Disponibilidad</t>
        </is>
      </c>
      <c r="E17" t="inlineStr">
        <is>
          <t>#Proteger</t>
        </is>
      </c>
      <c r="F17" t="inlineStr">
        <is>
          <t>#Administración_de_identidad_y_acceso</t>
        </is>
      </c>
      <c r="G17" t="inlineStr">
        <is>
          <t>#Gobernanza_y_Ecosistema</t>
        </is>
      </c>
      <c r="H17" t="inlineStr">
        <is>
          <t>Obligatorio SEPS - Régimen Especial/Simplificado</t>
        </is>
      </c>
      <c r="I17" t="inlineStr">
        <is>
          <t>- (No tipificado en catálogo base)</t>
        </is>
      </c>
      <c r="J17" t="inlineStr">
        <is>
          <t>1. Regulatorio SEPS 002-2022 + ISO 27001</t>
        </is>
      </c>
      <c r="K17" t="inlineStr">
        <is>
          <t>Aplica</t>
        </is>
      </c>
      <c r="L17" t="inlineStr">
        <is>
          <t>Requerido por ente regulador SEPS</t>
        </is>
      </c>
    </row>
    <row r="18">
      <c r="A18" t="inlineStr">
        <is>
          <t>5.17</t>
        </is>
      </c>
      <c r="B18" t="inlineStr">
        <is>
          <t>Información de autenticación</t>
        </is>
      </c>
      <c r="C18" t="inlineStr">
        <is>
          <t>#Preventivo</t>
        </is>
      </c>
      <c r="D18" t="inlineStr">
        <is>
          <t>#Confidencialidad, #Integridad, #Disponibilidad</t>
        </is>
      </c>
      <c r="E18" t="inlineStr">
        <is>
          <t>#Proteger</t>
        </is>
      </c>
      <c r="F18" t="inlineStr">
        <is>
          <t>#Administración_de_identidad_y_acceso</t>
        </is>
      </c>
      <c r="G18" t="inlineStr">
        <is>
          <t>#Gobernanza_y_Ecosistema</t>
        </is>
      </c>
      <c r="H18" t="inlineStr">
        <is>
          <t>Obligatorio SEPS - Régimen General (17 controles)</t>
        </is>
      </c>
      <c r="I18" t="inlineStr">
        <is>
          <t>C8: Uso de contraseñas fuertes</t>
        </is>
      </c>
      <c r="J18" t="inlineStr">
        <is>
          <t>2. Metodología Interna GSO-GSI + ISO 27001</t>
        </is>
      </c>
      <c r="K18" t="inlineStr">
        <is>
          <t>Aplica</t>
        </is>
      </c>
      <c r="L18" t="inlineStr">
        <is>
          <t>Requisito interno GSO-GSI</t>
        </is>
      </c>
    </row>
    <row r="19">
      <c r="A19" t="inlineStr">
        <is>
          <t>5.18</t>
        </is>
      </c>
      <c r="B19" t="inlineStr">
        <is>
          <t>Derechos de acceso</t>
        </is>
      </c>
      <c r="C19" t="inlineStr">
        <is>
          <t>#Preventivo</t>
        </is>
      </c>
      <c r="D19" t="inlineStr">
        <is>
          <t>#Confidencialidad, #Integridad, #Disponibilidad</t>
        </is>
      </c>
      <c r="E19" t="inlineStr">
        <is>
          <t>#Proteger</t>
        </is>
      </c>
      <c r="F19" t="inlineStr">
        <is>
          <t>#Administración_de_identidad_y_acceso</t>
        </is>
      </c>
      <c r="G19" t="inlineStr">
        <is>
          <t>#Gobernanza_y_Ecosistema</t>
        </is>
      </c>
      <c r="H19" t="inlineStr">
        <is>
          <t>Obligatorio SEPS - Régimen General (17 controles)</t>
        </is>
      </c>
      <c r="I19" t="inlineStr">
        <is>
          <t>C7: Revisión periódica de los derechos de acceso</t>
        </is>
      </c>
      <c r="J19" t="inlineStr">
        <is>
          <t>2. Metodología Interna GSO-GSI + ISO 27001</t>
        </is>
      </c>
      <c r="K19" t="inlineStr">
        <is>
          <t>Aplica</t>
        </is>
      </c>
      <c r="L19" t="inlineStr">
        <is>
          <t>Requisito interno GSO-GSI</t>
        </is>
      </c>
    </row>
    <row r="20">
      <c r="A20" t="inlineStr">
        <is>
          <t>5.19</t>
        </is>
      </c>
      <c r="B20" t="inlineStr">
        <is>
          <t>Seguridad de la información en las relaciones con los proveedores</t>
        </is>
      </c>
      <c r="C20" t="inlineStr">
        <is>
          <t>#Preventivo</t>
        </is>
      </c>
      <c r="D20" t="inlineStr">
        <is>
          <t>#Confidencialidad, #Integridad, #Disponibilidad</t>
        </is>
      </c>
      <c r="E20" t="inlineStr">
        <is>
          <t>#Proteger</t>
        </is>
      </c>
      <c r="F20" t="inlineStr">
        <is>
          <t>#Seguridad_en_relaciones_con_proveedores</t>
        </is>
      </c>
      <c r="G20" t="inlineStr">
        <is>
          <t>#Gobernanza_y_Ecosistema</t>
        </is>
      </c>
      <c r="H20" t="inlineStr">
        <is>
          <t>Obligatorio SEPS - Régimen General (17 controles)</t>
        </is>
      </c>
      <c r="I20" t="inlineStr">
        <is>
          <t>- (No tipificado en catálogo base)</t>
        </is>
      </c>
      <c r="J20" t="inlineStr">
        <is>
          <t>1. Regulatorio SEPS 002-2022 + ISO 27001</t>
        </is>
      </c>
      <c r="K20" t="inlineStr">
        <is>
          <t>Aplica</t>
        </is>
      </c>
      <c r="L20" t="inlineStr">
        <is>
          <t>Requerido por ente regulador SEPS</t>
        </is>
      </c>
    </row>
    <row r="21">
      <c r="A21" t="inlineStr">
        <is>
          <t>5.20</t>
        </is>
      </c>
      <c r="B21" t="inlineStr">
        <is>
          <t>Tratamiento de la seguridad de la información en los acuerdos con los proveedores</t>
        </is>
      </c>
      <c r="C21" t="inlineStr">
        <is>
          <t>#Preventivo</t>
        </is>
      </c>
      <c r="D21" t="inlineStr">
        <is>
          <t>#Confidencialidad, #Integridad, #Disponibilidad</t>
        </is>
      </c>
      <c r="E21" t="inlineStr">
        <is>
          <t>#Proteger</t>
        </is>
      </c>
      <c r="F21" t="inlineStr">
        <is>
          <t>#Seguridad_en_relaciones_con_proveedores</t>
        </is>
      </c>
      <c r="G21" t="inlineStr">
        <is>
          <t>#Gobernanza_y_Ecosistema</t>
        </is>
      </c>
      <c r="H21" t="inlineStr">
        <is>
          <t>Obligatorio SEPS - Régimen Especial/Simplificado</t>
        </is>
      </c>
      <c r="I21" t="inlineStr">
        <is>
          <t>- (No tipificado en catálogo base)</t>
        </is>
      </c>
      <c r="J21" t="inlineStr">
        <is>
          <t>1. Regulatorio SEPS 002-2022 + ISO 27001</t>
        </is>
      </c>
      <c r="K21" t="inlineStr">
        <is>
          <t>Aplica</t>
        </is>
      </c>
      <c r="L21" t="inlineStr">
        <is>
          <t>Requerido por ente regulador SEPS</t>
        </is>
      </c>
    </row>
    <row r="22">
      <c r="A22" t="inlineStr">
        <is>
          <t>5.21</t>
        </is>
      </c>
      <c r="B22" t="inlineStr">
        <is>
          <t>Gestión de la seguridad de la información en la cadena de suministro de TIC</t>
        </is>
      </c>
      <c r="C22" t="inlineStr">
        <is>
          <t>#Preventivo</t>
        </is>
      </c>
      <c r="D22" t="inlineStr">
        <is>
          <t>#Confidencialidad, #Integridad, #Disponibilidad</t>
        </is>
      </c>
      <c r="E22" t="inlineStr">
        <is>
          <t>#Proteger</t>
        </is>
      </c>
      <c r="F22" t="inlineStr">
        <is>
          <t>#Seguridad_en_relaciones_con_proveedores</t>
        </is>
      </c>
      <c r="G22" t="inlineStr">
        <is>
          <t>#Gobernanza_y_Ecosistema</t>
        </is>
      </c>
      <c r="H22" t="inlineStr">
        <is>
          <t>Obligatorio SEPS - Régimen Especial/Simplificado</t>
        </is>
      </c>
      <c r="I22" t="inlineStr">
        <is>
          <t>- (No tipificado en catálogo base)</t>
        </is>
      </c>
      <c r="J22" t="inlineStr">
        <is>
          <t>1. Regulatorio SEPS 002-2022 + ISO 27001</t>
        </is>
      </c>
      <c r="K22" t="inlineStr">
        <is>
          <t>Aplica</t>
        </is>
      </c>
      <c r="L22" t="inlineStr">
        <is>
          <t>Requerido por ente regulador SEPS</t>
        </is>
      </c>
    </row>
    <row r="23">
      <c r="A23" t="inlineStr">
        <is>
          <t>5.22</t>
        </is>
      </c>
      <c r="B23" t="inlineStr">
        <is>
          <t>Seguimiento, revisión y gestión de cambios en los servicios de los proveedores</t>
        </is>
      </c>
      <c r="C23" t="inlineStr">
        <is>
          <t>#Preventivo</t>
        </is>
      </c>
      <c r="D23" t="inlineStr">
        <is>
          <t>#Confidencialidad, #Integridad, #Disponibilidad</t>
        </is>
      </c>
      <c r="E23" t="inlineStr">
        <is>
          <t>#Proteger</t>
        </is>
      </c>
      <c r="F23" t="inlineStr">
        <is>
          <t>#Seguridad_en_relaciones_con_proveedores</t>
        </is>
      </c>
      <c r="G23" t="inlineStr">
        <is>
          <t>#Gobernanza_y_Ecosistema</t>
        </is>
      </c>
      <c r="H23" t="inlineStr">
        <is>
          <t>Obligatorio SEPS - Régimen Especial/Simplificado</t>
        </is>
      </c>
      <c r="I23" t="inlineStr">
        <is>
          <t>- (No tipificado en catálogo base)</t>
        </is>
      </c>
      <c r="J23" t="inlineStr">
        <is>
          <t>1. Regulatorio SEPS 002-2022 + ISO 27001</t>
        </is>
      </c>
      <c r="K23" t="inlineStr">
        <is>
          <t>Aplica</t>
        </is>
      </c>
      <c r="L23" t="inlineStr">
        <is>
          <t>Requerido por ente regulador SEPS</t>
        </is>
      </c>
    </row>
    <row r="24">
      <c r="A24" t="inlineStr">
        <is>
          <t>5.23</t>
        </is>
      </c>
      <c r="B24" t="inlineStr">
        <is>
          <t>Seguridad de la información en el uso de servicios en la nube</t>
        </is>
      </c>
      <c r="C24" t="inlineStr">
        <is>
          <t>#Preventivo</t>
        </is>
      </c>
      <c r="D24" t="inlineStr">
        <is>
          <t>#Confidencialidad, #Integridad, #Disponibilidad</t>
        </is>
      </c>
      <c r="E24" t="inlineStr">
        <is>
          <t>#Proteger</t>
        </is>
      </c>
      <c r="F24" t="inlineStr">
        <is>
          <t>#Seguridad_en_relaciones_con_proveedores</t>
        </is>
      </c>
      <c r="G24" t="inlineStr">
        <is>
          <t>#Gobernanza_y_Ecosistema</t>
        </is>
      </c>
      <c r="H24" t="inlineStr">
        <is>
          <t>Obligatorio SEPS - Régimen Especial/Simplificado</t>
        </is>
      </c>
      <c r="I24" t="inlineStr">
        <is>
          <t>- (No tipificado en catálogo base)</t>
        </is>
      </c>
      <c r="J24" t="inlineStr">
        <is>
          <t>4. No Aplica</t>
        </is>
      </c>
      <c r="K24" t="inlineStr">
        <is>
          <t>No Aplica</t>
        </is>
      </c>
      <c r="L24" t="inlineStr">
        <is>
          <t>Control 5.23 no es pertinente a los procesos actuales de la entidad</t>
        </is>
      </c>
    </row>
    <row r="25">
      <c r="A25" t="inlineStr">
        <is>
          <t>5.24</t>
        </is>
      </c>
      <c r="B25" t="inlineStr">
        <is>
          <t>Planificación y preparación de la gestión de incidentes</t>
        </is>
      </c>
      <c r="C25" t="inlineStr">
        <is>
          <t>#Preventivo</t>
        </is>
      </c>
      <c r="D25" t="inlineStr">
        <is>
          <t>#Confidencialidad, #Integridad, #Disponibilidad</t>
        </is>
      </c>
      <c r="E25" t="inlineStr">
        <is>
          <t>#Responder</t>
        </is>
      </c>
      <c r="F25" t="inlineStr">
        <is>
          <t>#Seguridad_de_la_información_gestión_de_eventos</t>
        </is>
      </c>
      <c r="G25" t="inlineStr">
        <is>
          <t>#Gobernanza_y_Ecosistema</t>
        </is>
      </c>
      <c r="H25" t="inlineStr">
        <is>
          <t>Obligatorio SEPS - Régimen General (17 controles)</t>
        </is>
      </c>
      <c r="I25" t="inlineStr">
        <is>
          <t>- (No tipificado en catálogo base)</t>
        </is>
      </c>
      <c r="J25" t="inlineStr">
        <is>
          <t>1. Regulatorio SEPS 002-2022 + ISO 27001</t>
        </is>
      </c>
      <c r="K25" t="inlineStr">
        <is>
          <t>Aplica</t>
        </is>
      </c>
      <c r="L25" t="inlineStr">
        <is>
          <t>Requerido por ente regulador SEPS</t>
        </is>
      </c>
    </row>
    <row r="26">
      <c r="A26" t="inlineStr">
        <is>
          <t>5.25</t>
        </is>
      </c>
      <c r="B26" t="inlineStr">
        <is>
          <t>Evaluación y decisión sobre los eventos de seguridad</t>
        </is>
      </c>
      <c r="C26" t="inlineStr">
        <is>
          <t>#Detectivo</t>
        </is>
      </c>
      <c r="D26" t="inlineStr">
        <is>
          <t>#Confidencialidad, #Integridad, #Disponibilidad</t>
        </is>
      </c>
      <c r="E26" t="inlineStr">
        <is>
          <t>#Detectar</t>
        </is>
      </c>
      <c r="F26" t="inlineStr">
        <is>
          <t>#Seguridad_de_la_información_gestión_de_eventos</t>
        </is>
      </c>
      <c r="G26" t="inlineStr">
        <is>
          <t>#Gobernanza_y_Ecosistema</t>
        </is>
      </c>
      <c r="H26" t="inlineStr">
        <is>
          <t>Obligatorio SEPS - Régimen Especial/Simplificado</t>
        </is>
      </c>
      <c r="I26" t="inlineStr">
        <is>
          <t>- (No tipificado en catálogo base)</t>
        </is>
      </c>
      <c r="J26" t="inlineStr">
        <is>
          <t>1. Regulatorio SEPS 002-2022 + ISO 27001</t>
        </is>
      </c>
      <c r="K26" t="inlineStr">
        <is>
          <t>Aplica</t>
        </is>
      </c>
      <c r="L26" t="inlineStr">
        <is>
          <t>Requerido por ente regulador SEPS</t>
        </is>
      </c>
    </row>
    <row r="27">
      <c r="A27" t="inlineStr">
        <is>
          <t>5.26</t>
        </is>
      </c>
      <c r="B27" t="inlineStr">
        <is>
          <t>Respuesta a los incidentes de seguridad de la información</t>
        </is>
      </c>
      <c r="C27" t="inlineStr">
        <is>
          <t>#Correctivo</t>
        </is>
      </c>
      <c r="D27" t="inlineStr">
        <is>
          <t>#Confidencialidad, #Integridad, #Disponibilidad</t>
        </is>
      </c>
      <c r="E27" t="inlineStr">
        <is>
          <t>#Responder</t>
        </is>
      </c>
      <c r="F27" t="inlineStr">
        <is>
          <t>#Seguridad_de_la_información_gestión_de_eventos</t>
        </is>
      </c>
      <c r="G27" t="inlineStr">
        <is>
          <t>#Gobernanza_y_Ecosistema</t>
        </is>
      </c>
      <c r="H27" t="inlineStr">
        <is>
          <t>Obligatorio SEPS - Régimen Especial/Simplificado</t>
        </is>
      </c>
      <c r="I27" t="inlineStr">
        <is>
          <t>- (No tipificado en catálogo base)</t>
        </is>
      </c>
      <c r="J27" t="inlineStr">
        <is>
          <t>1. Regulatorio SEPS 002-2022 + ISO 27001</t>
        </is>
      </c>
      <c r="K27" t="inlineStr">
        <is>
          <t>Aplica</t>
        </is>
      </c>
      <c r="L27" t="inlineStr">
        <is>
          <t>Requerido por ente regulador SEPS</t>
        </is>
      </c>
    </row>
    <row r="28">
      <c r="A28" t="inlineStr">
        <is>
          <t>5.27</t>
        </is>
      </c>
      <c r="B28" t="inlineStr">
        <is>
          <t>Aprendizaje de los incidentes de seguridad de la información</t>
        </is>
      </c>
      <c r="C28" t="inlineStr">
        <is>
          <t>#Preventivo</t>
        </is>
      </c>
      <c r="D28" t="inlineStr">
        <is>
          <t>#Confidencialidad, #Integridad, #Disponibilidad</t>
        </is>
      </c>
      <c r="E28" t="inlineStr">
        <is>
          <t>#Identificar</t>
        </is>
      </c>
      <c r="F28" t="inlineStr">
        <is>
          <t>#Seguridad_de_la_información_gestión_de_eventos</t>
        </is>
      </c>
      <c r="G28" t="inlineStr">
        <is>
          <t>#Gobernanza_y_Ecosistema</t>
        </is>
      </c>
      <c r="H28" t="inlineStr">
        <is>
          <t>Obligatorio SEPS - Régimen Especial/Simplificado</t>
        </is>
      </c>
      <c r="I28" t="inlineStr">
        <is>
          <t>- (No tipificado en catálogo base)</t>
        </is>
      </c>
      <c r="J28" t="inlineStr">
        <is>
          <t>1. Regulatorio SEPS 002-2022 + ISO 27001</t>
        </is>
      </c>
      <c r="K28" t="inlineStr">
        <is>
          <t>Aplica</t>
        </is>
      </c>
      <c r="L28" t="inlineStr">
        <is>
          <t>Requerido por ente regulador SEPS</t>
        </is>
      </c>
    </row>
    <row r="29">
      <c r="A29" t="inlineStr">
        <is>
          <t>5.28</t>
        </is>
      </c>
      <c r="B29" t="inlineStr">
        <is>
          <t>Recolección de evidencias</t>
        </is>
      </c>
      <c r="C29" t="inlineStr">
        <is>
          <t>#Preventivo, #Correctivo</t>
        </is>
      </c>
      <c r="D29" t="inlineStr">
        <is>
          <t>#Confidencialidad, #Integridad, #Disponibilidad</t>
        </is>
      </c>
      <c r="E29" t="inlineStr">
        <is>
          <t>#Responder</t>
        </is>
      </c>
      <c r="F29" t="inlineStr">
        <is>
          <t>#Seguridad_de_la_información_gestión_de_eventos</t>
        </is>
      </c>
      <c r="G29" t="inlineStr">
        <is>
          <t>#Gobernanza_y_Ecosistema</t>
        </is>
      </c>
      <c r="H29" t="inlineStr">
        <is>
          <t>Obligatorio SEPS - Régimen Especial/Simplificado</t>
        </is>
      </c>
      <c r="I29" t="inlineStr">
        <is>
          <t>- (No tipificado en catálogo base)</t>
        </is>
      </c>
      <c r="J29" t="inlineStr">
        <is>
          <t>1. Regulatorio SEPS 002-2022 + ISO 27001</t>
        </is>
      </c>
      <c r="K29" t="inlineStr">
        <is>
          <t>Aplica</t>
        </is>
      </c>
      <c r="L29" t="inlineStr">
        <is>
          <t>Requerido por ente regulador SEPS</t>
        </is>
      </c>
    </row>
    <row r="30">
      <c r="A30" t="inlineStr">
        <is>
          <t>5.29</t>
        </is>
      </c>
      <c r="B30" t="inlineStr">
        <is>
          <t>Seguridad de la información durante la interrupción</t>
        </is>
      </c>
      <c r="C30" t="inlineStr">
        <is>
          <t>#Preventivo</t>
        </is>
      </c>
      <c r="D30" t="inlineStr">
        <is>
          <t>#Confidencialidad, #Integridad, #Disponibilidad</t>
        </is>
      </c>
      <c r="E30" t="inlineStr">
        <is>
          <t>#Recuperar</t>
        </is>
      </c>
      <c r="F30" t="inlineStr">
        <is>
          <t>#Continuidad</t>
        </is>
      </c>
      <c r="G30" t="inlineStr">
        <is>
          <t>#Resiliencia</t>
        </is>
      </c>
      <c r="H30" t="inlineStr">
        <is>
          <t>Obligatorio SEPS - Régimen General (17 controles)</t>
        </is>
      </c>
      <c r="I30" t="inlineStr">
        <is>
          <t>C6: Procedimientos de reversión (rollback) / Respaldo</t>
        </is>
      </c>
      <c r="J30" t="inlineStr">
        <is>
          <t>2. Metodología Interna GSO-GSI + ISO 27001</t>
        </is>
      </c>
      <c r="K30" t="inlineStr">
        <is>
          <t>Aplica</t>
        </is>
      </c>
      <c r="L30" t="inlineStr">
        <is>
          <t>Requisito interno GSO-GSI</t>
        </is>
      </c>
    </row>
    <row r="31">
      <c r="A31" t="inlineStr">
        <is>
          <t>5.30</t>
        </is>
      </c>
      <c r="B31" t="inlineStr">
        <is>
          <t>Preparación de las TIC para la continuidad del negocio</t>
        </is>
      </c>
      <c r="C31" t="inlineStr">
        <is>
          <t>#Preventivo</t>
        </is>
      </c>
      <c r="D31" t="inlineStr">
        <is>
          <t>#Confidencialidad, #Integridad, #Disponibilidad</t>
        </is>
      </c>
      <c r="E31" t="inlineStr">
        <is>
          <t>#Recuperar</t>
        </is>
      </c>
      <c r="F31" t="inlineStr">
        <is>
          <t>#Continuidad</t>
        </is>
      </c>
      <c r="G31" t="inlineStr">
        <is>
          <t>#Resiliencia</t>
        </is>
      </c>
      <c r="H31" t="inlineStr">
        <is>
          <t>Obligatorio SEPS - Régimen General (17 controles)</t>
        </is>
      </c>
      <c r="I31" t="inlineStr">
        <is>
          <t>- (No tipificado en catálogo base)</t>
        </is>
      </c>
      <c r="J31" t="inlineStr">
        <is>
          <t>1. Regulatorio SEPS 002-2022 + ISO 27001</t>
        </is>
      </c>
      <c r="K31" t="inlineStr">
        <is>
          <t>Aplica</t>
        </is>
      </c>
      <c r="L31" t="inlineStr">
        <is>
          <t>Requerido por ente regulador SEPS</t>
        </is>
      </c>
    </row>
    <row r="32">
      <c r="A32" t="inlineStr">
        <is>
          <t>5.31</t>
        </is>
      </c>
      <c r="B32" t="inlineStr">
        <is>
          <t>Requisitos legales, estatutarios, reglamentarios y contractuales</t>
        </is>
      </c>
      <c r="C32" t="inlineStr">
        <is>
          <t>#Preventivo</t>
        </is>
      </c>
      <c r="D32" t="inlineStr">
        <is>
          <t>#Confidencialidad, #Integridad, #Disponibilidad</t>
        </is>
      </c>
      <c r="E32" t="inlineStr">
        <is>
          <t>#Identificar</t>
        </is>
      </c>
      <c r="F32" t="inlineStr">
        <is>
          <t>#Gobernanza</t>
        </is>
      </c>
      <c r="G32" t="inlineStr">
        <is>
          <t>#Gobernanza_y_Ecosistema</t>
        </is>
      </c>
      <c r="H32" t="inlineStr">
        <is>
          <t>Obligatorio SEPS - Régimen Especial/Simplificado</t>
        </is>
      </c>
      <c r="I32" t="inlineStr">
        <is>
          <t>- (No tipificado en catálogo base)</t>
        </is>
      </c>
      <c r="J32" t="inlineStr">
        <is>
          <t>1. Regulatorio SEPS 002-2022 + ISO 27001</t>
        </is>
      </c>
      <c r="K32" t="inlineStr">
        <is>
          <t>Aplica</t>
        </is>
      </c>
      <c r="L32" t="inlineStr">
        <is>
          <t>Requerido por ente regulador SEPS</t>
        </is>
      </c>
    </row>
    <row r="33">
      <c r="A33" t="inlineStr">
        <is>
          <t>5.32</t>
        </is>
      </c>
      <c r="B33" t="inlineStr">
        <is>
          <t>Derechos de propiedad intelectual</t>
        </is>
      </c>
      <c r="C33" t="inlineStr">
        <is>
          <t>#Preventivo</t>
        </is>
      </c>
      <c r="D33" t="inlineStr">
        <is>
          <t>#Confidencialidad, #Integridad, #Disponibilidad</t>
        </is>
      </c>
      <c r="E33" t="inlineStr">
        <is>
          <t>#Proteger</t>
        </is>
      </c>
      <c r="F33" t="inlineStr">
        <is>
          <t>#Gobernanza</t>
        </is>
      </c>
      <c r="G33" t="inlineStr">
        <is>
          <t>#Gobernanza_y_Ecosistema</t>
        </is>
      </c>
      <c r="H33" t="inlineStr">
        <is>
          <t>No Obligatorio SEPS (Mejor Práctica ISO Complementaria)</t>
        </is>
      </c>
      <c r="I33" t="inlineStr">
        <is>
          <t>- (No tipificado en catálogo base)</t>
        </is>
      </c>
      <c r="J33" t="inlineStr">
        <is>
          <t>3. Tratamiento de Riesgos Específico (ISO 27002 / MAGERIT)</t>
        </is>
      </c>
      <c r="K33" t="inlineStr">
        <is>
          <t>No Aplica</t>
        </is>
      </c>
      <c r="L33" t="inlineStr">
        <is>
          <t>No aplicable a la arquitectura/infraestructura actual</t>
        </is>
      </c>
    </row>
    <row r="34">
      <c r="A34" t="inlineStr">
        <is>
          <t>5.33</t>
        </is>
      </c>
      <c r="B34" t="inlineStr">
        <is>
          <t>Protección de los registros</t>
        </is>
      </c>
      <c r="C34" t="inlineStr">
        <is>
          <t>#Preventivo</t>
        </is>
      </c>
      <c r="D34" t="inlineStr">
        <is>
          <t>#Confidencialidad, #Integridad, #Disponibilidad</t>
        </is>
      </c>
      <c r="E34" t="inlineStr">
        <is>
          <t>#Proteger</t>
        </is>
      </c>
      <c r="F34" t="inlineStr">
        <is>
          <t>#Protección_de_la_información</t>
        </is>
      </c>
      <c r="G34" t="inlineStr">
        <is>
          <t>#Gobernanza_y_Ecosistema</t>
        </is>
      </c>
      <c r="H34" t="inlineStr">
        <is>
          <t>Obligatorio SEPS - Régimen Especial/Simplificado</t>
        </is>
      </c>
      <c r="I34" t="inlineStr">
        <is>
          <t>- (No tipificado en catálogo base)</t>
        </is>
      </c>
      <c r="J34" t="inlineStr">
        <is>
          <t>1. Regulatorio SEPS 002-2022 + ISO 27001</t>
        </is>
      </c>
      <c r="K34" t="inlineStr">
        <is>
          <t>Aplica</t>
        </is>
      </c>
      <c r="L34" t="inlineStr">
        <is>
          <t>Requerido por ente regulador SEPS</t>
        </is>
      </c>
    </row>
    <row r="35">
      <c r="A35" t="inlineStr">
        <is>
          <t>5.34</t>
        </is>
      </c>
      <c r="B35" t="inlineStr">
        <is>
          <t>Privacidad y protección de la información de identificación personal (PII)</t>
        </is>
      </c>
      <c r="C35" t="inlineStr">
        <is>
          <t>#Preventivo</t>
        </is>
      </c>
      <c r="D35" t="inlineStr">
        <is>
          <t>#Confidencialidad, #Integridad</t>
        </is>
      </c>
      <c r="E35" t="inlineStr">
        <is>
          <t>#Proteger</t>
        </is>
      </c>
      <c r="F35" t="inlineStr">
        <is>
          <t>#Gobernanza</t>
        </is>
      </c>
      <c r="G35" t="inlineStr">
        <is>
          <t>#Gobernanza_y_Ecosistema</t>
        </is>
      </c>
      <c r="H35" t="inlineStr">
        <is>
          <t>Obligatorio SEPS - Régimen Especial/Simplificado</t>
        </is>
      </c>
      <c r="I35" t="inlineStr">
        <is>
          <t>- (No tipificado en catálogo base)</t>
        </is>
      </c>
      <c r="J35" t="inlineStr">
        <is>
          <t>1. Regulatorio SEPS 002-2022 + ISO 27001</t>
        </is>
      </c>
      <c r="K35" t="inlineStr">
        <is>
          <t>Aplica</t>
        </is>
      </c>
      <c r="L35" t="inlineStr">
        <is>
          <t>Requerido por ente regulador SEPS</t>
        </is>
      </c>
    </row>
    <row r="36">
      <c r="A36" t="inlineStr">
        <is>
          <t>5.35</t>
        </is>
      </c>
      <c r="B36" t="inlineStr">
        <is>
          <t>Revisión independiente de la seguridad de la información</t>
        </is>
      </c>
      <c r="C36" t="inlineStr">
        <is>
          <t>#Preventivo</t>
        </is>
      </c>
      <c r="D36" t="inlineStr">
        <is>
          <t>#Confidencialidad, #Integridad, #Disponibilidad</t>
        </is>
      </c>
      <c r="E36" t="inlineStr">
        <is>
          <t>#Identificar</t>
        </is>
      </c>
      <c r="F36" t="inlineStr">
        <is>
          <t>#Información_seguridad_garantía</t>
        </is>
      </c>
      <c r="G36" t="inlineStr">
        <is>
          <t>#Gobernanza_y_Ecosistema</t>
        </is>
      </c>
      <c r="H36" t="inlineStr">
        <is>
          <t>Obligatorio SEPS - Régimen Especial/Simplificado</t>
        </is>
      </c>
      <c r="I36" t="inlineStr">
        <is>
          <t>- (No tipificado en catálogo base)</t>
        </is>
      </c>
      <c r="J36" t="inlineStr">
        <is>
          <t>1. Regulatorio SEPS 002-2022 + ISO 27001</t>
        </is>
      </c>
      <c r="K36" t="inlineStr">
        <is>
          <t>Aplica</t>
        </is>
      </c>
      <c r="L36" t="inlineStr">
        <is>
          <t>Requerido por ente regulador SEPS</t>
        </is>
      </c>
    </row>
    <row r="37">
      <c r="A37" t="inlineStr">
        <is>
          <t>5.36</t>
        </is>
      </c>
      <c r="B37" t="inlineStr">
        <is>
          <t>Cumplimiento de las políticas, normas y estándares de seguridad</t>
        </is>
      </c>
      <c r="C37" t="inlineStr">
        <is>
          <t>#Preventivo</t>
        </is>
      </c>
      <c r="D37" t="inlineStr">
        <is>
          <t>#Confidencialidad, #Integridad, #Disponibilidad</t>
        </is>
      </c>
      <c r="E37" t="inlineStr">
        <is>
          <t>#Identificar</t>
        </is>
      </c>
      <c r="F37" t="inlineStr">
        <is>
          <t>#Gobernanza</t>
        </is>
      </c>
      <c r="G37" t="inlineStr">
        <is>
          <t>#Gobernanza_y_Ecosistema</t>
        </is>
      </c>
      <c r="H37" t="inlineStr">
        <is>
          <t>Obligatorio SEPS - Régimen Especial/Simplificado</t>
        </is>
      </c>
      <c r="I37" t="inlineStr">
        <is>
          <t>- (No tipificado en catálogo base)</t>
        </is>
      </c>
      <c r="J37" t="inlineStr">
        <is>
          <t>1. Regulatorio SEPS 002-2022 + ISO 27001</t>
        </is>
      </c>
      <c r="K37" t="inlineStr">
        <is>
          <t>Aplica</t>
        </is>
      </c>
      <c r="L37" t="inlineStr">
        <is>
          <t>Requerido por ente regulador SEPS</t>
        </is>
      </c>
    </row>
    <row r="38">
      <c r="A38" t="inlineStr">
        <is>
          <t>5.37</t>
        </is>
      </c>
      <c r="B38" t="inlineStr">
        <is>
          <t>Procedimientos operativos documentados</t>
        </is>
      </c>
      <c r="C38" t="inlineStr">
        <is>
          <t>#Preventivo</t>
        </is>
      </c>
      <c r="D38" t="inlineStr">
        <is>
          <t>#Confidencialidad, #Integridad, #Disponibilidad</t>
        </is>
      </c>
      <c r="E38" t="inlineStr">
        <is>
          <t>#Proteger</t>
        </is>
      </c>
      <c r="F38" t="inlineStr">
        <is>
          <t>#Gobernanza</t>
        </is>
      </c>
      <c r="G38" t="inlineStr">
        <is>
          <t>#Gobernanza_y_Ecosistema</t>
        </is>
      </c>
      <c r="H38" t="inlineStr">
        <is>
          <t>Obligatorio SEPS - Régimen Especial/Simplificado</t>
        </is>
      </c>
      <c r="I38" t="inlineStr">
        <is>
          <t>- (No tipificado en catálogo base)</t>
        </is>
      </c>
      <c r="J38" t="inlineStr">
        <is>
          <t>1. Regulatorio SEPS 002-2022 + ISO 27001</t>
        </is>
      </c>
      <c r="K38" t="inlineStr">
        <is>
          <t>Aplica</t>
        </is>
      </c>
      <c r="L38" t="inlineStr">
        <is>
          <t>Requerido por ente regulador SEPS</t>
        </is>
      </c>
    </row>
    <row r="39">
      <c r="A39" t="inlineStr">
        <is>
          <t>6.1</t>
        </is>
      </c>
      <c r="B39" t="inlineStr">
        <is>
          <t>Investigación de antecedentes</t>
        </is>
      </c>
      <c r="C39" t="inlineStr">
        <is>
          <t>#Preventivo</t>
        </is>
      </c>
      <c r="D39" t="inlineStr">
        <is>
          <t>#Confidencialidad, #Integridad, #Disponibilidad</t>
        </is>
      </c>
      <c r="E39" t="inlineStr">
        <is>
          <t>#Proteger</t>
        </is>
      </c>
      <c r="F39" t="inlineStr">
        <is>
          <t>#Seguridad_de_recursos_humanos</t>
        </is>
      </c>
      <c r="G39" t="inlineStr">
        <is>
          <t>#Proteccion</t>
        </is>
      </c>
      <c r="H39" t="inlineStr">
        <is>
          <t>Obligatorio SEPS - Régimen General (17 controles)</t>
        </is>
      </c>
      <c r="I39" t="inlineStr">
        <is>
          <t>- (No tipificado en catálogo base)</t>
        </is>
      </c>
      <c r="J39" t="inlineStr">
        <is>
          <t>1. Regulatorio SEPS 002-2022 + ISO 27001</t>
        </is>
      </c>
      <c r="K39" t="inlineStr">
        <is>
          <t>Aplica</t>
        </is>
      </c>
      <c r="L39" t="inlineStr">
        <is>
          <t>Requerido por ente regulador SEPS</t>
        </is>
      </c>
    </row>
    <row r="40">
      <c r="A40" t="inlineStr">
        <is>
          <t>6.2</t>
        </is>
      </c>
      <c r="B40" t="inlineStr">
        <is>
          <t>Términos y condiciones de empleo</t>
        </is>
      </c>
      <c r="C40" t="inlineStr">
        <is>
          <t>#Preventivo</t>
        </is>
      </c>
      <c r="D40" t="inlineStr">
        <is>
          <t>#Confidencialidad, #Integridad, #Disponibilidad</t>
        </is>
      </c>
      <c r="E40" t="inlineStr">
        <is>
          <t>#Proteger</t>
        </is>
      </c>
      <c r="F40" t="inlineStr">
        <is>
          <t>#Seguridad_de_recursos_humanos</t>
        </is>
      </c>
      <c r="G40" t="inlineStr">
        <is>
          <t>#Proteccion</t>
        </is>
      </c>
      <c r="H40" t="inlineStr">
        <is>
          <t>Obligatorio SEPS - Régimen Especial/Simplificado</t>
        </is>
      </c>
      <c r="I40" t="inlineStr">
        <is>
          <t>- (No tipificado en catálogo base)</t>
        </is>
      </c>
      <c r="J40" t="inlineStr">
        <is>
          <t>1. Regulatorio SEPS 002-2022 + ISO 27001</t>
        </is>
      </c>
      <c r="K40" t="inlineStr">
        <is>
          <t>Aplica</t>
        </is>
      </c>
      <c r="L40" t="inlineStr">
        <is>
          <t>Requerido por ente regulador SEPS</t>
        </is>
      </c>
    </row>
    <row r="41">
      <c r="A41" t="inlineStr">
        <is>
          <t>6.3</t>
        </is>
      </c>
      <c r="B41" t="inlineStr">
        <is>
          <t>Concienciación, educación y capacitación</t>
        </is>
      </c>
      <c r="C41" t="inlineStr">
        <is>
          <t>#Preventivo</t>
        </is>
      </c>
      <c r="D41" t="inlineStr">
        <is>
          <t>#Confidencialidad, #Integridad, #Disponibilidad</t>
        </is>
      </c>
      <c r="E41" t="inlineStr">
        <is>
          <t>#Proteger</t>
        </is>
      </c>
      <c r="F41" t="inlineStr">
        <is>
          <t>#Seguridad_de_recursos_humanos</t>
        </is>
      </c>
      <c r="G41" t="inlineStr">
        <is>
          <t>#Proteccion</t>
        </is>
      </c>
      <c r="H41" t="inlineStr">
        <is>
          <t>Obligatorio SEPS - Régimen General (17 controles)</t>
        </is>
      </c>
      <c r="I41" t="inlineStr">
        <is>
          <t>C5: Programas de concienciación y capacitación</t>
        </is>
      </c>
      <c r="J41" t="inlineStr">
        <is>
          <t>2. Metodología Interna GSO-GSI + ISO 27001</t>
        </is>
      </c>
      <c r="K41" t="inlineStr">
        <is>
          <t>Aplica</t>
        </is>
      </c>
      <c r="L41" t="inlineStr">
        <is>
          <t>Requisito interno GSO-GSI</t>
        </is>
      </c>
    </row>
    <row r="42">
      <c r="A42" t="inlineStr">
        <is>
          <t>6.4</t>
        </is>
      </c>
      <c r="B42" t="inlineStr">
        <is>
          <t>Proceso disciplinario</t>
        </is>
      </c>
      <c r="C42" t="inlineStr">
        <is>
          <t>#Correctivo, #Preventivo</t>
        </is>
      </c>
      <c r="D42" t="inlineStr">
        <is>
          <t>#Confidencialidad, #Integridad, #Disponibilidad</t>
        </is>
      </c>
      <c r="E42" t="inlineStr">
        <is>
          <t>#Responder</t>
        </is>
      </c>
      <c r="F42" t="inlineStr">
        <is>
          <t>#Seguridad_de_recursos_humanos</t>
        </is>
      </c>
      <c r="G42" t="inlineStr">
        <is>
          <t>#Defensa</t>
        </is>
      </c>
      <c r="H42" t="inlineStr">
        <is>
          <t>Obligatorio SEPS - Régimen Especial/Simplificado</t>
        </is>
      </c>
      <c r="I42" t="inlineStr">
        <is>
          <t>- (No tipificado en catálogo base)</t>
        </is>
      </c>
      <c r="J42" t="inlineStr">
        <is>
          <t>1. Regulatorio SEPS 002-2022 + ISO 27001</t>
        </is>
      </c>
      <c r="K42" t="inlineStr">
        <is>
          <t>Aplica</t>
        </is>
      </c>
      <c r="L42" t="inlineStr">
        <is>
          <t>Requerido por ente regulador SEPS</t>
        </is>
      </c>
    </row>
    <row r="43">
      <c r="A43" t="inlineStr">
        <is>
          <t>6.5</t>
        </is>
      </c>
      <c r="B43" t="inlineStr">
        <is>
          <t>Responsabilidades después de la terminación o cambio de empleo</t>
        </is>
      </c>
      <c r="C43" t="inlineStr">
        <is>
          <t>#Preventivo</t>
        </is>
      </c>
      <c r="D43" t="inlineStr">
        <is>
          <t>#Confidencialidad, #Integridad, #Disponibilidad</t>
        </is>
      </c>
      <c r="E43" t="inlineStr">
        <is>
          <t>#Proteger</t>
        </is>
      </c>
      <c r="F43" t="inlineStr">
        <is>
          <t>#Seguridad_de_recursos_humanos</t>
        </is>
      </c>
      <c r="G43" t="inlineStr">
        <is>
          <t>#Proteccion</t>
        </is>
      </c>
      <c r="H43" t="inlineStr">
        <is>
          <t>Obligatorio SEPS - Régimen Especial/Simplificado</t>
        </is>
      </c>
      <c r="I43" t="inlineStr">
        <is>
          <t>- (No tipificado en catálogo base)</t>
        </is>
      </c>
      <c r="J43" t="inlineStr">
        <is>
          <t>1. Regulatorio SEPS 002-2022 + ISO 27001</t>
        </is>
      </c>
      <c r="K43" t="inlineStr">
        <is>
          <t>Aplica</t>
        </is>
      </c>
      <c r="L43" t="inlineStr">
        <is>
          <t>Requerido por ente regulador SEPS</t>
        </is>
      </c>
    </row>
    <row r="44">
      <c r="A44" t="inlineStr">
        <is>
          <t>6.6</t>
        </is>
      </c>
      <c r="B44" t="inlineStr">
        <is>
          <t>Acuerdos de confidencialidad o no divulgación</t>
        </is>
      </c>
      <c r="C44" t="inlineStr">
        <is>
          <t>#Preventivo</t>
        </is>
      </c>
      <c r="D44" t="inlineStr">
        <is>
          <t>#Confidencialidad, #Integridad, #Disponibilidad</t>
        </is>
      </c>
      <c r="E44" t="inlineStr">
        <is>
          <t>#Proteger</t>
        </is>
      </c>
      <c r="F44" t="inlineStr">
        <is>
          <t>#Seguridad_de_recursos_humanos</t>
        </is>
      </c>
      <c r="G44" t="inlineStr">
        <is>
          <t>#Proteccion</t>
        </is>
      </c>
      <c r="H44" t="inlineStr">
        <is>
          <t>Obligatorio SEPS - Régimen General (17 controles)</t>
        </is>
      </c>
      <c r="I44" t="inlineStr">
        <is>
          <t>C3: Acuerdos de confidencialidad</t>
        </is>
      </c>
      <c r="J44" t="inlineStr">
        <is>
          <t>2. Metodología Interna GSO-GSI + ISO 27001</t>
        </is>
      </c>
      <c r="K44" t="inlineStr">
        <is>
          <t>Aplica</t>
        </is>
      </c>
      <c r="L44" t="inlineStr">
        <is>
          <t>Requisito interno GSO-GSI</t>
        </is>
      </c>
    </row>
    <row r="45">
      <c r="A45" t="inlineStr">
        <is>
          <t>6.7</t>
        </is>
      </c>
      <c r="B45" t="inlineStr">
        <is>
          <t>Trabajo a distancia</t>
        </is>
      </c>
      <c r="C45" t="inlineStr">
        <is>
          <t>#Preventivo</t>
        </is>
      </c>
      <c r="D45" t="inlineStr">
        <is>
          <t>#Confidencialidad, #Integridad, #Disponibilidad</t>
        </is>
      </c>
      <c r="E45" t="inlineStr">
        <is>
          <t>#Proteger</t>
        </is>
      </c>
      <c r="F45" t="inlineStr">
        <is>
          <t>#Seguridad_de_recursos_humanos</t>
        </is>
      </c>
      <c r="G45" t="inlineStr">
        <is>
          <t>#Proteccion</t>
        </is>
      </c>
      <c r="H45" t="inlineStr">
        <is>
          <t>Obligatorio SEPS - Régimen Especial/Simplificado</t>
        </is>
      </c>
      <c r="I45" t="inlineStr">
        <is>
          <t>- (No tipificado en catálogo base)</t>
        </is>
      </c>
      <c r="J45" t="inlineStr">
        <is>
          <t>4. No Aplica</t>
        </is>
      </c>
      <c r="K45" t="inlineStr">
        <is>
          <t>No Aplica</t>
        </is>
      </c>
      <c r="L45" t="inlineStr">
        <is>
          <t>Control 6.7 no es pertinente a los procesos actuales de la entidad</t>
        </is>
      </c>
    </row>
    <row r="46">
      <c r="A46" t="inlineStr">
        <is>
          <t>6.8</t>
        </is>
      </c>
      <c r="B46" t="inlineStr">
        <is>
          <t>Notificación de eventos de seguridad de la información</t>
        </is>
      </c>
      <c r="C46" t="inlineStr">
        <is>
          <t>#Preventivo, #Detectivo</t>
        </is>
      </c>
      <c r="D46" t="inlineStr">
        <is>
          <t>#Confidencialidad, #Integridad, #Disponibilidad</t>
        </is>
      </c>
      <c r="E46" t="inlineStr">
        <is>
          <t>#Detectar</t>
        </is>
      </c>
      <c r="F46" t="inlineStr">
        <is>
          <t>#Seguridad_de_recursos_humanos</t>
        </is>
      </c>
      <c r="G46" t="inlineStr">
        <is>
          <t>#Defensa</t>
        </is>
      </c>
      <c r="H46" t="inlineStr">
        <is>
          <t>Obligatorio SEPS - Régimen Especial/Simplificado</t>
        </is>
      </c>
      <c r="I46" t="inlineStr">
        <is>
          <t>- (No tipificado en catálogo base)</t>
        </is>
      </c>
      <c r="J46" t="inlineStr">
        <is>
          <t>1. Regulatorio SEPS 002-2022 + ISO 27001</t>
        </is>
      </c>
      <c r="K46" t="inlineStr">
        <is>
          <t>Aplica</t>
        </is>
      </c>
      <c r="L46" t="inlineStr">
        <is>
          <t>Requerido por ente regulador SEPS</t>
        </is>
      </c>
    </row>
    <row r="47">
      <c r="A47" t="inlineStr">
        <is>
          <t>7.1</t>
        </is>
      </c>
      <c r="B47" t="inlineStr">
        <is>
          <t>Perímetros de seguridad física</t>
        </is>
      </c>
      <c r="C47" t="inlineStr">
        <is>
          <t>#Preventivo</t>
        </is>
      </c>
      <c r="D47" t="inlineStr">
        <is>
          <t>#Confidencialidad, #Integridad, #Disponibilidad</t>
        </is>
      </c>
      <c r="E47" t="inlineStr">
        <is>
          <t>#Proteger</t>
        </is>
      </c>
      <c r="F47" t="inlineStr">
        <is>
          <t>#Seguridad_física</t>
        </is>
      </c>
      <c r="G47" t="inlineStr">
        <is>
          <t>#Proteccion</t>
        </is>
      </c>
      <c r="H47" t="inlineStr">
        <is>
          <t>Obligatorio SEPS - Régimen General (17 controles)</t>
        </is>
      </c>
      <c r="I47" t="inlineStr">
        <is>
          <t>- (No tipificado en catálogo base)</t>
        </is>
      </c>
      <c r="J47" t="inlineStr">
        <is>
          <t>1. Regulatorio SEPS 002-2022 + ISO 27001</t>
        </is>
      </c>
      <c r="K47" t="inlineStr">
        <is>
          <t>Aplica</t>
        </is>
      </c>
      <c r="L47" t="inlineStr">
        <is>
          <t>Requerido por ente regulador SEPS</t>
        </is>
      </c>
    </row>
    <row r="48">
      <c r="A48" t="inlineStr">
        <is>
          <t>7.2</t>
        </is>
      </c>
      <c r="B48" t="inlineStr">
        <is>
          <t>Controles de entrada física</t>
        </is>
      </c>
      <c r="C48" t="inlineStr">
        <is>
          <t>#Preventivo</t>
        </is>
      </c>
      <c r="D48" t="inlineStr">
        <is>
          <t>#Confidencialidad, #Integridad, #Disponibilidad</t>
        </is>
      </c>
      <c r="E48" t="inlineStr">
        <is>
          <t>#Proteger</t>
        </is>
      </c>
      <c r="F48" t="inlineStr">
        <is>
          <t>#Seguridad_física</t>
        </is>
      </c>
      <c r="G48" t="inlineStr">
        <is>
          <t>#Proteccion</t>
        </is>
      </c>
      <c r="H48" t="inlineStr">
        <is>
          <t>Obligatorio SEPS - Régimen General (17 controles)</t>
        </is>
      </c>
      <c r="I48" t="inlineStr">
        <is>
          <t>- (No tipificado en catálogo base)</t>
        </is>
      </c>
      <c r="J48" t="inlineStr">
        <is>
          <t>1. Regulatorio SEPS 002-2022 + ISO 27001</t>
        </is>
      </c>
      <c r="K48" t="inlineStr">
        <is>
          <t>Aplica</t>
        </is>
      </c>
      <c r="L48" t="inlineStr">
        <is>
          <t>Requerido por ente regulador SEPS</t>
        </is>
      </c>
    </row>
    <row r="49">
      <c r="A49" t="inlineStr">
        <is>
          <t>7.3</t>
        </is>
      </c>
      <c r="B49" t="inlineStr">
        <is>
          <t>Seguridad de oficinas, despachos e instalaciones</t>
        </is>
      </c>
      <c r="C49" t="inlineStr">
        <is>
          <t>#Preventivo</t>
        </is>
      </c>
      <c r="D49" t="inlineStr">
        <is>
          <t>#Confidencialidad, #Integridad, #Disponibilidad</t>
        </is>
      </c>
      <c r="E49" t="inlineStr">
        <is>
          <t>#Proteger</t>
        </is>
      </c>
      <c r="F49" t="inlineStr">
        <is>
          <t>#Seguridad_física</t>
        </is>
      </c>
      <c r="G49" t="inlineStr">
        <is>
          <t>#Proteccion</t>
        </is>
      </c>
      <c r="H49" t="inlineStr">
        <is>
          <t>Obligatorio SEPS - Régimen Especial/Simplificado</t>
        </is>
      </c>
      <c r="I49" t="inlineStr">
        <is>
          <t>- (No tipificado en catálogo base)</t>
        </is>
      </c>
      <c r="J49" t="inlineStr">
        <is>
          <t>1. Regulatorio SEPS 002-2022 + ISO 27001</t>
        </is>
      </c>
      <c r="K49" t="inlineStr">
        <is>
          <t>Aplica</t>
        </is>
      </c>
      <c r="L49" t="inlineStr">
        <is>
          <t>Requerido por ente regulador SEPS</t>
        </is>
      </c>
    </row>
    <row r="50">
      <c r="A50" t="inlineStr">
        <is>
          <t>7.4</t>
        </is>
      </c>
      <c r="B50" t="inlineStr">
        <is>
          <t>Supervisión de la seguridad física</t>
        </is>
      </c>
      <c r="C50" t="inlineStr">
        <is>
          <t>#Detectivo</t>
        </is>
      </c>
      <c r="D50" t="inlineStr">
        <is>
          <t>#Confidencialidad, #Integridad, #Disponibilidad</t>
        </is>
      </c>
      <c r="E50" t="inlineStr">
        <is>
          <t>#Detectar</t>
        </is>
      </c>
      <c r="F50" t="inlineStr">
        <is>
          <t>#Seguridad_física</t>
        </is>
      </c>
      <c r="G50" t="inlineStr">
        <is>
          <t>#Proteccion</t>
        </is>
      </c>
      <c r="H50" t="inlineStr">
        <is>
          <t>Obligatorio SEPS - Régimen Especial/Simplificado</t>
        </is>
      </c>
      <c r="I50" t="inlineStr">
        <is>
          <t>- (No tipificado en catálogo base)</t>
        </is>
      </c>
      <c r="J50" t="inlineStr">
        <is>
          <t>1. Regulatorio SEPS 002-2022 + ISO 27001</t>
        </is>
      </c>
      <c r="K50" t="inlineStr">
        <is>
          <t>Aplica</t>
        </is>
      </c>
      <c r="L50" t="inlineStr">
        <is>
          <t>Requerido por ente regulador SEPS</t>
        </is>
      </c>
    </row>
    <row r="51">
      <c r="A51" t="inlineStr">
        <is>
          <t>7.5</t>
        </is>
      </c>
      <c r="B51" t="inlineStr">
        <is>
          <t>Protección contra amenazas físicas y ambientales</t>
        </is>
      </c>
      <c r="C51" t="inlineStr">
        <is>
          <t>#Preventivo</t>
        </is>
      </c>
      <c r="D51" t="inlineStr">
        <is>
          <t>#Confidencialidad, #Integridad, #Disponibilidad</t>
        </is>
      </c>
      <c r="E51" t="inlineStr">
        <is>
          <t>#Proteger</t>
        </is>
      </c>
      <c r="F51" t="inlineStr">
        <is>
          <t>#Seguridad_física</t>
        </is>
      </c>
      <c r="G51" t="inlineStr">
        <is>
          <t>#Resiliencia</t>
        </is>
      </c>
      <c r="H51" t="inlineStr">
        <is>
          <t>Obligatorio SEPS - Régimen Especial/Simplificado</t>
        </is>
      </c>
      <c r="I51" t="inlineStr">
        <is>
          <t>- (No tipificado en catálogo base)</t>
        </is>
      </c>
      <c r="J51" t="inlineStr">
        <is>
          <t>1. Regulatorio SEPS 002-2022 + ISO 27001</t>
        </is>
      </c>
      <c r="K51" t="inlineStr">
        <is>
          <t>Aplica</t>
        </is>
      </c>
      <c r="L51" t="inlineStr">
        <is>
          <t>Requerido por ente regulador SEPS</t>
        </is>
      </c>
    </row>
    <row r="52">
      <c r="A52" t="inlineStr">
        <is>
          <t>7.6</t>
        </is>
      </c>
      <c r="B52" t="inlineStr">
        <is>
          <t>Trabajo en áreas seguras</t>
        </is>
      </c>
      <c r="C52" t="inlineStr">
        <is>
          <t>#Preventivo</t>
        </is>
      </c>
      <c r="D52" t="inlineStr">
        <is>
          <t>#Confidencialidad, #Integridad, #Disponibilidad</t>
        </is>
      </c>
      <c r="E52" t="inlineStr">
        <is>
          <t>#Proteger</t>
        </is>
      </c>
      <c r="F52" t="inlineStr">
        <is>
          <t>#Seguridad_física</t>
        </is>
      </c>
      <c r="G52" t="inlineStr">
        <is>
          <t>#Proteccion</t>
        </is>
      </c>
      <c r="H52" t="inlineStr">
        <is>
          <t>Obligatorio SEPS - Régimen Especial/Simplificado</t>
        </is>
      </c>
      <c r="I52" t="inlineStr">
        <is>
          <t>- (No tipificado en catálogo base)</t>
        </is>
      </c>
      <c r="J52" t="inlineStr">
        <is>
          <t>1. Regulatorio SEPS 002-2022 + ISO 27001</t>
        </is>
      </c>
      <c r="K52" t="inlineStr">
        <is>
          <t>Aplica</t>
        </is>
      </c>
      <c r="L52" t="inlineStr">
        <is>
          <t>Requerido por ente regulador SEPS</t>
        </is>
      </c>
    </row>
    <row r="53">
      <c r="A53" t="inlineStr">
        <is>
          <t>7.7</t>
        </is>
      </c>
      <c r="B53" t="inlineStr">
        <is>
          <t>Política de escritorio despejado y pantalla despejada</t>
        </is>
      </c>
      <c r="C53" t="inlineStr">
        <is>
          <t>#Preventivo</t>
        </is>
      </c>
      <c r="D53" t="inlineStr">
        <is>
          <t>#Confidencialidad, #Integridad, #Disponibilidad</t>
        </is>
      </c>
      <c r="E53" t="inlineStr">
        <is>
          <t>#Proteger</t>
        </is>
      </c>
      <c r="F53" t="inlineStr">
        <is>
          <t>#Seguridad_física</t>
        </is>
      </c>
      <c r="G53" t="inlineStr">
        <is>
          <t>#Proteccion</t>
        </is>
      </c>
      <c r="H53" t="inlineStr">
        <is>
          <t>Obligatorio SEPS - Régimen Especial/Simplificado</t>
        </is>
      </c>
      <c r="I53" t="inlineStr">
        <is>
          <t>- (No tipificado en catálogo base)</t>
        </is>
      </c>
      <c r="J53" t="inlineStr">
        <is>
          <t>1. Regulatorio SEPS 002-2022 + ISO 27001</t>
        </is>
      </c>
      <c r="K53" t="inlineStr">
        <is>
          <t>Aplica</t>
        </is>
      </c>
      <c r="L53" t="inlineStr">
        <is>
          <t>Requerido por ente regulador SEPS</t>
        </is>
      </c>
    </row>
    <row r="54">
      <c r="A54" t="inlineStr">
        <is>
          <t>7.8</t>
        </is>
      </c>
      <c r="B54" t="inlineStr">
        <is>
          <t>Emplazamiento y protección de equipos</t>
        </is>
      </c>
      <c r="C54" t="inlineStr">
        <is>
          <t>#Preventivo</t>
        </is>
      </c>
      <c r="D54" t="inlineStr">
        <is>
          <t>#Confidencialidad, #Integridad, #Disponibilidad</t>
        </is>
      </c>
      <c r="E54" t="inlineStr">
        <is>
          <t>#Proteger</t>
        </is>
      </c>
      <c r="F54" t="inlineStr">
        <is>
          <t>#Seguridad_física</t>
        </is>
      </c>
      <c r="G54" t="inlineStr">
        <is>
          <t>#Proteccion</t>
        </is>
      </c>
      <c r="H54" t="inlineStr">
        <is>
          <t>Obligatorio SEPS - Régimen Especial/Simplificado</t>
        </is>
      </c>
      <c r="I54" t="inlineStr">
        <is>
          <t>- (No tipificado en catálogo base)</t>
        </is>
      </c>
      <c r="J54" t="inlineStr">
        <is>
          <t>1. Regulatorio SEPS 002-2022 + ISO 27001</t>
        </is>
      </c>
      <c r="K54" t="inlineStr">
        <is>
          <t>Aplica</t>
        </is>
      </c>
      <c r="L54" t="inlineStr">
        <is>
          <t>Requerido por ente regulador SEPS</t>
        </is>
      </c>
    </row>
    <row r="55">
      <c r="A55" t="inlineStr">
        <is>
          <t>7.9</t>
        </is>
      </c>
      <c r="B55" t="inlineStr">
        <is>
          <t>Seguridad de los activos fuera de las instalaciones</t>
        </is>
      </c>
      <c r="C55" t="inlineStr">
        <is>
          <t>#Preventivo</t>
        </is>
      </c>
      <c r="D55" t="inlineStr">
        <is>
          <t>#Confidencialidad, #Integridad, #Disponibilidad</t>
        </is>
      </c>
      <c r="E55" t="inlineStr">
        <is>
          <t>#Proteger</t>
        </is>
      </c>
      <c r="F55" t="inlineStr">
        <is>
          <t>#Gestión_de_activos</t>
        </is>
      </c>
      <c r="G55" t="inlineStr">
        <is>
          <t>#Proteccion</t>
        </is>
      </c>
      <c r="H55" t="inlineStr">
        <is>
          <t>Obligatorio SEPS - Régimen Especial/Simplificado</t>
        </is>
      </c>
      <c r="I55" t="inlineStr">
        <is>
          <t>- (No tipificado en catálogo base)</t>
        </is>
      </c>
      <c r="J55" t="inlineStr">
        <is>
          <t>1. Regulatorio SEPS 002-2022 + ISO 27001</t>
        </is>
      </c>
      <c r="K55" t="inlineStr">
        <is>
          <t>Aplica</t>
        </is>
      </c>
      <c r="L55" t="inlineStr">
        <is>
          <t>Requerido por ente regulador SEPS</t>
        </is>
      </c>
    </row>
    <row r="56">
      <c r="A56" t="inlineStr">
        <is>
          <t>7.10</t>
        </is>
      </c>
      <c r="B56" t="inlineStr">
        <is>
          <t>Soportes de almacenamiento</t>
        </is>
      </c>
      <c r="C56" t="inlineStr">
        <is>
          <t>#Preventivo</t>
        </is>
      </c>
      <c r="D56" t="inlineStr">
        <is>
          <t>#Confidencialidad, #Integridad, #Disponibilidad</t>
        </is>
      </c>
      <c r="E56" t="inlineStr">
        <is>
          <t>#Proteger</t>
        </is>
      </c>
      <c r="F56" t="inlineStr">
        <is>
          <t>#Gestión_de_activos</t>
        </is>
      </c>
      <c r="G56" t="inlineStr">
        <is>
          <t>#Proteccion</t>
        </is>
      </c>
      <c r="H56" t="inlineStr">
        <is>
          <t>Obligatorio SEPS - Régimen Especial/Simplificado</t>
        </is>
      </c>
      <c r="I56" t="inlineStr">
        <is>
          <t>- (No tipificado en catálogo base)</t>
        </is>
      </c>
      <c r="J56" t="inlineStr">
        <is>
          <t>1. Regulatorio SEPS 002-2022 + ISO 27001</t>
        </is>
      </c>
      <c r="K56" t="inlineStr">
        <is>
          <t>Aplica</t>
        </is>
      </c>
      <c r="L56" t="inlineStr">
        <is>
          <t>Requerido por ente regulador SEPS</t>
        </is>
      </c>
    </row>
    <row r="57">
      <c r="A57" t="inlineStr">
        <is>
          <t>7.11</t>
        </is>
      </c>
      <c r="B57" t="inlineStr">
        <is>
          <t>Servicios públicos</t>
        </is>
      </c>
      <c r="C57" t="inlineStr">
        <is>
          <t>#Preventivo</t>
        </is>
      </c>
      <c r="D57" t="inlineStr">
        <is>
          <t>#Confidencialidad, #Integridad, #Disponibilidad</t>
        </is>
      </c>
      <c r="E57" t="inlineStr">
        <is>
          <t>#Proteger</t>
        </is>
      </c>
      <c r="F57" t="inlineStr">
        <is>
          <t>#Seguridad_física</t>
        </is>
      </c>
      <c r="G57" t="inlineStr">
        <is>
          <t>#Resiliencia</t>
        </is>
      </c>
      <c r="H57" t="inlineStr">
        <is>
          <t>Obligatorio SEPS - Régimen Especial/Simplificado</t>
        </is>
      </c>
      <c r="I57" t="inlineStr">
        <is>
          <t>- (No tipificado en catálogo base)</t>
        </is>
      </c>
      <c r="J57" t="inlineStr">
        <is>
          <t>1. Regulatorio SEPS 002-2022 + ISO 27001</t>
        </is>
      </c>
      <c r="K57" t="inlineStr">
        <is>
          <t>Aplica</t>
        </is>
      </c>
      <c r="L57" t="inlineStr">
        <is>
          <t>Requerido por ente regulador SEPS</t>
        </is>
      </c>
    </row>
    <row r="58">
      <c r="A58" t="inlineStr">
        <is>
          <t>7.12</t>
        </is>
      </c>
      <c r="B58" t="inlineStr">
        <is>
          <t>Seguridad del cableado</t>
        </is>
      </c>
      <c r="C58" t="inlineStr">
        <is>
          <t>#Preventivo</t>
        </is>
      </c>
      <c r="D58" t="inlineStr">
        <is>
          <t>#Confidencialidad, #Integridad, #Disponibilidad</t>
        </is>
      </c>
      <c r="E58" t="inlineStr">
        <is>
          <t>#Proteger</t>
        </is>
      </c>
      <c r="F58" t="inlineStr">
        <is>
          <t>#Seguridad_física</t>
        </is>
      </c>
      <c r="G58" t="inlineStr">
        <is>
          <t>#Proteccion</t>
        </is>
      </c>
      <c r="H58" t="inlineStr">
        <is>
          <t>Obligatorio SEPS - Régimen Especial/Simplificado</t>
        </is>
      </c>
      <c r="I58" t="inlineStr">
        <is>
          <t>- (No tipificado en catálogo base)</t>
        </is>
      </c>
      <c r="J58" t="inlineStr">
        <is>
          <t>1. Regulatorio SEPS 002-2022 + ISO 27001</t>
        </is>
      </c>
      <c r="K58" t="inlineStr">
        <is>
          <t>Aplica</t>
        </is>
      </c>
      <c r="L58" t="inlineStr">
        <is>
          <t>Requerido por ente regulador SEPS</t>
        </is>
      </c>
    </row>
    <row r="59">
      <c r="A59" t="inlineStr">
        <is>
          <t>7.13</t>
        </is>
      </c>
      <c r="B59" t="inlineStr">
        <is>
          <t>Mantenimiento de equipos</t>
        </is>
      </c>
      <c r="C59" t="inlineStr">
        <is>
          <t>#Preventivo</t>
        </is>
      </c>
      <c r="D59" t="inlineStr">
        <is>
          <t>#Confidencialidad, #Integridad, #Disponibilidad</t>
        </is>
      </c>
      <c r="E59" t="inlineStr">
        <is>
          <t>#Proteger</t>
        </is>
      </c>
      <c r="F59" t="inlineStr">
        <is>
          <t>#Seguridad_física</t>
        </is>
      </c>
      <c r="G59" t="inlineStr">
        <is>
          <t>#Proteccion</t>
        </is>
      </c>
      <c r="H59" t="inlineStr">
        <is>
          <t>Obligatorio SEPS - Régimen Especial/Simplificado</t>
        </is>
      </c>
      <c r="I59" t="inlineStr">
        <is>
          <t>C11: Mantenimiento periódico de activos físicos</t>
        </is>
      </c>
      <c r="J59" t="inlineStr">
        <is>
          <t>2. Metodología Interna GSO-GSI + ISO 27001</t>
        </is>
      </c>
      <c r="K59" t="inlineStr">
        <is>
          <t>Aplica</t>
        </is>
      </c>
      <c r="L59" t="inlineStr">
        <is>
          <t>Requisito interno GSO-GSI</t>
        </is>
      </c>
    </row>
    <row r="60">
      <c r="A60" t="inlineStr">
        <is>
          <t>7.14</t>
        </is>
      </c>
      <c r="B60" t="inlineStr">
        <is>
          <t>Eliminación segura o reutilización de equipos</t>
        </is>
      </c>
      <c r="C60" t="inlineStr">
        <is>
          <t>#Preventivo</t>
        </is>
      </c>
      <c r="D60" t="inlineStr">
        <is>
          <t>#Confidencialidad, #Integridad, #Disponibilidad</t>
        </is>
      </c>
      <c r="E60" t="inlineStr">
        <is>
          <t>#Proteger</t>
        </is>
      </c>
      <c r="F60" t="inlineStr">
        <is>
          <t>#Seguridad_física</t>
        </is>
      </c>
      <c r="G60" t="inlineStr">
        <is>
          <t>#Proteccion</t>
        </is>
      </c>
      <c r="H60" t="inlineStr">
        <is>
          <t>Obligatorio SEPS - Régimen Especial/Simplificado</t>
        </is>
      </c>
      <c r="I60" t="inlineStr">
        <is>
          <t>- (No tipificado en catálogo base)</t>
        </is>
      </c>
      <c r="J60" t="inlineStr">
        <is>
          <t>1. Regulatorio SEPS 002-2022 + ISO 27001</t>
        </is>
      </c>
      <c r="K60" t="inlineStr">
        <is>
          <t>Aplica</t>
        </is>
      </c>
      <c r="L60" t="inlineStr">
        <is>
          <t>Requerido por ente regulador SEPS</t>
        </is>
      </c>
    </row>
    <row r="61">
      <c r="A61" t="inlineStr">
        <is>
          <t>8.1</t>
        </is>
      </c>
      <c r="B61" t="inlineStr">
        <is>
          <t>Dispositivos de punto final de usuario</t>
        </is>
      </c>
      <c r="C61" t="inlineStr">
        <is>
          <t>#Preventivo</t>
        </is>
      </c>
      <c r="D61" t="inlineStr">
        <is>
          <t>#Confidencialidad, #Integridad, #Disponibilidad</t>
        </is>
      </c>
      <c r="E61" t="inlineStr">
        <is>
          <t>#Proteger</t>
        </is>
      </c>
      <c r="F61" t="inlineStr">
        <is>
          <t>#Gestión_de_activos</t>
        </is>
      </c>
      <c r="G61" t="inlineStr">
        <is>
          <t>#Proteccion</t>
        </is>
      </c>
      <c r="H61" t="inlineStr">
        <is>
          <t>Obligatorio SEPS - Régimen Especial/Simplificado</t>
        </is>
      </c>
      <c r="I61" t="inlineStr">
        <is>
          <t>- (No tipificado en catálogo base)</t>
        </is>
      </c>
      <c r="J61" t="inlineStr">
        <is>
          <t>1. Regulatorio SEPS 002-2022 + ISO 27001</t>
        </is>
      </c>
      <c r="K61" t="inlineStr">
        <is>
          <t>Aplica</t>
        </is>
      </c>
      <c r="L61" t="inlineStr">
        <is>
          <t>Requerido por ente regulador SEPS</t>
        </is>
      </c>
    </row>
    <row r="62">
      <c r="A62" t="inlineStr">
        <is>
          <t>8.2</t>
        </is>
      </c>
      <c r="B62" t="inlineStr">
        <is>
          <t>Derechos de acceso privilegiado</t>
        </is>
      </c>
      <c r="C62" t="inlineStr">
        <is>
          <t>#Preventivo</t>
        </is>
      </c>
      <c r="D62" t="inlineStr">
        <is>
          <t>#Confidencialidad, #Integridad, #Disponibilidad</t>
        </is>
      </c>
      <c r="E62" t="inlineStr">
        <is>
          <t>#Proteger</t>
        </is>
      </c>
      <c r="F62" t="inlineStr">
        <is>
          <t>#Administración_de_identidad_y_acceso</t>
        </is>
      </c>
      <c r="G62" t="inlineStr">
        <is>
          <t>#Proteccion</t>
        </is>
      </c>
      <c r="H62" t="inlineStr">
        <is>
          <t>Obligatorio SEPS - Régimen General (17 controles)</t>
        </is>
      </c>
      <c r="I62" t="inlineStr">
        <is>
          <t>C9: Principio de mínimos privilegios</t>
        </is>
      </c>
      <c r="J62" t="inlineStr">
        <is>
          <t>2. Metodología Interna GSO-GSI + ISO 27001</t>
        </is>
      </c>
      <c r="K62" t="inlineStr">
        <is>
          <t>Aplica</t>
        </is>
      </c>
      <c r="L62" t="inlineStr">
        <is>
          <t>Requisito interno GSO-GSI</t>
        </is>
      </c>
    </row>
    <row r="63">
      <c r="A63" t="inlineStr">
        <is>
          <t>8.3</t>
        </is>
      </c>
      <c r="B63" t="inlineStr">
        <is>
          <t>Restricción del acceso a la información</t>
        </is>
      </c>
      <c r="C63" t="inlineStr">
        <is>
          <t>#Preventivo</t>
        </is>
      </c>
      <c r="D63" t="inlineStr">
        <is>
          <t>#Confidencialidad, #Integridad, #Disponibilidad</t>
        </is>
      </c>
      <c r="E63" t="inlineStr">
        <is>
          <t>#Proteger</t>
        </is>
      </c>
      <c r="F63" t="inlineStr">
        <is>
          <t>#Administración_de_identidad_y_acceso</t>
        </is>
      </c>
      <c r="G63" t="inlineStr">
        <is>
          <t>#Proteccion</t>
        </is>
      </c>
      <c r="H63" t="inlineStr">
        <is>
          <t>Obligatorio SEPS - Régimen Especial/Simplificado</t>
        </is>
      </c>
      <c r="I63" t="inlineStr">
        <is>
          <t>C4: Restricción del control de acceso</t>
        </is>
      </c>
      <c r="J63" t="inlineStr">
        <is>
          <t>2. Metodología Interna GSO-GSI + ISO 27001</t>
        </is>
      </c>
      <c r="K63" t="inlineStr">
        <is>
          <t>Aplica</t>
        </is>
      </c>
      <c r="L63" t="inlineStr">
        <is>
          <t>Requisito interno GSO-GSI</t>
        </is>
      </c>
    </row>
    <row r="64">
      <c r="A64" t="inlineStr">
        <is>
          <t>8.4</t>
        </is>
      </c>
      <c r="B64" t="inlineStr">
        <is>
          <t>Acceso al código fuente</t>
        </is>
      </c>
      <c r="C64" t="inlineStr">
        <is>
          <t>#Preventivo</t>
        </is>
      </c>
      <c r="D64" t="inlineStr">
        <is>
          <t>#Confidencialidad, #Integridad, #Disponibilidad</t>
        </is>
      </c>
      <c r="E64" t="inlineStr">
        <is>
          <t>#Proteger</t>
        </is>
      </c>
      <c r="F64" t="inlineStr">
        <is>
          <t>#Seguridad_de_aplicaciones</t>
        </is>
      </c>
      <c r="G64" t="inlineStr">
        <is>
          <t>#Proteccion</t>
        </is>
      </c>
      <c r="H64" t="inlineStr">
        <is>
          <t>Obligatorio SEPS - Régimen Especial/Simplificado</t>
        </is>
      </c>
      <c r="I64" t="inlineStr">
        <is>
          <t>- (No tipificado en catálogo base)</t>
        </is>
      </c>
      <c r="J64" t="inlineStr">
        <is>
          <t>1. Regulatorio SEPS 002-2022 + ISO 27001</t>
        </is>
      </c>
      <c r="K64" t="inlineStr">
        <is>
          <t>Aplica</t>
        </is>
      </c>
      <c r="L64" t="inlineStr">
        <is>
          <t>Requerido por ente regulador SEPS</t>
        </is>
      </c>
    </row>
    <row r="65">
      <c r="A65" t="inlineStr">
        <is>
          <t>8.5</t>
        </is>
      </c>
      <c r="B65" t="inlineStr">
        <is>
          <t>Autenticación segura</t>
        </is>
      </c>
      <c r="C65" t="inlineStr">
        <is>
          <t>#Preventivo</t>
        </is>
      </c>
      <c r="D65" t="inlineStr">
        <is>
          <t>#Confidencialidad, #Integridad, #Disponibilidad</t>
        </is>
      </c>
      <c r="E65" t="inlineStr">
        <is>
          <t>#Proteger</t>
        </is>
      </c>
      <c r="F65" t="inlineStr">
        <is>
          <t>#Administración_de_identidad_y_acceso</t>
        </is>
      </c>
      <c r="G65" t="inlineStr">
        <is>
          <t>#Proteccion</t>
        </is>
      </c>
      <c r="H65" t="inlineStr">
        <is>
          <t>Obligatorio SEPS - Régimen Especial/Simplificado</t>
        </is>
      </c>
      <c r="I65" t="inlineStr">
        <is>
          <t>- (No tipificado en catálogo base)</t>
        </is>
      </c>
      <c r="J65" t="inlineStr">
        <is>
          <t>1. Regulatorio SEPS 002-2022 + ISO 27001</t>
        </is>
      </c>
      <c r="K65" t="inlineStr">
        <is>
          <t>Aplica</t>
        </is>
      </c>
      <c r="L65" t="inlineStr">
        <is>
          <t>Requerido por ente regulador SEPS</t>
        </is>
      </c>
    </row>
    <row r="66">
      <c r="A66" t="inlineStr">
        <is>
          <t>8.6</t>
        </is>
      </c>
      <c r="B66" t="inlineStr">
        <is>
          <t>Gestión de capacidad</t>
        </is>
      </c>
      <c r="C66" t="inlineStr">
        <is>
          <t>#Preventivo</t>
        </is>
      </c>
      <c r="D66" t="inlineStr">
        <is>
          <t>#Confidencialidad, #Integridad, #Disponibilidad</t>
        </is>
      </c>
      <c r="E66" t="inlineStr">
        <is>
          <t>#Proteger</t>
        </is>
      </c>
      <c r="F66" t="inlineStr">
        <is>
          <t>#Seguridad_de_sistemas_y_redes</t>
        </is>
      </c>
      <c r="G66" t="inlineStr">
        <is>
          <t>#Resiliencia</t>
        </is>
      </c>
      <c r="H66" t="inlineStr">
        <is>
          <t>Obligatorio SEPS - Régimen Especial/Simplificado</t>
        </is>
      </c>
      <c r="I66" t="inlineStr">
        <is>
          <t>- (No tipificado en catálogo base)</t>
        </is>
      </c>
      <c r="J66" t="inlineStr">
        <is>
          <t>1. Regulatorio SEPS 002-2022 + ISO 27001</t>
        </is>
      </c>
      <c r="K66" t="inlineStr">
        <is>
          <t>Aplica</t>
        </is>
      </c>
      <c r="L66" t="inlineStr">
        <is>
          <t>Requerido por ente regulador SEPS</t>
        </is>
      </c>
    </row>
    <row r="67">
      <c r="A67" t="inlineStr">
        <is>
          <t>8.7</t>
        </is>
      </c>
      <c r="B67" t="inlineStr">
        <is>
          <t>Protección contra malware</t>
        </is>
      </c>
      <c r="C67" t="inlineStr">
        <is>
          <t>#Preventivo, #Detectivo, #Correctivo</t>
        </is>
      </c>
      <c r="D67" t="inlineStr">
        <is>
          <t>#Confidencialidad, #Integridad, #Disponibilidad</t>
        </is>
      </c>
      <c r="E67" t="inlineStr">
        <is>
          <t>#Proteger</t>
        </is>
      </c>
      <c r="F67" t="inlineStr">
        <is>
          <t>#Seguridad_de_sistemas_y_redes</t>
        </is>
      </c>
      <c r="G67" t="inlineStr">
        <is>
          <t>#Defensa</t>
        </is>
      </c>
      <c r="H67" t="inlineStr">
        <is>
          <t>Obligatorio SEPS - Régimen General (17 controles)</t>
        </is>
      </c>
      <c r="I67" t="inlineStr">
        <is>
          <t>- (No tipificado en catálogo base)</t>
        </is>
      </c>
      <c r="J67" t="inlineStr">
        <is>
          <t>1. Regulatorio SEPS 002-2022 + ISO 27001</t>
        </is>
      </c>
      <c r="K67" t="inlineStr">
        <is>
          <t>Aplica</t>
        </is>
      </c>
      <c r="L67" t="inlineStr">
        <is>
          <t>Requerido por ente regulador SEPS</t>
        </is>
      </c>
    </row>
    <row r="68">
      <c r="A68" t="inlineStr">
        <is>
          <t>8.8</t>
        </is>
      </c>
      <c r="B68" t="inlineStr">
        <is>
          <t>Gestión de vulnerabilidades técnicas</t>
        </is>
      </c>
      <c r="C68" t="inlineStr">
        <is>
          <t>#Preventivo, #Correctivo</t>
        </is>
      </c>
      <c r="D68" t="inlineStr">
        <is>
          <t>#Confidencialidad, #Integridad, #Disponibilidad</t>
        </is>
      </c>
      <c r="E68" t="inlineStr">
        <is>
          <t>#Proteger</t>
        </is>
      </c>
      <c r="F68" t="inlineStr">
        <is>
          <t>#Gestión_de_amenazas_y_vulnerabilidades</t>
        </is>
      </c>
      <c r="G68" t="inlineStr">
        <is>
          <t>#Defensa</t>
        </is>
      </c>
      <c r="H68" t="inlineStr">
        <is>
          <t>Obligatorio SEPS - Régimen General (17 controles)</t>
        </is>
      </c>
      <c r="I68" t="inlineStr">
        <is>
          <t>C12: Actualizaciones periódicas firmware/software</t>
        </is>
      </c>
      <c r="J68" t="inlineStr">
        <is>
          <t>2. Metodología Interna GSO-GSI + ISO 27001</t>
        </is>
      </c>
      <c r="K68" t="inlineStr">
        <is>
          <t>Aplica</t>
        </is>
      </c>
      <c r="L68" t="inlineStr">
        <is>
          <t>Requisito interno GSO-GSI</t>
        </is>
      </c>
    </row>
    <row r="69">
      <c r="A69" t="inlineStr">
        <is>
          <t>8.9</t>
        </is>
      </c>
      <c r="B69" t="inlineStr">
        <is>
          <t>Gestión de la configuración</t>
        </is>
      </c>
      <c r="C69" t="inlineStr">
        <is>
          <t>#Preventivo</t>
        </is>
      </c>
      <c r="D69" t="inlineStr">
        <is>
          <t>#Confidencialidad, #Integridad, #Disponibilidad</t>
        </is>
      </c>
      <c r="E69" t="inlineStr">
        <is>
          <t>#Proteger</t>
        </is>
      </c>
      <c r="F69" t="inlineStr">
        <is>
          <t>#Configuración_segura</t>
        </is>
      </c>
      <c r="G69" t="inlineStr">
        <is>
          <t>#Proteccion</t>
        </is>
      </c>
      <c r="H69" t="inlineStr">
        <is>
          <t>Obligatorio SEPS - Régimen General (17 controles)</t>
        </is>
      </c>
      <c r="I69" t="inlineStr">
        <is>
          <t>C52: Mantenimiento preventivo / Configuración segura</t>
        </is>
      </c>
      <c r="J69" t="inlineStr">
        <is>
          <t>2. Metodología Interna GSO-GSI + ISO 27001</t>
        </is>
      </c>
      <c r="K69" t="inlineStr">
        <is>
          <t>Aplica</t>
        </is>
      </c>
      <c r="L69" t="inlineStr">
        <is>
          <t>Requisito interno GSO-GSI</t>
        </is>
      </c>
    </row>
    <row r="70">
      <c r="A70" t="inlineStr">
        <is>
          <t>8.10</t>
        </is>
      </c>
      <c r="B70" t="inlineStr">
        <is>
          <t>Eliminación de información</t>
        </is>
      </c>
      <c r="C70" t="inlineStr">
        <is>
          <t>#Preventivo</t>
        </is>
      </c>
      <c r="D70" t="inlineStr">
        <is>
          <t>#Confidencialidad, #Integridad, #Disponibilidad</t>
        </is>
      </c>
      <c r="E70" t="inlineStr">
        <is>
          <t>#Proteger</t>
        </is>
      </c>
      <c r="F70" t="inlineStr">
        <is>
          <t>#Protección_de_la_información</t>
        </is>
      </c>
      <c r="G70" t="inlineStr">
        <is>
          <t>#Proteccion</t>
        </is>
      </c>
      <c r="H70" t="inlineStr">
        <is>
          <t>Obligatorio SEPS - Régimen Especial/Simplificado</t>
        </is>
      </c>
      <c r="I70" t="inlineStr">
        <is>
          <t>- (No tipificado en catálogo base)</t>
        </is>
      </c>
      <c r="J70" t="inlineStr">
        <is>
          <t>1. Regulatorio SEPS 002-2022 + ISO 27001</t>
        </is>
      </c>
      <c r="K70" t="inlineStr">
        <is>
          <t>Aplica</t>
        </is>
      </c>
      <c r="L70" t="inlineStr">
        <is>
          <t>Requerido por ente regulador SEPS</t>
        </is>
      </c>
    </row>
    <row r="71">
      <c r="A71" t="inlineStr">
        <is>
          <t>8.11</t>
        </is>
      </c>
      <c r="B71" t="inlineStr">
        <is>
          <t>Enmascaramiento de datos</t>
        </is>
      </c>
      <c r="C71" t="inlineStr">
        <is>
          <t>#Preventivo</t>
        </is>
      </c>
      <c r="D71" t="inlineStr">
        <is>
          <t>#Confidencialidad, #Integridad, #Disponibilidad</t>
        </is>
      </c>
      <c r="E71" t="inlineStr">
        <is>
          <t>#Proteger</t>
        </is>
      </c>
      <c r="F71" t="inlineStr">
        <is>
          <t>#Protección_de_la_información</t>
        </is>
      </c>
      <c r="G71" t="inlineStr">
        <is>
          <t>#Proteccion</t>
        </is>
      </c>
      <c r="H71" t="inlineStr">
        <is>
          <t>No Obligatorio SEPS (Mejor Práctica ISO Complementaria)</t>
        </is>
      </c>
      <c r="I71" t="inlineStr">
        <is>
          <t>- (No tipificado en catálogo base)</t>
        </is>
      </c>
      <c r="J71" t="inlineStr">
        <is>
          <t>3. Tratamiento de Riesgos Específico (ISO 27002 / MAGERIT)</t>
        </is>
      </c>
      <c r="K71" t="inlineStr">
        <is>
          <t>Aplica</t>
        </is>
      </c>
      <c r="L71" t="inlineStr">
        <is>
          <t>Requisito de control complementario y mejor práctica de seguridad</t>
        </is>
      </c>
    </row>
    <row r="72">
      <c r="A72" t="inlineStr">
        <is>
          <t>8.12</t>
        </is>
      </c>
      <c r="B72" t="inlineStr">
        <is>
          <t>Prevención de fuga de datos</t>
        </is>
      </c>
      <c r="C72" t="inlineStr">
        <is>
          <t>#Preventivo, #Detectivo</t>
        </is>
      </c>
      <c r="D72" t="inlineStr">
        <is>
          <t>#Confidencialidad, #Integridad, #Disponibilidad</t>
        </is>
      </c>
      <c r="E72" t="inlineStr">
        <is>
          <t>#Proteger</t>
        </is>
      </c>
      <c r="F72" t="inlineStr">
        <is>
          <t>#Protección_de_la_información</t>
        </is>
      </c>
      <c r="G72" t="inlineStr">
        <is>
          <t>#Proteccion</t>
        </is>
      </c>
      <c r="H72" t="inlineStr">
        <is>
          <t>Obligatorio SEPS - Régimen Especial/Simplificado</t>
        </is>
      </c>
      <c r="I72" t="inlineStr">
        <is>
          <t>- (No tipificado en catálogo base)</t>
        </is>
      </c>
      <c r="J72" t="inlineStr">
        <is>
          <t>1. Regulatorio SEPS 002-2022 + ISO 27001</t>
        </is>
      </c>
      <c r="K72" t="inlineStr">
        <is>
          <t>Aplica</t>
        </is>
      </c>
      <c r="L72" t="inlineStr">
        <is>
          <t>Requerido por ente regulador SEPS</t>
        </is>
      </c>
    </row>
    <row r="73">
      <c r="A73" t="inlineStr">
        <is>
          <t>8.13</t>
        </is>
      </c>
      <c r="B73" t="inlineStr">
        <is>
          <t>Copias de seguridad de la información</t>
        </is>
      </c>
      <c r="C73" t="inlineStr">
        <is>
          <t>#Preventivo, #Correctivo</t>
        </is>
      </c>
      <c r="D73" t="inlineStr">
        <is>
          <t>#Confidencialidad, #Integridad, #Disponibilidad</t>
        </is>
      </c>
      <c r="E73" t="inlineStr">
        <is>
          <t>#Recuperar</t>
        </is>
      </c>
      <c r="F73" t="inlineStr">
        <is>
          <t>#Continuidad</t>
        </is>
      </c>
      <c r="G73" t="inlineStr">
        <is>
          <t>#Resiliencia</t>
        </is>
      </c>
      <c r="H73" t="inlineStr">
        <is>
          <t>Obligatorio SEPS - Régimen General (17 controles)</t>
        </is>
      </c>
      <c r="I73" t="inlineStr">
        <is>
          <t>C6: Procedimientos de reversión (rollback) / Respaldo</t>
        </is>
      </c>
      <c r="J73" t="inlineStr">
        <is>
          <t>2. Metodología Interna GSO-GSI + ISO 27001</t>
        </is>
      </c>
      <c r="K73" t="inlineStr">
        <is>
          <t>Aplica</t>
        </is>
      </c>
      <c r="L73" t="inlineStr">
        <is>
          <t>Requisito interno GSO-GSI</t>
        </is>
      </c>
    </row>
    <row r="74">
      <c r="A74" t="inlineStr">
        <is>
          <t>8.14</t>
        </is>
      </c>
      <c r="B74" t="inlineStr">
        <is>
          <t>Redundancia de las instalaciones de procesamiento de información</t>
        </is>
      </c>
      <c r="C74" t="inlineStr">
        <is>
          <t>#Preventivo</t>
        </is>
      </c>
      <c r="D74" t="inlineStr">
        <is>
          <t>#Confidencialidad, #Integridad, #Disponibilidad</t>
        </is>
      </c>
      <c r="E74" t="inlineStr">
        <is>
          <t>#Recuperar</t>
        </is>
      </c>
      <c r="F74" t="inlineStr">
        <is>
          <t>#Continuidad</t>
        </is>
      </c>
      <c r="G74" t="inlineStr">
        <is>
          <t>#Resiliencia</t>
        </is>
      </c>
      <c r="H74" t="inlineStr">
        <is>
          <t>Obligatorio SEPS - Régimen Especial/Simplificado</t>
        </is>
      </c>
      <c r="I74" t="inlineStr">
        <is>
          <t>- (No tipificado en catálogo base)</t>
        </is>
      </c>
      <c r="J74" t="inlineStr">
        <is>
          <t>1. Regulatorio SEPS 002-2022 + ISO 27001</t>
        </is>
      </c>
      <c r="K74" t="inlineStr">
        <is>
          <t>Aplica</t>
        </is>
      </c>
      <c r="L74" t="inlineStr">
        <is>
          <t>Requerido por ente regulador SEPS</t>
        </is>
      </c>
    </row>
    <row r="75">
      <c r="A75" t="inlineStr">
        <is>
          <t>8.15</t>
        </is>
      </c>
      <c r="B75" t="inlineStr">
        <is>
          <t>Registro de eventos (Logging)</t>
        </is>
      </c>
      <c r="C75" t="inlineStr">
        <is>
          <t>#Detectivo</t>
        </is>
      </c>
      <c r="D75" t="inlineStr">
        <is>
          <t>#Confidencialidad, #Integridad, #Disponibilidad</t>
        </is>
      </c>
      <c r="E75" t="inlineStr">
        <is>
          <t>#Detectar</t>
        </is>
      </c>
      <c r="F75" t="inlineStr">
        <is>
          <t>#Seguridad_de_la_información_gestión_de_eventos</t>
        </is>
      </c>
      <c r="G75" t="inlineStr">
        <is>
          <t>#Defensa</t>
        </is>
      </c>
      <c r="H75" t="inlineStr">
        <is>
          <t>Obligatorio SEPS - Régimen General (17 controles)</t>
        </is>
      </c>
      <c r="I75" t="inlineStr">
        <is>
          <t>C10: Registro de fallos en el control de acceso</t>
        </is>
      </c>
      <c r="J75" t="inlineStr">
        <is>
          <t>2. Metodología Interna GSO-GSI + ISO 27001</t>
        </is>
      </c>
      <c r="K75" t="inlineStr">
        <is>
          <t>Aplica</t>
        </is>
      </c>
      <c r="L75" t="inlineStr">
        <is>
          <t>Requisito interno GSO-GSI</t>
        </is>
      </c>
    </row>
    <row r="76">
      <c r="A76" t="inlineStr">
        <is>
          <t>8.16</t>
        </is>
      </c>
      <c r="B76" t="inlineStr">
        <is>
          <t>Actividades de seguimiento (Monitoring)</t>
        </is>
      </c>
      <c r="C76" t="inlineStr">
        <is>
          <t>#Detectivo</t>
        </is>
      </c>
      <c r="D76" t="inlineStr">
        <is>
          <t>#Confidencialidad, #Integridad, #Disponibilidad</t>
        </is>
      </c>
      <c r="E76" t="inlineStr">
        <is>
          <t>#Detectar</t>
        </is>
      </c>
      <c r="F76" t="inlineStr">
        <is>
          <t>#Seguridad_de_la_información_gestión_de_eventos</t>
        </is>
      </c>
      <c r="G76" t="inlineStr">
        <is>
          <t>#Defensa</t>
        </is>
      </c>
      <c r="H76" t="inlineStr">
        <is>
          <t>Obligatorio SEPS - Régimen General (17 controles)</t>
        </is>
      </c>
      <c r="I76" t="inlineStr">
        <is>
          <t>C13: Monitoreo y control</t>
        </is>
      </c>
      <c r="J76" t="inlineStr">
        <is>
          <t>2. Metodología Interna GSO-GSI + ISO 27001</t>
        </is>
      </c>
      <c r="K76" t="inlineStr">
        <is>
          <t>Aplica</t>
        </is>
      </c>
      <c r="L76" t="inlineStr">
        <is>
          <t>Requisito interno GSO-GSI</t>
        </is>
      </c>
    </row>
    <row r="77">
      <c r="A77" t="inlineStr">
        <is>
          <t>8.17</t>
        </is>
      </c>
      <c r="B77" t="inlineStr">
        <is>
          <t>Sincronización de relojes</t>
        </is>
      </c>
      <c r="C77" t="inlineStr">
        <is>
          <t>#Preventivo</t>
        </is>
      </c>
      <c r="D77" t="inlineStr">
        <is>
          <t>#Confidencialidad, #Integridad, #Disponibilidad</t>
        </is>
      </c>
      <c r="E77" t="inlineStr">
        <is>
          <t>#Proteger</t>
        </is>
      </c>
      <c r="F77" t="inlineStr">
        <is>
          <t>#Seguridad_de_sistemas_y_redes</t>
        </is>
      </c>
      <c r="G77" t="inlineStr">
        <is>
          <t>#Proteccion</t>
        </is>
      </c>
      <c r="H77" t="inlineStr">
        <is>
          <t>Obligatorio SEPS - Régimen Especial/Simplificado</t>
        </is>
      </c>
      <c r="I77" t="inlineStr">
        <is>
          <t>- (No tipificado en catálogo base)</t>
        </is>
      </c>
      <c r="J77" t="inlineStr">
        <is>
          <t>1. Regulatorio SEPS 002-2022 + ISO 27001</t>
        </is>
      </c>
      <c r="K77" t="inlineStr">
        <is>
          <t>Aplica</t>
        </is>
      </c>
      <c r="L77" t="inlineStr">
        <is>
          <t>Requerido por ente regulador SEPS</t>
        </is>
      </c>
    </row>
    <row r="78">
      <c r="A78" t="inlineStr">
        <is>
          <t>8.18</t>
        </is>
      </c>
      <c r="B78" t="inlineStr">
        <is>
          <t>Uso de programas de utilidad privilegiados</t>
        </is>
      </c>
      <c r="C78" t="inlineStr">
        <is>
          <t>#Preventivo</t>
        </is>
      </c>
      <c r="D78" t="inlineStr">
        <is>
          <t>#Confidencialidad, #Integridad, #Disponibilidad</t>
        </is>
      </c>
      <c r="E78" t="inlineStr">
        <is>
          <t>#Proteger</t>
        </is>
      </c>
      <c r="F78" t="inlineStr">
        <is>
          <t>#Administración_de_identidad_y_acceso</t>
        </is>
      </c>
      <c r="G78" t="inlineStr">
        <is>
          <t>#Proteccion</t>
        </is>
      </c>
      <c r="H78" t="inlineStr">
        <is>
          <t>Obligatorio SEPS - Régimen Especial/Simplificado</t>
        </is>
      </c>
      <c r="I78" t="inlineStr">
        <is>
          <t>- (No tipificado en catálogo base)</t>
        </is>
      </c>
      <c r="J78" t="inlineStr">
        <is>
          <t>1. Regulatorio SEPS 002-2022 + ISO 27001</t>
        </is>
      </c>
      <c r="K78" t="inlineStr">
        <is>
          <t>Aplica</t>
        </is>
      </c>
      <c r="L78" t="inlineStr">
        <is>
          <t>Requerido por ente regulador SEPS</t>
        </is>
      </c>
    </row>
    <row r="79">
      <c r="A79" t="inlineStr">
        <is>
          <t>8.19</t>
        </is>
      </c>
      <c r="B79" t="inlineStr">
        <is>
          <t>Instalación de software en sistemas operativos</t>
        </is>
      </c>
      <c r="C79" t="inlineStr">
        <is>
          <t>#Preventivo</t>
        </is>
      </c>
      <c r="D79" t="inlineStr">
        <is>
          <t>#Confidencialidad, #Integridad, #Disponibilidad</t>
        </is>
      </c>
      <c r="E79" t="inlineStr">
        <is>
          <t>#Proteger</t>
        </is>
      </c>
      <c r="F79" t="inlineStr">
        <is>
          <t>#Configuración_segura</t>
        </is>
      </c>
      <c r="G79" t="inlineStr">
        <is>
          <t>#Proteccion</t>
        </is>
      </c>
      <c r="H79" t="inlineStr">
        <is>
          <t>Obligatorio SEPS - Régimen Especial/Simplificado</t>
        </is>
      </c>
      <c r="I79" t="inlineStr">
        <is>
          <t>C12: Actualizaciones periódicas firmware/software</t>
        </is>
      </c>
      <c r="J79" t="inlineStr">
        <is>
          <t>2. Metodología Interna GSO-GSI + ISO 27001</t>
        </is>
      </c>
      <c r="K79" t="inlineStr">
        <is>
          <t>Aplica</t>
        </is>
      </c>
      <c r="L79" t="inlineStr">
        <is>
          <t>Requisito interno GSO-GSI</t>
        </is>
      </c>
    </row>
    <row r="80">
      <c r="A80" t="inlineStr">
        <is>
          <t>8.20</t>
        </is>
      </c>
      <c r="B80" t="inlineStr">
        <is>
          <t>Seguridad de las redes</t>
        </is>
      </c>
      <c r="C80" t="inlineStr">
        <is>
          <t>#Preventivo</t>
        </is>
      </c>
      <c r="D80" t="inlineStr">
        <is>
          <t>#Confidencialidad, #Integridad, #Disponibilidad</t>
        </is>
      </c>
      <c r="E80" t="inlineStr">
        <is>
          <t>#Proteger</t>
        </is>
      </c>
      <c r="F80" t="inlineStr">
        <is>
          <t>#Seguridad_de_sistemas_y_redes</t>
        </is>
      </c>
      <c r="G80" t="inlineStr">
        <is>
          <t>#Proteccion</t>
        </is>
      </c>
      <c r="H80" t="inlineStr">
        <is>
          <t>Obligatorio SEPS - Régimen Especial/Simplificado</t>
        </is>
      </c>
      <c r="I80" t="inlineStr">
        <is>
          <t>C52: Mantenimiento preventivo / Configuración segura</t>
        </is>
      </c>
      <c r="J80" t="inlineStr">
        <is>
          <t>2. Metodología Interna GSO-GSI + ISO 27001</t>
        </is>
      </c>
      <c r="K80" t="inlineStr">
        <is>
          <t>Aplica</t>
        </is>
      </c>
      <c r="L80" t="inlineStr">
        <is>
          <t>Requisito interno GSO-GSI</t>
        </is>
      </c>
    </row>
    <row r="81">
      <c r="A81" t="inlineStr">
        <is>
          <t>8.21</t>
        </is>
      </c>
      <c r="B81" t="inlineStr">
        <is>
          <t>Seguridad de los servicios de red</t>
        </is>
      </c>
      <c r="C81" t="inlineStr">
        <is>
          <t>#Preventivo</t>
        </is>
      </c>
      <c r="D81" t="inlineStr">
        <is>
          <t>#Confidencialidad, #Integridad, #Disponibilidad</t>
        </is>
      </c>
      <c r="E81" t="inlineStr">
        <is>
          <t>#Proteger</t>
        </is>
      </c>
      <c r="F81" t="inlineStr">
        <is>
          <t>#Seguridad_de_sistemas_y_redes</t>
        </is>
      </c>
      <c r="G81" t="inlineStr">
        <is>
          <t>#Proteccion</t>
        </is>
      </c>
      <c r="H81" t="inlineStr">
        <is>
          <t>Obligatorio SEPS - Régimen Especial/Simplificado</t>
        </is>
      </c>
      <c r="I81" t="inlineStr">
        <is>
          <t>- (No tipificado en catálogo base)</t>
        </is>
      </c>
      <c r="J81" t="inlineStr">
        <is>
          <t>1. Regulatorio SEPS 002-2022 + ISO 27001</t>
        </is>
      </c>
      <c r="K81" t="inlineStr">
        <is>
          <t>Aplica</t>
        </is>
      </c>
      <c r="L81" t="inlineStr">
        <is>
          <t>Requerido por ente regulador SEPS</t>
        </is>
      </c>
    </row>
    <row r="82">
      <c r="A82" t="inlineStr">
        <is>
          <t>8.22</t>
        </is>
      </c>
      <c r="B82" t="inlineStr">
        <is>
          <t>Segregación de redes</t>
        </is>
      </c>
      <c r="C82" t="inlineStr">
        <is>
          <t>#Preventivo</t>
        </is>
      </c>
      <c r="D82" t="inlineStr">
        <is>
          <t>#Confidencialidad, #Integridad, #Disponibilidad</t>
        </is>
      </c>
      <c r="E82" t="inlineStr">
        <is>
          <t>#Proteger</t>
        </is>
      </c>
      <c r="F82" t="inlineStr">
        <is>
          <t>#Seguridad_de_sistemas_y_redes</t>
        </is>
      </c>
      <c r="G82" t="inlineStr">
        <is>
          <t>#Proteccion</t>
        </is>
      </c>
      <c r="H82" t="inlineStr">
        <is>
          <t>Obligatorio SEPS - Régimen Especial/Simplificado</t>
        </is>
      </c>
      <c r="I82" t="inlineStr">
        <is>
          <t>- (No tipificado en catálogo base)</t>
        </is>
      </c>
      <c r="J82" t="inlineStr">
        <is>
          <t>1. Regulatorio SEPS 002-2022 + ISO 27001</t>
        </is>
      </c>
      <c r="K82" t="inlineStr">
        <is>
          <t>Aplica</t>
        </is>
      </c>
      <c r="L82" t="inlineStr">
        <is>
          <t>Requerido por ente regulador SEPS</t>
        </is>
      </c>
    </row>
    <row r="83">
      <c r="A83" t="inlineStr">
        <is>
          <t>8.23</t>
        </is>
      </c>
      <c r="B83" t="inlineStr">
        <is>
          <t>Filtrado web</t>
        </is>
      </c>
      <c r="C83" t="inlineStr">
        <is>
          <t>#Preventivo</t>
        </is>
      </c>
      <c r="D83" t="inlineStr">
        <is>
          <t>#Confidencialidad, #Integridad, #Disponibilidad</t>
        </is>
      </c>
      <c r="E83" t="inlineStr">
        <is>
          <t>#Proteger</t>
        </is>
      </c>
      <c r="F83" t="inlineStr">
        <is>
          <t>#Seguridad_de_sistemas_y_redes</t>
        </is>
      </c>
      <c r="G83" t="inlineStr">
        <is>
          <t>#Proteccion</t>
        </is>
      </c>
      <c r="H83" t="inlineStr">
        <is>
          <t>No Obligatorio SEPS (Mejor Práctica ISO Complementaria)</t>
        </is>
      </c>
      <c r="I83" t="inlineStr">
        <is>
          <t>- (No tipificado en catálogo base)</t>
        </is>
      </c>
      <c r="J83" t="inlineStr">
        <is>
          <t>3. Tratamiento de Riesgos Específico (ISO 27002 / MAGERIT)</t>
        </is>
      </c>
      <c r="K83" t="inlineStr">
        <is>
          <t>Aplica</t>
        </is>
      </c>
      <c r="L83" t="inlineStr">
        <is>
          <t>Requisito de control complementario y mejor práctica de seguridad</t>
        </is>
      </c>
    </row>
    <row r="84">
      <c r="A84" t="inlineStr">
        <is>
          <t>8.24</t>
        </is>
      </c>
      <c r="B84" t="inlineStr">
        <is>
          <t>Uso de criptografía</t>
        </is>
      </c>
      <c r="C84" t="inlineStr">
        <is>
          <t>#Preventivo</t>
        </is>
      </c>
      <c r="D84" t="inlineStr">
        <is>
          <t>#Confidencialidad, #Integridad, #Disponibilidad</t>
        </is>
      </c>
      <c r="E84" t="inlineStr">
        <is>
          <t>#Proteger</t>
        </is>
      </c>
      <c r="F84" t="inlineStr">
        <is>
          <t>#Protección_de_la_información</t>
        </is>
      </c>
      <c r="G84" t="inlineStr">
        <is>
          <t>#Proteccion</t>
        </is>
      </c>
      <c r="H84" t="inlineStr">
        <is>
          <t>Obligatorio SEPS - Régimen General (17 controles)</t>
        </is>
      </c>
      <c r="I84" t="inlineStr">
        <is>
          <t>- (No tipificado en catálogo base)</t>
        </is>
      </c>
      <c r="J84" t="inlineStr">
        <is>
          <t>1. Regulatorio SEPS 002-2022 + ISO 27001</t>
        </is>
      </c>
      <c r="K84" t="inlineStr">
        <is>
          <t>Aplica</t>
        </is>
      </c>
      <c r="L84" t="inlineStr">
        <is>
          <t>Requerido por ente regulador SEPS</t>
        </is>
      </c>
    </row>
    <row r="85">
      <c r="A85" t="inlineStr">
        <is>
          <t>8.25</t>
        </is>
      </c>
      <c r="B85" t="inlineStr">
        <is>
          <t>Ciclo de vida del desarrollo seguro</t>
        </is>
      </c>
      <c r="C85" t="inlineStr">
        <is>
          <t>#Preventivo</t>
        </is>
      </c>
      <c r="D85" t="inlineStr">
        <is>
          <t>#Confidencialidad, #Integridad, #Disponibilidad</t>
        </is>
      </c>
      <c r="E85" t="inlineStr">
        <is>
          <t>#Proteger</t>
        </is>
      </c>
      <c r="F85" t="inlineStr">
        <is>
          <t>#Seguridad_de_aplicaciones</t>
        </is>
      </c>
      <c r="G85" t="inlineStr">
        <is>
          <t>#Proteccion</t>
        </is>
      </c>
      <c r="H85" t="inlineStr">
        <is>
          <t>Obligatorio SEPS - Régimen General (17 controles)</t>
        </is>
      </c>
      <c r="I85" t="inlineStr">
        <is>
          <t>- (No tipificado en catálogo base)</t>
        </is>
      </c>
      <c r="J85" t="inlineStr">
        <is>
          <t>1. Regulatorio SEPS 002-2022 + ISO 27001</t>
        </is>
      </c>
      <c r="K85" t="inlineStr">
        <is>
          <t>Aplica</t>
        </is>
      </c>
      <c r="L85" t="inlineStr">
        <is>
          <t>Requerido por ente regulador SEPS</t>
        </is>
      </c>
    </row>
    <row r="86">
      <c r="A86" t="inlineStr">
        <is>
          <t>8.26</t>
        </is>
      </c>
      <c r="B86" t="inlineStr">
        <is>
          <t>Requisitos de seguridad de las aplicaciones</t>
        </is>
      </c>
      <c r="C86" t="inlineStr">
        <is>
          <t>#Preventivo</t>
        </is>
      </c>
      <c r="D86" t="inlineStr">
        <is>
          <t>#Confidencialidad, #Integridad, #Disponibilidad</t>
        </is>
      </c>
      <c r="E86" t="inlineStr">
        <is>
          <t>#Proteger</t>
        </is>
      </c>
      <c r="F86" t="inlineStr">
        <is>
          <t>#Seguridad_de_aplicaciones</t>
        </is>
      </c>
      <c r="G86" t="inlineStr">
        <is>
          <t>#Proteccion</t>
        </is>
      </c>
      <c r="H86" t="inlineStr">
        <is>
          <t>Obligatorio SEPS - Régimen Especial/Simplificado</t>
        </is>
      </c>
      <c r="I86" t="inlineStr">
        <is>
          <t>- (No tipificado en catálogo base)</t>
        </is>
      </c>
      <c r="J86" t="inlineStr">
        <is>
          <t>1. Regulatorio SEPS 002-2022 + ISO 27001</t>
        </is>
      </c>
      <c r="K86" t="inlineStr">
        <is>
          <t>Aplica</t>
        </is>
      </c>
      <c r="L86" t="inlineStr">
        <is>
          <t>Requerido por ente regulador SEPS</t>
        </is>
      </c>
    </row>
    <row r="87">
      <c r="A87" t="inlineStr">
        <is>
          <t>8.27</t>
        </is>
      </c>
      <c r="B87" t="inlineStr">
        <is>
          <t>Arquitectura de sistemas seguros y principios de ingeniería</t>
        </is>
      </c>
      <c r="C87" t="inlineStr">
        <is>
          <t>#Preventivo</t>
        </is>
      </c>
      <c r="D87" t="inlineStr">
        <is>
          <t>#Confidencialidad, #Integridad, #Disponibilidad</t>
        </is>
      </c>
      <c r="E87" t="inlineStr">
        <is>
          <t>#Proteger</t>
        </is>
      </c>
      <c r="F87" t="inlineStr">
        <is>
          <t>#Seguridad_de_aplicaciones</t>
        </is>
      </c>
      <c r="G87" t="inlineStr">
        <is>
          <t>#Proteccion</t>
        </is>
      </c>
      <c r="H87" t="inlineStr">
        <is>
          <t>Obligatorio SEPS - Régimen General (17 controles)</t>
        </is>
      </c>
      <c r="I87" t="inlineStr">
        <is>
          <t>- (No tipificado en catálogo base)</t>
        </is>
      </c>
      <c r="J87" t="inlineStr">
        <is>
          <t>1. Regulatorio SEPS 002-2022 + ISO 27001</t>
        </is>
      </c>
      <c r="K87" t="inlineStr">
        <is>
          <t>Aplica</t>
        </is>
      </c>
      <c r="L87" t="inlineStr">
        <is>
          <t>Requerido por ente regulador SEPS</t>
        </is>
      </c>
    </row>
    <row r="88">
      <c r="A88" t="inlineStr">
        <is>
          <t>8.28</t>
        </is>
      </c>
      <c r="B88" t="inlineStr">
        <is>
          <t>Codificación segura</t>
        </is>
      </c>
      <c r="C88" t="inlineStr">
        <is>
          <t>#Preventivo</t>
        </is>
      </c>
      <c r="D88" t="inlineStr">
        <is>
          <t>#Confidencialidad, #Integridad, #Disponibilidad</t>
        </is>
      </c>
      <c r="E88" t="inlineStr">
        <is>
          <t>#Proteger</t>
        </is>
      </c>
      <c r="F88" t="inlineStr">
        <is>
          <t>#Seguridad_de_aplicaciones</t>
        </is>
      </c>
      <c r="G88" t="inlineStr">
        <is>
          <t>#Proteccion</t>
        </is>
      </c>
      <c r="H88" t="inlineStr">
        <is>
          <t>Obligatorio SEPS - Régimen Especial/Simplificado</t>
        </is>
      </c>
      <c r="I88" t="inlineStr">
        <is>
          <t>- (No tipificado en catálogo base)</t>
        </is>
      </c>
      <c r="J88" t="inlineStr">
        <is>
          <t>1. Regulatorio SEPS 002-2022 + ISO 27001</t>
        </is>
      </c>
      <c r="K88" t="inlineStr">
        <is>
          <t>Aplica</t>
        </is>
      </c>
      <c r="L88" t="inlineStr">
        <is>
          <t>Requerido por ente regulador SEPS</t>
        </is>
      </c>
    </row>
    <row r="89">
      <c r="A89" t="inlineStr">
        <is>
          <t>8.29</t>
        </is>
      </c>
      <c r="B89" t="inlineStr">
        <is>
          <t>Pruebas de seguridad en el desarrollo y la aceptación</t>
        </is>
      </c>
      <c r="C89" t="inlineStr">
        <is>
          <t>#Preventivo, #Detectivo</t>
        </is>
      </c>
      <c r="D89" t="inlineStr">
        <is>
          <t>#Confidencialidad, #Integridad, #Disponibilidad</t>
        </is>
      </c>
      <c r="E89" t="inlineStr">
        <is>
          <t>#Proteger</t>
        </is>
      </c>
      <c r="F89" t="inlineStr">
        <is>
          <t>#Seguridad_de_aplicaciones</t>
        </is>
      </c>
      <c r="G89" t="inlineStr">
        <is>
          <t>#Proteccion</t>
        </is>
      </c>
      <c r="H89" t="inlineStr">
        <is>
          <t>Obligatorio SEPS - Régimen Especial/Simplificado</t>
        </is>
      </c>
      <c r="I89" t="inlineStr">
        <is>
          <t>- (No tipificado en catálogo base)</t>
        </is>
      </c>
      <c r="J89" t="inlineStr">
        <is>
          <t>1. Regulatorio SEPS 002-2022 + ISO 27001</t>
        </is>
      </c>
      <c r="K89" t="inlineStr">
        <is>
          <t>Aplica</t>
        </is>
      </c>
      <c r="L89" t="inlineStr">
        <is>
          <t>Requerido por ente regulador SEPS</t>
        </is>
      </c>
    </row>
    <row r="90">
      <c r="A90" t="inlineStr">
        <is>
          <t>8.30</t>
        </is>
      </c>
      <c r="B90" t="inlineStr">
        <is>
          <t>Desarrollo externalizado</t>
        </is>
      </c>
      <c r="C90" t="inlineStr">
        <is>
          <t>#Preventivo</t>
        </is>
      </c>
      <c r="D90" t="inlineStr">
        <is>
          <t>#Confidencialidad, #Integridad, #Disponibilidad</t>
        </is>
      </c>
      <c r="E90" t="inlineStr">
        <is>
          <t>#Proteger</t>
        </is>
      </c>
      <c r="F90" t="inlineStr">
        <is>
          <t>#Seguridad_de_aplicaciones</t>
        </is>
      </c>
      <c r="G90" t="inlineStr">
        <is>
          <t>#Proteccion</t>
        </is>
      </c>
      <c r="H90" t="inlineStr">
        <is>
          <t>No Obligatorio SEPS (Mejor Práctica ISO Complementaria)</t>
        </is>
      </c>
      <c r="I90" t="inlineStr">
        <is>
          <t>- (No tipificado en catálogo base)</t>
        </is>
      </c>
      <c r="J90" t="inlineStr">
        <is>
          <t>4. No Aplica</t>
        </is>
      </c>
      <c r="K90" t="inlineStr">
        <is>
          <t>No Aplica</t>
        </is>
      </c>
      <c r="L90" t="inlineStr">
        <is>
          <t>Control 8.30 no es pertinente a los procesos actuales de la entidad</t>
        </is>
      </c>
    </row>
    <row r="91">
      <c r="A91" t="inlineStr">
        <is>
          <t>8.31</t>
        </is>
      </c>
      <c r="B91" t="inlineStr">
        <is>
          <t>Separación de entornos de desarrollo, pruebas y producción</t>
        </is>
      </c>
      <c r="C91" t="inlineStr">
        <is>
          <t>#Preventivo</t>
        </is>
      </c>
      <c r="D91" t="inlineStr">
        <is>
          <t>#Confidencialidad, #Integridad, #Disponibilidad</t>
        </is>
      </c>
      <c r="E91" t="inlineStr">
        <is>
          <t>#Proteger</t>
        </is>
      </c>
      <c r="F91" t="inlineStr">
        <is>
          <t>#Seguridad_de_sistemas_y_redes</t>
        </is>
      </c>
      <c r="G91" t="inlineStr">
        <is>
          <t>#Proteccion</t>
        </is>
      </c>
      <c r="H91" t="inlineStr">
        <is>
          <t>Obligatorio SEPS - Régimen Especial/Simplificado</t>
        </is>
      </c>
      <c r="I91" t="inlineStr">
        <is>
          <t>- (No tipificado en catálogo base)</t>
        </is>
      </c>
      <c r="J91" t="inlineStr">
        <is>
          <t>1. Regulatorio SEPS 002-2022 + ISO 27001</t>
        </is>
      </c>
      <c r="K91" t="inlineStr">
        <is>
          <t>Aplica</t>
        </is>
      </c>
      <c r="L91" t="inlineStr">
        <is>
          <t>Requerido por ente regulador SEPS</t>
        </is>
      </c>
    </row>
    <row r="92">
      <c r="A92" t="inlineStr">
        <is>
          <t>8.32</t>
        </is>
      </c>
      <c r="B92" t="inlineStr">
        <is>
          <t>Gestión de cambios</t>
        </is>
      </c>
      <c r="C92" t="inlineStr">
        <is>
          <t>#Preventivo</t>
        </is>
      </c>
      <c r="D92" t="inlineStr">
        <is>
          <t>#Confidencialidad, #Integridad, #Disponibilidad</t>
        </is>
      </c>
      <c r="E92" t="inlineStr">
        <is>
          <t>#Proteger</t>
        </is>
      </c>
      <c r="F92" t="inlineStr">
        <is>
          <t>#Seguridad_de_sistemas_y_redes</t>
        </is>
      </c>
      <c r="G92" t="inlineStr">
        <is>
          <t>#Proteccion</t>
        </is>
      </c>
      <c r="H92" t="inlineStr">
        <is>
          <t>Obligatorio SEPS - Régimen General (17 controles)</t>
        </is>
      </c>
      <c r="I92" t="inlineStr">
        <is>
          <t>- (No tipificado en catálogo base)</t>
        </is>
      </c>
      <c r="J92" t="inlineStr">
        <is>
          <t>1. Regulatorio SEPS 002-2022 + ISO 27001</t>
        </is>
      </c>
      <c r="K92" t="inlineStr">
        <is>
          <t>Aplica</t>
        </is>
      </c>
      <c r="L92" t="inlineStr">
        <is>
          <t>Requerido por ente regulador SEPS</t>
        </is>
      </c>
    </row>
    <row r="93">
      <c r="A93" t="inlineStr">
        <is>
          <t>8.33</t>
        </is>
      </c>
      <c r="B93" t="inlineStr">
        <is>
          <t>Información de prueba</t>
        </is>
      </c>
      <c r="C93" t="inlineStr">
        <is>
          <t>#Preventivo</t>
        </is>
      </c>
      <c r="D93" t="inlineStr">
        <is>
          <t>#Confidencialidad, #Integridad, #Disponibilidad</t>
        </is>
      </c>
      <c r="E93" t="inlineStr">
        <is>
          <t>#Proteger</t>
        </is>
      </c>
      <c r="F93" t="inlineStr">
        <is>
          <t>#Seguridad_de_aplicaciones</t>
        </is>
      </c>
      <c r="G93" t="inlineStr">
        <is>
          <t>#Proteccion</t>
        </is>
      </c>
      <c r="H93" t="inlineStr">
        <is>
          <t>Obligatorio SEPS - Régimen Especial/Simplificado</t>
        </is>
      </c>
      <c r="I93" t="inlineStr">
        <is>
          <t>- (No tipificado en catálogo base)</t>
        </is>
      </c>
      <c r="J93" t="inlineStr">
        <is>
          <t>1. Regulatorio SEPS 002-2022 + ISO 27001</t>
        </is>
      </c>
      <c r="K93" t="inlineStr">
        <is>
          <t>Aplica</t>
        </is>
      </c>
      <c r="L93" t="inlineStr">
        <is>
          <t>Requerido por ente regulador SEPS</t>
        </is>
      </c>
    </row>
    <row r="94">
      <c r="A94" t="inlineStr">
        <is>
          <t>8.34</t>
        </is>
      </c>
      <c r="B94" t="inlineStr">
        <is>
          <t>Protección de los sistemas de información durante las pruebas de auditoría</t>
        </is>
      </c>
      <c r="C94" t="inlineStr">
        <is>
          <t>#Preventivo</t>
        </is>
      </c>
      <c r="D94" t="inlineStr">
        <is>
          <t>#Confidencialidad, #Integridad, #Disponibilidad</t>
        </is>
      </c>
      <c r="E94" t="inlineStr">
        <is>
          <t>#Proteger</t>
        </is>
      </c>
      <c r="F94" t="inlineStr">
        <is>
          <t>#Seguridad_de_sistemas_y_redes</t>
        </is>
      </c>
      <c r="G94" t="inlineStr">
        <is>
          <t>#Proteccion</t>
        </is>
      </c>
      <c r="H94" t="inlineStr">
        <is>
          <t>No Obligatorio SEPS (Mejor Práctica ISO Complementaria)</t>
        </is>
      </c>
      <c r="I94" t="inlineStr">
        <is>
          <t>- (No tipificado en catálogo base)</t>
        </is>
      </c>
      <c r="J94" t="inlineStr">
        <is>
          <t>3. Tratamiento de Riesgos Específico (ISO 27002 / MAGERIT)</t>
        </is>
      </c>
      <c r="K94" t="inlineStr">
        <is>
          <t>No Aplica</t>
        </is>
      </c>
      <c r="L94"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94"/>
  <sheetViews>
    <sheetView workbookViewId="0">
      <selection activeCell="A1" sqref="A1"/>
    </sheetView>
  </sheetViews>
  <sheetFormatPr baseColWidth="8" defaultRowHeight="15"/>
  <sheetData>
    <row r="1">
      <c r="A1" s="98" t="inlineStr">
        <is>
          <t>ID Control</t>
        </is>
      </c>
      <c r="B1" s="98" t="inlineStr">
        <is>
          <t>Nombre del Control</t>
        </is>
      </c>
      <c r="C1" s="98" t="inlineStr">
        <is>
          <t>Dominio ISO 27001</t>
        </is>
      </c>
      <c r="D1" s="98" t="inlineStr">
        <is>
          <t>¿Aplica?</t>
        </is>
      </c>
      <c r="E1" s="98" t="inlineStr">
        <is>
          <t>Obligatoriedad Regulatoria SEPS</t>
        </is>
      </c>
      <c r="F1" s="98" t="inlineStr">
        <is>
          <t>Control Metodología GSO-GSI</t>
        </is>
      </c>
      <c r="G1" s="98" t="inlineStr">
        <is>
          <t>Origen de Aplicabilidad</t>
        </is>
      </c>
      <c r="H1" s="98" t="inlineStr">
        <is>
          <t>Justificación Inclusión/Exclusión</t>
        </is>
      </c>
      <c r="I1" s="98" t="inlineStr">
        <is>
          <t>Estado de Implementación</t>
        </is>
      </c>
      <c r="J1" s="98" t="inlineStr">
        <is>
          <t>Tipo de Protección MAGERIT</t>
        </is>
      </c>
      <c r="K1" s="98" t="inlineStr">
        <is>
          <t>Nivel de Madurez / Efectividad</t>
        </is>
      </c>
      <c r="L1" s="98" t="inlineStr">
        <is>
          <t>Riesgos / Amenazas que Mitiga</t>
        </is>
      </c>
      <c r="M1" s="98" t="inlineStr">
        <is>
          <t>Evidencia / Documentación Asociada</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t="inlineStr">
        <is>
          <t>Planificado</t>
        </is>
      </c>
      <c r="J2" t="inlineStr">
        <is>
          <t>[PR] Prevención</t>
        </is>
      </c>
      <c r="K2" t="inlineStr">
        <is>
          <t>L1: Inicial [10%]</t>
        </is>
      </c>
      <c r="L2" t="inlineStr">
        <is>
          <t>TBD</t>
        </is>
      </c>
      <c r="M2" t="inlineStr">
        <is>
          <t>Políticas Institucionales</t>
        </is>
      </c>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t="inlineStr">
        <is>
          <t>Planificado</t>
        </is>
      </c>
      <c r="J3" t="inlineStr">
        <is>
          <t>[PR] Prevención</t>
        </is>
      </c>
      <c r="K3" t="inlineStr">
        <is>
          <t>L1: Inicial [10%]</t>
        </is>
      </c>
      <c r="L3" t="inlineStr">
        <is>
          <t>TBD</t>
        </is>
      </c>
      <c r="M3" t="inlineStr">
        <is>
          <t>Políticas Institucionales</t>
        </is>
      </c>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t="inlineStr">
        <is>
          <t>Planificado</t>
        </is>
      </c>
      <c r="J4" t="inlineStr">
        <is>
          <t>[PR] Prevención</t>
        </is>
      </c>
      <c r="K4" t="inlineStr">
        <is>
          <t>L1: Inicial [10%]</t>
        </is>
      </c>
      <c r="L4" t="inlineStr">
        <is>
          <t>TBD</t>
        </is>
      </c>
      <c r="M4" t="inlineStr">
        <is>
          <t>Políticas Institucionales</t>
        </is>
      </c>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t="inlineStr">
        <is>
          <t>Planificado</t>
        </is>
      </c>
      <c r="J5" t="inlineStr">
        <is>
          <t>[PR] Prevención</t>
        </is>
      </c>
      <c r="K5" t="inlineStr">
        <is>
          <t>L1: Inicial [10%]</t>
        </is>
      </c>
      <c r="L5" t="inlineStr">
        <is>
          <t>TBD</t>
        </is>
      </c>
      <c r="M5" t="inlineStr">
        <is>
          <t>Políticas Institucionales</t>
        </is>
      </c>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t="inlineStr">
        <is>
          <t>Planificado</t>
        </is>
      </c>
      <c r="J6" t="inlineStr">
        <is>
          <t>[PR] Prevención</t>
        </is>
      </c>
      <c r="K6" t="inlineStr">
        <is>
          <t>L1: Inicial [10%]</t>
        </is>
      </c>
      <c r="L6" t="inlineStr">
        <is>
          <t>TBD</t>
        </is>
      </c>
      <c r="M6" t="inlineStr">
        <is>
          <t>Políticas Institucionales</t>
        </is>
      </c>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t="inlineStr">
        <is>
          <t>Planificado</t>
        </is>
      </c>
      <c r="J7" t="inlineStr">
        <is>
          <t>[PR] Prevención</t>
        </is>
      </c>
      <c r="K7" t="inlineStr">
        <is>
          <t>L1: Inicial [10%]</t>
        </is>
      </c>
      <c r="L7" t="inlineStr">
        <is>
          <t>TBD</t>
        </is>
      </c>
      <c r="M7" t="inlineStr">
        <is>
          <t>Políticas Institucionales</t>
        </is>
      </c>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t="inlineStr">
        <is>
          <t>Planificado</t>
        </is>
      </c>
      <c r="J8" t="inlineStr">
        <is>
          <t>[PR] Prevención</t>
        </is>
      </c>
      <c r="K8" t="inlineStr">
        <is>
          <t>L1: Inicial [10%]</t>
        </is>
      </c>
      <c r="L8" t="inlineStr">
        <is>
          <t>TBD</t>
        </is>
      </c>
      <c r="M8" t="inlineStr">
        <is>
          <t>Políticas Institucionales</t>
        </is>
      </c>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t="inlineStr">
        <is>
          <t>Planificado</t>
        </is>
      </c>
      <c r="J9" t="inlineStr">
        <is>
          <t>[PR] Prevención</t>
        </is>
      </c>
      <c r="K9" t="inlineStr">
        <is>
          <t>L1: Inicial [10%]</t>
        </is>
      </c>
      <c r="L9" t="inlineStr">
        <is>
          <t>TBD</t>
        </is>
      </c>
      <c r="M9" t="inlineStr">
        <is>
          <t>Políticas Institucionales</t>
        </is>
      </c>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t="inlineStr">
        <is>
          <t>Planificado</t>
        </is>
      </c>
      <c r="J10" t="inlineStr">
        <is>
          <t>[PR] Prevención</t>
        </is>
      </c>
      <c r="K10" t="inlineStr">
        <is>
          <t>L1: Inicial [10%]</t>
        </is>
      </c>
      <c r="L10" t="inlineStr">
        <is>
          <t>TBD</t>
        </is>
      </c>
      <c r="M10" t="inlineStr">
        <is>
          <t>Políticas Institucionales</t>
        </is>
      </c>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t="inlineStr">
        <is>
          <t>Planificado</t>
        </is>
      </c>
      <c r="J11" t="inlineStr">
        <is>
          <t>[PR] Prevención</t>
        </is>
      </c>
      <c r="K11" t="inlineStr">
        <is>
          <t>L1: Inicial [10%]</t>
        </is>
      </c>
      <c r="L11" t="inlineStr">
        <is>
          <t>TBD</t>
        </is>
      </c>
      <c r="M11" t="inlineStr">
        <is>
          <t>Políticas Institucionales</t>
        </is>
      </c>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t="inlineStr">
        <is>
          <t>Planificado</t>
        </is>
      </c>
      <c r="J12" t="inlineStr">
        <is>
          <t>[PR] Prevención</t>
        </is>
      </c>
      <c r="K12" t="inlineStr">
        <is>
          <t>L1: Inicial [10%]</t>
        </is>
      </c>
      <c r="L12" t="inlineStr">
        <is>
          <t>TBD</t>
        </is>
      </c>
      <c r="M12" t="inlineStr">
        <is>
          <t>Políticas Institucionales</t>
        </is>
      </c>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t="inlineStr">
        <is>
          <t>Planificado</t>
        </is>
      </c>
      <c r="J13" t="inlineStr">
        <is>
          <t>[PR] Prevención</t>
        </is>
      </c>
      <c r="K13" t="inlineStr">
        <is>
          <t>L1: Inicial [10%]</t>
        </is>
      </c>
      <c r="L13" t="inlineStr">
        <is>
          <t>TBD</t>
        </is>
      </c>
      <c r="M13" t="inlineStr">
        <is>
          <t>Políticas Institucionales</t>
        </is>
      </c>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t="inlineStr">
        <is>
          <t>Planificado</t>
        </is>
      </c>
      <c r="J14" t="inlineStr">
        <is>
          <t>[PR] Prevención</t>
        </is>
      </c>
      <c r="K14" t="inlineStr">
        <is>
          <t>L1: Inicial [10%]</t>
        </is>
      </c>
      <c r="L14" t="inlineStr">
        <is>
          <t>TBD</t>
        </is>
      </c>
      <c r="M14" t="inlineStr">
        <is>
          <t>Políticas Institucionales</t>
        </is>
      </c>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t="inlineStr">
        <is>
          <t>Planificado</t>
        </is>
      </c>
      <c r="J15" t="inlineStr">
        <is>
          <t>[PR] Prevención</t>
        </is>
      </c>
      <c r="K15" t="inlineStr">
        <is>
          <t>L1: Inicial [10%]</t>
        </is>
      </c>
      <c r="L15" t="inlineStr">
        <is>
          <t>TBD</t>
        </is>
      </c>
      <c r="M15" t="inlineStr">
        <is>
          <t>Políticas Institucionales</t>
        </is>
      </c>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t="inlineStr">
        <is>
          <t>Planificado</t>
        </is>
      </c>
      <c r="J16" t="inlineStr">
        <is>
          <t>[PR] Prevención</t>
        </is>
      </c>
      <c r="K16" t="inlineStr">
        <is>
          <t>L1: Inicial [10%]</t>
        </is>
      </c>
      <c r="L16" t="inlineStr">
        <is>
          <t>TBD</t>
        </is>
      </c>
      <c r="M16" t="inlineStr">
        <is>
          <t>Políticas Institucionales</t>
        </is>
      </c>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t="inlineStr">
        <is>
          <t>Planificado</t>
        </is>
      </c>
      <c r="J17" t="inlineStr">
        <is>
          <t>[PR] Prevención</t>
        </is>
      </c>
      <c r="K17" t="inlineStr">
        <is>
          <t>L1: Inicial [10%]</t>
        </is>
      </c>
      <c r="L17" t="inlineStr">
        <is>
          <t>TBD</t>
        </is>
      </c>
      <c r="M17" t="inlineStr">
        <is>
          <t>Políticas Institucionales</t>
        </is>
      </c>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t="inlineStr">
        <is>
          <t>Planificado</t>
        </is>
      </c>
      <c r="J18" t="inlineStr">
        <is>
          <t>[PR] Prevención</t>
        </is>
      </c>
      <c r="K18" t="inlineStr">
        <is>
          <t>L1: Inicial [10%]</t>
        </is>
      </c>
      <c r="L18" t="inlineStr">
        <is>
          <t>TBD</t>
        </is>
      </c>
      <c r="M18" t="inlineStr">
        <is>
          <t>Políticas Institucionales</t>
        </is>
      </c>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t="inlineStr">
        <is>
          <t>Planificado</t>
        </is>
      </c>
      <c r="J19" t="inlineStr">
        <is>
          <t>[PR] Prevención</t>
        </is>
      </c>
      <c r="K19" t="inlineStr">
        <is>
          <t>L1: Inicial [10%]</t>
        </is>
      </c>
      <c r="L19" t="inlineStr">
        <is>
          <t>TBD</t>
        </is>
      </c>
      <c r="M19" t="inlineStr">
        <is>
          <t>Políticas Institucionales</t>
        </is>
      </c>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t="inlineStr">
        <is>
          <t>Planificado</t>
        </is>
      </c>
      <c r="J20" t="inlineStr">
        <is>
          <t>[PR] Prevención</t>
        </is>
      </c>
      <c r="K20" t="inlineStr">
        <is>
          <t>L1: Inicial [10%]</t>
        </is>
      </c>
      <c r="L20" t="inlineStr">
        <is>
          <t>TBD</t>
        </is>
      </c>
      <c r="M20" t="inlineStr">
        <is>
          <t>Políticas Institucionales</t>
        </is>
      </c>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t="inlineStr">
        <is>
          <t>Planificado</t>
        </is>
      </c>
      <c r="J21" t="inlineStr">
        <is>
          <t>[PR] Prevención</t>
        </is>
      </c>
      <c r="K21" t="inlineStr">
        <is>
          <t>L1: Inicial [10%]</t>
        </is>
      </c>
      <c r="L21" t="inlineStr">
        <is>
          <t>TBD</t>
        </is>
      </c>
      <c r="M21" t="inlineStr">
        <is>
          <t>Políticas Institucionales</t>
        </is>
      </c>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t="inlineStr">
        <is>
          <t>Planificado</t>
        </is>
      </c>
      <c r="J22" t="inlineStr">
        <is>
          <t>[PR] Prevención</t>
        </is>
      </c>
      <c r="K22" t="inlineStr">
        <is>
          <t>L1: Inicial [10%]</t>
        </is>
      </c>
      <c r="L22" t="inlineStr">
        <is>
          <t>TBD</t>
        </is>
      </c>
      <c r="M22" t="inlineStr">
        <is>
          <t>Políticas Institucionales</t>
        </is>
      </c>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t="inlineStr">
        <is>
          <t>Planificado</t>
        </is>
      </c>
      <c r="J23" t="inlineStr">
        <is>
          <t>[PR] Prevención</t>
        </is>
      </c>
      <c r="K23" t="inlineStr">
        <is>
          <t>L1: Inicial [10%]</t>
        </is>
      </c>
      <c r="L23" t="inlineStr">
        <is>
          <t>TBD</t>
        </is>
      </c>
      <c r="M23" t="inlineStr">
        <is>
          <t>Políticas Institucionales</t>
        </is>
      </c>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t="inlineStr">
        <is>
          <t>Planificado</t>
        </is>
      </c>
      <c r="J24" t="inlineStr">
        <is>
          <t>[PR] Prevención</t>
        </is>
      </c>
      <c r="K24" t="inlineStr">
        <is>
          <t>L1: Inicial [10%]</t>
        </is>
      </c>
      <c r="L24" t="inlineStr">
        <is>
          <t>TBD</t>
        </is>
      </c>
      <c r="M24" t="inlineStr">
        <is>
          <t>Políticas Institucionales</t>
        </is>
      </c>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t="inlineStr">
        <is>
          <t>Planificado</t>
        </is>
      </c>
      <c r="J25" t="inlineStr">
        <is>
          <t>[PR] Prevención</t>
        </is>
      </c>
      <c r="K25" t="inlineStr">
        <is>
          <t>L1: Inicial [10%]</t>
        </is>
      </c>
      <c r="L25" t="inlineStr">
        <is>
          <t>TBD</t>
        </is>
      </c>
      <c r="M25" t="inlineStr">
        <is>
          <t>Políticas Institucionales</t>
        </is>
      </c>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t="inlineStr">
        <is>
          <t>Planificado</t>
        </is>
      </c>
      <c r="J26" t="inlineStr">
        <is>
          <t>[PR] Prevención</t>
        </is>
      </c>
      <c r="K26" t="inlineStr">
        <is>
          <t>L1: Inicial [10%]</t>
        </is>
      </c>
      <c r="L26" t="inlineStr">
        <is>
          <t>TBD</t>
        </is>
      </c>
      <c r="M26" t="inlineStr">
        <is>
          <t>Políticas Institucionales</t>
        </is>
      </c>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t="inlineStr">
        <is>
          <t>Planificado</t>
        </is>
      </c>
      <c r="J27" t="inlineStr">
        <is>
          <t>[PR] Prevención</t>
        </is>
      </c>
      <c r="K27" t="inlineStr">
        <is>
          <t>L1: Inicial [10%]</t>
        </is>
      </c>
      <c r="L27" t="inlineStr">
        <is>
          <t>TBD</t>
        </is>
      </c>
      <c r="M27" t="inlineStr">
        <is>
          <t>Políticas Institucionales</t>
        </is>
      </c>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t="inlineStr">
        <is>
          <t>Planificado</t>
        </is>
      </c>
      <c r="J28" t="inlineStr">
        <is>
          <t>[PR] Prevención</t>
        </is>
      </c>
      <c r="K28" t="inlineStr">
        <is>
          <t>L1: Inicial [10%]</t>
        </is>
      </c>
      <c r="L28" t="inlineStr">
        <is>
          <t>TBD</t>
        </is>
      </c>
      <c r="M28" t="inlineStr">
        <is>
          <t>Políticas Institucionales</t>
        </is>
      </c>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t="inlineStr">
        <is>
          <t>Planificado</t>
        </is>
      </c>
      <c r="J29" t="inlineStr">
        <is>
          <t>[PR] Prevención</t>
        </is>
      </c>
      <c r="K29" t="inlineStr">
        <is>
          <t>L1: Inicial [10%]</t>
        </is>
      </c>
      <c r="L29" t="inlineStr">
        <is>
          <t>TBD</t>
        </is>
      </c>
      <c r="M29" t="inlineStr">
        <is>
          <t>Políticas Institucionales</t>
        </is>
      </c>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t="inlineStr">
        <is>
          <t>Planificado</t>
        </is>
      </c>
      <c r="J30" t="inlineStr">
        <is>
          <t>[PR] Prevención</t>
        </is>
      </c>
      <c r="K30" t="inlineStr">
        <is>
          <t>L1: Inicial [10%]</t>
        </is>
      </c>
      <c r="L30" t="inlineStr">
        <is>
          <t>TBD</t>
        </is>
      </c>
      <c r="M30" t="inlineStr">
        <is>
          <t>Políticas Institucionales</t>
        </is>
      </c>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t="inlineStr">
        <is>
          <t>Planificado</t>
        </is>
      </c>
      <c r="J31" t="inlineStr">
        <is>
          <t>[PR] Prevención</t>
        </is>
      </c>
      <c r="K31" t="inlineStr">
        <is>
          <t>L1: Inicial [10%]</t>
        </is>
      </c>
      <c r="L31" t="inlineStr">
        <is>
          <t>TBD</t>
        </is>
      </c>
      <c r="M31" t="inlineStr">
        <is>
          <t>Políticas Institucionales</t>
        </is>
      </c>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t="inlineStr">
        <is>
          <t>Planificado</t>
        </is>
      </c>
      <c r="J32" t="inlineStr">
        <is>
          <t>[PR] Prevención</t>
        </is>
      </c>
      <c r="K32" t="inlineStr">
        <is>
          <t>L1: Inicial [10%]</t>
        </is>
      </c>
      <c r="L32" t="inlineStr">
        <is>
          <t>TBD</t>
        </is>
      </c>
      <c r="M32" t="inlineStr">
        <is>
          <t>Políticas Institucionales</t>
        </is>
      </c>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t="inlineStr">
        <is>
          <t>Planificado</t>
        </is>
      </c>
      <c r="J33" t="inlineStr">
        <is>
          <t>[PR] Prevención</t>
        </is>
      </c>
      <c r="K33" t="inlineStr">
        <is>
          <t>L1: Inicial [10%]</t>
        </is>
      </c>
      <c r="L33" t="inlineStr">
        <is>
          <t>TBD</t>
        </is>
      </c>
      <c r="M33" t="inlineStr">
        <is>
          <t>Políticas Institucionales</t>
        </is>
      </c>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t="inlineStr">
        <is>
          <t>Planificado</t>
        </is>
      </c>
      <c r="J34" t="inlineStr">
        <is>
          <t>[PR] Prevención</t>
        </is>
      </c>
      <c r="K34" t="inlineStr">
        <is>
          <t>L1: Inicial [10%]</t>
        </is>
      </c>
      <c r="L34" t="inlineStr">
        <is>
          <t>TBD</t>
        </is>
      </c>
      <c r="M34" t="inlineStr">
        <is>
          <t>Políticas Institucionales</t>
        </is>
      </c>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t="inlineStr">
        <is>
          <t>Planificado</t>
        </is>
      </c>
      <c r="J35" t="inlineStr">
        <is>
          <t>[PR] Prevención</t>
        </is>
      </c>
      <c r="K35" t="inlineStr">
        <is>
          <t>L1: Inicial [10%]</t>
        </is>
      </c>
      <c r="L35" t="inlineStr">
        <is>
          <t>TBD</t>
        </is>
      </c>
      <c r="M35" t="inlineStr">
        <is>
          <t>Políticas Institucionales</t>
        </is>
      </c>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t="inlineStr">
        <is>
          <t>Planificado</t>
        </is>
      </c>
      <c r="J36" t="inlineStr">
        <is>
          <t>[PR] Prevención</t>
        </is>
      </c>
      <c r="K36" t="inlineStr">
        <is>
          <t>L1: Inicial [10%]</t>
        </is>
      </c>
      <c r="L36" t="inlineStr">
        <is>
          <t>TBD</t>
        </is>
      </c>
      <c r="M36" t="inlineStr">
        <is>
          <t>Políticas Institucionales</t>
        </is>
      </c>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t="inlineStr">
        <is>
          <t>Planificado</t>
        </is>
      </c>
      <c r="J37" t="inlineStr">
        <is>
          <t>[PR] Prevención</t>
        </is>
      </c>
      <c r="K37" t="inlineStr">
        <is>
          <t>L1: Inicial [10%]</t>
        </is>
      </c>
      <c r="L37" t="inlineStr">
        <is>
          <t>TBD</t>
        </is>
      </c>
      <c r="M37" t="inlineStr">
        <is>
          <t>Políticas Institucionales</t>
        </is>
      </c>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t="inlineStr">
        <is>
          <t>Planificado</t>
        </is>
      </c>
      <c r="J38" t="inlineStr">
        <is>
          <t>[PR] Prevención</t>
        </is>
      </c>
      <c r="K38" t="inlineStr">
        <is>
          <t>L1: Inicial [10%]</t>
        </is>
      </c>
      <c r="L38" t="inlineStr">
        <is>
          <t>TBD</t>
        </is>
      </c>
      <c r="M38" t="inlineStr">
        <is>
          <t>Políticas Institucionales</t>
        </is>
      </c>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t="inlineStr">
        <is>
          <t>Planificado</t>
        </is>
      </c>
      <c r="J39" t="inlineStr">
        <is>
          <t>[PR] Prevención</t>
        </is>
      </c>
      <c r="K39" t="inlineStr">
        <is>
          <t>L1: Inicial [10%]</t>
        </is>
      </c>
      <c r="L39" t="inlineStr">
        <is>
          <t>TBD</t>
        </is>
      </c>
      <c r="M39" t="inlineStr">
        <is>
          <t>Políticas Institucionales</t>
        </is>
      </c>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t="inlineStr">
        <is>
          <t>Planificado</t>
        </is>
      </c>
      <c r="J40" t="inlineStr">
        <is>
          <t>[PR] Prevención</t>
        </is>
      </c>
      <c r="K40" t="inlineStr">
        <is>
          <t>L1: Inicial [10%]</t>
        </is>
      </c>
      <c r="L40" t="inlineStr">
        <is>
          <t>TBD</t>
        </is>
      </c>
      <c r="M40" t="inlineStr">
        <is>
          <t>Políticas Institucionales</t>
        </is>
      </c>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t="inlineStr">
        <is>
          <t>Planificado</t>
        </is>
      </c>
      <c r="J41" t="inlineStr">
        <is>
          <t>[PR] Prevención</t>
        </is>
      </c>
      <c r="K41" t="inlineStr">
        <is>
          <t>L1: Inicial [10%]</t>
        </is>
      </c>
      <c r="L41" t="inlineStr">
        <is>
          <t>TBD</t>
        </is>
      </c>
      <c r="M41" t="inlineStr">
        <is>
          <t>Políticas Institucionales</t>
        </is>
      </c>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t="inlineStr">
        <is>
          <t>Planificado</t>
        </is>
      </c>
      <c r="J42" t="inlineStr">
        <is>
          <t>[PR] Prevención</t>
        </is>
      </c>
      <c r="K42" t="inlineStr">
        <is>
          <t>L1: Inicial [10%]</t>
        </is>
      </c>
      <c r="L42" t="inlineStr">
        <is>
          <t>TBD</t>
        </is>
      </c>
      <c r="M42" t="inlineStr">
        <is>
          <t>Políticas Institucionales</t>
        </is>
      </c>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t="inlineStr">
        <is>
          <t>Planificado</t>
        </is>
      </c>
      <c r="J43" t="inlineStr">
        <is>
          <t>[PR] Prevención</t>
        </is>
      </c>
      <c r="K43" t="inlineStr">
        <is>
          <t>L1: Inicial [10%]</t>
        </is>
      </c>
      <c r="L43" t="inlineStr">
        <is>
          <t>TBD</t>
        </is>
      </c>
      <c r="M43" t="inlineStr">
        <is>
          <t>Políticas Institucionales</t>
        </is>
      </c>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t="inlineStr">
        <is>
          <t>Planificado</t>
        </is>
      </c>
      <c r="J44" t="inlineStr">
        <is>
          <t>[PR] Prevención</t>
        </is>
      </c>
      <c r="K44" t="inlineStr">
        <is>
          <t>L1: Inicial [10%]</t>
        </is>
      </c>
      <c r="L44" t="inlineStr">
        <is>
          <t>TBD</t>
        </is>
      </c>
      <c r="M44" t="inlineStr">
        <is>
          <t>Políticas Institucionales</t>
        </is>
      </c>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t="inlineStr">
        <is>
          <t>Planificado</t>
        </is>
      </c>
      <c r="J45" t="inlineStr">
        <is>
          <t>[PR] Prevención</t>
        </is>
      </c>
      <c r="K45" t="inlineStr">
        <is>
          <t>L1: Inicial [10%]</t>
        </is>
      </c>
      <c r="L45" t="inlineStr">
        <is>
          <t>TBD</t>
        </is>
      </c>
      <c r="M45" t="inlineStr">
        <is>
          <t>Políticas Institucionales</t>
        </is>
      </c>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t="inlineStr">
        <is>
          <t>Planificado</t>
        </is>
      </c>
      <c r="J46" t="inlineStr">
        <is>
          <t>[PR] Prevención</t>
        </is>
      </c>
      <c r="K46" t="inlineStr">
        <is>
          <t>L1: Inicial [10%]</t>
        </is>
      </c>
      <c r="L46" t="inlineStr">
        <is>
          <t>TBD</t>
        </is>
      </c>
      <c r="M46" t="inlineStr">
        <is>
          <t>Políticas Institucionales</t>
        </is>
      </c>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t="inlineStr">
        <is>
          <t>Planificado</t>
        </is>
      </c>
      <c r="J47" t="inlineStr">
        <is>
          <t>[PR] Prevención</t>
        </is>
      </c>
      <c r="K47" t="inlineStr">
        <is>
          <t>L1: Inicial [10%]</t>
        </is>
      </c>
      <c r="L47" t="inlineStr">
        <is>
          <t>TBD</t>
        </is>
      </c>
      <c r="M47" t="inlineStr">
        <is>
          <t>Políticas Institucionales</t>
        </is>
      </c>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t="inlineStr">
        <is>
          <t>Planificado</t>
        </is>
      </c>
      <c r="J48" t="inlineStr">
        <is>
          <t>[PR] Prevención</t>
        </is>
      </c>
      <c r="K48" t="inlineStr">
        <is>
          <t>L1: Inicial [10%]</t>
        </is>
      </c>
      <c r="L48" t="inlineStr">
        <is>
          <t>TBD</t>
        </is>
      </c>
      <c r="M48" t="inlineStr">
        <is>
          <t>Políticas Institucionales</t>
        </is>
      </c>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t="inlineStr">
        <is>
          <t>Planificado</t>
        </is>
      </c>
      <c r="J49" t="inlineStr">
        <is>
          <t>[PR] Prevención</t>
        </is>
      </c>
      <c r="K49" t="inlineStr">
        <is>
          <t>L1: Inicial [10%]</t>
        </is>
      </c>
      <c r="L49" t="inlineStr">
        <is>
          <t>TBD</t>
        </is>
      </c>
      <c r="M49" t="inlineStr">
        <is>
          <t>Políticas Institucionales</t>
        </is>
      </c>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t="inlineStr">
        <is>
          <t>Planificado</t>
        </is>
      </c>
      <c r="J50" t="inlineStr">
        <is>
          <t>[PR] Prevención</t>
        </is>
      </c>
      <c r="K50" t="inlineStr">
        <is>
          <t>L1: Inicial [10%]</t>
        </is>
      </c>
      <c r="L50" t="inlineStr">
        <is>
          <t>TBD</t>
        </is>
      </c>
      <c r="M50" t="inlineStr">
        <is>
          <t>Políticas Institucionales</t>
        </is>
      </c>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t="inlineStr">
        <is>
          <t>Planificado</t>
        </is>
      </c>
      <c r="J51" t="inlineStr">
        <is>
          <t>[PR] Prevención</t>
        </is>
      </c>
      <c r="K51" t="inlineStr">
        <is>
          <t>L1: Inicial [10%]</t>
        </is>
      </c>
      <c r="L51" t="inlineStr">
        <is>
          <t>TBD</t>
        </is>
      </c>
      <c r="M51" t="inlineStr">
        <is>
          <t>Políticas Institucionales</t>
        </is>
      </c>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t="inlineStr">
        <is>
          <t>Planificado</t>
        </is>
      </c>
      <c r="J52" t="inlineStr">
        <is>
          <t>[PR] Prevención</t>
        </is>
      </c>
      <c r="K52" t="inlineStr">
        <is>
          <t>L1: Inicial [10%]</t>
        </is>
      </c>
      <c r="L52" t="inlineStr">
        <is>
          <t>TBD</t>
        </is>
      </c>
      <c r="M52" t="inlineStr">
        <is>
          <t>Políticas Institucionales</t>
        </is>
      </c>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t="inlineStr">
        <is>
          <t>Planificado</t>
        </is>
      </c>
      <c r="J53" t="inlineStr">
        <is>
          <t>[PR] Prevención</t>
        </is>
      </c>
      <c r="K53" t="inlineStr">
        <is>
          <t>L1: Inicial [10%]</t>
        </is>
      </c>
      <c r="L53" t="inlineStr">
        <is>
          <t>TBD</t>
        </is>
      </c>
      <c r="M53" t="inlineStr">
        <is>
          <t>Políticas Institucionales</t>
        </is>
      </c>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t="inlineStr">
        <is>
          <t>Planificado</t>
        </is>
      </c>
      <c r="J54" t="inlineStr">
        <is>
          <t>[PR] Prevención</t>
        </is>
      </c>
      <c r="K54" t="inlineStr">
        <is>
          <t>L1: Inicial [10%]</t>
        </is>
      </c>
      <c r="L54" t="inlineStr">
        <is>
          <t>TBD</t>
        </is>
      </c>
      <c r="M54" t="inlineStr">
        <is>
          <t>Políticas Institucionales</t>
        </is>
      </c>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t="inlineStr">
        <is>
          <t>Planificado</t>
        </is>
      </c>
      <c r="J55" t="inlineStr">
        <is>
          <t>[PR] Prevención</t>
        </is>
      </c>
      <c r="K55" t="inlineStr">
        <is>
          <t>L1: Inicial [10%]</t>
        </is>
      </c>
      <c r="L55" t="inlineStr">
        <is>
          <t>TBD</t>
        </is>
      </c>
      <c r="M55" t="inlineStr">
        <is>
          <t>Políticas Institucionales</t>
        </is>
      </c>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t="inlineStr">
        <is>
          <t>Planificado</t>
        </is>
      </c>
      <c r="J56" t="inlineStr">
        <is>
          <t>[PR] Prevención</t>
        </is>
      </c>
      <c r="K56" t="inlineStr">
        <is>
          <t>L1: Inicial [10%]</t>
        </is>
      </c>
      <c r="L56" t="inlineStr">
        <is>
          <t>TBD</t>
        </is>
      </c>
      <c r="M56" t="inlineStr">
        <is>
          <t>Políticas Institucionales</t>
        </is>
      </c>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t="inlineStr">
        <is>
          <t>Planificado</t>
        </is>
      </c>
      <c r="J57" t="inlineStr">
        <is>
          <t>[PR] Prevención</t>
        </is>
      </c>
      <c r="K57" t="inlineStr">
        <is>
          <t>L1: Inicial [10%]</t>
        </is>
      </c>
      <c r="L57" t="inlineStr">
        <is>
          <t>TBD</t>
        </is>
      </c>
      <c r="M57" t="inlineStr">
        <is>
          <t>Políticas Institucionales</t>
        </is>
      </c>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t="inlineStr">
        <is>
          <t>Planificado</t>
        </is>
      </c>
      <c r="J58" t="inlineStr">
        <is>
          <t>[PR] Prevención</t>
        </is>
      </c>
      <c r="K58" t="inlineStr">
        <is>
          <t>L1: Inicial [10%]</t>
        </is>
      </c>
      <c r="L58" t="inlineStr">
        <is>
          <t>TBD</t>
        </is>
      </c>
      <c r="M58" t="inlineStr">
        <is>
          <t>Políticas Institucionales</t>
        </is>
      </c>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t="inlineStr">
        <is>
          <t>Planificado</t>
        </is>
      </c>
      <c r="J59" t="inlineStr">
        <is>
          <t>[PR] Prevención</t>
        </is>
      </c>
      <c r="K59" t="inlineStr">
        <is>
          <t>L1: Inicial [10%]</t>
        </is>
      </c>
      <c r="L59" t="inlineStr">
        <is>
          <t>TBD</t>
        </is>
      </c>
      <c r="M59" t="inlineStr">
        <is>
          <t>Políticas Institucionales</t>
        </is>
      </c>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t="inlineStr">
        <is>
          <t>Planificado</t>
        </is>
      </c>
      <c r="J60" t="inlineStr">
        <is>
          <t>[PR] Prevención</t>
        </is>
      </c>
      <c r="K60" t="inlineStr">
        <is>
          <t>L1: Inicial [10%]</t>
        </is>
      </c>
      <c r="L60" t="inlineStr">
        <is>
          <t>TBD</t>
        </is>
      </c>
      <c r="M60" t="inlineStr">
        <is>
          <t>Políticas Institucionales</t>
        </is>
      </c>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t="inlineStr">
        <is>
          <t>Planificado</t>
        </is>
      </c>
      <c r="J61" t="inlineStr">
        <is>
          <t>[PR] Prevención</t>
        </is>
      </c>
      <c r="K61" t="inlineStr">
        <is>
          <t>L1: Inicial [10%]</t>
        </is>
      </c>
      <c r="L61" t="inlineStr">
        <is>
          <t>TBD</t>
        </is>
      </c>
      <c r="M61" t="inlineStr">
        <is>
          <t>Políticas Institucionales</t>
        </is>
      </c>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t="inlineStr">
        <is>
          <t>Planificado</t>
        </is>
      </c>
      <c r="J62" t="inlineStr">
        <is>
          <t>[PR] Prevención</t>
        </is>
      </c>
      <c r="K62" t="inlineStr">
        <is>
          <t>L1: Inicial [10%]</t>
        </is>
      </c>
      <c r="L62" t="inlineStr">
        <is>
          <t>TBD</t>
        </is>
      </c>
      <c r="M62" t="inlineStr">
        <is>
          <t>Políticas Institucionales</t>
        </is>
      </c>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t="inlineStr">
        <is>
          <t>Planificado</t>
        </is>
      </c>
      <c r="J63" t="inlineStr">
        <is>
          <t>[PR] Prevención</t>
        </is>
      </c>
      <c r="K63" t="inlineStr">
        <is>
          <t>L1: Inicial [10%]</t>
        </is>
      </c>
      <c r="L63" t="inlineStr">
        <is>
          <t>TBD</t>
        </is>
      </c>
      <c r="M63" t="inlineStr">
        <is>
          <t>Políticas Institucionales</t>
        </is>
      </c>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t="inlineStr">
        <is>
          <t>Planificado</t>
        </is>
      </c>
      <c r="J64" t="inlineStr">
        <is>
          <t>[PR] Prevención</t>
        </is>
      </c>
      <c r="K64" t="inlineStr">
        <is>
          <t>L1: Inicial [10%]</t>
        </is>
      </c>
      <c r="L64" t="inlineStr">
        <is>
          <t>TBD</t>
        </is>
      </c>
      <c r="M64" t="inlineStr">
        <is>
          <t>Políticas Institucionales</t>
        </is>
      </c>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t="inlineStr">
        <is>
          <t>Planificado</t>
        </is>
      </c>
      <c r="J65" t="inlineStr">
        <is>
          <t>[PR] Prevención</t>
        </is>
      </c>
      <c r="K65" t="inlineStr">
        <is>
          <t>L1: Inicial [10%]</t>
        </is>
      </c>
      <c r="L65" t="inlineStr">
        <is>
          <t>TBD</t>
        </is>
      </c>
      <c r="M65" t="inlineStr">
        <is>
          <t>Políticas Institucionales</t>
        </is>
      </c>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t="inlineStr">
        <is>
          <t>Planificado</t>
        </is>
      </c>
      <c r="J66" t="inlineStr">
        <is>
          <t>[PR] Prevención</t>
        </is>
      </c>
      <c r="K66" t="inlineStr">
        <is>
          <t>L1: Inicial [10%]</t>
        </is>
      </c>
      <c r="L66" t="inlineStr">
        <is>
          <t>TBD</t>
        </is>
      </c>
      <c r="M66" t="inlineStr">
        <is>
          <t>Políticas Institucionales</t>
        </is>
      </c>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t="inlineStr">
        <is>
          <t>Planificado</t>
        </is>
      </c>
      <c r="J67" t="inlineStr">
        <is>
          <t>[PR] Prevención</t>
        </is>
      </c>
      <c r="K67" t="inlineStr">
        <is>
          <t>L1: Inicial [10%]</t>
        </is>
      </c>
      <c r="L67" t="inlineStr">
        <is>
          <t>TBD</t>
        </is>
      </c>
      <c r="M67" t="inlineStr">
        <is>
          <t>Políticas Institucionales</t>
        </is>
      </c>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t="inlineStr">
        <is>
          <t>Planificado</t>
        </is>
      </c>
      <c r="J68" t="inlineStr">
        <is>
          <t>[PR] Prevención</t>
        </is>
      </c>
      <c r="K68" t="inlineStr">
        <is>
          <t>L1: Inicial [10%]</t>
        </is>
      </c>
      <c r="L68" t="inlineStr">
        <is>
          <t>TBD</t>
        </is>
      </c>
      <c r="M68" t="inlineStr">
        <is>
          <t>Políticas Institucionales</t>
        </is>
      </c>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t="inlineStr">
        <is>
          <t>Planificado</t>
        </is>
      </c>
      <c r="J69" t="inlineStr">
        <is>
          <t>[PR] Prevención</t>
        </is>
      </c>
      <c r="K69" t="inlineStr">
        <is>
          <t>L1: Inicial [10%]</t>
        </is>
      </c>
      <c r="L69" t="inlineStr">
        <is>
          <t>TBD</t>
        </is>
      </c>
      <c r="M69" t="inlineStr">
        <is>
          <t>Políticas Institucionales</t>
        </is>
      </c>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t="inlineStr">
        <is>
          <t>Planificado</t>
        </is>
      </c>
      <c r="J70" t="inlineStr">
        <is>
          <t>[PR] Prevención</t>
        </is>
      </c>
      <c r="K70" t="inlineStr">
        <is>
          <t>L1: Inicial [10%]</t>
        </is>
      </c>
      <c r="L70" t="inlineStr">
        <is>
          <t>TBD</t>
        </is>
      </c>
      <c r="M70" t="inlineStr">
        <is>
          <t>Políticas Institucionales</t>
        </is>
      </c>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t="inlineStr">
        <is>
          <t>Planificado</t>
        </is>
      </c>
      <c r="J71" t="inlineStr">
        <is>
          <t>[PR] Prevención</t>
        </is>
      </c>
      <c r="K71" t="inlineStr">
        <is>
          <t>L1: Inicial [10%]</t>
        </is>
      </c>
      <c r="L71" t="inlineStr">
        <is>
          <t>TBD</t>
        </is>
      </c>
      <c r="M71" t="inlineStr">
        <is>
          <t>Políticas Institucionales</t>
        </is>
      </c>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t="inlineStr">
        <is>
          <t>Planificado</t>
        </is>
      </c>
      <c r="J72" t="inlineStr">
        <is>
          <t>[PR] Prevención</t>
        </is>
      </c>
      <c r="K72" t="inlineStr">
        <is>
          <t>L1: Inicial [10%]</t>
        </is>
      </c>
      <c r="L72" t="inlineStr">
        <is>
          <t>TBD</t>
        </is>
      </c>
      <c r="M72" t="inlineStr">
        <is>
          <t>Políticas Institucionales</t>
        </is>
      </c>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t="inlineStr">
        <is>
          <t>Planificado</t>
        </is>
      </c>
      <c r="J73" t="inlineStr">
        <is>
          <t>[PR] Prevención</t>
        </is>
      </c>
      <c r="K73" t="inlineStr">
        <is>
          <t>L1: Inicial [10%]</t>
        </is>
      </c>
      <c r="L73" t="inlineStr">
        <is>
          <t>TBD</t>
        </is>
      </c>
      <c r="M73" t="inlineStr">
        <is>
          <t>Políticas Institucionales</t>
        </is>
      </c>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t="inlineStr">
        <is>
          <t>Planificado</t>
        </is>
      </c>
      <c r="J74" t="inlineStr">
        <is>
          <t>[PR] Prevención</t>
        </is>
      </c>
      <c r="K74" t="inlineStr">
        <is>
          <t>L1: Inicial [10%]</t>
        </is>
      </c>
      <c r="L74" t="inlineStr">
        <is>
          <t>TBD</t>
        </is>
      </c>
      <c r="M74" t="inlineStr">
        <is>
          <t>Políticas Institucionales</t>
        </is>
      </c>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t="inlineStr">
        <is>
          <t>Planificado</t>
        </is>
      </c>
      <c r="J75" t="inlineStr">
        <is>
          <t>[PR] Prevención</t>
        </is>
      </c>
      <c r="K75" t="inlineStr">
        <is>
          <t>L1: Inicial [10%]</t>
        </is>
      </c>
      <c r="L75" t="inlineStr">
        <is>
          <t>TBD</t>
        </is>
      </c>
      <c r="M75" t="inlineStr">
        <is>
          <t>Políticas Institucionales</t>
        </is>
      </c>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t="inlineStr">
        <is>
          <t>Planificado</t>
        </is>
      </c>
      <c r="J76" t="inlineStr">
        <is>
          <t>[PR] Prevención</t>
        </is>
      </c>
      <c r="K76" t="inlineStr">
        <is>
          <t>L1: Inicial [10%]</t>
        </is>
      </c>
      <c r="L76" t="inlineStr">
        <is>
          <t>TBD</t>
        </is>
      </c>
      <c r="M76" t="inlineStr">
        <is>
          <t>Políticas Institucionales</t>
        </is>
      </c>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t="inlineStr">
        <is>
          <t>Planificado</t>
        </is>
      </c>
      <c r="J77" t="inlineStr">
        <is>
          <t>[PR] Prevención</t>
        </is>
      </c>
      <c r="K77" t="inlineStr">
        <is>
          <t>L1: Inicial [10%]</t>
        </is>
      </c>
      <c r="L77" t="inlineStr">
        <is>
          <t>TBD</t>
        </is>
      </c>
      <c r="M77" t="inlineStr">
        <is>
          <t>Políticas Institucionales</t>
        </is>
      </c>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t="inlineStr">
        <is>
          <t>Planificado</t>
        </is>
      </c>
      <c r="J78" t="inlineStr">
        <is>
          <t>[PR] Prevención</t>
        </is>
      </c>
      <c r="K78" t="inlineStr">
        <is>
          <t>L1: Inicial [10%]</t>
        </is>
      </c>
      <c r="L78" t="inlineStr">
        <is>
          <t>TBD</t>
        </is>
      </c>
      <c r="M78" t="inlineStr">
        <is>
          <t>Políticas Institucionales</t>
        </is>
      </c>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t="inlineStr">
        <is>
          <t>Planificado</t>
        </is>
      </c>
      <c r="J79" t="inlineStr">
        <is>
          <t>[PR] Prevención</t>
        </is>
      </c>
      <c r="K79" t="inlineStr">
        <is>
          <t>L1: Inicial [10%]</t>
        </is>
      </c>
      <c r="L79" t="inlineStr">
        <is>
          <t>TBD</t>
        </is>
      </c>
      <c r="M79" t="inlineStr">
        <is>
          <t>Políticas Institucionales</t>
        </is>
      </c>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t="inlineStr">
        <is>
          <t>Planificado</t>
        </is>
      </c>
      <c r="J80" t="inlineStr">
        <is>
          <t>[PR] Prevención</t>
        </is>
      </c>
      <c r="K80" t="inlineStr">
        <is>
          <t>L1: Inicial [10%]</t>
        </is>
      </c>
      <c r="L80" t="inlineStr">
        <is>
          <t>TBD</t>
        </is>
      </c>
      <c r="M80" t="inlineStr">
        <is>
          <t>Políticas Institucionales</t>
        </is>
      </c>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t="inlineStr">
        <is>
          <t>Planificado</t>
        </is>
      </c>
      <c r="J81" t="inlineStr">
        <is>
          <t>[PR] Prevención</t>
        </is>
      </c>
      <c r="K81" t="inlineStr">
        <is>
          <t>L1: Inicial [10%]</t>
        </is>
      </c>
      <c r="L81" t="inlineStr">
        <is>
          <t>TBD</t>
        </is>
      </c>
      <c r="M81" t="inlineStr">
        <is>
          <t>Políticas Institucionales</t>
        </is>
      </c>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t="inlineStr">
        <is>
          <t>Planificado</t>
        </is>
      </c>
      <c r="J82" t="inlineStr">
        <is>
          <t>[PR] Prevención</t>
        </is>
      </c>
      <c r="K82" t="inlineStr">
        <is>
          <t>L1: Inicial [10%]</t>
        </is>
      </c>
      <c r="L82" t="inlineStr">
        <is>
          <t>TBD</t>
        </is>
      </c>
      <c r="M82" t="inlineStr">
        <is>
          <t>Políticas Institucionales</t>
        </is>
      </c>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t="inlineStr">
        <is>
          <t>Planificado</t>
        </is>
      </c>
      <c r="J83" t="inlineStr">
        <is>
          <t>[PR] Prevención</t>
        </is>
      </c>
      <c r="K83" t="inlineStr">
        <is>
          <t>L1: Inicial [10%]</t>
        </is>
      </c>
      <c r="L83" t="inlineStr">
        <is>
          <t>TBD</t>
        </is>
      </c>
      <c r="M83" t="inlineStr">
        <is>
          <t>Políticas Institucionales</t>
        </is>
      </c>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t="inlineStr">
        <is>
          <t>Planificado</t>
        </is>
      </c>
      <c r="J84" t="inlineStr">
        <is>
          <t>[PR] Prevención</t>
        </is>
      </c>
      <c r="K84" t="inlineStr">
        <is>
          <t>L1: Inicial [10%]</t>
        </is>
      </c>
      <c r="L84" t="inlineStr">
        <is>
          <t>TBD</t>
        </is>
      </c>
      <c r="M84" t="inlineStr">
        <is>
          <t>Políticas Institucionales</t>
        </is>
      </c>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t="inlineStr">
        <is>
          <t>Planificado</t>
        </is>
      </c>
      <c r="J85" t="inlineStr">
        <is>
          <t>[PR] Prevención</t>
        </is>
      </c>
      <c r="K85" t="inlineStr">
        <is>
          <t>L1: Inicial [10%]</t>
        </is>
      </c>
      <c r="L85" t="inlineStr">
        <is>
          <t>TBD</t>
        </is>
      </c>
      <c r="M85" t="inlineStr">
        <is>
          <t>Políticas Institucionales</t>
        </is>
      </c>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t="inlineStr">
        <is>
          <t>Planificado</t>
        </is>
      </c>
      <c r="J86" t="inlineStr">
        <is>
          <t>[PR] Prevención</t>
        </is>
      </c>
      <c r="K86" t="inlineStr">
        <is>
          <t>L1: Inicial [10%]</t>
        </is>
      </c>
      <c r="L86" t="inlineStr">
        <is>
          <t>TBD</t>
        </is>
      </c>
      <c r="M86" t="inlineStr">
        <is>
          <t>Políticas Institucionales</t>
        </is>
      </c>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t="inlineStr">
        <is>
          <t>Planificado</t>
        </is>
      </c>
      <c r="J87" t="inlineStr">
        <is>
          <t>[PR] Prevención</t>
        </is>
      </c>
      <c r="K87" t="inlineStr">
        <is>
          <t>L1: Inicial [10%]</t>
        </is>
      </c>
      <c r="L87" t="inlineStr">
        <is>
          <t>TBD</t>
        </is>
      </c>
      <c r="M87" t="inlineStr">
        <is>
          <t>Políticas Institucionales</t>
        </is>
      </c>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t="inlineStr">
        <is>
          <t>Planificado</t>
        </is>
      </c>
      <c r="J88" t="inlineStr">
        <is>
          <t>[PR] Prevención</t>
        </is>
      </c>
      <c r="K88" t="inlineStr">
        <is>
          <t>L1: Inicial [10%]</t>
        </is>
      </c>
      <c r="L88" t="inlineStr">
        <is>
          <t>TBD</t>
        </is>
      </c>
      <c r="M88" t="inlineStr">
        <is>
          <t>Políticas Institucionales</t>
        </is>
      </c>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t="inlineStr">
        <is>
          <t>Planificado</t>
        </is>
      </c>
      <c r="J89" t="inlineStr">
        <is>
          <t>[PR] Prevención</t>
        </is>
      </c>
      <c r="K89" t="inlineStr">
        <is>
          <t>L1: Inicial [10%]</t>
        </is>
      </c>
      <c r="L89" t="inlineStr">
        <is>
          <t>TBD</t>
        </is>
      </c>
      <c r="M89" t="inlineStr">
        <is>
          <t>Políticas Institucionales</t>
        </is>
      </c>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t="inlineStr">
        <is>
          <t>Planificado</t>
        </is>
      </c>
      <c r="J90" t="inlineStr">
        <is>
          <t>[PR] Prevención</t>
        </is>
      </c>
      <c r="K90" t="inlineStr">
        <is>
          <t>L1: Inicial [10%]</t>
        </is>
      </c>
      <c r="L90" t="inlineStr">
        <is>
          <t>TBD</t>
        </is>
      </c>
      <c r="M90" t="inlineStr">
        <is>
          <t>Políticas Institucionales</t>
        </is>
      </c>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t="inlineStr">
        <is>
          <t>Planificado</t>
        </is>
      </c>
      <c r="J91" t="inlineStr">
        <is>
          <t>[PR] Prevención</t>
        </is>
      </c>
      <c r="K91" t="inlineStr">
        <is>
          <t>L1: Inicial [10%]</t>
        </is>
      </c>
      <c r="L91" t="inlineStr">
        <is>
          <t>TBD</t>
        </is>
      </c>
      <c r="M91" t="inlineStr">
        <is>
          <t>Políticas Institucionales</t>
        </is>
      </c>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t="inlineStr">
        <is>
          <t>Planificado</t>
        </is>
      </c>
      <c r="J92" t="inlineStr">
        <is>
          <t>[PR] Prevención</t>
        </is>
      </c>
      <c r="K92" t="inlineStr">
        <is>
          <t>L1: Inicial [10%]</t>
        </is>
      </c>
      <c r="L92" t="inlineStr">
        <is>
          <t>TBD</t>
        </is>
      </c>
      <c r="M92" t="inlineStr">
        <is>
          <t>Políticas Institucionales</t>
        </is>
      </c>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t="inlineStr">
        <is>
          <t>Planificado</t>
        </is>
      </c>
      <c r="J93" t="inlineStr">
        <is>
          <t>[PR] Prevención</t>
        </is>
      </c>
      <c r="K93" t="inlineStr">
        <is>
          <t>L1: Inicial [10%]</t>
        </is>
      </c>
      <c r="L93" t="inlineStr">
        <is>
          <t>TBD</t>
        </is>
      </c>
      <c r="M93" t="inlineStr">
        <is>
          <t>Políticas Institucionales</t>
        </is>
      </c>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t="inlineStr">
        <is>
          <t>Planificado</t>
        </is>
      </c>
      <c r="J94" t="inlineStr">
        <is>
          <t>[PR] Prevención</t>
        </is>
      </c>
      <c r="K94" t="inlineStr">
        <is>
          <t>L1: Inicial [10%]</t>
        </is>
      </c>
      <c r="L94" t="inlineStr">
        <is>
          <t>TBD</t>
        </is>
      </c>
      <c r="M94" t="inlineStr">
        <is>
          <t>Políticas Institucionales</t>
        </is>
      </c>
    </row>
  </sheetData>
  <autoFilter ref="A1:M94"/>
  <conditionalFormatting sqref="I2:I94">
    <cfRule type="cellIs" priority="1" operator="equal" dxfId="77">
      <formula>"Implementado"</formula>
    </cfRule>
    <cfRule type="cellIs" priority="2" operator="equal" dxfId="78">
      <formula>"En Proceso"</formula>
    </cfRule>
    <cfRule type="cellIs" priority="3" operator="equal" dxfId="79">
      <formula>"No Implementado"</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s="99" t="inlineStr">
        <is>
          <t>Métrica / Dashboard</t>
        </is>
      </c>
      <c r="B1" s="99" t="inlineStr">
        <is>
          <t>Valor</t>
        </is>
      </c>
      <c r="C1" s="99" t="inlineStr">
        <is>
          <t>Porcentaje / Detalle</t>
        </is>
      </c>
    </row>
    <row r="2">
      <c r="A2" t="inlineStr">
        <is>
          <t>--- COBERTURA ISO 27002 ---</t>
        </is>
      </c>
    </row>
    <row r="3">
      <c r="A3" t="inlineStr">
        <is>
          <t>Total Controles</t>
        </is>
      </c>
      <c r="B3">
        <f>COUNTA('ANEXO A'!$A$2:$A$94)</f>
        <v/>
      </c>
    </row>
    <row r="4">
      <c r="A4" t="inlineStr">
        <is>
          <t>Controles Aplicables</t>
        </is>
      </c>
      <c r="B4">
        <f>COUNTIF('ANEXO A'!$K$2:$K$94, "Aplica")</f>
        <v/>
      </c>
    </row>
    <row r="5">
      <c r="A5" t="inlineStr">
        <is>
          <t>Controles No Aplicables</t>
        </is>
      </c>
      <c r="B5">
        <f>COUNTIF('ANEXO A'!$K$2:$K$94, "No Aplica")</f>
        <v/>
      </c>
    </row>
    <row r="6">
      <c r="A6" t="inlineStr">
        <is>
          <t>--- CUMPLIMIENTO SEPS 002-2022 ---</t>
        </is>
      </c>
    </row>
    <row r="7">
      <c r="A7" t="inlineStr">
        <is>
          <t>Total Obligatorios SEPS</t>
        </is>
      </c>
      <c r="B7">
        <f>COUNTIF('ANEXO A'!$H$2:$H$94, "*Obligatorio SEPS*")</f>
        <v/>
      </c>
    </row>
    <row r="8">
      <c r="A8" t="inlineStr">
        <is>
          <t>Obligatorios SEPS Implementados</t>
        </is>
      </c>
      <c r="B8">
        <f>COUNTIFS('Declaración Aplicabilidad (SoA)'!$E$2:$E$94, "*Obligatorio SEPS*", 'Declaración Aplicabilidad (SoA)'!$I$2:$I$94, "Implementado")</f>
        <v/>
      </c>
    </row>
    <row r="9">
      <c r="A9" t="inlineStr">
        <is>
          <t>Obligatorios SEPS Pendientes</t>
        </is>
      </c>
      <c r="B9">
        <f>B7-B8</f>
        <v/>
      </c>
    </row>
    <row r="10">
      <c r="A10" t="inlineStr">
        <is>
          <t>% Cumplimiento SEPS</t>
        </is>
      </c>
      <c r="B10" s="100">
        <f>IFERROR(B8/B7, 0)</f>
        <v/>
      </c>
    </row>
    <row r="11">
      <c r="A11" t="inlineStr">
        <is>
          <t>--- CUMPLIMIENTO GSO-GSI ---</t>
        </is>
      </c>
    </row>
    <row r="12">
      <c r="A12" t="inlineStr">
        <is>
          <t>Total Controles GSO-GSI</t>
        </is>
      </c>
      <c r="B12">
        <f>COUNTIF('ANEXO A'!$I$2:$I$94, "C*")</f>
        <v/>
      </c>
    </row>
    <row r="13">
      <c r="A13" t="inlineStr">
        <is>
          <t>Controles GSO-GSI Implementados</t>
        </is>
      </c>
      <c r="B13">
        <f>COUNTIFS('Declaración Aplicabilidad (SoA)'!$F$2:$F$94, "C*", 'Declaración Aplicabilidad (SoA)'!$I$2:$I$94, "Implementado")</f>
        <v/>
      </c>
    </row>
    <row r="14">
      <c r="A14" t="inlineStr">
        <is>
          <t>% Cumplimiento GSO-GSI</t>
        </is>
      </c>
      <c r="B14" s="100">
        <f>IFERROR(B13/B12, 0)</f>
        <v/>
      </c>
    </row>
    <row r="15">
      <c r="A15" t="inlineStr">
        <is>
          <t>--- ESTADO DE IMPLEMENTACIÓN ---</t>
        </is>
      </c>
    </row>
    <row r="16">
      <c r="A16" t="inlineStr">
        <is>
          <t>Implementados</t>
        </is>
      </c>
      <c r="B16">
        <f>COUNTIF('Declaración Aplicabilidad (SoA)'!$I$2:$I$94, "Implementado")</f>
        <v/>
      </c>
    </row>
    <row r="17">
      <c r="A17" t="inlineStr">
        <is>
          <t>En Proceso</t>
        </is>
      </c>
      <c r="B17">
        <f>COUNTIF('Declaración Aplicabilidad (SoA)'!$I$2:$I$94, "En Proceso")</f>
        <v/>
      </c>
    </row>
    <row r="18">
      <c r="A18" t="inlineStr">
        <is>
          <t>Planificados</t>
        </is>
      </c>
      <c r="B18">
        <f>COUNTIF('Declaración Aplicabilidad (SoA)'!$I$2:$I$94, "Planificado")</f>
        <v/>
      </c>
    </row>
    <row r="19">
      <c r="A19" t="inlineStr">
        <is>
          <t>No Implementados</t>
        </is>
      </c>
      <c r="B19">
        <f>COUNTIF('Declaración Aplicabilidad (SoA)'!$I$2:$I$94, "No Implementado")</f>
        <v/>
      </c>
    </row>
    <row r="20">
      <c r="A20" t="inlineStr">
        <is>
          <t>--- MADUREZ DEL SGSI ---</t>
        </is>
      </c>
    </row>
    <row r="21">
      <c r="A21" t="inlineStr">
        <is>
          <t>Promedio de Madurez del SGSI (%)</t>
        </is>
      </c>
      <c r="B21" s="100">
        <f>(COUNTIF('Declaración Aplicabilidad (SoA)'!$K$2:$K$94, "*L1*")*0.1 + COUNTIF('Declaración Aplicabilidad (SoA)'!$K$2:$K$94, "*L2*")*0.3 + COUNTIF('Declaración Aplicabilidad (SoA)'!$K$2:$K$94, "*L3*")*0.5 + COUNTIF('Declaración Aplicabilidad (SoA)'!$K$2:$K$94, "*L4*")*0.7 + COUNTIF('Declaración Aplicabilidad (SoA)'!$K$2:$K$94, "*L5*")*1.0) / B3</f>
        <v/>
      </c>
    </row>
    <row r="22">
      <c r="A22" t="inlineStr">
        <is>
          <t>--- CONCEPTOS DE CIBERSEGURIDAD ---</t>
        </is>
      </c>
    </row>
    <row r="23">
      <c r="A23" t="inlineStr">
        <is>
          <t>#Identificar</t>
        </is>
      </c>
      <c r="B23">
        <f>COUNTIF('ANEXO A'!$E$2:$E$94, "*Identificar*")</f>
        <v/>
      </c>
    </row>
    <row r="24">
      <c r="A24" t="inlineStr">
        <is>
          <t>#Proteger</t>
        </is>
      </c>
      <c r="B24">
        <f>COUNTIF('ANEXO A'!$E$2:$E$94, "*Proteger*")</f>
        <v/>
      </c>
    </row>
    <row r="25">
      <c r="A25" t="inlineStr">
        <is>
          <t>#Detectar</t>
        </is>
      </c>
      <c r="B25">
        <f>COUNTIF('ANEXO A'!$E$2:$E$94, "*Detectar*")</f>
        <v/>
      </c>
    </row>
    <row r="26">
      <c r="A26" t="inlineStr">
        <is>
          <t>#Responder</t>
        </is>
      </c>
      <c r="B26">
        <f>COUNTIF('ANEXO A'!$E$2:$E$94, "*Responder*")</f>
        <v/>
      </c>
    </row>
    <row r="27">
      <c r="A27" t="inlineStr">
        <is>
          <t>#Recuperar</t>
        </is>
      </c>
      <c r="B27">
        <f>COUNTIF('ANEXO A'!$E$2:$E$94, "*Recuperar*")</f>
        <v/>
      </c>
    </row>
    <row r="28">
      <c r="A28" t="inlineStr">
        <is>
          <t>--- TIPO DE CONTROLES ---</t>
        </is>
      </c>
    </row>
    <row r="29">
      <c r="A29" t="inlineStr">
        <is>
          <t>#Preventivo</t>
        </is>
      </c>
      <c r="B29">
        <f>COUNTIF('ANEXO A'!$C$2:$C$94, "*Preventivo*")</f>
        <v/>
      </c>
    </row>
    <row r="30">
      <c r="A30" t="inlineStr">
        <is>
          <t>#Detectivo</t>
        </is>
      </c>
      <c r="B30">
        <f>COUNTIF('ANEXO A'!$C$2:$C$94, "*Detectivo*")</f>
        <v/>
      </c>
    </row>
    <row r="31">
      <c r="A31" t="inlineStr">
        <is>
          <t>#Correctivo</t>
        </is>
      </c>
      <c r="B31">
        <f>COUNTIF('ANEXO A'!$C$2:$C$94, "*Correctivo*")</f>
        <v/>
      </c>
    </row>
    <row r="32">
      <c r="A32" t="inlineStr">
        <is>
          <t>--- MATRIZ DE BRECHA ---</t>
        </is>
      </c>
    </row>
    <row r="33">
      <c r="A33" t="inlineStr">
        <is>
          <t>Estado General</t>
        </is>
      </c>
      <c r="B33" t="inlineStr">
        <is>
          <t>Pendiente de integrar con EVALUACION DE RIESGO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2026-08-20T16:53:27Z</dcterms:modified>
  <cp:lastModifiedBy>ANDRADE PIJUANGO JEFFERSON ESTEBAN</cp:lastModifiedBy>
  <cp:lastPrinted>2025-09-10T17:26:07Z</cp:lastPrinted>
</cp:coreProperties>
</file>